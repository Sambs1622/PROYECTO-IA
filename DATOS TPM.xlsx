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Z:\MANTENIMIENTO\7.  TPM\"/>
    </mc:Choice>
  </mc:AlternateContent>
  <xr:revisionPtr revIDLastSave="0" documentId="13_ncr:1_{9741A792-ABF0-4B1F-A470-1E309CB02905}" xr6:coauthVersionLast="47" xr6:coauthVersionMax="47" xr10:uidLastSave="{00000000-0000-0000-0000-000000000000}"/>
  <bookViews>
    <workbookView xWindow="-120" yWindow="-120" windowWidth="20730" windowHeight="11040" firstSheet="1" activeTab="2" xr2:uid="{FE560A60-8459-4791-BA89-23E5647CC528}"/>
  </bookViews>
  <sheets>
    <sheet name="SEGUIMIENTO TPM xlsx (4)" sheetId="7" r:id="rId1"/>
    <sheet name="SEGUIMIENTO TPM xlsx" sheetId="2" r:id="rId2"/>
    <sheet name="DATOS" sheetId="3" r:id="rId3"/>
    <sheet name="REPUESTOS" sheetId="6" r:id="rId4"/>
  </sheets>
  <definedNames>
    <definedName name="DatosExternos_1" localSheetId="1" hidden="1">'SEGUIMIENTO TPM xlsx'!$A$1:$P$1465</definedName>
    <definedName name="DatosExternos_2" localSheetId="0" hidden="1">'SEGUIMIENTO TPM xlsx (4)'!$A$1:$P$1465</definedName>
  </definedNames>
  <calcPr calcId="191029"/>
  <pivotCaches>
    <pivotCache cacheId="2" r:id="rId5"/>
    <pivotCache cacheId="10" r:id="rId6"/>
    <pivotCache cacheId="1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2" i="2" l="1"/>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427" i="2"/>
  <c r="Q1293"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1428" i="2"/>
  <c r="Q1294"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429" i="2"/>
  <c r="Q1430" i="2"/>
  <c r="Q1431" i="2"/>
  <c r="Q1432" i="2"/>
  <c r="Q1433" i="2"/>
  <c r="Q1434" i="2"/>
  <c r="Q1435" i="2"/>
  <c r="Q1436" i="2"/>
  <c r="Q1437" i="2"/>
  <c r="Q1438" i="2"/>
  <c r="Q1439" i="2"/>
  <c r="Q1295"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1440" i="2"/>
  <c r="Q1441" i="2"/>
  <c r="Q1442" i="2"/>
  <c r="Q1443" i="2"/>
  <c r="Q1444" i="2"/>
  <c r="Q1445" i="2"/>
  <c r="Q1446" i="2"/>
  <c r="Q1447" i="2"/>
  <c r="Q1448" i="2"/>
  <c r="Q1449" i="2"/>
  <c r="Q1450" i="2"/>
  <c r="Q1451" i="2"/>
  <c r="Q1296"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1452" i="2"/>
  <c r="Q1297"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1453" i="2"/>
  <c r="Q1298"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1454" i="2"/>
  <c r="Q1299"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1455" i="2"/>
  <c r="Q1300"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1456" i="2"/>
  <c r="Q1457" i="2"/>
  <c r="Q1306" i="2"/>
  <c r="Q1419" i="2"/>
  <c r="Q1420" i="2"/>
  <c r="Q1421" i="2"/>
  <c r="Q1422" i="2"/>
  <c r="Q1423" i="2"/>
  <c r="Q1424" i="2"/>
  <c r="Q1425" i="2"/>
  <c r="Q1426" i="2"/>
  <c r="Q1307" i="2"/>
  <c r="Q1458" i="2"/>
  <c r="Q1459" i="2"/>
  <c r="Q1460" i="2"/>
  <c r="Q1461" i="2"/>
  <c r="Q1301"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1462" i="2"/>
  <c r="Q130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463" i="2"/>
  <c r="Q1303"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464" i="2"/>
  <c r="Q1304"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465" i="2"/>
  <c r="Q1305"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427" i="2"/>
  <c r="R1293"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1428" i="2"/>
  <c r="R1294"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429" i="2"/>
  <c r="R1430" i="2"/>
  <c r="R1431" i="2"/>
  <c r="R1432" i="2"/>
  <c r="R1433" i="2"/>
  <c r="R1434" i="2"/>
  <c r="R1435" i="2"/>
  <c r="R1436" i="2"/>
  <c r="R1437" i="2"/>
  <c r="R1438" i="2"/>
  <c r="R1439" i="2"/>
  <c r="R1295"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1440" i="2"/>
  <c r="R1441" i="2"/>
  <c r="R1442" i="2"/>
  <c r="R1443" i="2"/>
  <c r="R1444" i="2"/>
  <c r="R1445" i="2"/>
  <c r="R1446" i="2"/>
  <c r="R1447" i="2"/>
  <c r="R1448" i="2"/>
  <c r="R1449" i="2"/>
  <c r="R1450" i="2"/>
  <c r="R1451" i="2"/>
  <c r="R1296"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1452" i="2"/>
  <c r="R1297"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1453" i="2"/>
  <c r="R1298"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1454" i="2"/>
  <c r="R1299"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1455" i="2"/>
  <c r="R1300"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1456" i="2"/>
  <c r="R1457" i="2"/>
  <c r="R1306" i="2"/>
  <c r="R1419" i="2"/>
  <c r="R1420" i="2"/>
  <c r="R1421" i="2"/>
  <c r="R1422" i="2"/>
  <c r="R1423" i="2"/>
  <c r="R1424" i="2"/>
  <c r="R1425" i="2"/>
  <c r="R1426" i="2"/>
  <c r="R1307" i="2"/>
  <c r="R1458" i="2"/>
  <c r="R1459" i="2"/>
  <c r="R1460" i="2"/>
  <c r="R1461" i="2"/>
  <c r="R1301"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1462" i="2"/>
  <c r="R130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463" i="2"/>
  <c r="R1303"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464" i="2"/>
  <c r="R1304"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465" i="2"/>
  <c r="R1305"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427" i="2"/>
  <c r="S1293"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1428" i="2"/>
  <c r="S129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429" i="2"/>
  <c r="S1430" i="2"/>
  <c r="S1431" i="2"/>
  <c r="S1432" i="2"/>
  <c r="S1433" i="2"/>
  <c r="S1434" i="2"/>
  <c r="S1435" i="2"/>
  <c r="S1436" i="2"/>
  <c r="S1437" i="2"/>
  <c r="S1438" i="2"/>
  <c r="S1439" i="2"/>
  <c r="S1295"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1440" i="2"/>
  <c r="S1441" i="2"/>
  <c r="S1442" i="2"/>
  <c r="S1443" i="2"/>
  <c r="S1444" i="2"/>
  <c r="S1445" i="2"/>
  <c r="S1446" i="2"/>
  <c r="S1447" i="2"/>
  <c r="S1448" i="2"/>
  <c r="S1449" i="2"/>
  <c r="S1450" i="2"/>
  <c r="S1451" i="2"/>
  <c r="S1296"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1452" i="2"/>
  <c r="S1297"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1453" i="2"/>
  <c r="S1298"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1454" i="2"/>
  <c r="S1299"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1455" i="2"/>
  <c r="S1300"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1456" i="2"/>
  <c r="S1457" i="2"/>
  <c r="S1306" i="2"/>
  <c r="S1419" i="2"/>
  <c r="S1420" i="2"/>
  <c r="S1421" i="2"/>
  <c r="S1422" i="2"/>
  <c r="S1423" i="2"/>
  <c r="S1424" i="2"/>
  <c r="S1425" i="2"/>
  <c r="S1426" i="2"/>
  <c r="S1307" i="2"/>
  <c r="S1458" i="2"/>
  <c r="S1459" i="2"/>
  <c r="S1460" i="2"/>
  <c r="S1461" i="2"/>
  <c r="S1301"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1462" i="2"/>
  <c r="S130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463" i="2"/>
  <c r="S1303"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464" i="2"/>
  <c r="S1304"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465" i="2"/>
  <c r="S1305"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427" i="2"/>
  <c r="T1293"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1428" i="2"/>
  <c r="T1294"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429" i="2"/>
  <c r="T1430" i="2"/>
  <c r="T1431" i="2"/>
  <c r="T1432" i="2"/>
  <c r="T1433" i="2"/>
  <c r="T1434" i="2"/>
  <c r="T1435" i="2"/>
  <c r="T1436" i="2"/>
  <c r="T1437" i="2"/>
  <c r="T1438" i="2"/>
  <c r="T1439" i="2"/>
  <c r="T1295"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1440" i="2"/>
  <c r="T1441" i="2"/>
  <c r="T1442" i="2"/>
  <c r="T1443" i="2"/>
  <c r="T1444" i="2"/>
  <c r="T1445" i="2"/>
  <c r="T1446" i="2"/>
  <c r="T1447" i="2"/>
  <c r="T1448" i="2"/>
  <c r="T1449" i="2"/>
  <c r="T1450" i="2"/>
  <c r="T1451" i="2"/>
  <c r="T1296"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1452" i="2"/>
  <c r="T1297"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1453" i="2"/>
  <c r="T1298"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1454" i="2"/>
  <c r="T1299"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1455" i="2"/>
  <c r="T1300"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1456" i="2"/>
  <c r="T1457" i="2"/>
  <c r="T1306" i="2"/>
  <c r="T1419" i="2"/>
  <c r="T1420" i="2"/>
  <c r="T1421" i="2"/>
  <c r="T1422" i="2"/>
  <c r="T1423" i="2"/>
  <c r="T1424" i="2"/>
  <c r="T1425" i="2"/>
  <c r="T1426" i="2"/>
  <c r="T1307" i="2"/>
  <c r="T1458" i="2"/>
  <c r="T1459" i="2"/>
  <c r="T1460" i="2"/>
  <c r="T1461" i="2"/>
  <c r="T1301"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1462" i="2"/>
  <c r="T130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463" i="2"/>
  <c r="T1303"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464" i="2"/>
  <c r="T1304"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465" i="2"/>
  <c r="T1305"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E60" i="3"/>
  <c r="E55" i="3"/>
  <c r="E58" i="3"/>
  <c r="E63" i="3"/>
  <c r="E57" i="3"/>
  <c r="E62" i="3"/>
  <c r="E61" i="3"/>
  <c r="E56" i="3"/>
  <c r="E54" i="3"/>
  <c r="E59" i="3"/>
  <c r="B45" i="3" l="1"/>
  <c r="B44" i="3" s="1"/>
  <c r="F45" i="3" l="1"/>
  <c r="D60" i="3"/>
  <c r="D55" i="3"/>
  <c r="D58" i="3"/>
  <c r="D59" i="3"/>
  <c r="D63" i="3" l="1"/>
  <c r="D62" i="3"/>
  <c r="D54" i="3"/>
  <c r="D56" i="3"/>
  <c r="D57" i="3"/>
  <c r="D6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18F701-6F28-4011-904B-D8D2DE370FA3}" keepAlive="1" name="Consulta - SEGUIMIENTO TPM xlsx" description="Conexión a la consulta 'SEGUIMIENTO TPM xlsx' en el libro." type="5" refreshedVersion="8" background="1" saveData="1">
    <dbPr connection="Provider=Microsoft.Mashup.OleDb.1;Data Source=$Workbook$;Location=&quot;SEGUIMIENTO TPM xlsx&quot;;Extended Properties=&quot;&quot;" command="SELECT * FROM [SEGUIMIENTO TPM xlsx]"/>
  </connection>
  <connection id="2" xr16:uid="{92AB03EF-940F-435C-B90C-A24A13219761}" keepAlive="1" name="Consulta - SEGUIMIENTO TPM xlsx (2)" description="Conexión a la consulta 'SEGUIMIENTO TPM xlsx (2)' en el libro." type="5" refreshedVersion="0" background="1" saveData="1">
    <dbPr connection="Provider=Microsoft.Mashup.OleDb.1;Data Source=$Workbook$;Location=&quot;SEGUIMIENTO TPM xlsx (2)&quot;;Extended Properties=&quot;&quot;" command="SELECT * FROM [SEGUIMIENTO TPM xlsx (2)]"/>
  </connection>
  <connection id="3" xr16:uid="{660AEBCC-F5C1-4E27-9207-6BA5CA873F61}" keepAlive="1" name="Consulta - SEGUIMIENTO TPM xlsx (2)1" description="Conexión a la consulta 'SEGUIMIENTO TPM xlsx (2)' en el libro." type="5" refreshedVersion="8" background="1" saveData="1">
    <dbPr connection="Provider=Microsoft.Mashup.OleDb.1;Data Source=$Workbook$;Location=&quot;SEGUIMIENTO TPM xlsx (2)&quot;;Extended Properties=&quot;&quot;" command="SELECT * FROM [SEGUIMIENTO TPM xlsx (2)]"/>
  </connection>
  <connection id="4" xr16:uid="{2997F4DD-DC69-4D9E-B349-336F7E0B8493}" keepAlive="1" name="Consulta - SEGUIMIENTO TPM xlsx (3)" description="Conexión a la consulta 'SEGUIMIENTO TPM xlsx (3)' en el libro." type="5" refreshedVersion="0" background="1">
    <dbPr connection="Provider=Microsoft.Mashup.OleDb.1;Data Source=$Workbook$;Location=&quot;SEGUIMIENTO TPM xlsx (3)&quot;;Extended Properties=&quot;&quot;" command="SELECT * FROM [SEGUIMIENTO TPM xlsx (3)]"/>
  </connection>
  <connection id="5" xr16:uid="{B09197DC-F76C-4534-91E8-F9FBDE48B1AA}" keepAlive="1" name="Consulta - SEGUIMIENTO TPM xlsx (3)1" description="Conexión a la consulta 'SEGUIMIENTO TPM xlsx (3)' en el libro." type="5" refreshedVersion="0" background="1">
    <dbPr connection="Provider=Microsoft.Mashup.OleDb.1;Data Source=$Workbook$;Location=&quot;SEGUIMIENTO TPM xlsx (3)&quot;;Extended Properties=&quot;&quot;" command="SELECT * FROM [SEGUIMIENTO TPM xlsx (3)]"/>
  </connection>
  <connection id="6" xr16:uid="{CEEE489B-D261-4A7D-860B-AFD193015EA0}" keepAlive="1" name="Consulta - SEGUIMIENTO TPM xlsx (4)" description="Conexión a la consulta 'SEGUIMIENTO TPM xlsx (4)' en el libro." type="5" refreshedVersion="0" background="1">
    <dbPr connection="Provider=Microsoft.Mashup.OleDb.1;Data Source=$Workbook$;Location=&quot;SEGUIMIENTO TPM xlsx (4)&quot;;Extended Properties=&quot;&quot;" command="SELECT * FROM [SEGUIMIENTO TPM xlsx (4)]"/>
  </connection>
  <connection id="7" xr16:uid="{8089DC1E-8DFD-4D7E-9421-9685E9CC16FE}" keepAlive="1" name="Consulta - SEGUIMIENTO TPM xlsx (4)1" description="Conexión a la consulta 'SEGUIMIENTO TPM xlsx (4)' en el libro." type="5" refreshedVersion="8" background="1" saveData="1">
    <dbPr connection="Provider=Microsoft.Mashup.OleDb.1;Data Source=$Workbook$;Location=&quot;SEGUIMIENTO TPM xlsx (4)&quot;;Extended Properties=&quot;&quot;" command="SELECT * FROM [SEGUIMIENTO TPM xlsx (4)]"/>
  </connection>
</connections>
</file>

<file path=xl/sharedStrings.xml><?xml version="1.0" encoding="utf-8"?>
<sst xmlns="http://schemas.openxmlformats.org/spreadsheetml/2006/main" count="16284" uniqueCount="2162">
  <si>
    <t>#TPM</t>
  </si>
  <si>
    <t>NOMBRE DE QUIEN REPORTA</t>
  </si>
  <si>
    <t>HORA REPORTE</t>
  </si>
  <si>
    <t>FECHA DE REPORTE</t>
  </si>
  <si>
    <t xml:space="preserve">MÁQUINA </t>
  </si>
  <si>
    <t>TIPO FALLA</t>
  </si>
  <si>
    <t xml:space="preserve">DESCIPCIÓN </t>
  </si>
  <si>
    <t>HORA INICIO INTERVENCIÓN</t>
  </si>
  <si>
    <t>HORA FIN  INTERVENCIÓN</t>
  </si>
  <si>
    <t>FECHA DE INTERVENCÓN</t>
  </si>
  <si>
    <t>TIPO INTERVENCIÓN</t>
  </si>
  <si>
    <t>ACCIÓN TOMADA</t>
  </si>
  <si>
    <t>REPUESTOS USADOS</t>
  </si>
  <si>
    <t>INSUMOS UTILIZADOS</t>
  </si>
  <si>
    <t>TÉCNICO ENCARGADO</t>
  </si>
  <si>
    <t>ESTADO</t>
  </si>
  <si>
    <t>L. GARZON</t>
  </si>
  <si>
    <t>Otro</t>
  </si>
  <si>
    <t>PUNTUAL</t>
  </si>
  <si>
    <t>Se desconecta cable del pedal de troque.</t>
  </si>
  <si>
    <t>Eléctrica</t>
  </si>
  <si>
    <t>Se encuentra cable de pedal de accionamiento del troque desconectado, se realiza conexión.</t>
  </si>
  <si>
    <t>NA</t>
  </si>
  <si>
    <t>CERRADA</t>
  </si>
  <si>
    <t xml:space="preserve">Se para por destensión en correas transportadoras. </t>
  </si>
  <si>
    <t>Mecánica</t>
  </si>
  <si>
    <t>Se da más tensión repetidamente para ajustar correas.</t>
  </si>
  <si>
    <t>Y. SIUTA</t>
  </si>
  <si>
    <t>Baño tapado</t>
  </si>
  <si>
    <t>Se aplica diablo rojo para destapar el baño.</t>
  </si>
  <si>
    <t>Diablo rojo</t>
  </si>
  <si>
    <t>Se tapa con polisombra y espuma de poliuterano expansiva los espacios donde pueden ingresar los insectos.</t>
  </si>
  <si>
    <t>Espuma y polisombra.</t>
  </si>
  <si>
    <t>ABIERTA</t>
  </si>
  <si>
    <t>Lab. Calidad</t>
  </si>
  <si>
    <t>Realizar mueble para bolsas de contramuestras de calidad.</t>
  </si>
  <si>
    <t>Falla en pantalla</t>
  </si>
  <si>
    <t>Se encuentra sensor de la pelicula accionado, se realiza ajuste y quedo operativo.</t>
  </si>
  <si>
    <t>P. JEREZ</t>
  </si>
  <si>
    <t>Toma corriente no sirve, no da energia.</t>
  </si>
  <si>
    <t>Revisión de equipo termoencogido, presenta  ruidos en el ventilador al iniciar calentamiento.</t>
  </si>
  <si>
    <t>Equipos del laboratorio no encienden, revisión toma.</t>
  </si>
  <si>
    <t>Tomas GFCI activan protección al momento de encender, el equipo de retracción, se coloca toma temporalmente y se solicita RQ para cambio de tomas.</t>
  </si>
  <si>
    <t>1 Toma corriente</t>
  </si>
  <si>
    <t>L. CASTILLA</t>
  </si>
  <si>
    <t>Reparación entre paños muebles de calidad</t>
  </si>
  <si>
    <t>J. BRICEÑO</t>
  </si>
  <si>
    <t>Eje pinchado</t>
  </si>
  <si>
    <t>Neúmatica</t>
  </si>
  <si>
    <t>Se inspeccionan mangueras encontrandose una con fisuras, se realiza cambio quedando OK</t>
  </si>
  <si>
    <t>Manguera</t>
  </si>
  <si>
    <t>A. MENDOZA</t>
  </si>
  <si>
    <t>Toma corriente no funciona en area de laboratorio</t>
  </si>
  <si>
    <t>J. PINZÓN</t>
  </si>
  <si>
    <t>Compra e instalación de reflectores o lamparas, para la parte perimetral de la bodega, ruta de evacuación muy oscuro. Revisar la posibilidad de sensores de movimiento.</t>
  </si>
  <si>
    <t>A. VIRGUEZ</t>
  </si>
  <si>
    <t>Se requiere reparar bateria del elevador de rollos ya que se encuentra operando conectado el equipo.</t>
  </si>
  <si>
    <t>Se reemplaza la baterial al equipo ya que estaba dañada.</t>
  </si>
  <si>
    <t>Bateria</t>
  </si>
  <si>
    <t>J. FONTECHA</t>
  </si>
  <si>
    <t>Se requiere reemplazar la lampara colgante que esta ubicada en el area de sellado.</t>
  </si>
  <si>
    <t>Se requiere realizar mejora en proceso de secado del material a peletizar por medio del ventilador ya que genera derrame de agua.</t>
  </si>
  <si>
    <t>Se requiere adecuar el cuarto que se encuentra junto al muelle para llevar acabo la atención de AT.</t>
  </si>
  <si>
    <t>Instalación paros de emergencia de todas las máquinas cerca del área de manipulación.</t>
  </si>
  <si>
    <t>Se solicita realizar una revisión y ajuste de las guardas de las trampas de roedores, ya que algunas se encuentran sueltas.</t>
  </si>
  <si>
    <t>Se justan trampas de los roedores</t>
  </si>
  <si>
    <t>M. PEREZ</t>
  </si>
  <si>
    <t>Se requiere instalación eléctrica independiente para la lampara atrapa insectos.</t>
  </si>
  <si>
    <t>Se dejan en paralelo la conexión de las lamparas e independientes al interruptor.</t>
  </si>
  <si>
    <t>Se requiere ajustar la tapa del piso de refile.</t>
  </si>
  <si>
    <t>Compra e instalación de manija para ventanas en el área administrativa. 2.</t>
  </si>
  <si>
    <t>Mantenimiento a la puerta corrediza de la cafeteria.</t>
  </si>
  <si>
    <t>Se cambian rodamientos inferiores de la puerta y se lubrica con grasa.</t>
  </si>
  <si>
    <t>Se requiere reubicar lampara del muelle, la blanca, se tiene que bajar y conectarla ya que el proveedor indica que esta muy elevada.</t>
  </si>
  <si>
    <t>Se fija más abajo la lampara, y se corre el cartel, queda operativa.</t>
  </si>
  <si>
    <t>Se requiere instalar la puerta del control de tacos en el area de peletizado</t>
  </si>
  <si>
    <t>Se solicita arreglo y mejora de la caja de madera donde se disponen los residuos de los cores cuando se cortan</t>
  </si>
  <si>
    <t>Se requiere ajuste de la caja de breaker que se encuentra al lado de la mezcladora, ya que se evidencia inclinación para un costado</t>
  </si>
  <si>
    <t>Se requiere realicen arreglo de gabinete de aseo en el area de extrusión</t>
  </si>
  <si>
    <t>Se requiere cambio de material de escalera de impresión por material resistente antideslizante</t>
  </si>
  <si>
    <t>Se requiere fabricar e instalar guarda para trampa de roedores en el muelle #2</t>
  </si>
  <si>
    <t>Se requiere reparación de ventana de la bodega de peletizado</t>
  </si>
  <si>
    <t>Se requiere arreglo de la cerradura perilla de la puerta de la oficina de producción</t>
  </si>
  <si>
    <t>J. CONTRERAS</t>
  </si>
  <si>
    <t>Manija de sisterna baño bodega de peletizado dañada</t>
  </si>
  <si>
    <t>EXTRUSORA</t>
  </si>
  <si>
    <t>Se requiere aislar cables que estan en el motor del centro de la coestrusora</t>
  </si>
  <si>
    <t>PELETIZADORA</t>
  </si>
  <si>
    <t>Se requiere reparación de la puerta de la caja de los breaker en el molino pequeño de la peletizadora</t>
  </si>
  <si>
    <t>Se solicita realicen cambio de la toma corriente , interructor del cuarto rodillo</t>
  </si>
  <si>
    <t>Se solicita reparen conexión eléctrica que se encuentra en la parte superior de la pared del muelle #2</t>
  </si>
  <si>
    <t>EXTRUSORA 5</t>
  </si>
  <si>
    <t>Se requeire instalar la tapa de la caja de breaker de la coextrusora #5 que se encuentra caida</t>
  </si>
  <si>
    <t>S. CARDENAL</t>
  </si>
  <si>
    <t>SELLADORA 3</t>
  </si>
  <si>
    <t>Puntual</t>
  </si>
  <si>
    <t>La tuerca que aprieta el teflon esta dañada.</t>
  </si>
  <si>
    <t>Se cambia tuerca 5/16 porque se daño el paso, se cambia por una nueva.</t>
  </si>
  <si>
    <t>2 tuercas</t>
  </si>
  <si>
    <t>C. ORTEGA</t>
  </si>
  <si>
    <t>Repetitiva</t>
  </si>
  <si>
    <t>La cuchilla se baja sola</t>
  </si>
  <si>
    <t>Se le da 1/4 de vuelta al freno del motor de abajo para que sostenga la leva.</t>
  </si>
  <si>
    <t>H. TRIANA</t>
  </si>
  <si>
    <t>EXTRUSORA 4</t>
  </si>
  <si>
    <t>Se solicita retirar torta de los discos de rotación.</t>
  </si>
  <si>
    <t>Retiro de material residuo torta discos de rotación.</t>
  </si>
  <si>
    <t>Cinta de alta temperatura</t>
  </si>
  <si>
    <t>O. DUARTE</t>
  </si>
  <si>
    <t>SELLADORA</t>
  </si>
  <si>
    <t>La cuchilla estaba suelta.</t>
  </si>
  <si>
    <t xml:space="preserve">Se ajustan prisioneros de ajuste de mordaza. </t>
  </si>
  <si>
    <t>D. BAUTISTA</t>
  </si>
  <si>
    <t>D. CUESTA</t>
  </si>
  <si>
    <t>Revisar zona de temperatura zona exterior del tornillo.</t>
  </si>
  <si>
    <t>Se realiza inspección a los componentes como controlador, rele y termocupla, se realiza calibración de termocupla.</t>
  </si>
  <si>
    <t>SELLADORA 2</t>
  </si>
  <si>
    <t xml:space="preserve">Carretes del transportadora rompen bolsa y se queda atrapada. </t>
  </si>
  <si>
    <t>Se ajustan rodillos con corredera a la salida del transportador tornillo no roscaba, se cambia por otro.</t>
  </si>
  <si>
    <t>Tornillo 5/16 por 2"</t>
  </si>
  <si>
    <t>A. CESPEDES</t>
  </si>
  <si>
    <t>Transportador no prende.</t>
  </si>
  <si>
    <t>Se inspecciona el transportador encontrando el rodamiento averiado y se realiza cambio quedando bien.</t>
  </si>
  <si>
    <t>1 Rodamiento 6064 zz NR</t>
  </si>
  <si>
    <t>J. LUCAS</t>
  </si>
  <si>
    <t>Bolsa se rompe en los carretes por falta de carretes.</t>
  </si>
  <si>
    <t>Lubricar carretes y correr un espacio para cubrir los que se rompieron.</t>
  </si>
  <si>
    <t>Lubricante</t>
  </si>
  <si>
    <t>La cuchilla se baja sola y no se sostiene arriba</t>
  </si>
  <si>
    <t xml:space="preserve">Ajuste del freno motor cuchilla no se mantenia estable quedando operativa. </t>
  </si>
  <si>
    <t>Se para máquina para afilar y limpiar cuhilla.</t>
  </si>
  <si>
    <t>Se realiza proceso para afilar la cuchilla por daño en el material.</t>
  </si>
  <si>
    <t>A. MIRANDA</t>
  </si>
  <si>
    <t>Fallo en molino de refile.</t>
  </si>
  <si>
    <t>Se presento atascamiento de ducto de refile, se desmonta ducto y se retira atascamiento, nuevamente se instala y se realizan pruebas.</t>
  </si>
  <si>
    <t>Corto en cable de rotación.</t>
  </si>
  <si>
    <t>Se instala 30 cm de cinta de fibra de vidrio.</t>
  </si>
  <si>
    <t>Rollo en transportador.</t>
  </si>
  <si>
    <t>Se encuentra variador transportador en rollo, se reinicia y se realiza seguimiento ya que falla continuo.</t>
  </si>
  <si>
    <t>K. RAMOS</t>
  </si>
  <si>
    <t>Tablero superior no abria</t>
  </si>
  <si>
    <t>Se realiza continuidad a cables de tablero encontrando 2 abiertos, se colocan 2 cables directos temporalmente para poder abrir las paletas.</t>
  </si>
  <si>
    <t>R. CUESTA</t>
  </si>
  <si>
    <t>IMPRESORA 1</t>
  </si>
  <si>
    <t>Piñon del eje neumatico se partio la soldadura.</t>
  </si>
  <si>
    <t>Se aplica soldadura para sujeción de piñon matriz de eje embobinador.</t>
  </si>
  <si>
    <t>Disco flap y Soldadura 6013</t>
  </si>
  <si>
    <t>EXTRUSORA 3</t>
  </si>
  <si>
    <t>Cambio de tornillos bristol</t>
  </si>
  <si>
    <t>Se machuelea número 10 para ajustar prisioneros que no roscaban.</t>
  </si>
  <si>
    <t>Prisioneros 10X15mm</t>
  </si>
  <si>
    <t>Calibración de celdas de carga.</t>
  </si>
  <si>
    <t>Se realiza calibración de caldas de carga con masa de 20kg</t>
  </si>
  <si>
    <t>O. ALVAREZ</t>
  </si>
  <si>
    <t>REFILADORA 1</t>
  </si>
  <si>
    <t xml:space="preserve">Escape en la barra </t>
  </si>
  <si>
    <t>Neumática</t>
  </si>
  <si>
    <t>Se aplica silicona en el prisionero y queda operativa.</t>
  </si>
  <si>
    <t>Silicona</t>
  </si>
  <si>
    <t>Se para carretes de salida bolsa.</t>
  </si>
  <si>
    <t>Se encuentra sistema de carretes atascado, se alinean carretes y se realiza pruebas de funcionamiento.</t>
  </si>
  <si>
    <t>A. ROVINA</t>
  </si>
  <si>
    <t>REFILADORA 3</t>
  </si>
  <si>
    <t>Modificación de castañas</t>
  </si>
  <si>
    <t>D. ARRIETA</t>
  </si>
  <si>
    <t>Rodillo loco del desembobinador se paro.</t>
  </si>
  <si>
    <t>Se cae rodillo de impresora, se amarra con zuncho esta dañado la parte del prisionero.</t>
  </si>
  <si>
    <t>E. BOREA</t>
  </si>
  <si>
    <t>No arranca tornillo de alimentación de la tolva</t>
  </si>
  <si>
    <t>Se realiza inspección de circuito eléctrico de control de motor, se encuentra cableado desconectado, se conecta nuevamente y se realizan pruebas.</t>
  </si>
  <si>
    <t>Fallo en variador del tornillo B.</t>
  </si>
  <si>
    <t>Se instala ventilador de respaldo para el variador de frecuencia a 220v, se requiere cambio de ventilador para refrigeración.</t>
  </si>
  <si>
    <t>A. CEPEDES</t>
  </si>
  <si>
    <t>Se cae rodillo del transportador.</t>
  </si>
  <si>
    <t>Se extrae tornillo roto y se ajusta el rodillo, se hacen pruebas.</t>
  </si>
  <si>
    <t>Tornillos y arandelas.</t>
  </si>
  <si>
    <t>D. BUESACO</t>
  </si>
  <si>
    <t>SELLADORA 4</t>
  </si>
  <si>
    <t>Falla en carrete, se frena transportador de salida.</t>
  </si>
  <si>
    <t>Revisión del variador, toma de parametros, reinicio de equipo varias veces, se realizan pruebas.</t>
  </si>
  <si>
    <t>O. VALENCIA</t>
  </si>
  <si>
    <t>Cableado suelto en resistencias del cable filtros.</t>
  </si>
  <si>
    <t>Se realiza intervención en resistencias desconectadas, se desenergiza, se empalma con borneras recubrimiento cinta de alta temperatura.</t>
  </si>
  <si>
    <t>Cinta alta temperatura, borneras.</t>
  </si>
  <si>
    <t>D. SANCHEZ</t>
  </si>
  <si>
    <t>SELLADORA 1</t>
  </si>
  <si>
    <t>Se solicita el cambio de la iluminaria ya que se encuentra en mal estado y genera molestias visuales a los operarios de sellado.</t>
  </si>
  <si>
    <t>J. MIRANDA</t>
  </si>
  <si>
    <t>EXTRUSORA 2</t>
  </si>
  <si>
    <t>Motor de la tolva del pigmento esta fallando, no esta consumiendo lo que se programa, consume más de lo que debe consumir.</t>
  </si>
  <si>
    <t>Daño en el transportador.</t>
  </si>
  <si>
    <t>Se tensiona rodillo tensor de correas de transportador.</t>
  </si>
  <si>
    <t>C. CASTRO</t>
  </si>
  <si>
    <t>Cambiar rodillos para refilar papel, acondicionar castañas de bobinadores.</t>
  </si>
  <si>
    <t>Se instalan rodillos de corto para trabajar papel, se adecuan castañas de bobinadores para refilar papel.</t>
  </si>
  <si>
    <t>R. CUSIA</t>
  </si>
  <si>
    <t>Diferencial con cable roto del control</t>
  </si>
  <si>
    <t>Cables averiados, se corta 30cm para sacar parte averiada y se realiza empalme nuevamente quedando OK.</t>
  </si>
  <si>
    <t>Cable para reemplazar</t>
  </si>
  <si>
    <t>F. SANCHEZ</t>
  </si>
  <si>
    <t>Problemas para cuadrar tabular variación de medida de 15 centimetros + o - por el IBC, no se mantiene la medida estantar.</t>
  </si>
  <si>
    <t>Paletas en mal funcionamiento, partidas, tienen juego, no estabilizan para poder cuadrar fuelle.</t>
  </si>
  <si>
    <t>Material sale por la mitad.</t>
  </si>
  <si>
    <t>Aplicar soldadura, cambio de tornillo de polea tensora, ajuste de correa y se realizan pruebas de funcionamiento.</t>
  </si>
  <si>
    <t>Tornillo 8 mm.</t>
  </si>
  <si>
    <t>Soldadura</t>
  </si>
  <si>
    <t>E. REYES</t>
  </si>
  <si>
    <t xml:space="preserve">SELLADORA </t>
  </si>
  <si>
    <t>Afilar cuchilla</t>
  </si>
  <si>
    <t>Afilar cuchilla, se deja enfriar, se hace pruebas.</t>
  </si>
  <si>
    <t>Registro lateral en mal estado se paro por llevar pieza al taller para su reparación.</t>
  </si>
  <si>
    <t>Se repara registro lateral se colocan tornillos, se vuelve aramar.</t>
  </si>
  <si>
    <t>Porta mallas inferior no calienta.</t>
  </si>
  <si>
    <t>Se realiza inspección y se encuentra cable de conexión partido, se reconecta y se deja el equipo calentando.</t>
  </si>
  <si>
    <t>A. POVIRA</t>
  </si>
  <si>
    <t>REFILADORA</t>
  </si>
  <si>
    <t>Eje de embobinador se pincha.</t>
  </si>
  <si>
    <t>Se encuentra fuga en prisioneros de ajuste, se realiza aplicación de silicona y ajuste, queda en observación.</t>
  </si>
  <si>
    <t>Cambio de castañas y prensa.</t>
  </si>
  <si>
    <t>Se realiza cambio de rodillos pisador para trabajar plastico y se ajustan las castañas para operar.</t>
  </si>
  <si>
    <t>D. PARDO</t>
  </si>
  <si>
    <t>Se parten dos tornillos.</t>
  </si>
  <si>
    <t>Se encuentran 2 tornillos M8 partidos, se extraen y se reemplazan, quedando operativo.</t>
  </si>
  <si>
    <t>2 Tornillos M8</t>
  </si>
  <si>
    <t>Se esta calibrando porque ele material sale con puntos descalibrados, se mira que la corona esta un poco caida.</t>
  </si>
  <si>
    <t>Se coloca nivel en el molde y presenta desnivel, se realiza calibración con nivel quedando OK.</t>
  </si>
  <si>
    <t>J. CORREA</t>
  </si>
  <si>
    <t>MEZCLADORA 1</t>
  </si>
  <si>
    <t>Se revienta correa y se esta derritiendo el material en eje inferior interno.</t>
  </si>
  <si>
    <t>Se cambian correas de mezcladora, se da tensión para que la transmisión inicie.</t>
  </si>
  <si>
    <t>Correa 45</t>
  </si>
  <si>
    <t>R. MEJIA</t>
  </si>
  <si>
    <t>Cable diferencial izquierdo se partio solo funciona lado derecho.</t>
  </si>
  <si>
    <t>Cable abierto desprendidos de bornera, muy cortos, se corre reserva y se empalman.</t>
  </si>
  <si>
    <t>Se frena la prensa por favor revisar.</t>
  </si>
  <si>
    <t>Se revisa circuito encontrando conductor con punto caliente, se realiza ajuste quedando OK.</t>
  </si>
  <si>
    <t>Parada para arreglar bobinador ya que el rodamiento se partio.</t>
  </si>
  <si>
    <t>Rodamiento guia rodillo embobinador averiado, se realiza desmonte para cambio quedando OK.</t>
  </si>
  <si>
    <t>C. BARAJAS</t>
  </si>
  <si>
    <t>El servo arrastra demasiado el material.</t>
  </si>
  <si>
    <t>Sensorde balanza averiado, se ajusta y se deja OK.</t>
  </si>
  <si>
    <t>Se para extrusora 4 por fuga de material.</t>
  </si>
  <si>
    <t>Y. BERNAL</t>
  </si>
  <si>
    <t>Mezcladora capa externa con fricción interna en el tornillo, esta derritiendo la resina.</t>
  </si>
  <si>
    <t>Se cambian empaques, se limpia rodamientos, se lubrica rodamientos y chumaceras.</t>
  </si>
  <si>
    <t>Chumacera f208</t>
  </si>
  <si>
    <t>Empaques</t>
  </si>
  <si>
    <t>Falla grafilador.</t>
  </si>
  <si>
    <t>Se desmonta motor para inspección en transmisión, se ajusta y se realizan pruebas, se tiene en seguimiento.</t>
  </si>
  <si>
    <t>Daño en la manguera del embobinador superior y en el tornillo que soporta la punta de la manguera.</t>
  </si>
  <si>
    <t>Se para prensa.</t>
  </si>
  <si>
    <t>Clavo se queda pegado del alimentador cuando se hace el cambio de bobina del embobinador 2.</t>
  </si>
  <si>
    <t>Se realizo ajuste de tornilleria y lubricación a pieza de desplazamiento, se realiza seguimiento.</t>
  </si>
  <si>
    <t>Prisioneros de la segunda barra del embobinador 2 en mal estado, se sueltan y comienzan a fallar.</t>
  </si>
  <si>
    <t>Se cambian prisioneros M8 dañados.</t>
  </si>
  <si>
    <t>2 Prisioneros M8.</t>
  </si>
  <si>
    <t>W. SANDOVAL</t>
  </si>
  <si>
    <t>Mangueras de ejes embobinadores pinchadas.</t>
  </si>
  <si>
    <t>Se hizo cambio de mangueras, se extraen tornillos, se reconstruye pisador y queda operativo.</t>
  </si>
  <si>
    <t>Manguera 16mm, tornillos.</t>
  </si>
  <si>
    <t>Felpa</t>
  </si>
  <si>
    <t>R. OLIVARES</t>
  </si>
  <si>
    <t xml:space="preserve">EXTRUSORA </t>
  </si>
  <si>
    <t>Se safa el tornillo que soporta la barra de los perforadores.</t>
  </si>
  <si>
    <t>Se ajusta tornillo en rodillo perforador, se hace seguimiento, se asegura con un prisionero.</t>
  </si>
  <si>
    <t>Falla en embobinador, se detiene.</t>
  </si>
  <si>
    <t>Se desmonta motorreductor, se cambian rodamientos de corona y sin fin, se entrega OK.</t>
  </si>
  <si>
    <t>2 rodaientos 6006 y 2 rodamientos 6205</t>
  </si>
  <si>
    <t>L. FLOREZ</t>
  </si>
  <si>
    <t>Los filtros de la bomba de vacio todos estan rotos y dañados.</t>
  </si>
  <si>
    <t>Rodillo esta muy alto y jala la bolsa.</t>
  </si>
  <si>
    <t>Rodillo con tuercas ausente y levantado, se reponen tuercas y se calibra corrigiendo falla.</t>
  </si>
  <si>
    <t>Corto en la extrusora.</t>
  </si>
  <si>
    <t>Conductor abierto por corto, se realiza empalme y se recubre con cinta tela fibra de vidrio, pendiente cambiar conductor.</t>
  </si>
  <si>
    <t>Falla carter tornillo A.</t>
  </si>
  <si>
    <t>Se encuentra abierto carter cañon A, se requiere cambio de tapa de carter ya que se encuentra en mal estado y puede volver a fallar.</t>
  </si>
  <si>
    <t>Correa del embobinador.</t>
  </si>
  <si>
    <t>Se desmontan las bases de polea y se monta correa quedando operativo.</t>
  </si>
  <si>
    <t>Correa 1120 XH</t>
  </si>
  <si>
    <t>E. BELLO</t>
  </si>
  <si>
    <t>PELETIZADORA 1</t>
  </si>
  <si>
    <t>Zona con temperatura baja. En porta malla.</t>
  </si>
  <si>
    <t>Resistencia averiada en terminales, se lleva hasta el taller planta 1, se realiza reparación colocando terminales y se realiza montaje.</t>
  </si>
  <si>
    <t>La cuchilla se cae.</t>
  </si>
  <si>
    <t>Se realiza ajuste de pesos porque la cuchilla se cae cuando se detiene, se da 1/2 vuelta pero se tiene en seguimiento.</t>
  </si>
  <si>
    <t>Rodamiento del embobinador.</t>
  </si>
  <si>
    <t>Se cambia rodamiento por que estaba partido por uno nuevo.</t>
  </si>
  <si>
    <t>Rodamiento 6204 ZZ</t>
  </si>
  <si>
    <t>Se para la máquina por el IBC, no estabiliza.</t>
  </si>
  <si>
    <t>Se realiza inpección de manguera la cual se encuentra partida con un orificio, re empalma, se retira resina.</t>
  </si>
  <si>
    <t>DEISY</t>
  </si>
  <si>
    <t>Se para transportador</t>
  </si>
  <si>
    <t>Ajuste de prisioneros en piñones, revisión del motor presenta alta temperatura, lubricación, toma de consumos.</t>
  </si>
  <si>
    <t>Se parte eje embobinador</t>
  </si>
  <si>
    <t>Se intercambia eje neumatico desembobinador por bobinador, se realiza cambio de piñon matriz y se instalo.</t>
  </si>
  <si>
    <t>Rodamiento 6205</t>
  </si>
  <si>
    <t>Se evidencia resistencias quemadas capa externa, vibración y olor a caucho quemado.</t>
  </si>
  <si>
    <t>Cambio de empaques debajo de la chumacera, se realizan nuevos por deterioro.</t>
  </si>
  <si>
    <t>Empaques para chumacera.</t>
  </si>
  <si>
    <t>Máquina no prende.</t>
  </si>
  <si>
    <t>Máquina no habilitada, se realiza inpección de sensores de puertas, se revisan reles de seguridad y conexiones electricas, se cambia relevos de 24 DC.</t>
  </si>
  <si>
    <t>Reles 24VDC</t>
  </si>
  <si>
    <t>Falla embobinador delantero.</t>
  </si>
  <si>
    <t>Se realiza cambio de muletilla y contacto encendido de bobinador, se entrego operativo.</t>
  </si>
  <si>
    <t>Se daña rosca de las guardas o tapas de los rodillos porta clise, los tornillos quedan libres.</t>
  </si>
  <si>
    <t>Se evidencia rosca helicil ausente, se rectifica rosca y reemplazo de rosca quedando OK.</t>
  </si>
  <si>
    <t xml:space="preserve">Helicoil M10 </t>
  </si>
  <si>
    <t>EXTRUSORA 1</t>
  </si>
  <si>
    <t>Zona del porta malla externo esta presentando falla.</t>
  </si>
  <si>
    <t>Termocupla averiada, se realiza cambio de termocupla y termoposo quedando OK.</t>
  </si>
  <si>
    <t>1 Termocupla tipo J</t>
  </si>
  <si>
    <t>Daño en perforadores.</t>
  </si>
  <si>
    <t>Electrovalvula averiada, se realiza cambio por una usada regular quedando OK. Tope de balancin superior ausente, se encuentra con tornillos partidos, se extraen y se reemplazan.</t>
  </si>
  <si>
    <t>1 Electrovalvula mono estable 5/2 y tornillos M8 V 30 mm</t>
  </si>
  <si>
    <t>Se rompe correa.</t>
  </si>
  <si>
    <t>Correa de transmisión de prensas partida, se retira guarda y se realiza reemplazo de la correa.</t>
  </si>
  <si>
    <t>1 Correa 900H</t>
  </si>
  <si>
    <t>L. MIRANDA</t>
  </si>
  <si>
    <t>La cortina de seguridad presenta falla.</t>
  </si>
  <si>
    <t>Se alinean soportes, calibración cortinas quedando OK.</t>
  </si>
  <si>
    <t>Se daña rodillo.</t>
  </si>
  <si>
    <t>Se cambia rodillo por daño de rodamientos.</t>
  </si>
  <si>
    <t>J. PARADA</t>
  </si>
  <si>
    <t>Se daña alineador.</t>
  </si>
  <si>
    <t>Se realiza ajuste a mordaza fife (alineador) quedando operativo.</t>
  </si>
  <si>
    <t>Seguro bobinador dañado.</t>
  </si>
  <si>
    <t>Se realiza cambio de seguro bobinador ya que la rosca se pierde de la mordaza de ajuste.</t>
  </si>
  <si>
    <t>Problemas con el rodillo donde van las ruedas con los clavos para hacer los huecos al material, se cae el rodillo.</t>
  </si>
  <si>
    <t>Daño en pieza sostiene el rodillo, se desoldo, se cae el rodillo, se coloca nuevamente para no parar máquina, se ajusta prisionero.</t>
  </si>
  <si>
    <t>Problemas con las cortinas de los embobinadores A y B, falla de lectura.</t>
  </si>
  <si>
    <t>Se ajusta cortinas pero no estan atornilladas, pendiente hacer soportes para atornillar cortinas a la base.</t>
  </si>
  <si>
    <t>Se solicita revisión porque se apaga cada 10 segundos la mezcladora externa.</t>
  </si>
  <si>
    <t>Se encuentra temporizadorpara apagado automatico y se ajusta para mas tiempo.</t>
  </si>
  <si>
    <t>Se apaga constantemente el mezclador externo, se informa a mtto.</t>
  </si>
  <si>
    <t>Se desmonta chumacera para limpieza y se inspecciona temporizador y presenta falla .</t>
  </si>
  <si>
    <t>D. ZAMORA</t>
  </si>
  <si>
    <t>La felpa se mete entre la manguera lo que hace que el core coja mayor tensión con el material y quede atrapado entre las castañas.</t>
  </si>
  <si>
    <t>Se desmontan las castañas y se realiza cambio de felpa.</t>
  </si>
  <si>
    <t>Etiquetas de fila</t>
  </si>
  <si>
    <t>(en blanco)</t>
  </si>
  <si>
    <t>Total general</t>
  </si>
  <si>
    <t>J. PARDO</t>
  </si>
  <si>
    <t>Manila se sale.</t>
  </si>
  <si>
    <t>Se coloca pasador clic plastico de manila registro.</t>
  </si>
  <si>
    <t>Correa dañada</t>
  </si>
  <si>
    <t>Se realiza montaje de correa y calibración de freno motor inferior.</t>
  </si>
  <si>
    <t>Máquina se para sola y aparece código 50.</t>
  </si>
  <si>
    <t>Se encuentra falla de variador por sobre carga, se revisa y se desajusta el freno de motor para dejar mas libre el motor, se resetea, se presenta temperaturas altas, se desmonta freno y se pone a girar en vacio para descartar rodamientos, se da ajuste a las correas, se revisan conexiones. (El motor transportador se acciona con botones que no deberia).</t>
  </si>
  <si>
    <t>Rodamiento brazo bobinador se sale ya esta con desgaste considerable.</t>
  </si>
  <si>
    <t>Se instala buje de presión para ajustar en espacio para el rodamiento y se instala arandela con mayor diametro.</t>
  </si>
  <si>
    <t>Arandelas</t>
  </si>
  <si>
    <t>Rodillo 58 torcido.</t>
  </si>
  <si>
    <t>L. MORALES</t>
  </si>
  <si>
    <t>CORTA CORE</t>
  </si>
  <si>
    <t>Falla en la corta core, tornillo se desliza.</t>
  </si>
  <si>
    <t>Se presentan particulas que salen de la parte de debajo de la mezcladora externa. Se evidencia que el empaque esta dañado.</t>
  </si>
  <si>
    <t>Variación en temperatura.</t>
  </si>
  <si>
    <t>Se ajusta termocupla, se entrega máquina trabajando.</t>
  </si>
  <si>
    <t>Se quema contactor que abre el tablero.</t>
  </si>
  <si>
    <t>Se realiza inspección por salto de guardamotor, se realiza inspección de cableado, el cual esta en buen estado, se revisa conexión motor y se encuentra cable partido de conexión a bobina, se mide resistencia de bobinas y se observa desbalanceo, se abre paleta del tablero, se deja de forma manuel y se entrega para arranque.</t>
  </si>
  <si>
    <t>Cambio de posicionamiento para las castañas</t>
  </si>
  <si>
    <t xml:space="preserve">Mecánica </t>
  </si>
  <si>
    <t>Se realiza cambio de rodillos y organización, castañas superior e inferior.</t>
  </si>
  <si>
    <t>Daño en rodamientos embobinador.</t>
  </si>
  <si>
    <t>Se realiza ajuste seguidor leva y cambio de tornillos.</t>
  </si>
  <si>
    <t>2 Tornillos M6 X 20mm.</t>
  </si>
  <si>
    <t>Se frena rodillo del embobinador y se enreda el material en el rodillo halador.</t>
  </si>
  <si>
    <t>Motor se apaga por sobrecarga, se establece a un voltaje 180V y trabaja con normalidad.</t>
  </si>
  <si>
    <t>Motor refrigerante del freno bloqueado freno recalentado.</t>
  </si>
  <si>
    <t>Daño en conexión eléctrica de la cuchilla.</t>
  </si>
  <si>
    <t>Empalmar cables de alimentación de cuchilla.</t>
  </si>
  <si>
    <t>Cinta aislante y alta temperatura</t>
  </si>
  <si>
    <t>Rodillo se mueve con el transportador ya que estas quedan pegadas.</t>
  </si>
  <si>
    <t>Se da ajuste a distancia de rodillos y tornilleria quedando operativo.</t>
  </si>
  <si>
    <t>Daño en el rodamiento de las correas del motor del transportador.</t>
  </si>
  <si>
    <t>Se encuentra transportador sin movimiento, se realiza inspección y se encuentra rodamiento de polea dañado, se desmonta y se realiza cambio. El eje presenta desgaste, se realiza plano para montaje de RQ.</t>
  </si>
  <si>
    <t>2 Rodamientos 6003</t>
  </si>
  <si>
    <t>Cambio de castañas para trabajo de papel.</t>
  </si>
  <si>
    <t>Se modifican posiciones de castañas para trabajar papel por petición de producción.</t>
  </si>
  <si>
    <t>Cambio de teflon</t>
  </si>
  <si>
    <t>Cambio de castañas y de pisadores.</t>
  </si>
  <si>
    <t>Calibración y organización de castañas.</t>
  </si>
  <si>
    <t>Se pincha la manguera del rebobinador superior.</t>
  </si>
  <si>
    <t>Manguera dañada se cambia a una nueva, se coloca recubrimiento de manguera.</t>
  </si>
  <si>
    <t>Manguera expansiva.</t>
  </si>
  <si>
    <t>M. MARTINEZ</t>
  </si>
  <si>
    <t>La prensa no cierra.</t>
  </si>
  <si>
    <t>La prensa se encuentra desalineada, se desmonta seguros y mordazas, se alinea y se da ajuste a pensa.</t>
  </si>
  <si>
    <t>Rodamiento caido.</t>
  </si>
  <si>
    <t>Se cambia rodamiento y buje en el soporte de bobinador ya que se encuentra dañado.</t>
  </si>
  <si>
    <t>1 Rodamiento 3202</t>
  </si>
  <si>
    <t>Falla en la fotocelda, no toma lectura.</t>
  </si>
  <si>
    <t>Se ajusta posición de fotocelda y se realizan pruebas en funcionamiento.</t>
  </si>
  <si>
    <t>D. ARIETA</t>
  </si>
  <si>
    <t>Falla bomba neumatica</t>
  </si>
  <si>
    <t>Se realiza inspección de bomba neumatica ya que no genera succión ni subida de tinta, se realiza desmonte y los acoples se encuentran obstruidos por material, se ensambla y se prueba.</t>
  </si>
  <si>
    <t>Revisar rotación presentando falla</t>
  </si>
  <si>
    <t>Se encuentra falla en rotación, se realiza inspección y se encuentra que la rotación se frena, se evidencia un rodamiento frenado en la rotación y se cambia.</t>
  </si>
  <si>
    <t>1 Rodamiento MCFR 52AS</t>
  </si>
  <si>
    <t>Revisar barra se le sale el aire.</t>
  </si>
  <si>
    <t>Se encuentra fuga por valvula, se realiza limpieza a esta, se monto nuevamente y se realizan pruebas.</t>
  </si>
  <si>
    <t>El material no avanza.</t>
  </si>
  <si>
    <t>DANIELA</t>
  </si>
  <si>
    <t>Brazo de desembobinador.</t>
  </si>
  <si>
    <t>Base brazo desembobinador inferior partido, se fabriica soporte y se traslada el superior al inferior, se ajustan tornillos de base brazo posterior que tambien se desajustaron.</t>
  </si>
  <si>
    <t>Problemas para cerrar las paletas, no funcionaba para poder cerrar y abrir.</t>
  </si>
  <si>
    <t>Se realiza inspección de sistema de paletas inferiores, los cuales no abren ni cierran, se realizan pruebas, se evidencia cable de alimentación abierto, se realiza intercambio, se ajusta posición de las paletas y se realizan pruebas de funcionamiento.</t>
  </si>
  <si>
    <t>El motor de la paleta lado derecho esta que se cae, tiene las bases paridas.</t>
  </si>
  <si>
    <t>Tubo de la antiestatica se salio en el material al cambio de bobina del embobinador, ese tubo estaba en condiciones malas, no estaba funcionando, la estatica lleva tiempo sin funcionar.</t>
  </si>
  <si>
    <t>Se apoya a retirar de la antiestatica atascada en la pelicula de bobinador A, se desconecta y se dejo en el taller. Se monta RQ para la reparación.</t>
  </si>
  <si>
    <t>Falla en la temperatura del barril, no estabiliza.</t>
  </si>
  <si>
    <t>Se observa contactor pegado, se hace cambio, se revisa resistencia, se hace seguimiento.</t>
  </si>
  <si>
    <t>1 Contactor 32 A</t>
  </si>
  <si>
    <t>Máquina se para y se apaga el tablero.</t>
  </si>
  <si>
    <t>Se ajusta conexión servoFriF, Se enciende y entrega trabajando.</t>
  </si>
  <si>
    <t>Prensa del embobinador se esta frenando</t>
  </si>
  <si>
    <t>L. ANTONIO</t>
  </si>
  <si>
    <t>Se para rotación continuamente.</t>
  </si>
  <si>
    <t>Control de mando (botones), esta para cambio.</t>
  </si>
  <si>
    <t>Se observa botonera no optura se destapa se encuentran componentes rotos, se solicita cambio total pendiente</t>
  </si>
  <si>
    <t>El pisador del embobinador.</t>
  </si>
  <si>
    <t>Se observa tornillos rotos del pisador, se perforan y se extraen para el cambio, se repasa rosca.</t>
  </si>
  <si>
    <t>2 Tornillos M8 X 30 mm</t>
  </si>
  <si>
    <t>Revisar temperatura de la rotación.</t>
  </si>
  <si>
    <t>Se verifica conexión de termocuplas elevadas, se verifica que no este desconectada.</t>
  </si>
  <si>
    <t>Termocupla y temperatura.</t>
  </si>
  <si>
    <t>Se verifican los 220V de salida en la termocupla inferior de 14A en el controlador marca 29°C y en la termocupla no se refleja ese valor.</t>
  </si>
  <si>
    <t>1 TERMOCUPLA</t>
  </si>
  <si>
    <t>Correas sueltas.</t>
  </si>
  <si>
    <t>Rodillo con poca tensión se coloca arandela, guaza para ajustar.</t>
  </si>
  <si>
    <t>1 ARANDELA, 1 GUAZA, 1 TORNILLO M6 X 40</t>
  </si>
  <si>
    <t>OTRO</t>
  </si>
  <si>
    <t>Daño en base del motoro secadora, Daño en caja del motor ajitador.</t>
  </si>
  <si>
    <t>Se rectifican roscas e instalan tornillos nuevos, se entrga el equipo bien.</t>
  </si>
  <si>
    <t>Falla en el suministro de aire despues de haberse ido la energia eléctrica.</t>
  </si>
  <si>
    <t>Se encuentraa aire de flauta inferior directa, se realiza inspección de parametros y ajuste de conexiones.</t>
  </si>
  <si>
    <t>Daño en el tornillo de rodillo del transportador.</t>
  </si>
  <si>
    <t>Se ajusta tornillo con arandelas y se coloca tornillo de respaldo para que se mantenga.</t>
  </si>
  <si>
    <t>TORNILLOS Y ARANDELAS</t>
  </si>
  <si>
    <t>Tornillo partido</t>
  </si>
  <si>
    <t>Manila con tornillo roto de desembobinador, se aplica soldadura quedando OK.</t>
  </si>
  <si>
    <t>1 Soldadura.</t>
  </si>
  <si>
    <t>Falla en las zona 1 del molde.</t>
  </si>
  <si>
    <t>Rele de estado solido averiado, se realiza cambio por uno nuevo.</t>
  </si>
  <si>
    <t>1 Rele de estado solido</t>
  </si>
  <si>
    <t>O. ARRIETA</t>
  </si>
  <si>
    <t>Rodamiento de el embobinador.</t>
  </si>
  <si>
    <t>Se cambia rodamiento que se daño la jaula se saca y se devuelve a colocar ajustando tornillos.</t>
  </si>
  <si>
    <t>Se reporta a mantenimiento correa porfuera del rodillo</t>
  </si>
  <si>
    <t>Se tensiona correa, se ajusta polea.</t>
  </si>
  <si>
    <t>Fallo en la pinza de lectura, se cae.</t>
  </si>
  <si>
    <t>Pinza con soporte malobrado y conector roto, se rectifican roscas soporte y se construyen pines de acople quedando funcional.</t>
  </si>
  <si>
    <t>2 Tornillos M5 X 20mm</t>
  </si>
  <si>
    <t>Revisar zona porta mallas exterior, no se para máquina.</t>
  </si>
  <si>
    <t>Termocupla no corresponde o es adecuada para la máquina, se realiza cambio por tipo J.</t>
  </si>
  <si>
    <t>Cambio de rodillos y castañas.</t>
  </si>
  <si>
    <t>Se entorcha la manguera del rebobinador superior.</t>
  </si>
  <si>
    <t>Manguera enrollada se desmontan castañas y se realiza cambio de felpa corrigiendo error.</t>
  </si>
  <si>
    <t>La cuchilla no sube.</t>
  </si>
  <si>
    <t>Correas mordaza motor destensionados, se realiza calibración.</t>
  </si>
  <si>
    <t>O. CESPEDES</t>
  </si>
  <si>
    <t>Daño de máquina por motor, se esta recalentando.</t>
  </si>
  <si>
    <t>Se desmonta motor por recalentamiento, se hace cambio de rodamientos, se fabrica jaula y estator, se ajusta y se instala nuevamente.</t>
  </si>
  <si>
    <t>1 RODAMIENTO 6205  // 1 RODAMIENTO 6206 2Z.</t>
  </si>
  <si>
    <t>Daño en termocupla.</t>
  </si>
  <si>
    <t>Se extrae termocupla partida en la cuchilla.</t>
  </si>
  <si>
    <t>1 Termocupla</t>
  </si>
  <si>
    <t>Se pincha maquina y se pasa la pelicula para un solo lado, el auxiliar apaga los bobinadores y los vuelve a prender, generando que la pelicula se llevara el faisi para dentro y torcerlo.</t>
  </si>
  <si>
    <t>Se encuentra pinza fife en malas condiciones, se realiza ajuste electronicamente de tarjeta, cableado y sistema fife.</t>
  </si>
  <si>
    <t>Cambio de posición de las castañas.</t>
  </si>
  <si>
    <t>Se realiza ajuste de castañas para reproceso, por peticion de producción.</t>
  </si>
  <si>
    <t>Se pincha la manguera del rebobinador inferior.</t>
  </si>
  <si>
    <t>Se encuentra 2 mangueras fisuradas, se realiza el cambio, se cambia el recubrimiento, haciendo falta separadores de teflon en los dos embobinadores.</t>
  </si>
  <si>
    <t>Mnaguera expansiva.</t>
  </si>
  <si>
    <t>Felpa aislante.</t>
  </si>
  <si>
    <t>Rodamiento dañado.</t>
  </si>
  <si>
    <t>Se realiza cambio de rodamiento de eje deembobinador y se instala pin expandible.</t>
  </si>
  <si>
    <t>1 rodamiento NA6904-XL. 1 pin expamsivo 6mm X 50 mm.</t>
  </si>
  <si>
    <t>Bomba de tinta no arranca.</t>
  </si>
  <si>
    <t>Se encuentra bomba de tinta con manguera obstruida por material, se requiere un filtro para desconectar y evitar que se tape las mangueras.</t>
  </si>
  <si>
    <t>Fallo en pantalla.</t>
  </si>
  <si>
    <t>Se encuentra falla de ventiladores en torre de la pantalla, se desenebra la maquina, se revisan blowers de las flautas los cuales se observan en buen estado.</t>
  </si>
  <si>
    <t>Se daña la puerta de la guarda.</t>
  </si>
  <si>
    <t>Se parte bisagra de puerta de acceso a fotocelda y máquina se desabilita, se puentean sensores de presencia para poder trabajar, se deben cambiar las bisagras.</t>
  </si>
  <si>
    <t>Se daña el eje mecánico.</t>
  </si>
  <si>
    <t>Se ajusta piñon de eje y se solda para dar ajuste.</t>
  </si>
  <si>
    <t>D. MIRANDA</t>
  </si>
  <si>
    <t>Cable suelto en el barril, afectando la temperatura.</t>
  </si>
  <si>
    <t>Terminal del circuito barril esta abierta, se realiza cambio y conexión quedando funcional.</t>
  </si>
  <si>
    <t>1 terminal tipo ojo #8.</t>
  </si>
  <si>
    <t>Se apaga el tablero de la maquina y se apaga.</t>
  </si>
  <si>
    <t>Conector abierto o suelto en la pantalla, se realiza ajuste quedando funcional.</t>
  </si>
  <si>
    <t>El flay no estaba leyendo.</t>
  </si>
  <si>
    <t>Parilla del paso del aceite pedido tuerca, se repone tuerca y se realiza calibración.</t>
  </si>
  <si>
    <t>1 tuerca M6.</t>
  </si>
  <si>
    <t>Daño en varilla soporte precorte, la maquina se bloquea y se apaga sola.</t>
  </si>
  <si>
    <t>Se solda un tornillo con tuerca para dar ajuste, se hace seguimiento, falla el servo de control, se evidencia que presenta dañado el cable de datos.</t>
  </si>
  <si>
    <t>Tornillo M8 con tuerca</t>
  </si>
  <si>
    <t>La maquina se apaga el tablero y se para intermitente.</t>
  </si>
  <si>
    <t>Se encuentra fallando pantalla de control, se apaga y se reinicia, se realiza ajuste de conectores y limpieza, se tiene en seguimiento durante el turno.</t>
  </si>
  <si>
    <t>Muletilla de transportador suelta.</t>
  </si>
  <si>
    <t>Se encuentra muletilla de arranque del transportador con base partida, se realiza el cambio y se da ajuste.</t>
  </si>
  <si>
    <t>1 Base de muletilla.</t>
  </si>
  <si>
    <t>J. GOMEZ</t>
  </si>
  <si>
    <t>Tornillo y llave de ajuste de la mordaza en mal estado.</t>
  </si>
  <si>
    <t>Se realiza cambio del tornillo de ajuste ya que perdio el cuadrante y se fabrica una llave T.</t>
  </si>
  <si>
    <t>1 llave bristol 3/8</t>
  </si>
  <si>
    <t>Brazo de alimentacion no sube.</t>
  </si>
  <si>
    <t>Se encuentran tornillos de ajuste de soporte del actuador de alimentación partidos, se extraen y se realiza el cambio.</t>
  </si>
  <si>
    <t>2 Tornillos M4 X 20 mm avellanados.</t>
  </si>
  <si>
    <t>Daño en el soporte del precorte.</t>
  </si>
  <si>
    <t>Se parte el espigo de actuador del sistema de precorte, se realiza cambio de actuador.</t>
  </si>
  <si>
    <t>1 actuador DSBC-32-25-PPVA-N3</t>
  </si>
  <si>
    <t>La corona se cae</t>
  </si>
  <si>
    <t>Falla en contactor en zona de rotación.</t>
  </si>
  <si>
    <t>Controlador averiado, se realiza cambio por uno nuevo quedando OK.</t>
  </si>
  <si>
    <t>1 Controlador de temperatura, 58006-85-240VAC.</t>
  </si>
  <si>
    <t>Se cae base de los perforadores.</t>
  </si>
  <si>
    <t>Se encuentra partido espigo de actuador, se realiza cambio de actuador y se instala tuerca de seguridad ya que la convencional se suelta con el movimiento, se instala varilla de sugeción de perforación faltante con tornillo.</t>
  </si>
  <si>
    <t>1 Tornillo M8, 1 Tuerca M8</t>
  </si>
  <si>
    <t>Maquina se apaga sola</t>
  </si>
  <si>
    <t>Se realizo ajuste de conexiones eléctricas, conectores y se aplica aire forzado.
11:30-11:45
12:40-13:05
16:50-17:00
La falla continua ocasionalmente falla, en algunas ocasiones la operaria reseteo y arranco nuevamente</t>
  </si>
  <si>
    <t>Tornillos de ajuste de actuador sueltos</t>
  </si>
  <si>
    <t>Se da ajuste a tornillos de ajuste de actuador.</t>
  </si>
  <si>
    <t>Para la máquina por falla en velocidad.</t>
  </si>
  <si>
    <t>Se evidencia cableado de rotación en vias equivocadas, posiblemente por la limpieza programada, se reubican en sitio adecuado y se entrega OK.</t>
  </si>
  <si>
    <t>S. PATIÑO</t>
  </si>
  <si>
    <t>Tratador corona se apaga y al reiniciarlo no enciende</t>
  </si>
  <si>
    <t>Revisar tratador COEX 4</t>
  </si>
  <si>
    <t>Se realizo inspección de alimentación 220 V a tratador, se realizan pruebas en vacio, quedo pendiente en operación ya que el operario en turno manifesto que se apaga</t>
  </si>
  <si>
    <t>Cortar cuchillas para cuadrar tratador.</t>
  </si>
  <si>
    <t>Se realiza reubicación de las cuchillas del tratador para cuadrar la referencia del material.</t>
  </si>
  <si>
    <t>Cambio de posición de las castañas en rebobinador inferior.</t>
  </si>
  <si>
    <t>Se realiza cambio de posición de castañas por petición de producción.</t>
  </si>
  <si>
    <t>Daño en soporte de los perforadores y varilla.</t>
  </si>
  <si>
    <t>Se desmonta soporte de actuadores de los perforadores, se solda  ya que se encuentran partidos y se instala varilla que tensa el tornillo de sujeción  partido.</t>
  </si>
  <si>
    <t>Piñon de perforadores suelto.</t>
  </si>
  <si>
    <t>Se encuentra buje de sujeción de piñon de perforadores sin prisioneros.</t>
  </si>
  <si>
    <t>Cambio de posición de castañas y cambio de pisador.</t>
  </si>
  <si>
    <t>Se realiza cambio de rodillo o pisador y posición de castañas.</t>
  </si>
  <si>
    <t>Se safa piñon de eje neumatico bobinador.</t>
  </si>
  <si>
    <t>Se aplica soldadura a piñon eje bobinador.</t>
  </si>
  <si>
    <t>Soldadura 308 de 1/8"</t>
  </si>
  <si>
    <t>Eje neumatico con escape.</t>
  </si>
  <si>
    <t>Se reemplaza la manguera con escape y queda operativa.</t>
  </si>
  <si>
    <t>Manguera de 16mm</t>
  </si>
  <si>
    <t>El tratado estaba trabajando bien de un momento a otro hace corto y se apago.</t>
  </si>
  <si>
    <t>Se revisa tratador el cual presenta corto, se decide instalar el que esta en el taller, se entrega instalada y probado en vacio.</t>
  </si>
  <si>
    <t>Se paró la máquina por rodamiento bobinador.</t>
  </si>
  <si>
    <t>Base porta seguidor de leva sufre desgaste. Perdiendo ajuste en el seguidor de leva, se fabrica arandela gruesa para evitar que se salga.</t>
  </si>
  <si>
    <t>Se paró la máquina por daño en el sistema electrico de bobinador.</t>
  </si>
  <si>
    <t>Se inspecciona fusibles en general sin anomalias, se desmontan tarjetas de variador para inspección encontrando relevador averiado, se realiza cambio.</t>
  </si>
  <si>
    <t>1 relevador 24vdc</t>
  </si>
  <si>
    <t>Daño en soporte del motor del molino.</t>
  </si>
  <si>
    <t>Se revisa el motor, se suelta completo, se aplica soldadura, se ajusta y se realizan pruebas.</t>
  </si>
  <si>
    <t>Equipo de soldadura</t>
  </si>
  <si>
    <t>La máquina no trabaja porque hay que bajarle golpes.</t>
  </si>
  <si>
    <t>Se cambia parametros del variador de transportador para disminuir golpes de manera remota, se deja operativa.</t>
  </si>
  <si>
    <t>Eje del embobinador se sale el aire</t>
  </si>
  <si>
    <t>Se encuentran 2 mangueras fisuradas, se reparan y se entrega operativa.</t>
  </si>
  <si>
    <t>Parada de máquina por fuga de aire eje neumático bobinador.</t>
  </si>
  <si>
    <t>Manguera presenta fuga y muy corta, se realiza cambio por nueva queda operacional.</t>
  </si>
  <si>
    <t>1,5 m de manguera m8</t>
  </si>
  <si>
    <t>Pistola de aire del bobinador A se daño</t>
  </si>
  <si>
    <t>Falla en el tratador</t>
  </si>
  <si>
    <t>Se revisa tratador y se limpia, se retiran impuresas del material y queda operativa.</t>
  </si>
  <si>
    <t>Presenta una falla en la rotación.</t>
  </si>
  <si>
    <t>se revisa rotación y se corrije el daño aislando un cable.</t>
  </si>
  <si>
    <t>1 metro cable encauchetado</t>
  </si>
  <si>
    <t>Falla en el molino, no prende y esta oliendo a quemado.</t>
  </si>
  <si>
    <t>Se interviene tablero de control del tablero del molino, se evidencia el transformador quemado, se sustituye por otro provicionalmente.</t>
  </si>
  <si>
    <t xml:space="preserve"> 1 Transformador 220v- 24v</t>
  </si>
  <si>
    <t>Se entorcha la manguera con la felpa de rebobinador superior.</t>
  </si>
  <si>
    <t>Se desmontan las castañas, se desentorcha manguera y se cuadra felpa, se monta y se ajustan.</t>
  </si>
  <si>
    <t>Para cambio cuenta metro coex2</t>
  </si>
  <si>
    <t>Se realiza cambio de contador ya que no funciona, se realiza cambio en cambio de referencia queda operativo.</t>
  </si>
  <si>
    <t>1 Contador CTEM-1P</t>
  </si>
  <si>
    <t>Temperatura molesta por termocupla que no esta haciendo buen contacto.</t>
  </si>
  <si>
    <t>Se encuentra variando temperatura del setpoint, se encuentra conector con fallo, se ajusta conector y se realizan pruebas de funcionamiento.</t>
  </si>
  <si>
    <t>Fotocelda se le pide apoyo a mantenimiento por falla.</t>
  </si>
  <si>
    <t>Se revisa la fotocelda y se encuentra OK, se evidencia la prensa sin resorte, se repone y se realiza calibración, se realiza calibración prensa transportadora corrigiendo falla.</t>
  </si>
  <si>
    <t>Se quemo la manga de la coex3.</t>
  </si>
  <si>
    <t>Manguera inferior del tratador quemada, se realiza reparación con silicona roja temporalmente, queda operativa.</t>
  </si>
  <si>
    <t>Calibrar las celdas de carga.</t>
  </si>
  <si>
    <t>Se realiza calibración de celdas de carga en embobinadores.</t>
  </si>
  <si>
    <t>Paleta del lado derecho no funciona para abrir y cerrar.</t>
  </si>
  <si>
    <t>Circuito de motor posterior al tablero con conductor abierto, se realiza cambio.</t>
  </si>
  <si>
    <t>Se entorcha la felpa con la manguera en el rebobinador superior.</t>
  </si>
  <si>
    <t>Mangeras entorchadas, se desmontan castañas, se fabrican felpa para realizar cambio.</t>
  </si>
  <si>
    <t>Falla en la estática.</t>
  </si>
  <si>
    <t>Organizar circuito falla en tratador.</t>
  </si>
  <si>
    <t>Se daña el rodamiento de la varilla de embobinar rollos</t>
  </si>
  <si>
    <t>Se evidencia rodamiento mal estado, se hace cambio, se da ajuste y se entrga al operario</t>
  </si>
  <si>
    <t>1x Rodamiento 600622</t>
  </si>
  <si>
    <t>Correas sueltas</t>
  </si>
  <si>
    <t>Cambiar arandelas y ajustar tornillos</t>
  </si>
  <si>
    <t>Se entorcha con la felpa del rebobinador superior</t>
  </si>
  <si>
    <t>Se realiza desmonte de castañas de bobinador superior y se acomodan mangueras neúmaticas del eje, se arma nuevamente, no se genera parada, se interviene en tiempo de refrigerio del operario</t>
  </si>
  <si>
    <t>Coex #3 hace corto en las mangas</t>
  </si>
  <si>
    <t>Se encuentran mangas quemadas por exposición al arco sin pelicula, se retira material y se realiza limpieza, se requiere montar RQ para cambio de mangas ya que estan quemadas</t>
  </si>
  <si>
    <t>Rodillo de transportador sin tornillo</t>
  </si>
  <si>
    <t>Se realiza instalación de tornillo M6 x 20mm de sujeción de rodillo tensor del transportador</t>
  </si>
  <si>
    <t>1x Tornillo M6 x 20mm</t>
  </si>
  <si>
    <t>E. BOHORQUEZ</t>
  </si>
  <si>
    <t>Falla en el transportador</t>
  </si>
  <si>
    <t>Se encuentra muletillo de accionamiento desacoplado, se dio ajuste y se realizan pruebas de arranque del transportador, se graduo frecuencia de variador de cuchillo para bajar golpes de 30 a 11.7 Hz</t>
  </si>
  <si>
    <t>Se pincha manguera del rebobinador superior</t>
  </si>
  <si>
    <t>Se encuentra mangueros atascados, se acomodan posición de los mangueros y se realizan pruebas quedando operativo</t>
  </si>
  <si>
    <t>M. NIVIA</t>
  </si>
  <si>
    <t>Mordaza de corta cores no ajusto</t>
  </si>
  <si>
    <t>Se encuentra rosca rodada de ajuste de mordaza, se instala tuerca para todnillo 5/16</t>
  </si>
  <si>
    <t>Se encuentra la manguera con la felpa del rebobinador superior</t>
  </si>
  <si>
    <t>Se revisan mangueras, se desentorchan, se ajusta felpa y castañas, se hace prueba de fuga</t>
  </si>
  <si>
    <t>Zonas de los tornillos estan mal elaborados</t>
  </si>
  <si>
    <t>Se revisa motor aire forzado el cual se encuentra desfasado, se realizan pruebas en vacio y no arranca, se deja maquina sin aire forzado ya que no tenemos respuesta</t>
  </si>
  <si>
    <t>H. ZEA</t>
  </si>
  <si>
    <t>Corta cores no ajusto</t>
  </si>
  <si>
    <t>Se encuentra rosca de ajuste de mordaza de ajuste partida, se remplaza tuerca</t>
  </si>
  <si>
    <t>Se alarma porque brazo no sube</t>
  </si>
  <si>
    <t>Mecánica / Neumática</t>
  </si>
  <si>
    <t>Brazo de descarga no sube, se cambia racor m6 x 1/4 y se lubrica soporte, se genero parada de máquina</t>
  </si>
  <si>
    <t>Daño en transportador</t>
  </si>
  <si>
    <t>Tornillo rodillo trasportador partido, se retira tornillo averiado y se remplaza quedando operacional</t>
  </si>
  <si>
    <t>Corto en tablero de tornillo de alimentación</t>
  </si>
  <si>
    <t>Se encuentra cable de control de conexión de muletilla en mal estado, se realiza cambio de cable muletilla y se realizan pruebas quedando operancional</t>
  </si>
  <si>
    <t>Problema con temperatura de la cuchilla se baja</t>
  </si>
  <si>
    <t>Protección de circuito de resistencia activada,se inspecciona circuito, no se encuentra anomalia</t>
  </si>
  <si>
    <t>El brazo del balancin se cayo</t>
  </si>
  <si>
    <t>Se conecta manguera en piston neumático y se ajusta con tornillos 6mm que faltaba</t>
  </si>
  <si>
    <t>Tornillo 6mm</t>
  </si>
  <si>
    <t>B. RODRIGUEZ</t>
  </si>
  <si>
    <t>No ajustaba manzana de la cortadora de cores</t>
  </si>
  <si>
    <t>Se cambia tornillo de ajuste, se cambia tuerca, se aplica soldadura, se solda estria de fijación</t>
  </si>
  <si>
    <t>Levantamiento en uña (falla)</t>
  </si>
  <si>
    <t>Se reubico posición de uña de flautas inferiores</t>
  </si>
  <si>
    <t>Se rompe base de los perforadores</t>
  </si>
  <si>
    <t>Se encuentra soporte de perforadores partido, se soldó soporte, se reinstalo y quedo en operación</t>
  </si>
  <si>
    <t>Daño de carretes en operación</t>
  </si>
  <si>
    <t>Material se atasco en los carretes y en el momento de extraerlo se rompen 6 carretes. Se realizo desmonte de sistema carretes, se reubican posición de carretes y se cambia rodamiento 6002, se instalo y quedo operativo</t>
  </si>
  <si>
    <t>Falla perforadores</t>
  </si>
  <si>
    <t>Se instaló tornillo m10 x 35mm de ajuste de actuador de perforadores ya que se parte, quedó en operación</t>
  </si>
  <si>
    <t>Tornillo m10 x 35mm</t>
  </si>
  <si>
    <t>Falla en cilindro de perforadores</t>
  </si>
  <si>
    <t>Se le einstala tuerca para dar ajuste en presiona piston de perforadores</t>
  </si>
  <si>
    <t>Botón del transportador se solto</t>
  </si>
  <si>
    <t>Se encuentra muletilla de arranque de transportador desacoplada, se realiza ajuste y se entrega operativo</t>
  </si>
  <si>
    <t>Flautas se doblaron</t>
  </si>
  <si>
    <t>Se enderezan uñas de las flautas</t>
  </si>
  <si>
    <t xml:space="preserve">Diferencial no responde </t>
  </si>
  <si>
    <t>Se realizo inspección a circuito eléctrico de control de accionamiento, se encuentran en buen estado los componentes, se encuentra cable del control abierto ( de control a circuito diferencial) se remplazo cable y quedo operacional</t>
  </si>
  <si>
    <t>REPETITIVA</t>
  </si>
  <si>
    <t>Quitar torta en coex #4</t>
  </si>
  <si>
    <t>Se retiro exceso de torta rotación coex 4, se conecta cable portamallas suelto, quedo listo para arrancar</t>
  </si>
  <si>
    <t>Daño en diferencial</t>
  </si>
  <si>
    <t>Se recibe turno con la novedad, se realiza inspección de cableado de control de funcionamiento, se adecuan cableados de comunicación entre los dis diferenciales, ya que se encuentra uno abierto y uno intercambiado y ademas contacto NC de final de carrea up de polipasto abierto, se realizan pruebas, se armo nuevamente, se cambio control y cable mando, quedo en operacio</t>
  </si>
  <si>
    <t>Fuga de agua manguera de la transmision, tornillo ¨B¨ y corto del succionador de refile</t>
  </si>
  <si>
    <t>Se realiza empalme en cableado succionador del refile, presento corto, se ajusto manguera en caja tornillo ¨B¨</t>
  </si>
  <si>
    <t>O. ALVARES</t>
  </si>
  <si>
    <t>Corto en el bloyer</t>
  </si>
  <si>
    <t>Aislamiento de corto y reparación</t>
  </si>
  <si>
    <t>Cinta aislante</t>
  </si>
  <si>
    <t>J. SILVA</t>
  </si>
  <si>
    <t>Recalentamiento en tornillos, se suben 60 grados aprox</t>
  </si>
  <si>
    <t>Tornillos dañados de la tolva interior</t>
  </si>
  <si>
    <t>Se revisa roscas se rectifica y se cambia tornillares, se da ajuste</t>
  </si>
  <si>
    <t>Tornillos m6 x 50 mm</t>
  </si>
  <si>
    <t>Son de la voquilla del molde coex 3 no esta calentando</t>
  </si>
  <si>
    <t>Reconexión de resistencia ya que estaba haciendo mal contacto</t>
  </si>
  <si>
    <t>Son del molde coex 3 se recalento y no baja la temperatura</t>
  </si>
  <si>
    <t>Cambió de rele estado solido</t>
  </si>
  <si>
    <t>Relé estado solido XSSR - DA2440W1</t>
  </si>
  <si>
    <t>Los adaptadores del porta elisé se salen dejando rodamiento en el aire provocando falla en la compresión</t>
  </si>
  <si>
    <t>Aplicar trabarosca para que no se corra de sitio</t>
  </si>
  <si>
    <t>Trabarosca</t>
  </si>
  <si>
    <t>Se daño rodamiento bobinador exactamente el rodamiento donde se va el eje neumatico</t>
  </si>
  <si>
    <t>Cambios reemplazar rodamiento</t>
  </si>
  <si>
    <t>Rodamiento</t>
  </si>
  <si>
    <t>Problemas con la diferencial</t>
  </si>
  <si>
    <t>Se revisa la diferencial de diagnostico, es atascamiento por daño en el resorte de presion lado izquierdo, se debe bajar todo el diferencial/ para su cambio</t>
  </si>
  <si>
    <t>J. SILVA Y D. BAUITISTA</t>
  </si>
  <si>
    <t>Se apago el chiller y la maquina coex 5 se empezo a calentar y a descalibrar</t>
  </si>
  <si>
    <t>Se revisa chiller, se identifica alarma, se hace procedimiento para reset pero no se resetea por multiples resets</t>
  </si>
  <si>
    <t>Rodillo del transportador dañado</t>
  </si>
  <si>
    <t>Se interviene maquina 6:30, se realizo desmonte y cambio de rodamiento 6001, se realiza montaje quedo en operación</t>
  </si>
  <si>
    <t>Rodillo antes del halador dañado</t>
  </si>
  <si>
    <t>Rodillo dañado, se interviene, ajusta posición de rodamientos y se instalo pin segger 8mm, quedo en operación</t>
  </si>
  <si>
    <t>B. GAITAN</t>
  </si>
  <si>
    <t>Fuga de liquido de frenos, rueda de tracción izquierda de equipo inactivo montacarga, IAC planta 2</t>
  </si>
  <si>
    <t>Se recibe al proveedor para revisar los frenos, queda operativa</t>
  </si>
  <si>
    <t>Desprendimiento parrilla protectora carro portahorquillas, se evidencia que esta partida, montacarga electrica planta 1</t>
  </si>
  <si>
    <t>Correa halador partida</t>
  </si>
  <si>
    <t>R. ALVARES</t>
  </si>
  <si>
    <t>Correas de molino de refile dañadas</t>
  </si>
  <si>
    <t>Se realizo cambio de correas B38(x3), se realizan pruebas en vacio y quedo listo para arranque</t>
  </si>
  <si>
    <t>Correas B38</t>
  </si>
  <si>
    <t>L. GALVIS</t>
  </si>
  <si>
    <t>No enciende el variador del halador</t>
  </si>
  <si>
    <t>Se realizo ajuste de conexiones electricas, se realizo reset y quedo en operación</t>
  </si>
  <si>
    <t>Termocupla dañada</t>
  </si>
  <si>
    <t>Electrica</t>
  </si>
  <si>
    <t>Se realizo cambio de termocupla tipo j de mordaza superior, quedo en operación</t>
  </si>
  <si>
    <t>Falla bascula</t>
  </si>
  <si>
    <t>Termocupla partida y rodillo pegando a las correas</t>
  </si>
  <si>
    <t>Ajustar altura del rodillo, cambio de termocupla, se hace nuevamente roscado, ajustE y pruebas</t>
  </si>
  <si>
    <t>Termocupla y tornillos 5mmx 20mm</t>
  </si>
  <si>
    <t>Son 2 portamallas interior no sube temperatura</t>
  </si>
  <si>
    <t>Se cambia control temperatura, termocupla, relé estado solido, se toman consumos, esta sobre parametros de trabajo, se hace seguimiento. Se revisa circuito de control y de potencia, se ajustan conexiones, se parametriza controlador para operar con SSR y poder cerrar el circuito con el rele estado solido</t>
  </si>
  <si>
    <t>Pinza amperimetrica, destornilladores</t>
  </si>
  <si>
    <t>Se reporta cambio de empaque y mantenimiento general de chumaseras, mezclador externo y revisar ruido fuerte al encender mezclador</t>
  </si>
  <si>
    <t>Se realizo cambio de chumacera UCF 208-S7 , inferior , se fabrico empaque en papel humedo y se instalo, se tensionan correas de transmisión y se lubrica chumacera superio, se realizan pruebas</t>
  </si>
  <si>
    <t>Racor dañado de un perforador</t>
  </si>
  <si>
    <t>Racor M6 averiado, se realiza cambio por nuevo quedando OK, se atiende despues de la hora en TPM por intervención</t>
  </si>
  <si>
    <t>Racor M6 x1</t>
  </si>
  <si>
    <t>Motor no arranca del tornillo con una falla en el variador</t>
  </si>
  <si>
    <t>Variador presenta fallas por corto, se inspecciona circuito encontrando ventilador, ventilación forzada motor tornillo, se desmonta y se colocan aspas que se tenian en stock del motor COEX5 quedando OK</t>
  </si>
  <si>
    <t>Aspas unidad</t>
  </si>
  <si>
    <t>Rodillos y carretes no giran</t>
  </si>
  <si>
    <t>Se ajustan piñones en ejes de carretes, quedan operativos</t>
  </si>
  <si>
    <t>Daño en agitador de tolva alimentación extrusora</t>
  </si>
  <si>
    <t>Se revisa, se encuentra daño en caja reductora de agitador tolva alimentación</t>
  </si>
  <si>
    <t>Falla en termocupla</t>
  </si>
  <si>
    <t>Se realizo cambio de termocupla</t>
  </si>
  <si>
    <t>Termocupla</t>
  </si>
  <si>
    <t>D. BAUTITA</t>
  </si>
  <si>
    <t>Cable de conexión resistencia molde hizo corto</t>
  </si>
  <si>
    <t>Se encuentra cable de conexción de resistencia de molde desconectado y sin terminal, se instalo terminal de ojo y se coloco en operación</t>
  </si>
  <si>
    <t>Seguro del eje rebobinador se le partieron los tornillos</t>
  </si>
  <si>
    <t>Se remplaza tornillo, se debe hacer roca ya que quedo una mitad adentro</t>
  </si>
  <si>
    <t>Tornillo M10</t>
  </si>
  <si>
    <t>Tornillo m10</t>
  </si>
  <si>
    <t>Servo no aprieta</t>
  </si>
  <si>
    <t>Se instalo tornillo avellanado M10 x 20 mm, de resorte de ajuste de mordaza de servo, quedo en operación</t>
  </si>
  <si>
    <t>Tornillo M10 x 20mm</t>
  </si>
  <si>
    <t>Maquina se apaga constantemente</t>
  </si>
  <si>
    <t>Se realiza reset a la maquina y se hace ajuste a conectores de pantalla</t>
  </si>
  <si>
    <t>Quedo inactiva la impresora, no funciona para arrancar e imprimir</t>
  </si>
  <si>
    <t>Se verifica la falla encontrando dos conectores de potencia y 2 pulsadores de control averiados</t>
  </si>
  <si>
    <t>2 Pulsadores y 2 contactores 2A</t>
  </si>
  <si>
    <t>Se solicitan tornillos para molde, Tornillo de molde no suelta ya que no se cuenta con llave</t>
  </si>
  <si>
    <t>Se entregan 5 tornillos M14 con fabricación de lo pinta para ajuste en molde. Se encuentra tornillo de molde con cuadrante rodado, tornillo 9/16 x 2´´, se solda cuadrante a tornillo ya que no contamos con stock de esta referencia, se requiere rectifica las roscas de este molde</t>
  </si>
  <si>
    <t>Brazo de alimentación no retorna</t>
  </si>
  <si>
    <t>Se realizo ajuste y lubricación de guia de brazo de alimentaciónya que no esta retornando, no generó para y quedó en operación</t>
  </si>
  <si>
    <t>Temperatura molde baja</t>
  </si>
  <si>
    <t>Se realiza cambió de relé estado solido ya que se encuentra dañado, abierto, se realizan pruebas y quedo en operación</t>
  </si>
  <si>
    <t>Revisar rodillo banana, que presenta bote y arruga material</t>
  </si>
  <si>
    <t>Se reporta a mantenimiento por recalentamiento de amterial mezclador externo</t>
  </si>
  <si>
    <t>Falla en el corte de la pelicual</t>
  </si>
  <si>
    <t>Bse de perforadores desoldada y  tornilleria en mal estado</t>
  </si>
  <si>
    <t>Se aplica soldadura, se refuerza con platinas, se extraen tornillos rotos y se cambia los que estan en mal estado</t>
  </si>
  <si>
    <t>Tornillos 8mm x 30 mm</t>
  </si>
  <si>
    <t xml:space="preserve">Soldadura </t>
  </si>
  <si>
    <t>No enciende el tratador</t>
  </si>
  <si>
    <t>Se intercambia tratador coex 4 a coex 2, ya que no deja subir potencia, se reviso y no se encuentra la falla, quedo trabajando coex 02, con el tratador de coex 04, se entrega 8:05, se realizo acompañamiento en el arranque hasta 8:30</t>
  </si>
  <si>
    <t>Zona 10 tornillo A baja temperatura</t>
  </si>
  <si>
    <t>Se encuentra zona baja temperatura se inspecciona estado conectores resistencia y rele estado solido ya que breaker esta disparado, se reseteo y se realiza seguimiento</t>
  </si>
  <si>
    <t>Daño en la base de los perforadores</t>
  </si>
  <si>
    <t>Se cambió tornillo M10 x 20mm</t>
  </si>
  <si>
    <t>Tornillo M10 x 20 mm</t>
  </si>
  <si>
    <t>Se solicita sacar filo a la cuchilla e instalar termocupla</t>
  </si>
  <si>
    <t>Se remplaza la termocupla ya que la otra estaba dañada y se afilo la cuhcilla</t>
  </si>
  <si>
    <t>Falla en temperaturas</t>
  </si>
  <si>
    <t>Revisión de relé estado solido operativo, revisión resistencias operativas, revisión cableado, no se encuentra en mal estado. Contactor se evidencia que se pega y no se enclava bien, se despega, queda en seguimiento</t>
  </si>
  <si>
    <t>Acople de bomba electrica roto</t>
  </si>
  <si>
    <t>Se desvara con otro registro de una bomba deshabilitada, queda OK</t>
  </si>
  <si>
    <t>La corona se traba al moverla</t>
  </si>
  <si>
    <t>Se realiza pulido de tubo de soporte de corona para quitar defectos por mala manipulación al momento de ajustar</t>
  </si>
  <si>
    <t>Molino atascado en codo de la tuberia</t>
  </si>
  <si>
    <t>Se revisa molino, se destrava y se deja funcionando</t>
  </si>
  <si>
    <t>NS</t>
  </si>
  <si>
    <t>Se salio rodillo lado bobinador</t>
  </si>
  <si>
    <t>Encajar el rodillo en el soporte y darle ajuste para que no se salga</t>
  </si>
  <si>
    <t>Se desliza rodillo loco seguido al eje neumatico de bobinador</t>
  </si>
  <si>
    <t>Se revisa, se encuentra que este con vaiven por falta de tornillos</t>
  </si>
  <si>
    <t>Tornillos m4</t>
  </si>
  <si>
    <t>El material se enreda en las uñas y daño en la termocupla</t>
  </si>
  <si>
    <t>Mecánica, Eléctrica</t>
  </si>
  <si>
    <t>Cambio de conector termocupla, cambio de termopaso termocupla, Ajuste de flautas caidas se realiza torque a tornillos, se realiza reset variador mordaza</t>
  </si>
  <si>
    <t>Cilindro suelto</t>
  </si>
  <si>
    <t>Cilindro mal armado, tornillos faltantes, se remplaza quedando OK</t>
  </si>
  <si>
    <t>4x Tornillos M6 x 30</t>
  </si>
  <si>
    <t>Correa alimentadora del servo destencionada</t>
  </si>
  <si>
    <t>Se revisa correa del servo, se encuentra destensionada , se corrige quedando operativa</t>
  </si>
  <si>
    <t>REFILADORA 2</t>
  </si>
  <si>
    <t>Daño en el tensor de eje embobinador superior</t>
  </si>
  <si>
    <t>Se hace cambio de discos de corte y se cambia tornillo en eje de embobinado, se debe hacer seguimiento ya que tiende a botar el eje</t>
  </si>
  <si>
    <t>Tornillo M12 x 30mm, Arandela para ajuste por desgaste</t>
  </si>
  <si>
    <t>Se daño guia que engrana con el piñon del eje neumatico del debobinador</t>
  </si>
  <si>
    <t>Se hace cambio de rodamiento por desgaste</t>
  </si>
  <si>
    <t>Rodamiento 6303201</t>
  </si>
  <si>
    <t>Daño en la rosca de cilindro</t>
  </si>
  <si>
    <t>Rectificación de rosca ya que el tornillo no apretaba</t>
  </si>
  <si>
    <t>Tornillo M6</t>
  </si>
  <si>
    <t>Bloqueo en servomotor desajuste cilindro tensor</t>
  </si>
  <si>
    <t>Se reinicia la maquina para reset el servomotor, se ajusta el cilindro, la maquina vuelve a presentar falla y se interviene a las 4:22 y molesta nuevamente 4:55</t>
  </si>
  <si>
    <t>Bomba neumatica no succiona tinta, unidad #3</t>
  </si>
  <si>
    <t>Se revisa el filtro y el balin se limpia, se coloca en su sitio y queda funcionando OK</t>
  </si>
  <si>
    <t>Cambio de piston</t>
  </si>
  <si>
    <t>Se realiza cambio de pisador inferior para trabajar lamina</t>
  </si>
  <si>
    <t>Ajuste de mordaza</t>
  </si>
  <si>
    <t>Se realiza desmonte de pieza, se cambia tornillo M6x 20 mm, se instala helicoidal m10 para el ajuste, cambio tornillo M10x80 mm</t>
  </si>
  <si>
    <t>Tornillo M6 x 20mm y M10 x 8mm</t>
  </si>
  <si>
    <t>Dejo de funcionar la bomba automatica unidad #2</t>
  </si>
  <si>
    <t>Se recibe bomba unidad #2 con falla de arranque, se verifican presiones, se revisan mangueras encontrando la de alimentación entorchada o partida evitando el paso o ingreso de pintura, se organiza manguera quedando operacional</t>
  </si>
  <si>
    <t>Brazo de seguridad del eje neumatico en el bobinador, botó los tornillos</t>
  </si>
  <si>
    <t>Tornillos averiados por bote en espigo del eje embobinador, se realiza cambio quedando OK</t>
  </si>
  <si>
    <t>Tornillo M8 x 50mm</t>
  </si>
  <si>
    <t>Mangueras del ventilador hacia la corona rotas</t>
  </si>
  <si>
    <t>Cambio (remplazo) de mangueras de 2´´</t>
  </si>
  <si>
    <t>Manguera flexible 2´´x 6mts</t>
  </si>
  <si>
    <t>Cambio tornillos bristol de las coronas de los embobinadores</t>
  </si>
  <si>
    <t>Falla en el sistema de refrigeración del eje desbobinador</t>
  </si>
  <si>
    <t>Se revisa conexión eléctrica una fase abierta</t>
  </si>
  <si>
    <t>Falla en zona del codo</t>
  </si>
  <si>
    <t>Se encuentra relé de estado solido directo y por ello la temperatura esta elevada, se realizo el cambio, no genero parada</t>
  </si>
  <si>
    <t>Relé estado solido</t>
  </si>
  <si>
    <t>Mnaga inferior no enciende</t>
  </si>
  <si>
    <t>Se realizó conexión de manga inferior (presenta desgaste, la manga requiere cambio)</t>
  </si>
  <si>
    <t>Control se desconecta (de polipasto)</t>
  </si>
  <si>
    <t>Se encuentra cableado partido del control de funcionamiento del polipasto derecho (desconectado el cableado) se realiza reconexión de cableado o control de funcionamiento, se realizan pruebas y queda operatico</t>
  </si>
  <si>
    <t>Ruido anormal en eje embobinador</t>
  </si>
  <si>
    <t>Se desmonta ese embobinador para inspección encontrando rodamiento en mal estado, se realiza cambió</t>
  </si>
  <si>
    <t>Rodamientos 67092 x2 y 60062 x2</t>
  </si>
  <si>
    <t>Se realizo cambio de cable de potencia de manga (cuchillos) superior ya que se encuentra el otro cable partido, no se genero parada, quedo operativo</t>
  </si>
  <si>
    <t>ANTIESTATICA CON DAÑO</t>
  </si>
  <si>
    <t>Bobinador no funciona</t>
  </si>
  <si>
    <t>Inspección a circuito y partes mecanicas embobinador encontrando piñon de potenciometro balancin averiado, potenciomentro averiado y tarjeta, se rectifican con lima dientes de piñon, cambio de potenciometro y resistencia en tarjeta de control variador quedando operacional</t>
  </si>
  <si>
    <t>1x potenciometro B202, 1x resistencia 10 kiloohm</t>
  </si>
  <si>
    <t>Flautas de la rotaci'on descuadradas, pelicula no alinea</t>
  </si>
  <si>
    <t>Se calibra flauta superior, se desmontan tensores correa de transimisión halador, se coloca suplemento fijado con soldadura para centrar, quedando OK</t>
  </si>
  <si>
    <t>Racor de los perforadores dañado</t>
  </si>
  <si>
    <t>Se rotaba haciendo intervensión en impresora, Racor averiado, se desmontan perforadores para cambio, quedando OK</t>
  </si>
  <si>
    <t>1 Racor de 1/2 para M6</t>
  </si>
  <si>
    <t>Temperatura se baja, afilada de cuchilla</t>
  </si>
  <si>
    <t>Se realiza proceso de afilado de cuchilla y se apoya en el montaje, se revisa temperatura de mordaza superior ya que se encuentra baja, se encuentra breaker disparado por aparente corto, se resetea y se realizan pruebas, se espera que al setpoint y se entrega operativa</t>
  </si>
  <si>
    <t>Uñas enrredan material</t>
  </si>
  <si>
    <t>Se calibra posición de uñas de las flautas, se realizan pruebas y quedo operativo</t>
  </si>
  <si>
    <t>Fabricación de soporte de plato</t>
  </si>
  <si>
    <t>Se fabrica soporte de ajuste de plato a la corona y se realiza la instalación, se entrega al operario</t>
  </si>
  <si>
    <t>Temperatura de la mordaza inferior no sube</t>
  </si>
  <si>
    <t>Se realiza inspección en circuito resistencia inferior mordaza longitudinal encontrando cable abierto, se realiza cambio quedando OK</t>
  </si>
  <si>
    <t>Cable #10 x 30 cm, 2x terminales ojo #10</t>
  </si>
  <si>
    <t>Tornillos bristol para las manzanas de las varillas de embobinador</t>
  </si>
  <si>
    <t>Se instalan 3 prisioneros 3/8 x 1/2 y 5 prisioneros M10 x 20mm para manzanas de los ejes bobinadores</t>
  </si>
  <si>
    <t>1x Prisioneros 3/8 x 1/2, 5x Prisioneros M10 x 20mm</t>
  </si>
  <si>
    <t>Desajuste en el tratador y cables desajustados, Variador de la prensa no prende</t>
  </si>
  <si>
    <t xml:space="preserve">Puerta de tratador sin pasadores, se fabricam y se instalan, se apoya a cuadre, Se encuentra variador de prensa sin tensión, se inspecciona y se corrige fallo, se realiza acompañamiento en el arranque, se entrega para arranque </t>
  </si>
  <si>
    <t>Se salió balancin del desbobinador</t>
  </si>
  <si>
    <t>Se sale el pin de la cadenilla, se le vuelve a instalar y nivelar para que no se tuersa la bolsa</t>
  </si>
  <si>
    <t>Se rompio correa</t>
  </si>
  <si>
    <t>Cambio de correa de mordaza inferior rotativa quedando OK</t>
  </si>
  <si>
    <t>1x Correa mordaza</t>
  </si>
  <si>
    <t>Asegurar base de la cinta de seguridad y hacer guia para esta misma</t>
  </si>
  <si>
    <t>Se realiza base para rodillo de cinta y guia para correr cinta</t>
  </si>
  <si>
    <t>Porta cuchillas de corte de refile en mal estado y cuchilla no corta, por favor revisar por mantenimiento</t>
  </si>
  <si>
    <t>Pendientes por programación para montaje de cuchillas</t>
  </si>
  <si>
    <t>Se recibe maquina parada, tratador prendido- FAJ en posición de trabajo, rotación freanda, enhebrado mal, paletas no funcionaban</t>
  </si>
  <si>
    <t>Se verifica la falla encontrando la rotación frenada, las cunetas torcidas, los sin fin torcidos, se interviene todo y se entrega la maquina</t>
  </si>
  <si>
    <t>L. CASTILLAS</t>
  </si>
  <si>
    <t>Falta de rodillo, Material se enreda en la uñas</t>
  </si>
  <si>
    <t>Se fabrican soportes para el rodillo, eso permiete que la bolsa se tensione</t>
  </si>
  <si>
    <t>Platinas de 1/4 x 18 cm</t>
  </si>
  <si>
    <t>Cilindro para clichet y el piñon del anilox</t>
  </si>
  <si>
    <t>Manzana no sale de la varilla de embobinador</t>
  </si>
  <si>
    <t>Pulir el eje para que asi la manzana gire libremente para su posicionamiento</t>
  </si>
  <si>
    <t>Daño en termocupla</t>
  </si>
  <si>
    <t>Termocupla dañada, pirometro presentando fallas, se modifica parametro y se cambia termocupla</t>
  </si>
  <si>
    <t>Daño en la correa, Daño por tornillos en el rodillo, Fotocelda</t>
  </si>
  <si>
    <t>Se verifica correa esta por fuera de la linea de trabajo, se ajusta, se tensiona, se cambian tornillos por daño en rosca, se fabrica soporte fotocelda 18;10</t>
  </si>
  <si>
    <t>Platinas y tornillos</t>
  </si>
  <si>
    <t>Las flautas se doblaron</t>
  </si>
  <si>
    <t>Mecánica, Electrica</t>
  </si>
  <si>
    <t>Uñas flautas superior averiadas por bolsa enredada, se desmonta para corregir falla y se realiza montaje, Encoder presenta falla, se realiza ajuste a conectores y se realiza reset quedando OK</t>
  </si>
  <si>
    <t>Maquina se apaga sola, no cuenta las bolsas</t>
  </si>
  <si>
    <t>Se realiza ajuste a conectores y se realiza reset</t>
  </si>
  <si>
    <t>Daño en pista de los rodamientos unidad #5</t>
  </si>
  <si>
    <t>Pista del rodamiento del espigo con desajuste, se realiza grafilado y se aplica trabarrosca dando el ajuste, queda operacional</t>
  </si>
  <si>
    <t>Se doblan las flautas</t>
  </si>
  <si>
    <t>Se desmontan flautas por averiadas, se rectifican uñas, quedando OK</t>
  </si>
  <si>
    <t>No sella nolsa por un lado</t>
  </si>
  <si>
    <t>Se calibra presión de la sellada</t>
  </si>
  <si>
    <t>Las uñas se enredan y bloquean la maquina</t>
  </si>
  <si>
    <t>Bajar sistema de uñas para enderezar, montar y calibrar para evitar daño en bolsa</t>
  </si>
  <si>
    <t>Bomba neúmatica, la bomba no subia tinta y el anillox se quedaba seco</t>
  </si>
  <si>
    <t>Se destapa y se observa balin fuera de su lugar de trabajo, se reubica quedando succión OK</t>
  </si>
  <si>
    <t>Se cambia termocupla ya que no estaba sensando</t>
  </si>
  <si>
    <t>Falla en zona #1 del molde</t>
  </si>
  <si>
    <t>Se realizo el cambio de relé de estado solido de la zona #1 del molde</t>
  </si>
  <si>
    <t>La diferencia del lado derecho no esta subiendo</t>
  </si>
  <si>
    <t>Se recibe turno con la novedad, diferencial se evidencio con temperatura alta, se aplico aire forzado, se revisan conexiones eléctricas las cuales se observan en buen estado, se deja reposo pero continuo la falla</t>
  </si>
  <si>
    <t>Maquina molesta el selle</t>
  </si>
  <si>
    <t>Se calibra posición de cuchilla, se revisan parametros, se realiza ajuste de teflón de mordaza, se dan ajustes y se realizan pruebas de funcionamiento</t>
  </si>
  <si>
    <t>Correas pegan a la mordaza inferior dañando el teflon del rodillo</t>
  </si>
  <si>
    <t>Se apoya a operario a desmonte de rodillo de selle lateral para cambio de teflon y nuevamente montaje quedando operativo</t>
  </si>
  <si>
    <t>Se interviene maquina ya que se reinicio, se da ajuste a conectores de pantalla, drive y tarjeta, se reinicia y se entrefa operativa</t>
  </si>
  <si>
    <t>Rotación se para por varias veces, no se genero parada</t>
  </si>
  <si>
    <t>Se realizo inspección econtrandose rodamiento con juego, se tiene en observación, se requiere RQ de rodamiento MCFR52AS</t>
  </si>
  <si>
    <t>Se encuentra fallo f6 entratador, se realiza inspección y se logró resetear, se instercambia tratador de coex 3 para terminar la orden</t>
  </si>
  <si>
    <t>Selladora no sella</t>
  </si>
  <si>
    <t>Se da ajuste a mordaza superior y se realizan pruebas de funcionamiento</t>
  </si>
  <si>
    <t>Corto en el tablero</t>
  </si>
  <si>
    <t>Se encuentra coable en corto, se realizo el ajuste y se resetea breaker, queda operativo</t>
  </si>
  <si>
    <t>Correa suelta</t>
  </si>
  <si>
    <t>Ajuste de correa</t>
  </si>
  <si>
    <t>Diferencial decha no funciona</t>
  </si>
  <si>
    <t>Se realiza calibración freno polipasto, se se grafila espiga porta chicle y se aplica trabarrosca para dar ajuste a pista quedando OK</t>
  </si>
  <si>
    <t>No sella</t>
  </si>
  <si>
    <t>Se le coloca presión, se calibra mordaza inferior, calibra teflon y se sube temperatura a 190 °C, no se genero parada de maquina</t>
  </si>
  <si>
    <t>B. VELASQUEZ</t>
  </si>
  <si>
    <t>Manzana corta cores presenta desgaste en las uñas</t>
  </si>
  <si>
    <t>Se le fabrican pestañas para que el core no se gire al momento del corte</t>
  </si>
  <si>
    <t>Soldadura 6013 platina</t>
  </si>
  <si>
    <t>Eje embobinador pinchado</t>
  </si>
  <si>
    <t>Se despincha por el lado de la valvula de llenado queda OK</t>
  </si>
  <si>
    <t>Problemas con la velocidad 420 y llega 380 RPM, de la B 220 esa velocidad esta marcando mas como 65% de lo normal, Toca que manipular mezclada para que el calibre este al nivel</t>
  </si>
  <si>
    <t>Se realiza desmonte y limpieza del ducto de refile, limpieza de malla filtro, se adiciono material al tornillo oara descartar empaste de material en el ducto y el tornillo, se realiza limpieza de doteco del tornillo B, se realiza calibración, se realiza montaje nuevamente de las piezas y se entrega a producción para el arranque 8:30, se tiene en seguimiento durante el arranque</t>
  </si>
  <si>
    <t>L. FLOREZ Y D. BAUTISTA</t>
  </si>
  <si>
    <t>Rodillo donde hasiento los clavos para sacar PVC y particuls rusticas por los clavos y los clavos no tienen punta para hacer un trabajo de nuevis bien por falta de punta</t>
  </si>
  <si>
    <t xml:space="preserve">Cuchillas del tratador sueltas </t>
  </si>
  <si>
    <t>Resorte suelto se sujeta para que no queden libres</t>
  </si>
  <si>
    <t>No arranca la maquina, no sella la maquina</t>
  </si>
  <si>
    <t>Final de carrera se suelta, se hace ajuste quedando OK, se realiza ajuste en cuchilla y mordaza, no corrige falla, se solicita a producción un cambio de referencia para descartar que la falla sea por parte de la maquina, se trabaja con nueva referencia y trabaja sin anomalia</t>
  </si>
  <si>
    <t>R. INFANTE</t>
  </si>
  <si>
    <t>Bascula de compactado se mueve la plataforma como si se hubiera soltado</t>
  </si>
  <si>
    <t>Tornillos base bascula suelto, se realiza torque para dar ajuste quedando OK</t>
  </si>
  <si>
    <t>No prende maquina</t>
  </si>
  <si>
    <t>Se realiza reset para todos los auxiliares para que permita el encendido</t>
  </si>
  <si>
    <t>Variación de medida</t>
  </si>
  <si>
    <t>Se realiza ajuste, inspección de parametros, ajuste de presiones, fotocelda, prensas, pruebas de funcionamiento, maquina saca 2 o 3 paquetes y nuevamente varia medida, se realizan ajustes  pruebas pero no se logra poner a trabajar correctamente 18:00, se entrega operativa pero nuevamente falla</t>
  </si>
  <si>
    <t>Mordaza inferior presenta el cable desconectado</t>
  </si>
  <si>
    <t>Se conecta terminal de mordaza inferior ya que no cuenta con terminal de conexión</t>
  </si>
  <si>
    <t>Flautas dobladas</t>
  </si>
  <si>
    <t>Se encuentra material atascado en la prensa, se extrae material, se desmontan flautas, se enderezan uñas de las flautas, se montan nuevamente y se entrega operativo, la intervención se realizo en cambio de referencia</t>
  </si>
  <si>
    <t>Se tensionan correas del transportador, se instalo arandela de presión para tornillo M6, queda operativa</t>
  </si>
  <si>
    <t>Arandela de presión</t>
  </si>
  <si>
    <t>Temperatura superior no sube</t>
  </si>
  <si>
    <t>Se encuentra breaker de conexión en corto, se aisla cable, se da ajuste a conexiones, terminales y borneras, se coloca a calentar y se entrga con la temperatura en setpoint</t>
  </si>
  <si>
    <t>Z. NOVOA</t>
  </si>
  <si>
    <t>Cambio de mangueras por cortos y se bota la tinta</t>
  </si>
  <si>
    <t>Se hace cambio de mangueras por transmisión muy cortos</t>
  </si>
  <si>
    <t>Manguera de alta resistencia silicona de 1´´</t>
  </si>
  <si>
    <t>Prisionero de la manzana dañado</t>
  </si>
  <si>
    <t>Se realiza extracción prisioneros dañados, cambios por unos nuevos</t>
  </si>
  <si>
    <t>10x Prisioneros M10</t>
  </si>
  <si>
    <t>Falla botón corta cores</t>
  </si>
  <si>
    <t xml:space="preserve">Botón dañado, se presenta en tornillo externo, se da ajuste y se posiciona </t>
  </si>
  <si>
    <t>Variador de rotación no operativo</t>
  </si>
  <si>
    <t>Se realiza reset en variador rotación queda operativo</t>
  </si>
  <si>
    <t>Ajuste intercambio de manguera del hidraulico</t>
  </si>
  <si>
    <t>Se realiza intercambio de mangueras en dispositivo hidraulico del equipo, se da ajuste queda operativo</t>
  </si>
  <si>
    <t>Mangueras</t>
  </si>
  <si>
    <t>La maquina se apaga constantemente (y no)</t>
  </si>
  <si>
    <t>Se realiza reseteo maquina y ajuste en borneras, ajuste transportador</t>
  </si>
  <si>
    <t>Se presta apoyo para afilado de cuchilla quedando operaciona</t>
  </si>
  <si>
    <t>Soporte de cuchilla suelto</t>
  </si>
  <si>
    <t>Soporte porta cuchilla sin tornillos, se remplazan quedando OK</t>
  </si>
  <si>
    <t>2x Tornillos M5 x 30 mm</t>
  </si>
  <si>
    <t>Se reporta maquina por variación de medida</t>
  </si>
  <si>
    <t>Se realizan ajustes en fotocelda, tensiones balancin superior e inferior a freno hasta corregir.</t>
  </si>
  <si>
    <t>Fotocelda no lee</t>
  </si>
  <si>
    <t>Se presta apoyo a operario para calibrar fotocelda y se cambia enhebrado quedando OK</t>
  </si>
  <si>
    <t>Falla octagon</t>
  </si>
  <si>
    <t>Se reinicia sistema completo, al no encontrar solución se ubican en modo mover los dumper y al volver a auto queda funcionando sin novedad</t>
  </si>
  <si>
    <t>Instalación de rodillos tratador</t>
  </si>
  <si>
    <t>Se realizo la instalación de los rodillos del tratador coex 5 y se realizan pruebas de operación, se entrega para arranque</t>
  </si>
  <si>
    <t>Ajuste cuchilla para sacar solapa</t>
  </si>
  <si>
    <t>Se acondiciona cuchilla en refiladora 2 para sacar solapa en material ya doblada con apoyo del operario</t>
  </si>
  <si>
    <t>Falla en la calandra, el eje superior quedo la presión activada y no patinaba</t>
  </si>
  <si>
    <t>Se hace desmonte de castañas eje superior se acomoda felpa y manguea, se da ajuste de nuevamente se hace seguimiento</t>
  </si>
  <si>
    <t>Afilada de cuhcilla corta cores</t>
  </si>
  <si>
    <t>Se realiza afilado de disco corta cores</t>
  </si>
  <si>
    <t xml:space="preserve">NA </t>
  </si>
  <si>
    <t>Se solicita correas para transportador ya que se encuentra trabajando con 5 en la parte superior</t>
  </si>
  <si>
    <t>Se solicita revisión de las uñas ya que estas estan torcidas y adicional faltan muchas de estas</t>
  </si>
  <si>
    <t>Temperatura varia se esta bajando y no sensa bien</t>
  </si>
  <si>
    <t>Se revisa controlador (pirometro) se encuentra bien, daño en la termocupla</t>
  </si>
  <si>
    <t>Se solicita revisión de presión de cuchilla por que la bolsa se abre</t>
  </si>
  <si>
    <t>Se ajusta presión de la parte izquierda, quedo sellando OK</t>
  </si>
  <si>
    <t>Molesta el selle</t>
  </si>
  <si>
    <t>Se presta apoyo para calibración de mordaza y calibración por fallas en el sello quedando OK</t>
  </si>
  <si>
    <t>Bomba no arranca</t>
  </si>
  <si>
    <t>Mecánica, Neúmatica</t>
  </si>
  <si>
    <t>Bomba neúmatica no arranca, se revisa conexión neúmatica, estado de mangueras de succión y descarga, se da ajuste a mangueras y se realizan pruebas de funcionamiento, no se genera paro de maquina</t>
  </si>
  <si>
    <t>Rosca rodada del corta cores</t>
  </si>
  <si>
    <t>Se encuentra rosca de ajuste de mordaza rodada, se realizo el cambio de un tornillo M12 x 60mm y se instalo con soldadura tuerca ya queno se pudo reconstruir la rosca, quedo operativo</t>
  </si>
  <si>
    <t>1x Tornillo M12 x60mm</t>
  </si>
  <si>
    <t>Tornillo de la pinola de la COEX 3 no ajusta rosca mala o el tornillo</t>
  </si>
  <si>
    <t>Se cambia tornillo por rosca defectuosa</t>
  </si>
  <si>
    <t>1x Tornillo</t>
  </si>
  <si>
    <t>Ventilador del desbobinador frenado</t>
  </si>
  <si>
    <t>Se desmonta ventilador, se procede al desarme y limpieza de material atascado, se realiza montaje y queda operativo</t>
  </si>
  <si>
    <t>Falla en el contactor del barril, se queda pegado</t>
  </si>
  <si>
    <t>Se evidencia contactor pegado, se da ajuste y queda operativo</t>
  </si>
  <si>
    <t>El octagon no corrige el calibre</t>
  </si>
  <si>
    <t>Se reinicia en su totalidad el equipo, se espera el arranque, queda operativo se hace seguimiento</t>
  </si>
  <si>
    <t xml:space="preserve">Rotación parada error en variador </t>
  </si>
  <si>
    <t>Se evidencia rotación en falla se hace reset, se restablece operación de trabajo, seguimiento en el turno</t>
  </si>
  <si>
    <t>Daño en el brazo alimentador</t>
  </si>
  <si>
    <t>Se revisa brazo alimentador piston neúmatico, se desajusta, se posiciona y se ajusta nuevamente, queda operativo</t>
  </si>
  <si>
    <t>Anular</t>
  </si>
  <si>
    <t>Piedra deja rotación de la escobilla se brinca y se corto y pago la maquina toda completa</t>
  </si>
  <si>
    <t>Se realiza cambio de escobilla de rotación por desgaste</t>
  </si>
  <si>
    <t>Temperatura del barril se descontroló subiendose 40° mas por encima</t>
  </si>
  <si>
    <t>Se encuentra contactor pegado en el momento del enclavamiento, se realiza el cambio del contactor y se deja bajar la temperatura que se encuentra por encima de 200 ° C</t>
  </si>
  <si>
    <t>S. PERALTA</t>
  </si>
  <si>
    <t>Manzana corta cores no enrosca</t>
  </si>
  <si>
    <t>Se realiza extracción del tronillo rectificado de rosca cambio tornillo por un M12</t>
  </si>
  <si>
    <t>1x Tornillo M12</t>
  </si>
  <si>
    <t>Cuchilla de tratado estan muy duras para cuadrar planos de tratado</t>
  </si>
  <si>
    <t>Se revisa, se da ajuste pero queda en seguimiento para hacer cambio y que opere mas suave</t>
  </si>
  <si>
    <t>Tornillo que sujeta la cuchilla se parte</t>
  </si>
  <si>
    <t>Se corta tuerca y se cambia tornillo, se aplica soldadura, se afila cuchilla de corta cores</t>
  </si>
  <si>
    <t>Tornillo</t>
  </si>
  <si>
    <t>Tornillo bristol se le daña la cabeza y no sale la manzana del eje</t>
  </si>
  <si>
    <t>Se realiza cambio de tornillo</t>
  </si>
  <si>
    <t>D. MARIN</t>
  </si>
  <si>
    <t>Rosca de ajuste de manzana rodada</t>
  </si>
  <si>
    <t>Se soldo tuerca de mordaza de ajuste de cortacores</t>
  </si>
  <si>
    <t>SOLDADURA</t>
  </si>
  <si>
    <t>Falla en la bomba neúmatica</t>
  </si>
  <si>
    <t>Se revisa bomba, se saca los balines, se limpia, se purga y se hace montaje, queda operativa, en seguimiento</t>
  </si>
  <si>
    <t>Falla bomba neúmatica repetidamente unidad #2</t>
  </si>
  <si>
    <t>Persiste falla en bomba, se desarma, se saca balin y se toman medidas, se limpia y queda operativo, se hace seguimiento</t>
  </si>
  <si>
    <t>Bomba neúmatica, la bomba 2, 5 comienza funcionando y en el transcurso de 3 minutos deja de subir tinta al Anilox y eso puede afectar al fotopolimero (Dañarlo)</t>
  </si>
  <si>
    <t>Se revisan bomba, se limpia esferas, persiste falla, acción tomada cambio a bombas antiguas en canecas sumergibles</t>
  </si>
  <si>
    <t>Daño en bombas de tinta daño palanca hidraulica unidad 4</t>
  </si>
  <si>
    <t>Se realiza revisión a bombas y mangueras encontrando presión baja en el suministro del aire comprimido, se coloca mangueras M12 desde impresora #2, corrigiendo así la falla, se hace seguimiento</t>
  </si>
  <si>
    <t>Manguera M12</t>
  </si>
  <si>
    <t>J. CARRILLO</t>
  </si>
  <si>
    <t>Se genera corto en el molino</t>
  </si>
  <si>
    <t>Se encuentra protecciones disparadas por alto esfuerzo, se entrega maquina habilitada para trabajar</t>
  </si>
  <si>
    <t>Perilla de encender y apagar motor externo se cae</t>
  </si>
  <si>
    <t>Se cambio collarin de fijación de perilla, se aprovecha que el equipo esta apagado</t>
  </si>
  <si>
    <t>Problemas con la velocidad de la extruder B, se sube y se baja la velocidad, ya lleva tiempo en eso</t>
  </si>
  <si>
    <t>Temperaturas se suben 60 grados de lo normal</t>
  </si>
  <si>
    <t>Se le reporta a mantenimiento por que el tornillo de la cortadora no aprieta ni suelta y se lleva a cuato de mantenimiento para suarreglo</t>
  </si>
  <si>
    <t>Se desolda tuerca y tornillo, se hace cambio, se aplica soldadura, queda nuevamente en servicio</t>
  </si>
  <si>
    <t>1x Tuerca y 1x Tornillo M12 x 60mm</t>
  </si>
  <si>
    <t>Fotocelda se apaga y no registra</t>
  </si>
  <si>
    <t>Se revisa fotocelda lectura intermitente, se hace cambio por la de la selladora y se hace seguimiento, cambio de cable para descartar, lectura queda operativa</t>
  </si>
  <si>
    <t>Tratador con potencia intermitente</t>
  </si>
  <si>
    <t>Se solicita revisión de termocupla por que no sube temperatura</t>
  </si>
  <si>
    <t>Se revisa termocupla, se encuentra defectuosa, se remplaza por una nueva, se hace seguimiento, queda operativa</t>
  </si>
  <si>
    <t>1x Termocupla de 1/4</t>
  </si>
  <si>
    <t>Daño en la rosca del tornillo de ajustador</t>
  </si>
  <si>
    <t>Rosca averiada, se realiza perforación para pasar macho 1/2 para rosca quedando OK</t>
  </si>
  <si>
    <t>1x Tornillo 3/8 x 2´´</t>
  </si>
  <si>
    <t>Hidraulica unidad 4 no sube</t>
  </si>
  <si>
    <t>Se cambia accionador de palanca unidad #3 a unidad #4, se entrega en normal funcionamiento</t>
  </si>
  <si>
    <t>Chiller no enfria, el compresor no enciende</t>
  </si>
  <si>
    <t>Se revisa y se encuentra contador mal estado, no abre los contactos y el controlador se esta quedando pegado, no envia orden de encendido</t>
  </si>
  <si>
    <t>1x contador Osram de 8 pines</t>
  </si>
  <si>
    <t>Se paro la maquina por falla eléctrica, se baja el breaker y se reinicia</t>
  </si>
  <si>
    <t>Hubo bajon de energia electrica, se baja el breaker y se reinicia</t>
  </si>
  <si>
    <t>Problema con el octagon, no funcionaba</t>
  </si>
  <si>
    <t>Se revisa y el router apagado, se reinica y queda OK</t>
  </si>
  <si>
    <t>Se parte cadenilla del piñon del eje embobinador</t>
  </si>
  <si>
    <t>Se hace cambio por cadenilla, se corta y para nuevamente, se instala en el equipo, queda operativa</t>
  </si>
  <si>
    <t>Tramo cadenilla doble paso 40cm</t>
  </si>
  <si>
    <t>Se hace reporte para compra lubricante dielectrico para evitar corto</t>
  </si>
  <si>
    <t>Temperaturas de tornillos interno y externo elevadas, hasta 60°C fuera de parametros</t>
  </si>
  <si>
    <t>Se toma consumos, pinza falta baterias para lectura real</t>
  </si>
  <si>
    <t>Tratador no enciende</t>
  </si>
  <si>
    <t>Selladora manual no calienta</t>
  </si>
  <si>
    <t>Cable de conexión de resistencia desconectado, se realizo instalación de termicol y se realiza conexión, quedo operativo</t>
  </si>
  <si>
    <t>Termicol</t>
  </si>
  <si>
    <t>Temperatura superior no se mantiene</t>
  </si>
  <si>
    <t>Breaker disparado, se revisan conexiones y se encuentra en buen estado, se realiza seguimiento</t>
  </si>
  <si>
    <t>Se solicita afilar cuchilla</t>
  </si>
  <si>
    <t>Se afila cuchilla</t>
  </si>
  <si>
    <t>Piñon en los rodillos delanteros</t>
  </si>
  <si>
    <t>Se cambia piñon por rompimiento, se entrega maquina funcionando</t>
  </si>
  <si>
    <t>1x Piñon en teflon</t>
  </si>
  <si>
    <t>La malla del cilo se levanta por presión de aire</t>
  </si>
  <si>
    <t>Se hace arreglo provicional con suncho mientras se cambia malla y fija mejor</t>
  </si>
  <si>
    <t>Suncho</t>
  </si>
  <si>
    <t>Se presenta calentamiento del freno del sujetador del rollo molde</t>
  </si>
  <si>
    <t>Se verifica motor no arranca, tiene tensión, al parecer es el capacitor de arranque, se coloca provisional otro ventilador quedando OK</t>
  </si>
  <si>
    <t>1x Ventilador bifasico 220V</t>
  </si>
  <si>
    <t>Tapa de motor interno esta suelta y se choca contra las poleas del motor</t>
  </si>
  <si>
    <t>Rodillo embobinador se detiene</t>
  </si>
  <si>
    <t>A.</t>
  </si>
  <si>
    <t>Maquina bloqueada no funciona</t>
  </si>
  <si>
    <t>celda descalibrada no sensa con fondo blanco, se coloca negro, variador en falla de la prensa haladora, se realiza reset corrigiendo falla</t>
  </si>
  <si>
    <t>Cuchillas del tratador duras para hacer planos de tratado</t>
  </si>
  <si>
    <t>Extrusora sin tratador</t>
  </si>
  <si>
    <t>Rodillo banana delantero tiene un bote y hace arrugar la pelicula</t>
  </si>
  <si>
    <t>Temperaturas elevadas de los tornillos</t>
  </si>
  <si>
    <t>EXTRUSORA 3 Y EXTRUSORA 4</t>
  </si>
  <si>
    <t>Se necesitan mangueras de aire #10 para las coextrusoras 3 y 4</t>
  </si>
  <si>
    <t>Eje de embobinado con un gran desbalance</t>
  </si>
  <si>
    <t>Tornillo que asegura la tapa del eje del bobinador se partio</t>
  </si>
  <si>
    <t>Se fabrica el tornillo prisionero para el seguro</t>
  </si>
  <si>
    <t>1x Tornillo M10</t>
  </si>
  <si>
    <t>J.SILVA</t>
  </si>
  <si>
    <t>Motor de la prensa de velocidad no esta funcionando</t>
  </si>
  <si>
    <t>Se revisa, no se encuentra recalentamiento ni esta frenado, esta funcionando OK, revisión</t>
  </si>
  <si>
    <t>Rodillos mangas de tratado estan sucios y aisla la corriente y salen pedazos sin tratar</t>
  </si>
  <si>
    <t>Falla en el motor de la prensa de velocidad, durante el proceso se frena y la maquina queda trabajando con la tensión</t>
  </si>
  <si>
    <t>Se inspecciona tablero y motor encontrando un cable del amperimetro suelto y correas del motor destensionadas, se corrige terminal amperimetro y se tensionan correas quedando OK</t>
  </si>
  <si>
    <t>Cmabio de rodillos y cuadre de castañas</t>
  </si>
  <si>
    <t>Cambio de castañas, rodillos pisadores superiores e inferiores</t>
  </si>
  <si>
    <t>J. MARTINEZ</t>
  </si>
  <si>
    <t>Se cae constantemente, se avisa a mantenimiento</t>
  </si>
  <si>
    <t>Se calibra freno quedando OK</t>
  </si>
  <si>
    <t>Motor freno se esta calentando por falta de refrigeración</t>
  </si>
  <si>
    <t>Se encuentra ventilador de freno desconectado, se conecta nuevamente 220 VAC, este ventilador se envidencia de menor capacidad al original y temperatura se observa con temperatura mas alta de lo norma, se espera a que el freno baje temperatura para arrancar</t>
  </si>
  <si>
    <t>1x ventilador 220VAC</t>
  </si>
  <si>
    <t>Fallo en bomba de vacio</t>
  </si>
  <si>
    <t xml:space="preserve">Se encuentra protección de bomba de vacio disparada, se revisa y se encuentra blower frenado, se realiza el desmonte, limpieza de los dos impulsores, recamaras de la carcaza, solidos de succión, aplicandole color ya que el material se encuentra compactado y se requiere derretir para extraer, se realiza armado, cambio de dos tornillos M4 x 50mm, se realizan pruebas en vacio y se entrega maquina para arranque </t>
  </si>
  <si>
    <t>2x Tornillos M4 x 50mm</t>
  </si>
  <si>
    <t>Falla bomba neúmatica no suficiente en la rasqueta</t>
  </si>
  <si>
    <t>4 de las 6 bombas neúmaticas no se dejan trabajar, encienden pero no chupan, se limpia esferas pero no se corrige falla, se colocan de las electricas y quedan trabajando OK</t>
  </si>
  <si>
    <t xml:space="preserve">Eje de embobinador se le sale </t>
  </si>
  <si>
    <t>Se evidencia fuga de aire en los extremos por falta de ajuste en el tornillo del pisador de la manguera, se hace seguimiento</t>
  </si>
  <si>
    <t>Rotación no enciende</t>
  </si>
  <si>
    <t>Se verifica, se encuentra una señal del variador suelta, se ajusta y queda OK</t>
  </si>
  <si>
    <t>Falla en motor capa externa</t>
  </si>
  <si>
    <t>Se desmonta motor y se envia a taller externo, se instala y se tiene en seguimiento en el arranque</t>
  </si>
  <si>
    <t>Tornillo de pirinola del molde se parte</t>
  </si>
  <si>
    <t>Paleta izquierda no abre, la del lado inferior</t>
  </si>
  <si>
    <t>Mecánica y eléctrica</t>
  </si>
  <si>
    <t>Se evidencia caja reductora no avanza tornillos sin fin no giran, se hace manualmente, abren paletas queda en observación, seguimiento, se debe revisar cuanto antes es intermitente la falla</t>
  </si>
  <si>
    <t>Molde con huecos en donde se apoyan los tornillos para calibrar, esto impide calibrar correctamente la maquina</t>
  </si>
  <si>
    <t>Se realiza relleno de huecos en el molde para que tornillos de calibración puedan dar el ajuste que requiere se instalan tuercas</t>
  </si>
  <si>
    <t>Tuercas, guasas</t>
  </si>
  <si>
    <t>Contactor de la zona de la boquilla del molde dañado, provocando recalentamiento de la zona</t>
  </si>
  <si>
    <t>Se realiza cambio de relé termico, se evidencia que la temperatura baja, en seguimiento</t>
  </si>
  <si>
    <t>Relé termico</t>
  </si>
  <si>
    <t>Falla en el tratado se apaga</t>
  </si>
  <si>
    <t>Tratador se apaga</t>
  </si>
  <si>
    <t>Temperatura porta mallas fallando en alarlma y no sube temperatura</t>
  </si>
  <si>
    <t>Tornillos del plato de la corona de la coex 2, no ajustan</t>
  </si>
  <si>
    <t>Se sueltan los tornillos laterales del piñon plastico de los rodillos</t>
  </si>
  <si>
    <t>Se cambio soporte cuadrante piñon, se rectifica roscas y queda operando OK</t>
  </si>
  <si>
    <t>Piñon de teflon y cuadrante</t>
  </si>
  <si>
    <t>D. VALENCIA</t>
  </si>
  <si>
    <t>Reparación de cableado suelto en resistencias</t>
  </si>
  <si>
    <t>Se ajusta cableado y se vuelve a conectar resistencia</t>
  </si>
  <si>
    <t>Por vibración se desolda la parte inferior del cilo</t>
  </si>
  <si>
    <t>Se evidencia que por temas de vibración causado por el daño de las chumaceras en el tornillo que alimenta la tolva, al cilo se le rompieron los tornillos, se aplicasoldadura 306 en los cuatro soportes de la estructura</t>
  </si>
  <si>
    <t>Soldadura 306</t>
  </si>
  <si>
    <t>Motor de la paleta no esta en funcionamiento</t>
  </si>
  <si>
    <t>El seguro del eje de embobinador y torre de registro</t>
  </si>
  <si>
    <t>Se aplica soldadura, se cambia tornillo, se rectifica roscado y se cambian tornillos M5 x 10mm de sugeción, ajustado rodillo embobinador</t>
  </si>
  <si>
    <t>Tornillos M5 x 10mm</t>
  </si>
  <si>
    <t>Transportados no funciona</t>
  </si>
  <si>
    <t>Se resetea variador por falla del transportador, se hace prueba queda operativa</t>
  </si>
  <si>
    <t>Rodillo porta cliche o fotopolimero se daño casquete</t>
  </si>
  <si>
    <t>Se grafila cuerpo eje para dar ajuste a casquete para que el rodamiento pueda trabajar bien se aplica silicona traba rosca</t>
  </si>
  <si>
    <t>Siliciona trabarosca</t>
  </si>
  <si>
    <t>Se comunica a mantenimiento que la maquina tiene desface en los tiempos</t>
  </si>
  <si>
    <t>Se verifica tiempo en encore, se encuentran correas entre lazadas obstruyendo movilidad, se retiran, se ajustan tiempos y se restablecen parametros</t>
  </si>
  <si>
    <t>Problemas con las paletas, no estan funcionando, una paleta funciona pero la otra no. Hace problemas en la alineación de el material para que no se vaya para los lados</t>
  </si>
  <si>
    <t>Contactor de la zona de la boquilla del molde con falla, presentando problema de temperatura</t>
  </si>
  <si>
    <t>Se realizo cambio de controlador de temperatura ya que no esta cerrando el contacto y no energiza el contactor</t>
  </si>
  <si>
    <t>Se para la maquina por falla en elastomero</t>
  </si>
  <si>
    <t>La pista de los espigos</t>
  </si>
  <si>
    <t>Se aplica trabarosca</t>
  </si>
  <si>
    <t>Correa suelta de la transmisión del rodillo halador</t>
  </si>
  <si>
    <t>Se atiende solicitur 8:30 por intervención en coex 5, se realizo tensión de correa, cambio de tornillo y ajuste de tornilleria</t>
  </si>
  <si>
    <t>Mallas quemadas del tratador</t>
  </si>
  <si>
    <t>Se realizan cambio de mangas tratador rodillo inferior y superior, se entrega para arranque</t>
  </si>
  <si>
    <t>Se solicita a mantenimiento revisión en las uñas por que estan dañando la bolsa</t>
  </si>
  <si>
    <t>Se instalan tuercas de ajuste a flautas, se realizan pruebas y se entrega operativo</t>
  </si>
  <si>
    <t>Tuercas</t>
  </si>
  <si>
    <t>Sonidos motor interno fuera de lo normal</t>
  </si>
  <si>
    <t>La termocupla no conecta y molesta la temperatura inferior</t>
  </si>
  <si>
    <t>Se realiza cambio de termocupla y ajuste de conexiones de la mordaza</t>
  </si>
  <si>
    <t>1x Termocupla</t>
  </si>
  <si>
    <t>Rodillo del transportador se daño el rodamiento</t>
  </si>
  <si>
    <t>Se cambian rodamientos, se ajusta el eje ya que una punta eje reducido a 1mm menos que el extremo</t>
  </si>
  <si>
    <t>Se parte soporte teflonado del rodillo manga</t>
  </si>
  <si>
    <t>Se cambio soporte del rodillo de tratado, quedo operativo</t>
  </si>
  <si>
    <t>Presenta sonido en la caja de la capa interior</t>
  </si>
  <si>
    <t>Se realizó desarme, cambio de rodamientos, ajsute de eje de entrada de caja reductora, se instalo nuevamente y se entrega 19:30 para arranque con la maquina ya caliente, arranca 23:00 ya que estaban tratando material en la maquina</t>
  </si>
  <si>
    <t>Rodamientos</t>
  </si>
  <si>
    <t>El rodillo loco de bobinador se salio del lugar donde va</t>
  </si>
  <si>
    <t>Se verifica rodillo loco se encuentra soporte roto, se ajusta con un taco de caucho, se necesita fabricar pieza para darle ajuste, se hace seguimiento</t>
  </si>
  <si>
    <t>J. ARROYO</t>
  </si>
  <si>
    <t>Se rompe malla de filtro de agua  del muella el cual no perimte que se filtre la resina</t>
  </si>
  <si>
    <t>Problemas con las cuchillasde tratado, las graduaciones de calibración no estan funcionando</t>
  </si>
  <si>
    <t>Se ajustan m de graduar posición de la cuchilla, se calibran cuchillas y se realiza limpieza, se realizo acompañamiento y seguimiento de funcionamiento del tratador en el arranque</t>
  </si>
  <si>
    <t>Sonidos fuera de lo normal en los dos motores</t>
  </si>
  <si>
    <t>Se toman referencia de consumos de los dos motores, los cuales estan bajo parametros de la placa del motor, se realizo seguimiento el resto del turno</t>
  </si>
  <si>
    <t>Perilla de acercar y alejar cuchilla de tratador estar dura, no afloja ni aprieta, la visagra del tratador no tiene un pasador, esta medio agarrada</t>
  </si>
  <si>
    <t>El sensor del tratador no esta funcionando, no apaga el tratador cuando se para la maquina, se puede quemas las mangas</t>
  </si>
  <si>
    <t>Revisar el motor de la prensa de arrastre del embobinador, se esta recalentando y genera que tenga que subirle mas tensión y el material queda demasiado tenso</t>
  </si>
  <si>
    <t>Se verifica motor, se evidencia rodamiento, perdio ajsute, se cambio, se hace limpieza, se hace montaje, se da ajuste , se hacen pruebas. En seguimiento
Pendiente por calentar</t>
  </si>
  <si>
    <t>1X Rodamiento 6203 C3</t>
  </si>
  <si>
    <t>Cambio de castañas y pisadores</t>
  </si>
  <si>
    <t>Se realiza cambio de castañas y pisadores</t>
  </si>
  <si>
    <t>Daño seguro del eje neúmatico del bobinador</t>
  </si>
  <si>
    <t>Se fabrica llave para seguro, se olda para facil torque</t>
  </si>
  <si>
    <t>Falla en el tratador trata y deja de tratar</t>
  </si>
  <si>
    <t>Bombas de tinta no funcionan, tornillo unidad 6 no ajusta</t>
  </si>
  <si>
    <t>Tornillo partido de rodillo del transportador</t>
  </si>
  <si>
    <t>Se evidencia tornillo partido en rodillo transportador, se cambian los tornilos</t>
  </si>
  <si>
    <t>2x Tornillos M6 x 10 mm</t>
  </si>
  <si>
    <t>Verificar fuga de aceite, en el tornillo interno</t>
  </si>
  <si>
    <t>K. TORRES</t>
  </si>
  <si>
    <t>Fuga de aceite estibador eléctrico</t>
  </si>
  <si>
    <t>Una manga del tratador en 4 partes.
Se alcanza a quemar</t>
  </si>
  <si>
    <t>Brazo de eje embobinado esta flojo (baila)</t>
  </si>
  <si>
    <t>Se evidencia brazo con movilidad desajuste, se ajusta nuevamente y queda operativo</t>
  </si>
  <si>
    <t>Se solicita el cambio de rodillos del tratador</t>
  </si>
  <si>
    <t>Se encuentra manga superior con perforación por quemadura, se desmonta, se aplica silicona para aislar el rodillo, se realiza el intercambio de posición de los rodillos y se entrega para el arranque</t>
  </si>
  <si>
    <t>Rodillo de los clavos esta en mal estado, se cae y perfora el rodillo, esta atrancado con palos, paletas no esta funcionando</t>
  </si>
  <si>
    <t>No prende (sensor)</t>
  </si>
  <si>
    <t>Rodillo manga superior tiene en el centro un pedazo cortado, como un cuchillazo</t>
  </si>
  <si>
    <t>L.GARZON</t>
  </si>
  <si>
    <t>Maquina se apaga intermitentemente</t>
  </si>
  <si>
    <t>Se verifica variador con error, se hace reset, queda operativa, se hace seguimiento</t>
  </si>
  <si>
    <t>Motor (halador) de tensión esta recalentado, se frena con cualquier golpecito al cambiar rollo</t>
  </si>
  <si>
    <t>Apoyo para cambio de cuchilla de fondo a lateral</t>
  </si>
  <si>
    <t>Se presta apoyo para cambio de mordaza de fondo a lateral</t>
  </si>
  <si>
    <t>Transportador no prende</t>
  </si>
  <si>
    <t>Potenciometro variador transportador suelto, se realiza ajuste quedando OK</t>
  </si>
  <si>
    <t>Rodillo dañado del transportador</t>
  </si>
  <si>
    <t>Rodillo tensor de transportador con rodamientos sueltos, se desmonta y e realiza ajuste y se coloca seger quedando OK</t>
  </si>
  <si>
    <t>x2 Seger</t>
  </si>
  <si>
    <t>Se solicita ayuda para soltar tornillo de soporte de cuchilla ya que esta rodada</t>
  </si>
  <si>
    <t>Se extrae tornillo M5 x 20mm con cuadrante rodado, se instala nuevo tornillo M5 x 20mm, se instala cuchilla ya que está rodado</t>
  </si>
  <si>
    <t>x1 Tornillo M5 x 20mm</t>
  </si>
  <si>
    <t>Se solicita a mantenimiento que ajuste fotocelda porque no lee y esta suelta, no tengo herramienta para ajustar</t>
  </si>
  <si>
    <t>Se realiza ajuste de tornillos se sujeción de fotocelda ya que se encuentra suelta</t>
  </si>
  <si>
    <t>Se reporta perforadores molestando se quedan abajo</t>
  </si>
  <si>
    <t>Se baja tiempo de accionamiento de perforadores ya que se encuentra muy prolongado y se corrige altura y posición</t>
  </si>
  <si>
    <t>Halador prensa no enciende</t>
  </si>
  <si>
    <t>Se inspecciona caja de circuitos de control y potencia, encontrando circuito de potencia mal conectado por tecnico el cual genero desfase entre lineas, se corrige pelando conductores y colocando capuchones, quedando OK</t>
  </si>
  <si>
    <t>x3 Capuchones</t>
  </si>
  <si>
    <t>M. ALVAREZ</t>
  </si>
  <si>
    <t>Se encuentra ruptura en pared del muelle #2, el cual no se define que pudo haber pasado</t>
  </si>
  <si>
    <t>Falla en el brazo de carga y descarga en el bobinador A</t>
  </si>
  <si>
    <t>Se da ajuste a platinas de brazos de descarga y transporte, se calibra desplazamiento de transporte</t>
  </si>
  <si>
    <t>Chillido en transmisión a tornillo en capa externa</t>
  </si>
  <si>
    <t>Cuchillas de tratador muy duras para plano de tratado</t>
  </si>
  <si>
    <t>Arreglo de rodamiento</t>
  </si>
  <si>
    <t>Rodillo loco magazin superior rodamientos averiados y espigo con desajuste, se corrige con soldadura y cambio de rodamientos y unida</t>
  </si>
  <si>
    <t>x1 Rodamiento 6003</t>
  </si>
  <si>
    <t>Motor halador de prensa huele quemado y el ventilador se paro</t>
  </si>
  <si>
    <t>Rodillo loco magazin superior #2 con rodamientos dañados y espigo, se realiza ajuste con soldadura y cambio rodamientos</t>
  </si>
  <si>
    <t>x2 rodamientos 600</t>
  </si>
  <si>
    <t>Interviniendo selladora 2, blower ventilación forzada motor halador mal conectado ocasionando que blower se apague, se realiza conexiones correspondientes quedando OK</t>
  </si>
  <si>
    <t>Motor halador de la prensa
desoues del arreglo sigue recalentado</t>
  </si>
  <si>
    <t>Maquina se pasa a mantenimiento porque esta molestando sensor y medida varia</t>
  </si>
  <si>
    <t>Se realiza ajuste en final de carrera, se realiza ajuste de tensiones balancines, ajuste de freno, parametros se realiza inspección, se apoyo ajuste de perforadores y prensa de alimentación, se entrego operativo 15:15 se realizo seguimiento</t>
  </si>
  <si>
    <t>Maquina varia medida y molesta perforadores y fotocelda no lee bien</t>
  </si>
  <si>
    <t>Se atiende 15:20, se realiza ajuste apoyo a la operaria a cuadre de material, se da ajsute a fotocelda, ajuste a prensa de alimentación, presiones se arranca maquina 16:50 y se tiene en seguimiento</t>
  </si>
  <si>
    <t>Problemas con el fay no lee, esta torcida la lectura de base. La base esta torcida un poco</t>
  </si>
  <si>
    <t>Bajar mando de contot del tratador Bajar mando contros del fay al primer piso donde se pueda manipular</t>
  </si>
  <si>
    <t>La bomba neúmatica, la que se utiliza para el color blanco funciona unos minutos y deja de funcionar</t>
  </si>
  <si>
    <t>Se bloquea el alimentador del embobinador 1</t>
  </si>
  <si>
    <t>Se profudcie alarma y se desenebra en el embobinado arrastra sensor y mangueras de aire, se hace corto, se busca sensor y no lo hay. Toco recuperarlo aplicar soldadura con cautin quedando operativo, se hace seguimiento</t>
  </si>
  <si>
    <t>Falla en la rotación, empezo a sonar feo y brincar</t>
  </si>
  <si>
    <t>Queda parada hay que desarmar toda la rotación</t>
  </si>
  <si>
    <t>Cadena de este embobinador partida</t>
  </si>
  <si>
    <t>Se arregla piezas de cadena y se alarga el tornillo</t>
  </si>
  <si>
    <t>Quitar torta de la rotación, y tiene unos cables desconectados</t>
  </si>
  <si>
    <t>Se retira la mayor cantidad de torta, se conectan cables ya que provoco corto eléctrico</t>
  </si>
  <si>
    <t>Temperatura trasera se apago por que hizo corte</t>
  </si>
  <si>
    <t>Se verifica corto en una resistencia por rosamiento del rodillo, se aisla y queda OK</t>
  </si>
  <si>
    <t>Se parte tornillo del rodillo de las correas</t>
  </si>
  <si>
    <t>Se parte tornillo de tensor de correas transportador, se saca yse remplaza por uno nuevo</t>
  </si>
  <si>
    <t>1x Tornillo M8</t>
  </si>
  <si>
    <t>Temperatura zona 1 del molde esta fuera de parametros</t>
  </si>
  <si>
    <t>Corto en resistencia 1 averiando rele ssr, se corrige corto y se cambia ssr quedando OK</t>
  </si>
  <si>
    <t>1x SSR 60A</t>
  </si>
  <si>
    <t>Se parte cadena de arrastre de rollo en pin y se monta quedando OK</t>
  </si>
  <si>
    <t>Cadena despinada se coloca pin y se monta quedando OK</t>
  </si>
  <si>
    <t>Material sale maltratado</t>
  </si>
  <si>
    <t>Inteviniendo coex 3 se realiza calobración prensa de arrastre inferior quedando OK</t>
  </si>
  <si>
    <t>Rodillo de los clavos suelto y un resorte caido se cae el rodillo y perfora con los clavos al otro rodillo</t>
  </si>
  <si>
    <t>Se interviene resorte rodillo clavos se fija, se interviene paletas, se intenta cerrar pero mandos y conexiones entran fallo, se requiere revisión con mas tiempo</t>
  </si>
  <si>
    <t>Paletas de la coex 5 de la parte inferior no cierran ni abren</t>
  </si>
  <si>
    <t>Se presta apoyo para cerrar paletas inferiores dependiendo de un contactor, ya que el otro lo averiaron y no esta funcionando, se requiere cambiar. Se requiere inspección para evaluar o revisar contactores paletas inferiores con la maquina parada</t>
  </si>
  <si>
    <t>Problemas con el octagon no esta funcionando</t>
  </si>
  <si>
    <t>La pantalla presenta el programa ejecutado en blanco, se ingresan algunos parametros hasta encontrar el corrector y permitir asi el funcionamiento OK</t>
  </si>
  <si>
    <t>Falla en contactor del porta malla externo</t>
  </si>
  <si>
    <t>Se inspecciona circuito de malla encontrando amperimetro averiado, se empalman conductores dejando por fuera el amperimetro, se requiere RQ para compra de amperimetros según muestra</t>
  </si>
  <si>
    <t>Sonido de tornillo, capa interna fuera de lo normal</t>
  </si>
  <si>
    <t>Se inspeccioona ruido anormal reportado por operario, se evidencia fuga de aceite leve y sonido anormal leve. Se requiere programar mantenimiento preventivo de carácter urgente</t>
  </si>
  <si>
    <t>Flautas del sistema de rotación esta desalineadas y al poner a trabajar la rotación la pelicula se corre para los lados y se sale del refile</t>
  </si>
  <si>
    <t>Nivelar las flautas</t>
  </si>
  <si>
    <t>Rodillo del balancin del embobinador</t>
  </si>
  <si>
    <t>Se despina cadena balancin embobinador  y parte soporte roscados se corrige aplicando soldadura quedando OK</t>
  </si>
  <si>
    <t>Falla tratador</t>
  </si>
  <si>
    <t>Se revisa equipo se encuentra cable de potenciometro desconectado por tanto no se dejaba subir</t>
  </si>
  <si>
    <t>Temperatura del tornillo interno elevada a 250 °C</t>
  </si>
  <si>
    <t>Parte eléctrica de los perforadores hecho chispa y estos no perforan</t>
  </si>
  <si>
    <t>Se encuentra sistema eléctrico de los perforadores desconectado, se realizao seguimiento, se encuentra temporizador en mal estado, se realiza el cambio y queda operativo</t>
  </si>
  <si>
    <t>1x Temporizador</t>
  </si>
  <si>
    <t>Motor de ventilación de la maquina 2 esta dañado:
La temperatura muy alta</t>
  </si>
  <si>
    <t>Cuadrar paletas</t>
  </si>
  <si>
    <t>Se realiza inversión de giro en motores, se hace ajuste en paletas del equipo, queda operativa acorde al operario</t>
  </si>
  <si>
    <t>Cuchilla de precrorte se suelta</t>
  </si>
  <si>
    <t>Se da ajuste a tornillo de ajuste de cuchilla de precorte</t>
  </si>
  <si>
    <t>Sacar tornillo de la pirinola del molde que tiene tornillo partio</t>
  </si>
  <si>
    <t>Se retira tornillo partido</t>
  </si>
  <si>
    <t>Crear un modulo para guardar mallas metalicas de extrusor</t>
  </si>
  <si>
    <t>Revisar zona 4 del tornillo B</t>
  </si>
  <si>
    <t>Se inspeccionan los circuitos de las zonas 1 hasta la 6, no presentan anomalia, se realiza limpieza en camisa y resistencia para retirar producto del refile que impide refrigeración</t>
  </si>
  <si>
    <t>Tornillo de apretar no sirve de la corta cores</t>
  </si>
  <si>
    <t>Rosca tornillo corona malobrada, se retira tuerca y tornillo para remplazo quedando OK</t>
  </si>
  <si>
    <t>1x Tornillo M12, 1x Tuerca M12</t>
  </si>
  <si>
    <t>Daño a cortacores</t>
  </si>
  <si>
    <t>Se desmonto cuchilla de corte, se realizo afilado a la otra cuchilla y se realizo montaje, se requiere mejora de elementos cortacores</t>
  </si>
  <si>
    <t>Daño en balancin bobinador</t>
  </si>
  <si>
    <t>Se descarrilo balancin y se parte acople del eje, se desmonta, se ajusta acople, se realiza montaje quedo en operación</t>
  </si>
  <si>
    <t>Ajustar y verificar pinola fuga de material</t>
  </si>
  <si>
    <t>Se hace verificación, se retorquea tornillos de portamallas y pinola queda OK</t>
  </si>
  <si>
    <t>Zona del tornillo interior tiene 30° por encima de lo establecido</t>
  </si>
  <si>
    <t>Se inspecciona circuito de tornillo interior, no se encuentra anomalia en ninguno de los componentes, quedaria pendiente revisar mallas para descartar una anomalia o algún tipo de fricción en tornillo</t>
  </si>
  <si>
    <t>La barra se le echa aire pero al sacar el aire no le sale</t>
  </si>
  <si>
    <t>E1</t>
  </si>
  <si>
    <t>Coex #5 presenta varias alarmas y se apaga los husillos A-B-C falla en el alimentador A</t>
  </si>
  <si>
    <t>Sensor brazo alimentador con sensor mal reparado y en corto, se toma prestado un sensor de la selladora #4 temporalmente quedando OK. Se requiere RQ para compra de sensores según muestra</t>
  </si>
  <si>
    <t>Sensor posicionamiento selladora #4</t>
  </si>
  <si>
    <t>E2</t>
  </si>
  <si>
    <t>Flautas desalienadas</t>
  </si>
  <si>
    <t xml:space="preserve">Se alinean flautas de torre ya que se encuentran desalineadas, se da ajuste y se entrega maquina para arranque </t>
  </si>
  <si>
    <t>E3</t>
  </si>
  <si>
    <t>Revisar corona no sube tampoco baja</t>
  </si>
  <si>
    <t>Se encuentra cadena de transmisión de reductor salido y sin candado, se alinean piñones, se monta cadena, se instala candado y se realizan pruebas en vacio</t>
  </si>
  <si>
    <t>E4</t>
  </si>
  <si>
    <t>El transportador tiene un ruido</t>
  </si>
  <si>
    <t>Se encuentra sistema de transportador con sonido anormal, se procede a desarmar para encontrar el fallo, se encuentra rodamiento sin lubricación de eje inferior de transmisión, se procede a limpieza y lubricación, se arma nuevamente</t>
  </si>
  <si>
    <t>E5</t>
  </si>
  <si>
    <t>E6</t>
  </si>
  <si>
    <t>Variador del halador no enciende</t>
  </si>
  <si>
    <t>Se reseteo y se enciende nuevamente variador quedando operativo</t>
  </si>
  <si>
    <t>E7</t>
  </si>
  <si>
    <t>Temperatura del molde no estaba calentando y mando de temperatura de presiones desconectado</t>
  </si>
  <si>
    <t>Temperatura para 1 molde bajo el setpoint, se encuentra breaker disparado, se resetea y se toma lectura de consumo, se da espera a que suba la temperatura. Conector sensor temperatura portamallas tornillo A desconectado y por ello no mostraba lectura</t>
  </si>
  <si>
    <t>E8</t>
  </si>
  <si>
    <t>Se parte tornillo soporte perforadores</t>
  </si>
  <si>
    <t>Se encuentra tornillo partido, se extrae y se instalo tornillo M8 x 30mm, se da ajuste y quedo en operación</t>
  </si>
  <si>
    <t>1X Tornillo M8 x 30mm</t>
  </si>
  <si>
    <t>E9</t>
  </si>
  <si>
    <t>Se reventaron las coreas de el molino</t>
  </si>
  <si>
    <t>Se realizo cambio de 4 correas de transmisión del molino de peletizadora</t>
  </si>
  <si>
    <t>4x Correas transmisión</t>
  </si>
  <si>
    <t>E10</t>
  </si>
  <si>
    <t>Resistencia en mal estado, el cubrimiento echa chispa</t>
  </si>
  <si>
    <t>SE solicita tornillos para cambio de rodillo de la prensa. Correa de la prensa. Se solicita termocuplas porque estan dañadas</t>
  </si>
  <si>
    <t>Se solicitan tornillos para cambio, se hace cambio de correa en rodillo prensa, se solicitan termocuplas para cambio</t>
  </si>
  <si>
    <t>Tornillos, Correas, Termocuplas</t>
  </si>
  <si>
    <t>Falta de tornillos para la corona</t>
  </si>
  <si>
    <t>COEX #5 esta presentando un ruido en el rodillo #11</t>
  </si>
  <si>
    <t>Rodillo N° 11 con punta espigo desgastada, se recomienda intervención de carácter urgente ya que se puede caer, se aplica grasa. NO PARO</t>
  </si>
  <si>
    <t>Grasa</t>
  </si>
  <si>
    <t>Problemas con el refile no esta succionando bien el refile, se queda pegado, le falta fuerza para aspirar el material</t>
  </si>
  <si>
    <t>Ruedas del refile en mal estado no aprietan prisioneros</t>
  </si>
  <si>
    <t>J. PINZON</t>
  </si>
  <si>
    <t>Balancin del calibrador</t>
  </si>
  <si>
    <t>La parte de la corona que rota, se encuentra rotando descentrada generando desgaste. 
Se evidencia residuos del dominio de esta</t>
  </si>
  <si>
    <t>Bolsa sale la boca bloqueada en la pista #2</t>
  </si>
  <si>
    <t>Se realiza calibración de presión corte y posición de cuchilla. Queda sellando y cortando OK</t>
  </si>
  <si>
    <t>Para cerrar los tableros de la parte de los rodillos haladores no funciona</t>
  </si>
  <si>
    <t>A. ROVIRA</t>
  </si>
  <si>
    <t>NO EMBOBINA</t>
  </si>
  <si>
    <t>Fusible circuito motor abierto, se realiza cambio quedando OK</t>
  </si>
  <si>
    <t>1x Fusible</t>
  </si>
  <si>
    <t>Barra se le sale el aire</t>
  </si>
  <si>
    <t>Se realiza reparación de valvula, se realizan pruebas y se entrga operativo. No se genero parada de maquina</t>
  </si>
  <si>
    <t>Falla temperatura porta mallas interno</t>
  </si>
  <si>
    <t>Fallo en termocupla, se da ajuste pero temperatura esta por encima del setpoint, 235°C se entrega al operario para espera de normalizar temperatura</t>
  </si>
  <si>
    <t>REPETITIVO</t>
  </si>
  <si>
    <t>Tornillo capa interna esta zumbando duro y hace vibrar la maquina</t>
  </si>
  <si>
    <t>Motor capa externa esta traqueando duro</t>
  </si>
  <si>
    <t>El motor de aspirador no esta funcionando</t>
  </si>
  <si>
    <t>Se arregla, se verifica falta de tensión (voltaje)</t>
  </si>
  <si>
    <t>Al piston del rodillo halador se le cae un tornillo</t>
  </si>
  <si>
    <t>Se coloca tornillo</t>
  </si>
  <si>
    <t>1X Tornillo M10 X 50mm</t>
  </si>
  <si>
    <t>Temperatura tornillo interior esta 60° por encima de lo establecido</t>
  </si>
  <si>
    <t>Cambió de rele de estado solido pendiente a que baje temperatura pero hasta que pare maquina ya no tiene consumo la resistencia</t>
  </si>
  <si>
    <t>1x Relé estado solido SSR 60A</t>
  </si>
  <si>
    <t>Coex #4 presenta falla en la prensa y pasa corriente por todo los rodillos</t>
  </si>
  <si>
    <t>Se realiza cambio de resistencia a 100KΩ, se verifican voltaje, se realizan pruebas de embobinamiento, se encuentra bien, se realizan pruebas, trabaja sin anomalia</t>
  </si>
  <si>
    <t>1x Resistencia de 100KΩ</t>
  </si>
  <si>
    <t>Coex #3 se eleva hasta 300° la temoeratura en el tornillo interno</t>
  </si>
  <si>
    <t>Variación de temperatura</t>
  </si>
  <si>
    <t>Se cambia termocupla, se arranca 27/2/26 12:50</t>
  </si>
  <si>
    <t>1X Termocupla</t>
  </si>
  <si>
    <t>Se apagan las temperaturas del barril</t>
  </si>
  <si>
    <t>Se encuentra base porta escobilla malobrado y falta de aislante en la varilla que lo sostiene, se requiere fabricación según muestra. Se repara con cinta tela fibra de vidrio quedando OK. No paro en maquina</t>
  </si>
  <si>
    <t>Cinta</t>
  </si>
  <si>
    <t>Se presenta falla en el tornillo por recalentamiento</t>
  </si>
  <si>
    <t>Se realiza cambio de termocupla en portamalla interno, cambio de termocupla tornillo interior. En vacio se mantiene temperatura tornillo interior pero trabajando se sube. Se requiere mantenimiento y camisa para verificar algún tipo de fricción</t>
  </si>
  <si>
    <t>1X Termocupla tipo J</t>
  </si>
  <si>
    <t>Problemas con las escobillas del molde</t>
  </si>
  <si>
    <t>Se ajusta escobilla ya que se partio, se solicita respuesto queda en funcionamiento</t>
  </si>
  <si>
    <t>Protector del molde estra trabado</t>
  </si>
  <si>
    <t>Se ajusta posición de protector y ejes de control eléctrico, se realizan pruebas y queda operativo</t>
  </si>
  <si>
    <t>M. SANDOVAL</t>
  </si>
  <si>
    <t>Se realiza cambio de los dos pisadores para trabajar papel y se da ajuste a las castañuelas (posición) para trabajar papel rojo de 5 pistas</t>
  </si>
  <si>
    <t>Maquina se recibe turno con falla en el motor de velocidad (No arranca)</t>
  </si>
  <si>
    <t>Se revisa variador con falla, se reset y arranca sin novedad, se deja en funcionamiento</t>
  </si>
  <si>
    <t>Cambio de termocupla inferior por daño</t>
  </si>
  <si>
    <t>Desmontaron mordazas para pdoer hacer el cambio de termocupla, se empezó a hacer el cambio a las 7:40 y culmine 8:37</t>
  </si>
  <si>
    <t>1X Termocupla retrabajada</t>
  </si>
  <si>
    <t>Falla en la tensión (Revisar motor)</t>
  </si>
  <si>
    <t>Se revisa encontrando 2 fusibles dañados el puente se les coloca nuevamente el puente y se retorquea en la fase entrada ya que tenia mal contacto</t>
  </si>
  <si>
    <t>Mordaza inferior del selle longitudinal esta suelta</t>
  </si>
  <si>
    <t>Se solda parte mordaza inferior</t>
  </si>
  <si>
    <t>Mordaza superior se suelta selle longitudinal</t>
  </si>
  <si>
    <t>Se recibe maquina con falla en mordaza de selle longitudinal.
Se realiza calibración mordaza superior selle longitudinal calibración programación temperatura y parametrizacion temporizador quedando OK</t>
  </si>
  <si>
    <t>Se realiza cambio de teflon mordaza superior por desgaste quedando OK</t>
  </si>
  <si>
    <t>Hacer seguimiento octagon y damper no cuadra la grafica</t>
  </si>
  <si>
    <t>Mecánica, eléctrica</t>
  </si>
  <si>
    <t>Se realiza seguimiento, se reset el octagon retira falla, aparece falla por damper, no corrigen posición, se debe hacer seguimiento en el nuevo arranque del equipo</t>
  </si>
  <si>
    <t>Octagon y danper no cuadra la grafica</t>
  </si>
  <si>
    <t>En la pantalla se programan damper a 80 y finalmente se bajan a 40, la maquina arranca sin anomalia en la grafica</t>
  </si>
  <si>
    <t>Corto en el tratador</t>
  </si>
  <si>
    <t>Se revisa puntos de conexión, se hace limpieza, se da nuevamente ajuste, se hace prueba queda operativo</t>
  </si>
  <si>
    <t>Tornillo capa exterior no gira</t>
  </si>
  <si>
    <t>Se (cambia) repara tornillo de extrusora #4 Queda trabajando OK</t>
  </si>
  <si>
    <t>1X Tornillo</t>
  </si>
  <si>
    <t>Halador tiene un cable desconectado</t>
  </si>
  <si>
    <t>Mando directo con un cable desconectado</t>
  </si>
  <si>
    <t>Fallas en la temperatura</t>
  </si>
  <si>
    <t>Calibración mordaza, calibración caida cuchilla y ajuste de teflon. Se recibe maquina en falla no operacional</t>
  </si>
  <si>
    <t>Barra se desinfla no agarra aire</t>
  </si>
  <si>
    <t xml:space="preserve">Se presta apoyo para afilado de cuchilla </t>
  </si>
  <si>
    <t>Cambio de disco de precorte</t>
  </si>
  <si>
    <t>Cambio de cuchilla, se revisa sistema de anclaje del espigo ya que al girar inverso se sale el eje, persiste falla y se le fabrica un incerto temporal mientras termina con la referencia</t>
  </si>
  <si>
    <t>Fuga de material por los tornillos de ajuste de la pinola</t>
  </si>
  <si>
    <t>Se recortan 5mm de tornillo para que sienten ya que estaban muy largos</t>
  </si>
  <si>
    <t>Rotación no trabaja al encenderla</t>
  </si>
  <si>
    <t>Motor con mala conexión en bornera haciendo mal contacto con falta de torque en los tornillos</t>
  </si>
  <si>
    <t>Se sale rodamiento de rodillo</t>
  </si>
  <si>
    <t>Ajuste con arandela para el rodillo</t>
  </si>
  <si>
    <t>1X Arandela</t>
  </si>
  <si>
    <t>Correas del transportador</t>
  </si>
  <si>
    <t xml:space="preserve">Destemplar ,  , torquear y arrancar el transportador </t>
  </si>
  <si>
    <t>Arreglar tornilo del soporte de los perforadores, cuadrar flautas por que estan mal  la pelicula para el lado izquierdo y no centralisa</t>
  </si>
  <si>
    <t>Se alinea posición de flautas de torre rotativa, se da ajuste de tornillo del soporte de los perforadores</t>
  </si>
  <si>
    <t>Falla en el selle</t>
  </si>
  <si>
    <t>Desgaste en componentes de mordaza, mordaza pandeada, se cambia de pista</t>
  </si>
  <si>
    <t>Se parten tornillos del rodillo tensor de la parte superior del transportador</t>
  </si>
  <si>
    <t>Se extraen tornillos, se realiza el cambio y se instala nuevamente el tensor</t>
  </si>
  <si>
    <t>El transporte se esta quedando de un lado y causa que la barra se caiga</t>
  </si>
  <si>
    <t>Se calibran posición y presión de reguladores de actuadores, mogocin, alimentador, transporte. Se acompaño en arranque</t>
  </si>
  <si>
    <t>L. FLOREZ Y  D. BAUTISTA</t>
  </si>
  <si>
    <t>Moneda porta malla golpeando</t>
  </si>
  <si>
    <t>Se evidencia porta mallas golpeado se repasa agujeros broca 1/8 se limpia queda operativo</t>
  </si>
  <si>
    <t>Barra del bobinador A se daña no agarrando el aire</t>
  </si>
  <si>
    <t>Zona de la maquina esta molestando baja y sube la temperatura. 
Zona de malla exterior</t>
  </si>
  <si>
    <t>Se cambia termocupla por lectura erronea</t>
  </si>
  <si>
    <t>Maquina con falra de presión en prensa</t>
  </si>
  <si>
    <t>Calibración de presion tenia mas presion en el centro por eso el material se arrugaba</t>
  </si>
  <si>
    <t>SELLADORA 5</t>
  </si>
  <si>
    <t>Revisar y sacar filo cuchilla</t>
  </si>
  <si>
    <t>Se hace ajsute y nivelación queda OK</t>
  </si>
  <si>
    <t>Cadena del embobinador reventada en un lado</t>
  </si>
  <si>
    <t>Se fabrican espigos con rosca para sujetación de cadena embobinador quedando OK.
No genera paro en maquina</t>
  </si>
  <si>
    <t>Maquina no prende</t>
  </si>
  <si>
    <t>Se verifica tomando voltajes, se encuentra sin una fase, se reset, se restablece, auxiliar abierto quedando operativo</t>
  </si>
  <si>
    <t>Maquina se para intermitentemente</t>
  </si>
  <si>
    <t>Se verifica conexión, se observo mal contacto por cable de señal en PLC, se recomienda hacer cambio queda en seguimiento durante el turno</t>
  </si>
  <si>
    <t>Se suelta botón de apagar y prender transportador</t>
  </si>
  <si>
    <t>Se revisa y se observa botón suelto por desajuste en tornillos, se pocosiona, se da ajuste y queda operativo</t>
  </si>
  <si>
    <t>Manga quemada</t>
  </si>
  <si>
    <t>Se hace arreglo de manga en el equipo</t>
  </si>
  <si>
    <t>M. TORRES</t>
  </si>
  <si>
    <t>Se realiza ajuste de conectores a a pantalla y drive, se realiza limpieza queda operativa, se realiza seguimiento</t>
  </si>
  <si>
    <t>Se frena embobinador y se quema la manga</t>
  </si>
  <si>
    <t>Manga inferior quemada, se desmonta se pasa manga superior a inferior quedando OK.
En la superior se coloca una de segunda pendiente prueba</t>
  </si>
  <si>
    <t>Temperatura se baja</t>
  </si>
  <si>
    <t>Conductor de resistencia mordaza superior con terminal malobrado, se realiza cambio de terminal y conductor quedando OK</t>
  </si>
  <si>
    <t>Correa de tensor se suelta
Correas de tranportado se paran</t>
  </si>
  <si>
    <t>Freno descalibrado por resorte desgastados y se calibra prensa
Se requiere compra de resorte</t>
  </si>
  <si>
    <t>Elaboración de pieza para pisar tabla de precorte</t>
  </si>
  <si>
    <t>Se elabora pieza para pisar tabla donde cae cuchilla</t>
  </si>
  <si>
    <t>Se encuentran 2 rodillos locos que no sirven</t>
  </si>
  <si>
    <t>Se lubrican chumaceras de rodillos locos, #12 y #17 los cuales no giran y generan arruga, no se genera parada</t>
  </si>
  <si>
    <t>Fallo en la bomba</t>
  </si>
  <si>
    <t>Se encuentra bomba neúmatica en falla, se extrar succión, se realiza limpieza, ajuste de conectores, prueba de funcionamiento y queda en operación</t>
  </si>
  <si>
    <t>Daño en rodamiento y rosca de mordaza de registro dañados</t>
  </si>
  <si>
    <t>Se cambio rodamiento 6207-2Z ya no quedan en stock, se instalan 2 helicoidales para tornillo M10 en torre de unidad #2</t>
  </si>
  <si>
    <t>2X Rodamiento helicoidal</t>
  </si>
  <si>
    <t>Falla en caja reductora Tornillo B</t>
  </si>
  <si>
    <t>Se observa daño en piñon de salida de caja reductora, se procede al desarme para enviar a taller externo</t>
  </si>
  <si>
    <t>Se suelta tensor de la correa</t>
  </si>
  <si>
    <t xml:space="preserve">Tensor con arandela dañada, se realiza reposición de arandela y wasa quedando OK.
</t>
  </si>
  <si>
    <t>1X Arandela
1X Wasa</t>
  </si>
  <si>
    <t>Maquina bloqueada</t>
  </si>
  <si>
    <t>Sensor mordaza activado, se desactiva permitiendo el avance de la maquina</t>
  </si>
  <si>
    <t>Maquina se para por que la bolsa sale pagada</t>
  </si>
  <si>
    <t>Termocupla dañada, no hay en stock, se realiza reparación una dañada para poder arrancar maquina, quedando OK.</t>
  </si>
  <si>
    <t>Maquina se apaga intermitentemente y se dispara temperatura de la cuchilla</t>
  </si>
  <si>
    <t>Se observa termocupla defectuosa, se bajan parametros, se hace seguimiento durante el turno, se coloco termocupla inferior para remplazo, quedo faltante 1</t>
  </si>
  <si>
    <t>Sacar filo cuhcilla</t>
  </si>
  <si>
    <t>Se presta apoyo para afilado de cuchilla quedando OK</t>
  </si>
  <si>
    <t>Falla en mordaza pisa la bolsa</t>
  </si>
  <si>
    <t>Ajuste de la mordaza inferior, revisión de aprametros por parte del operario en turno , queda por hacer seguimiento</t>
  </si>
  <si>
    <t>Prensa de atrás no aprieta</t>
  </si>
  <si>
    <t xml:space="preserve">Se colocan prisioneros y resorte de prensa </t>
  </si>
  <si>
    <t>Resortes
Tornillos
Prisioneros</t>
  </si>
  <si>
    <t>Selladora no prende</t>
  </si>
  <si>
    <t>Falla en breaker termomagnetico con contacto abierto, se realiza cambio por nuevo de 80A y ajuste en cuchilla quedando OK</t>
  </si>
  <si>
    <t>1X Breaker siemens 80 A</t>
  </si>
  <si>
    <t>Se para el fay</t>
  </si>
  <si>
    <t>Se evidencia motor bloqueado, se hace comprobación conexiones, se encuentra bloqueadas escobillas por refile se limpia y queda operativo, se calibra fay</t>
  </si>
  <si>
    <t>Se parte tornillo del rodillo del transportador</t>
  </si>
  <si>
    <t>Se extrae pedazo de tornillo M6 de rodillo transportador, se remplaza por uno nuevo, se da ajuste queda operativo</t>
  </si>
  <si>
    <t>1X Tornillo M6</t>
  </si>
  <si>
    <t>Verificar el motor de la caoa externa presenta escape de aceite</t>
  </si>
  <si>
    <t>Tapa caja reductora abierta, tornillos sueltos, se realiza ajuste, limpieza de aceite, se verifica nivel quedando OK</t>
  </si>
  <si>
    <t>Pirometro de la zona 1 exterior mal la lectura</t>
  </si>
  <si>
    <t>Motor de la capa externa mal instalado, sentido de giro invertido</t>
  </si>
  <si>
    <t>Motor con giro al reves, se realiza cambio de 2 fase para el cambio de giro quedando OK</t>
  </si>
  <si>
    <t>Transportador se apaga y no prende</t>
  </si>
  <si>
    <t>Se inspecciona encontrando prisioneros sueltos y uña por fuera, se remplazan prisioneros, se retira piñon para dar vuelta ya que no deja calibrar cadena, se realiza montaje quedando OK</t>
  </si>
  <si>
    <t>2X Prisioneros 1/4"</t>
  </si>
  <si>
    <t>J. RINCON</t>
  </si>
  <si>
    <t>Union de rodamiento de ejes</t>
  </si>
  <si>
    <t>Pista rodamiento abierta se grafila y se aplica trabarrosca quedando OK</t>
  </si>
  <si>
    <t>Trabarrosca</t>
  </si>
  <si>
    <t>Manguera de unidad #4 no se desplaza</t>
  </si>
  <si>
    <t>Se desmonta mangera, se realiza limpieza de material, se lubrica y se instala nuevamente</t>
  </si>
  <si>
    <t>Cambio de pisador</t>
  </si>
  <si>
    <t>Se realizo cambio de pisador superior para trabajar lamina plastica</t>
  </si>
  <si>
    <t>Base cilindro faq vibra
Blower embrague requiere cambio</t>
  </si>
  <si>
    <t>Piñon en teflon requeire fabricación y balanceo
Pisador para reencauchar</t>
  </si>
  <si>
    <t>Se requiere eje embobinador neúmatico (se requiere eje para embobinador)
Blower refrigeración forzada motor embobinador</t>
  </si>
  <si>
    <t>Tornillo de la cremallera</t>
  </si>
  <si>
    <t>Se extrae tornillo M6, se instala tornillo M6 X 60 mm con tuerca, se entrega operativo</t>
  </si>
  <si>
    <t>La maquina se apaga repetitivamente</t>
  </si>
  <si>
    <t>Se ajustan conectores pantalla, se refrigera pantalla y servo drive, se da ajuste a conexiones eléctricas y se entrega operativo 11:10
Se tiene en seguimiento</t>
  </si>
  <si>
    <t>Contactor marca mal, se recalienta 26° por encima de lo establecido</t>
  </si>
  <si>
    <t>Se evidencia que persiste el tema de temperatura alta, falta de termocupla para cambio, se hace seguimiento durante el turno</t>
  </si>
  <si>
    <t>Cambio de termocupla</t>
  </si>
  <si>
    <t>Se hace cambio de termocupla, se corrige lectura de temperatura, queda operativa y en seguimiento</t>
  </si>
  <si>
    <t>Cuenta de #TPM</t>
  </si>
  <si>
    <t>TOTAL POR TECNICO</t>
  </si>
  <si>
    <t>FECHA INICIO</t>
  </si>
  <si>
    <t>FECHA FIN</t>
  </si>
  <si>
    <t>(Varios elementos)</t>
  </si>
  <si>
    <t>TIEMPO DE INTERVENCIÓN</t>
  </si>
  <si>
    <t>FECHA Y HORA INICIO</t>
  </si>
  <si>
    <t>FECHA Y HORA FINAL</t>
  </si>
  <si>
    <t>TIEMPO TOTAL SOLUCIÓN</t>
  </si>
  <si>
    <t>Revisar la zona 6 de la capa C ya que presenta falla</t>
  </si>
  <si>
    <t>Se cambia termocupla zona 6 por lectura erronea</t>
  </si>
  <si>
    <t>1X Termocupla tipo bulbo</t>
  </si>
  <si>
    <t>Cambio de termocuplas, la superior esta dañada y la inferior no tiene</t>
  </si>
  <si>
    <t>Se realiza cambio de termocupla superior por daño y se instala nueva termocupla para mordaza inferior quedo operativo</t>
  </si>
  <si>
    <t>Fallo en motor de refile</t>
  </si>
  <si>
    <t>Motor se aago por sobreesfuerzo se desmonta guarda, se tensionó correa, se lubrican rodamientos, se quita material atascado
No se genero parada de maquina, se interviene 7:10 a 7:30 en parada para cambio de malas</t>
  </si>
  <si>
    <t>Zona 6 tornillo A con temperatura alta</t>
  </si>
  <si>
    <t>Se encuentra zona 6 tornillo a 230° C y el setpoint esta en 180°C, e realiza insección y se encuentra guardamotor del aire forzado disparado, se desmonto ventilador y se encuentra desbalanceado, se remplazo por el de la zona 1, no se genero parada</t>
  </si>
  <si>
    <t>Daño en rodillo desembobinador</t>
  </si>
  <si>
    <t>Reparación chumacera de calibración de registro (de 14:30 a 16:30)
Calibración espigo porta clichets grafilado y aplicación trabarrosca
Desmontaje eje (16:30 a 17:00) 
Porta rodillo loco desembobinador y fabricación de pieza soporte rodillo y montaje nuevamente quedando OK</t>
  </si>
  <si>
    <t>Fuga de aceite</t>
  </si>
  <si>
    <t>Se encuentra fuga en acople 1/8" a 1/8" de actuador hidraulico de unidad #2, se desmonta cople y se encuentra partido, se envio para compra, se instala y se entrega</t>
  </si>
  <si>
    <t>1X MIPLE 1/8" A 1/8"</t>
  </si>
  <si>
    <t>Fotocelda no lee
Maquina se apaga
Tensor suelto</t>
  </si>
  <si>
    <t>Eléctrica
Mecánica</t>
  </si>
  <si>
    <t>Se congigura el variado se ajusta fotocelda correa tensor rodillo y queda OK</t>
  </si>
  <si>
    <t>D.CUESTA</t>
  </si>
  <si>
    <t>Ajustar soporte del rodillo perforador para cuadrar perforadores</t>
  </si>
  <si>
    <t>Se ajusta la caña y se coloca tornillo a la manija de giro queda OK</t>
  </si>
  <si>
    <t>1X Tornillo M5 X 30 mm</t>
  </si>
  <si>
    <t>Suma de TIEMPO TOTAL SOLUCIÓN</t>
  </si>
  <si>
    <t>INDICADOR MTTR</t>
  </si>
  <si>
    <t>TIEMPO EVALUADO (DIAS)</t>
  </si>
  <si>
    <t>HORAS OPERACIÓN</t>
  </si>
  <si>
    <t>INDICADOR MTBF</t>
  </si>
  <si>
    <t>TPM TOTALES</t>
  </si>
  <si>
    <t>INDICADORES DE MTTR Y MTBF SOBRE TPM CERRADAS</t>
  </si>
  <si>
    <t>Selladora de laboratorio No tiene temperatura uniforme, validar la opción de construir un equipo nuevo o dejar a punto la maquina actual</t>
  </si>
  <si>
    <t>Se implementa selladora para muestras de calidad, se capacita personal y se hace entrega</t>
  </si>
  <si>
    <t>Daño en barra</t>
  </si>
  <si>
    <t>Se realizo cambio de punto por daño en pista de la guia del magacin
D. BAUTISTA 12/3/26 -&gt; 13:00 - 13:30
D. BAUTISTA 13/3/26 -&gt; 6:20 - 6:35</t>
  </si>
  <si>
    <t>Se realiza seguimiento, toma de consumos del motor el cual se encuentra dentro de los parametros</t>
  </si>
  <si>
    <t>Punto de soldadura del eje de embobinado</t>
  </si>
  <si>
    <t>Se retira soldadura averiado para soldar nuevamente con electrodo 7018 quedando OK</t>
  </si>
  <si>
    <t>1X Electrodo 7018</t>
  </si>
  <si>
    <t>Rodamiento del eje de embobinado dañado</t>
  </si>
  <si>
    <t>Se realiza cambio de rodamiento 6005 2Z-C3</t>
  </si>
  <si>
    <t>1X Rodamiento 6005 2Z-C3</t>
  </si>
  <si>
    <t>Falla en el transporte y el alimentador, se cae la barra al hacer el cambio</t>
  </si>
  <si>
    <t>Se calibra transportador y se quitan alarmas de variador</t>
  </si>
  <si>
    <t>Cuchilla</t>
  </si>
  <si>
    <t>Se recibe turno con anomalia en maquina
Se presta apoyo para ajuste en cuchilla superior y calibración de tiempos</t>
  </si>
  <si>
    <t>Bolsa sale bloqueada y marcada por la cuchilla</t>
  </si>
  <si>
    <t>Se presta apoyo para realizar ajuste en prensa, calibrar presiones en mordaza, se calibra cuchilla quedando OK</t>
  </si>
  <si>
    <t>Se daña rodamiento de la prensa sobresalto en motor del transportador</t>
  </si>
  <si>
    <t>Se evidencia que se sale rodamiento de rodillo transportador, se desmonta, se da ajuste, se busca y se cambia base de cadena del motor del transportador, se da ajuste de en rodamiento rodillo prensa, se lubrican se hace seguimiento durante el turno</t>
  </si>
  <si>
    <t>Se para la maquina por falla en la rotación, se para</t>
  </si>
  <si>
    <t>Rotación frenada limitando el giro dejando sin operación la maquina, se procede a desarme encontrando rodamiento con material y mal acoplado generando ajuste entre barril y eje de rotación, se realiza limpieza, se aplica grasa quedando OK</t>
  </si>
  <si>
    <t>Se ajusta eje de embobinado delantero (Torcido)</t>
  </si>
  <si>
    <t>Se realiza ajuste a cadena de rodillo balancin freno dejandolo nivelado</t>
  </si>
  <si>
    <t>Se necesita cambio de termocupla</t>
  </si>
  <si>
    <t>Bomba de vacio no chupa aire</t>
  </si>
  <si>
    <t>Se encuentra blower con refile atascado, adicional a esto carcasa suelta con falta de tornillos
Se le olocan y se da ajuste queda operativa</t>
  </si>
  <si>
    <t>Temperatura del molde no calienta</t>
  </si>
  <si>
    <t xml:space="preserve">Se realiza cambio de contactor de 18A de zona de molde </t>
  </si>
  <si>
    <t>1X Contactor 18A</t>
  </si>
  <si>
    <t>Se envia donde el proveedor el motor mez 40 HP 380V y se realiza mantenimiento general:
Cambio de rodamientos SKF
Cambio de retenedores
Metalizado de tapa lado ventilador
Metalizado de eje lado polea
Balanceo dinamico del rotor, ventilador y polea
Soldadura en tapa lado polea
Limpieza, mantenimiento y mano de obra</t>
  </si>
  <si>
    <t>Rodamientos, Retenedores</t>
  </si>
  <si>
    <t>Revisión de consumo en relé y controlador temperatura, hay consumo en resistencia controlador operativo, se apaga extrusora. Se interviene maquina y se entrega a operario</t>
  </si>
  <si>
    <t>Termocupla inferior</t>
  </si>
  <si>
    <t>Paro de maquina</t>
  </si>
  <si>
    <t>Se da ajsute a conectores eléctricos y se aplica aire forzado a tarjeta quedando operativo en seguimiento</t>
  </si>
  <si>
    <t>Ajuste de registros y trinquetes</t>
  </si>
  <si>
    <t>Se ajustan y se instalan 2 registros los cuales tienen tornilleria suelta, y se instalan 2 resortes a los trinquetes de 2 piñones
No se genera parada</t>
  </si>
  <si>
    <t>Resortes</t>
  </si>
  <si>
    <t>Nivel de aceite hidraulico bajo</t>
  </si>
  <si>
    <t>Se adiciona aceite hidraulico a deposito de aceite de bomba hidraulica por bajo nivel</t>
  </si>
  <si>
    <t>Aceite</t>
  </si>
  <si>
    <t>Tornillo partido en el soporte de los precortes</t>
  </si>
  <si>
    <t>Se extrae partido y se instala uno en mordaza de cuchilla M8 X 30 mm</t>
  </si>
  <si>
    <t>1X Tornillo M8 X 30 mm</t>
  </si>
  <si>
    <t>Motor tolva en revoluciones bajas</t>
  </si>
  <si>
    <t>Se verifican parametros del P-01 hasta P-014 y se ajustan algunos según manual de programación quedando OK</t>
  </si>
  <si>
    <t>Falla en cuenta metros</t>
  </si>
  <si>
    <t>Cuenta metros con conexión inestable, se rectifica y queda OK</t>
  </si>
  <si>
    <t>No embobina</t>
  </si>
  <si>
    <t>Cambio de fusibles por daño</t>
  </si>
  <si>
    <t>Fusibles 16A #3</t>
  </si>
  <si>
    <t>Falta de lampara o iluminación en la unidad #3 y #4</t>
  </si>
  <si>
    <t>M. PINZON</t>
  </si>
  <si>
    <t>Corta Core</t>
  </si>
  <si>
    <t>Solicitud de repuestos para corta core pera, teflon, eje de la cuchilla</t>
  </si>
  <si>
    <t xml:space="preserve">Esta suelta la polea de alimentación </t>
  </si>
  <si>
    <t>Se ajustan prisioneros de chumacera inferior de tornillo de alimentación, se instala tornillo M8 X 30 mm de ajuste de polea de transmisión de alimentación</t>
  </si>
  <si>
    <t>1X Tornillo M8 x 30 mm</t>
  </si>
  <si>
    <t>Manguera del aire corona rota</t>
  </si>
  <si>
    <t>Se quita el pedazo dañado ya que no se cuenta con el pedazo completo Quedo OK</t>
  </si>
  <si>
    <t>Prensa no ajusta la bolsa</t>
  </si>
  <si>
    <t>Se apoya a cuadre de material de prensa, se realiza seguimiento y queda en operación</t>
  </si>
  <si>
    <t>Octagon no funciona</t>
  </si>
  <si>
    <t>Se reconfigura IP, se configuran parametros, el equipo esta molestando, se requiere servicio tecnico</t>
  </si>
  <si>
    <t>Bloqueada donde coloca rollo</t>
  </si>
  <si>
    <t>Se revisa muletilla de accionamiento, se da ajuste y queda en operación</t>
  </si>
  <si>
    <t xml:space="preserve">Rodamiento de seguro de eje del embobinador </t>
  </si>
  <si>
    <t>Se cambia rodamiento de eje para dar mas ajuste y balanceo</t>
  </si>
  <si>
    <t>Zona del molde no sube de temperatura y el porta mallas esta en corto</t>
  </si>
  <si>
    <t>Cambio de termocupla para las resistencias de la rotación y cambio de SSR para daño en el portamallas, tornillo exterior</t>
  </si>
  <si>
    <t>1X Relé estado solido (SSR)
1X Termocupla bulbo tipo J</t>
  </si>
  <si>
    <t>Y. VAZQUEZ</t>
  </si>
  <si>
    <t>Tornillo de ajuste de manzana de la cortadora de cores</t>
  </si>
  <si>
    <t>Rectificación de rosca tornillo de ajuste manzana</t>
  </si>
  <si>
    <t>Daño en rodamiento embobinador</t>
  </si>
  <si>
    <t>Se le adapata rodamiento ya que el brazo tiene mucha carga</t>
  </si>
  <si>
    <t>1X Rodamiento 6305</t>
  </si>
  <si>
    <t>J. RIVERO</t>
  </si>
  <si>
    <t>Motor del embobinador</t>
  </si>
  <si>
    <t>Seguidor de leva malobrado y rodamiento no adecuado los que ajustaba el eje embobinador bloqueando embobinador, se realiza cambio de rodamiento y cambio de seguidor de leva quedando OK</t>
  </si>
  <si>
    <t>Se dañan huecos de tornillos bristol de la pera del eje embobinador</t>
  </si>
  <si>
    <t>Se rectifican roscas M10 de agujeris de la pera para instalar los prisioneros M10 X 20 m, se entrega al operario 
No se genero parada de maquina</t>
  </si>
  <si>
    <t>1X Prisionero M10 X 20 mm</t>
  </si>
  <si>
    <t>Valvula de aire de la barra del embobinador A se afloja y se fuga el aire, provocando telescopiado del rollo</t>
  </si>
  <si>
    <t>Se da ajuste a valvula neúmatica</t>
  </si>
  <si>
    <t>Cambio y ajuste de mordaza de calefacción de lampara</t>
  </si>
  <si>
    <t>Ventilador de la corona traquea</t>
  </si>
  <si>
    <t>Se revisa y el ventilador del motor estaba mal posicionado se ajusta quedando OK</t>
  </si>
  <si>
    <t xml:space="preserve">Cambio de pisador y revisión de mangueras de los ejes embobinadores </t>
  </si>
  <si>
    <t>Se hace cambio y revisión de mangueras felpa corrida y deteriorada, se hace ajuste seguimiento en el turno</t>
  </si>
  <si>
    <t>Maquina se apaga
Se reompe tornillo rodillo</t>
  </si>
  <si>
    <t>Se cambia tornillo y se da ajuste
Se revisa conexión tablero se ajustan terminales, se hace seguimiento durante el turno
Falla en pantalla</t>
  </si>
  <si>
    <t>Queda parada por falta de correas en el inventario
Se busca correa de backout en el taller, se encuentra, se hace requisición para la compra equipo</t>
  </si>
  <si>
    <t>1X Rodamiento 6207 C3</t>
  </si>
  <si>
    <t>1X M8 X 20 mm</t>
  </si>
  <si>
    <t>Se suelta correa</t>
  </si>
  <si>
    <t>Se da tensión a correa de transmisión de halador</t>
  </si>
  <si>
    <t>Motor del ventilador no enciende</t>
  </si>
  <si>
    <t>Se realizo inspección de circuito de control de enclavamiento del blower corona, se encuentra contacto NC abierto, se realizo el cambio y si entrega operativo</t>
  </si>
  <si>
    <t>Correa del transportador</t>
  </si>
  <si>
    <t>Se encuentra correa de transmisión de mordaza partida, referencia 240L, se realiza instalación y se entrega operativa</t>
  </si>
  <si>
    <t>1X Correa 240L</t>
  </si>
  <si>
    <t>Ajuste de cilindro
Cuadre de varilla</t>
  </si>
  <si>
    <t>Se calibra varillas y se hace reposición tornillos M8 X 30 mm quedando Ok</t>
  </si>
  <si>
    <t>3X Tornillos M8 X 30 mm</t>
  </si>
  <si>
    <t xml:space="preserve">J. VASQUEZ </t>
  </si>
  <si>
    <t>Se daña cadena de la corta cores</t>
  </si>
  <si>
    <t>Se pierde rosca, se coloca tuerca para remplazar rosca quedando OK
Nota:Se recomienda fabircar corona para cortacore</t>
  </si>
  <si>
    <t>1X Tuerca</t>
  </si>
  <si>
    <t>Eje de rodillo de entrada de material (Rollo ) Rodillo #1</t>
  </si>
  <si>
    <t>Se repara eje, se desencaja del soporte se colocan, tornillos se coloca abrazadera para que no se devuelva, queda provisional funcionamiento OK</t>
  </si>
  <si>
    <t>Daño en rodillo de correas</t>
  </si>
  <si>
    <t>Se realizo desmonte de rodillo tensor de selladora transportador, se encontró rodamiento en mal estado, se realizó cambio, quedo en operación
Nota: No se cuenta con herramienta necesaria</t>
  </si>
  <si>
    <t>1X Rodamiento 6001 2Z - C3</t>
  </si>
  <si>
    <t>Daño en la manguera del eje embobinador superior</t>
  </si>
  <si>
    <t>Se realiza cambio de 2 mangueras de bobinador superior</t>
  </si>
  <si>
    <t>Diferencial no funciona</t>
  </si>
  <si>
    <t>Se encuentra cableado de circuito de control desconectado, se realiza ajuste y pruebas de operación</t>
  </si>
  <si>
    <t>1X Rodamiento 3202 - BD - XL - 2HRS - TVH</t>
  </si>
  <si>
    <t>Tratador se baja la potencia esta en la maxima</t>
  </si>
  <si>
    <t>Se realiza inspección visualmente en mangas no se encuentra anomalia pero el tratador baja y sube de potencia
Se recomienda programar revisión</t>
  </si>
  <si>
    <t>Rodamiento de desembobinador</t>
  </si>
  <si>
    <t>Se grafila espigo portacliches y cambio de seguidor de leva desembobinador</t>
  </si>
  <si>
    <t>Se le daño la rosca</t>
  </si>
  <si>
    <t>Cambio de rosca para poder dar ajuste</t>
  </si>
  <si>
    <t>Manguera con escape de aire</t>
  </si>
  <si>
    <t>Se realiza cambio de manguera ya que presentaba varios tramos dañados y con escapes</t>
  </si>
  <si>
    <t>X3m Manguera 12mm</t>
  </si>
  <si>
    <t>Rosca de la corona de la cortacores esta dañada</t>
  </si>
  <si>
    <t>Se retira tuerca dañada, se realiza cambio de tornillo, se aplica soldadura queda nuevamente habilitada</t>
  </si>
  <si>
    <t>1X Tuerca M10
1X Tornillo M10</t>
  </si>
  <si>
    <t>Cortacores daño en tornillo que ajusta</t>
  </si>
  <si>
    <t>Se instala tuerca para tornillo M12 para ajuste de pera corta cores</t>
  </si>
  <si>
    <t>1X Tuerca M12</t>
  </si>
  <si>
    <t>S. BRICEÑO</t>
  </si>
  <si>
    <t>Rodamiento del seguro del embobinador se rompio</t>
  </si>
  <si>
    <t>El piñon del eje del embobinador se daño una vez, le falta un aseguramiento a eje para que no se corra</t>
  </si>
  <si>
    <t>Se verifica la falla encontrando eje sin topes, se instala el tope y se entrega trabajando</t>
  </si>
  <si>
    <t>Flauta inferior no gira total solo hasta la mitad y se tranca</t>
  </si>
  <si>
    <t>Se realiza ajute en embolo cilndro flauta quedando OK</t>
  </si>
  <si>
    <t>Cable desconectado</t>
  </si>
  <si>
    <t>Revisar transporte y alimentador del embobinador A</t>
  </si>
  <si>
    <t>Neúmatica, Mecánica</t>
  </si>
  <si>
    <t>Calibración de transportador</t>
  </si>
  <si>
    <t>Correa de transimisión del embobinador</t>
  </si>
  <si>
    <t>Correas embobinador sueltas, se suelta tornillos motor para calibrar poleas y correas quedando OK</t>
  </si>
  <si>
    <t>Se cae rodillo metalico (1) 
Desgaste 18-03-2026</t>
  </si>
  <si>
    <t>Se arregla soporte de rodillo ya que se encuentra con zuncho sujetando mal, se le instala unas abrazaderas metalicas y queda OK</t>
  </si>
  <si>
    <t>2x Abrazadera Media luna 1/2"</t>
  </si>
  <si>
    <t>A. MARTINEZ</t>
  </si>
  <si>
    <t>Eje embobinador superior tornillo que ajusta la manzana</t>
  </si>
  <si>
    <t>Tornillo partido de la manzana del embobinador</t>
  </si>
  <si>
    <t>1X Tornillo M10 X 35mm</t>
  </si>
  <si>
    <t>El alineador del doblador dejo de funcionar</t>
  </si>
  <si>
    <t>Cable de derivación a toma desconectado, se da ajuste y se realizan pruebas, quedo en operación</t>
  </si>
  <si>
    <t>Tiempo entre fallas</t>
  </si>
  <si>
    <t>Tiempo promedio para las reparaciones</t>
  </si>
  <si>
    <t>Maquina se apaga
Daño en la temperatura</t>
  </si>
  <si>
    <t>Se hace revisión de equipo, se ajusta componentes, se hace seguimiento durante el turno</t>
  </si>
  <si>
    <t>Pinola del molde se sale al arrancar la maquina</t>
  </si>
  <si>
    <t>Se envia barril a taller externo, se realiza montaje y puesta a punta de zonas de resistencias
Entrega de maquina armada, falta de montaje de corona 13:00, se requiere seguimiento despues del arranque</t>
  </si>
  <si>
    <t>Arandelas M10</t>
  </si>
  <si>
    <t>Arandelas M12</t>
  </si>
  <si>
    <t xml:space="preserve">Wasa M10 </t>
  </si>
  <si>
    <t>Wasa M12</t>
  </si>
  <si>
    <t>Prisioneros M10 X 20mm</t>
  </si>
  <si>
    <t>Termocupla bulbo tipo J</t>
  </si>
  <si>
    <t>Rodamientos 6005 2Z - C3</t>
  </si>
  <si>
    <t>Rodamientos 6203 C3</t>
  </si>
  <si>
    <t>Rodamientos 6305</t>
  </si>
  <si>
    <t>Tornillos M5 X 30mm</t>
  </si>
  <si>
    <t>Tornillos M6 X 50mm</t>
  </si>
  <si>
    <t>Tornillos M8 X 30mm</t>
  </si>
  <si>
    <t>Prisioneros 1/4"</t>
  </si>
  <si>
    <t>Rodamientos helicodiales</t>
  </si>
  <si>
    <t>Correas 1120 XH</t>
  </si>
  <si>
    <t>Arandelas M8</t>
  </si>
  <si>
    <t>Wasa M8</t>
  </si>
  <si>
    <t>Correas 240L</t>
  </si>
  <si>
    <t>Tuerca M8</t>
  </si>
  <si>
    <t>Tuerca M12</t>
  </si>
  <si>
    <t>Tuerca M10</t>
  </si>
  <si>
    <t>Rodamientos 6001 2Z -C3</t>
  </si>
  <si>
    <t>Rodamiento 3202 - BD -XL - 2HRS - TVH</t>
  </si>
  <si>
    <t>Tornillos M10 X 50mm</t>
  </si>
  <si>
    <t>Tornillos M12 X 50mm</t>
  </si>
  <si>
    <t>Abrazaderas media luna 1/2"</t>
  </si>
  <si>
    <t>Rodamiento 6010 2RS1</t>
  </si>
  <si>
    <t>Resistencia 3500W 220V</t>
  </si>
  <si>
    <t>Arandela M6</t>
  </si>
  <si>
    <t>Arandela M5</t>
  </si>
  <si>
    <t>Wasa M5</t>
  </si>
  <si>
    <t>Wasa M6</t>
  </si>
  <si>
    <t>Tuerca M5</t>
  </si>
  <si>
    <t>Tuerca M6</t>
  </si>
  <si>
    <t>Cinta alta temperatura</t>
  </si>
  <si>
    <t>Tornillo avellanado M5 X 30mm</t>
  </si>
  <si>
    <t>Tornillo hexagonal 3/8" x 1-1/2"</t>
  </si>
  <si>
    <t>Arandela plana M20</t>
  </si>
  <si>
    <t>Wasa M20</t>
  </si>
  <si>
    <t>Wasa 3/4"</t>
  </si>
  <si>
    <t>Tuerca 3/8"</t>
  </si>
  <si>
    <t>Wasa 3/8"</t>
  </si>
  <si>
    <t>Arandela 3/8"</t>
  </si>
  <si>
    <t>Borneras Regleta 10AWG (12)</t>
  </si>
  <si>
    <t>Borneras Regleta 12AWG (12)</t>
  </si>
  <si>
    <t>Bomba neúmatica de tinta de la unidad #1</t>
  </si>
  <si>
    <t>Se le realiza mantenimiento, se destapa, se limpian camaras, se vuelve a armar y quedo operativo funcionamiento OK</t>
  </si>
  <si>
    <t>Alcohol flexografico</t>
  </si>
  <si>
    <t>Revisar temperatura tornillo interior</t>
  </si>
  <si>
    <t>La maquina se arranca peo la velocidad no subia despues de 100 le puse 220 pero la maquina no subio y buscaba apegarse en la corona</t>
  </si>
  <si>
    <t>Se reinicia braker queda operativo</t>
  </si>
  <si>
    <t>Organizar y cuadrar castañas</t>
  </si>
  <si>
    <t>Se hace desmonte y montaje, ajuste de castaña y separado por ajuste, se limpia eje, se hace prueba queda operativo</t>
  </si>
  <si>
    <t>Se apago la rotación de la torre</t>
  </si>
  <si>
    <t>Se verifico rotación, se revisa un cable de la pacha B+ B- estaba mal contacto queda operativo</t>
  </si>
  <si>
    <t>Daño eje embobinador</t>
  </si>
  <si>
    <t>Se recibe reporte 14:30, se realiza inspección, se encuentra manguera fisurada, se remplaza y se entrega operativa</t>
  </si>
  <si>
    <t xml:space="preserve">Revisar manguera de la salida del IBC que esta rota en 2 partes </t>
  </si>
  <si>
    <t>Se encuentra manguera de IBC partida</t>
  </si>
  <si>
    <t>Coex 2 esta haciendo corto, se cae escobilla</t>
  </si>
  <si>
    <t>Escobilla se cae de su posición, esto genera corto al pegar directo al soporte de la misma, queda operativa</t>
  </si>
  <si>
    <t>E1090</t>
  </si>
  <si>
    <t>E1091</t>
  </si>
  <si>
    <t>E1092</t>
  </si>
  <si>
    <t>E1093</t>
  </si>
  <si>
    <t>E1094</t>
  </si>
  <si>
    <t>E1095</t>
  </si>
  <si>
    <t>E1096</t>
  </si>
  <si>
    <t>E1097</t>
  </si>
  <si>
    <t>E1098</t>
  </si>
  <si>
    <t>E1099</t>
  </si>
  <si>
    <t>Zona del tornillo interior 50° por encima de lo establecido</t>
  </si>
  <si>
    <t>Se cambia relé de estado solido</t>
  </si>
  <si>
    <t>1X SSR 40A 3-32 VAC</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</si>
  <si>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</si>
  <si>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</si>
  <si>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</si>
  <si>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</si>
  <si>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</si>
  <si>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</si>
  <si>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</si>
  <si>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</si>
  <si>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</si>
  <si>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</si>
  <si>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</si>
  <si>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</si>
  <si>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</si>
  <si>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</si>
  <si>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</si>
  <si>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</si>
  <si>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</si>
  <si>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</si>
  <si>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</si>
  <si>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</si>
  <si>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</si>
  <si>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</si>
  <si>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</si>
  <si>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</si>
  <si>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</si>
  <si>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</si>
  <si>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</si>
  <si>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</si>
  <si>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</si>
  <si>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</si>
  <si>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</si>
  <si>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</si>
  <si>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</si>
  <si>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</si>
  <si>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</si>
  <si>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</si>
  <si>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</si>
  <si>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</si>
  <si>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</si>
  <si>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</si>
  <si>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</si>
  <si>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</si>
  <si>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</si>
  <si>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</si>
  <si>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</si>
  <si>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</si>
  <si>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</si>
  <si>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</si>
  <si>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</si>
  <si>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</si>
  <si>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</si>
  <si>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</si>
  <si>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</si>
  <si>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</si>
  <si>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</si>
  <si>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</si>
  <si>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</si>
  <si>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</si>
  <si>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</si>
  <si>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</si>
  <si>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</si>
  <si>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</si>
  <si>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</si>
  <si>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</si>
  <si>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</si>
  <si>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</si>
  <si>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</si>
  <si>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</si>
  <si>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</si>
  <si>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</si>
  <si>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</si>
  <si>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</si>
  <si>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</si>
  <si>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</si>
  <si>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</si>
  <si>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</si>
  <si>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</si>
  <si>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</si>
  <si>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</si>
  <si>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</si>
  <si>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</si>
  <si>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</si>
  <si>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</si>
  <si>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</si>
  <si>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</si>
  <si>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</si>
  <si>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</si>
  <si>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</si>
  <si>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</si>
  <si>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</si>
  <si>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</si>
  <si>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</si>
  <si>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</si>
  <si>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</si>
  <si>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</si>
  <si>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</si>
  <si>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</si>
  <si>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</si>
  <si>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</si>
  <si>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</si>
  <si>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</si>
  <si>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Se solicita soporte de camilla del area de peletizado</t>
  </si>
  <si>
    <t xml:space="preserve">Base de perforadores esta torcida y hace falta tornillo y ruercas </t>
  </si>
  <si>
    <t>Se apoya a operario a ajuste de base perforación de precorte, se realizan pruebas, se instalas 2 tornillos M6 X 30mm y 3 tuercas M6
Se requieren mas tornillos y tuercas</t>
  </si>
  <si>
    <t>2X Tornillo M6 X 30mm
3X Tuerca M6</t>
  </si>
  <si>
    <t>Sensor de la tolva 4 de la B
No tiene</t>
  </si>
  <si>
    <t>Se coloca sensor este se toma de la tolva A4 ya que no se cuenta con otro. Ya se solicito hace un mes</t>
  </si>
  <si>
    <t>Daño en manga interior del tratador</t>
  </si>
  <si>
    <t>Fabricación funda de tratador, se necesita fabricar no hay en stock, medidas Dext56mm, Dint 50mm, 1.1m longitud</t>
  </si>
  <si>
    <t>Correa de los motores
Se daña por segunda vez 22:36</t>
  </si>
  <si>
    <t>Se encuentra polea de transmisión de embobinador superior suelto,se instala nuevo prisioneros, se da ajuste y queda operativo
Fallo nuevamente 22:38 reporte 23:0 en tiempo de comida tecnico, interveción 23:15
Se dosmonta polea, se extrae prisionero, se rectifica rosca M8 de prisionero de la polea, se instala prisionero M8 X 30mm, se realiza montaje y pruebasen vacio, se entrga operativo</t>
  </si>
  <si>
    <t>1X Prisionero M8 X 30mm</t>
  </si>
  <si>
    <t>Corto en cable</t>
  </si>
  <si>
    <t>Se remplaza terminal, se aisla y quedo OK</t>
  </si>
  <si>
    <t>Cilindro perforador</t>
  </si>
  <si>
    <t>Se realiza cambio de cilindro en perforadores por rasgado, se da ajuste en el soporte</t>
  </si>
  <si>
    <t>1X Cilindro 16 X 25mm grafado</t>
  </si>
  <si>
    <t>Afilamento de cuchilla quedo filo OK</t>
  </si>
  <si>
    <t>Prensa del embobinador esta partido (arrastre)</t>
  </si>
  <si>
    <t>Se realiza desmonte de rodillo conducido de prensa, se encuentra espigo partido, se requiere servicio externo coex parada</t>
  </si>
  <si>
    <t>Rodamiento del seguro del eje embobinador</t>
  </si>
  <si>
    <t>Se realiza cambio de tornillo tuerca y arandelas, se da ajuste al rodamiento</t>
  </si>
  <si>
    <t>1X Tornillo M6 X 60mm</t>
  </si>
  <si>
    <t>Daño en rodamiento</t>
  </si>
  <si>
    <t>Se realiza cambio de 2 rodamientos KR22 - PP - A (Seguidor de leva de unidad #2) desembobinador inferior</t>
  </si>
  <si>
    <t>NAA</t>
  </si>
  <si>
    <t>Calibración tornillo de presión
Ajuste rodamiento eje de tensión de correas</t>
  </si>
  <si>
    <t>Se ajustan tuercas de tornillo de presión para poder calibrar ser verifica rodamiento y se ajusta</t>
  </si>
  <si>
    <t>Eje bobinador pinchado</t>
  </si>
  <si>
    <t>Se realiza inspección de eje se observa fuga interna, se realiza cambio de eje y se entrega operativa</t>
  </si>
  <si>
    <t>Se realiza seguimeitno y comprobación componentes eléctricos, se hace seguimiento contactor pegado, se soluciona queda operativo el equipo</t>
  </si>
  <si>
    <t>Falla en correa de transmisión</t>
  </si>
  <si>
    <t>Se encuentra polea de transmisión sin cuña, el espacio de la cuña M8 se encuentra con desgaste, se fabrica cuña a medida del desgaste, se rectifican roscas M8 para los prisioneros de la polea y se instala buje de posición , se arma sistema de transmisión, se realiza pruebas y queda en operación</t>
  </si>
  <si>
    <t>Temperatura baja en barril</t>
  </si>
  <si>
    <t>Se encuentra contactor de potencia en falla con punto caliente, se corrige fallo quedando operativo</t>
  </si>
  <si>
    <t>Se suelta rodillo y daño de rodamiento en el mismp corea del servo suelto</t>
  </si>
  <si>
    <t>Se da ajuste a rodillo #22, se necesita repuesto para cambio, se ajusta polea de transmisión de prensa ya que se suelta y queda sin cuña</t>
  </si>
  <si>
    <t>Corta cores</t>
  </si>
  <si>
    <t>Falla en la corta cores daño de la pera</t>
  </si>
  <si>
    <t>Se instala tornillo y tuerca M12 para ajuste de pera del contactor</t>
  </si>
  <si>
    <t>1X Tornillo M12 X 60mm
1X Tuerca M12</t>
  </si>
  <si>
    <t>Variador del halador no prende</t>
  </si>
  <si>
    <t>L. FLOREZ: 13/04/26 Se requiere variador para cambio
D. BAUTISTA: 15/4/26 20:00-21:30 Se realiza instalación de variador OPTIDRIVE a motor de rodillo halador, se instala riel omega, se realizo conexión eléctrica y programación del variador, se realizan pruebas y se entrega a producción para arranque 21:30// 15/04/26, se va a realizar acompañamiento y seguimiento en el arranque 1:50// 16/04/26
Queda en operación</t>
  </si>
  <si>
    <t>Tornillo deaña la rosca, no ajusta la manzana para apretar el rollo</t>
  </si>
  <si>
    <t>Se re repasa por marchas M10 se cambia tornillo por roscado dañado</t>
  </si>
  <si>
    <t>1X Tornillo M10</t>
  </si>
  <si>
    <t>Se parte la correa que alimenta el servo</t>
  </si>
  <si>
    <t>Se encuentra correa de transmisión de halador partida, se remplaza correa 900H, se enrega operativa</t>
  </si>
  <si>
    <t>1X Correa 900H</t>
  </si>
  <si>
    <t>Tornillo de calibrar partido y termocupla mala</t>
  </si>
  <si>
    <t>Se saca tornillo y se ajusta termocupla</t>
  </si>
  <si>
    <t xml:space="preserve">El chiller no funciona adecuadamente no tiene flujo de agua </t>
  </si>
  <si>
    <t>Se verifica la falla encontrando obstruido el ducto de alimentación de la bomba centrifuga y congelamiennto de serpentin
Se desmonta la bomba se hace mantenimiento y descongela los ductos 
Se entrega en normal funcionamiento</t>
  </si>
  <si>
    <t>Manguera de la bomba neúmatico se rebento</t>
  </si>
  <si>
    <t>Cambio manguera se estalla</t>
  </si>
  <si>
    <t>Rodillo de el balancin se safo y se daño donde y sugetado con la cadena</t>
  </si>
  <si>
    <t>Se soldan los dos dos candados para la cadena del balancin</t>
  </si>
  <si>
    <t>Cuchilla se le parte un tornillo que genera la presión y ajusta la base</t>
  </si>
  <si>
    <t>Se encuentran pines guias de cilindros de ajuste de cuchilla con tornillos M4 X 20mm partidos, se extraen tornillos y se remplazan, se realiza montaje y se entrega para arranque</t>
  </si>
  <si>
    <t>4X Tornillos M4 X 20mm</t>
  </si>
  <si>
    <t>Dosificador no funciona</t>
  </si>
  <si>
    <t>Se realiza inspección y se encuentran contactos NC y NO en malas condiciones y por ello no realizo enclavamiento el contactor de alimetnación al variador, se remplazan y queda operativo</t>
  </si>
  <si>
    <t>1X Contacto NC
1X Contacto NO</t>
  </si>
  <si>
    <t>Rotación no arranca</t>
  </si>
  <si>
    <t>Se realiza inspeccióne eléctrica, se encuentra protección disparandose por corto, se realiza seguimiento y se encuentra cable de potencia aterrizado, se ajusta y se aisla cableado y se entrega operativo, se genero parada de maquina</t>
  </si>
  <si>
    <t>Fallo en temperatura molde</t>
  </si>
  <si>
    <t>Se realiza inspección y se encuentra contacto de contactor con punto caliente, se revisa conexión y se entrega operativo</t>
  </si>
  <si>
    <t>Motor dosificador no arranca</t>
  </si>
  <si>
    <t>Se realiza inspección al motor, se inspecciona estado de rodamientos, ajuste y conexiones eléctricas, se realizan pruebas y funciona se realiza montaje y se deja en operación</t>
  </si>
  <si>
    <t>Problemas con el molde las temperaturas no calientan, se dispara el breaker</t>
  </si>
  <si>
    <t>Se verifica conexiones, cables sueltos, se torquea quedando con alimentación empieza subir temperatura queda en seguimiento</t>
  </si>
  <si>
    <t>Corto eléctrico bomba</t>
  </si>
  <si>
    <t>Se cambia cable y encuhe CETAC o CEE tipo stick se ajusta conexiones, se verifica protección queda operativa
Prueba de consumos</t>
  </si>
  <si>
    <t>Cable encauchetado 4 hilos
Enchufe tipo stick</t>
  </si>
  <si>
    <t>Zona del molde no calienta</t>
  </si>
  <si>
    <t>Se encuentra temperatura baja en controlador molde, se inspecciono y se encuentra contacto e conector en fallo, se cambio contactor (32A), se realizan pruebas temperatura llego a setpoint y se entrega para arranque</t>
  </si>
  <si>
    <t>1X Contactor 32A</t>
  </si>
  <si>
    <t>Falla embobinador</t>
  </si>
  <si>
    <t>Se encuentra fallo en bobinador se revisa circuito de control, de accionamiento de tambor y bobinador ya que no habilita la maquina para arrancar, se realizan ajustes en componentes eléctricos del circuito, cambio de componentes en mal estado, ajuste de conexiones eléctricas, inspección de tableros de control, se realizan pruebas y se entrega operativa</t>
  </si>
  <si>
    <t>3X Fusibles 40A</t>
  </si>
  <si>
    <t>Bolsa se queda en las uñas</t>
  </si>
  <si>
    <t>Se realiza comprobación de entreadas de aire, valvulas neúmaticas, se toma consumo en solenoides, queda hacer seguimiento en el turno, se ajusta conteo para minimizar paradas</t>
  </si>
  <si>
    <t>Platos corona desajustados se traban, esto hace descalibrar la borbosca</t>
  </si>
  <si>
    <t>ANULADA</t>
  </si>
  <si>
    <t>Rodamiento del embobinador</t>
  </si>
  <si>
    <t>Se hace cambio y ajuste en rodamientos del eje embobinador. Quedo operativo</t>
  </si>
  <si>
    <t>1X Rodamiento 6005
2X Tornillos M5
2X Arandelas</t>
  </si>
  <si>
    <t>Fallo en temperatura de la mordaza</t>
  </si>
  <si>
    <t>Se encuentra cable de conexión de mordaza superior desconectado, se remplaza cable con terminal de ojo, se instala y se pone a calentar, queda en operación</t>
  </si>
  <si>
    <t>3X Terminales de ojo</t>
  </si>
  <si>
    <t>La corta cores presenta daño en ajuste de tornillo y rodillo del cortacore</t>
  </si>
  <si>
    <t>Se cambia tornillo y tierca</t>
  </si>
  <si>
    <t>2X Tuercas M12
2X Tornillos M12</t>
  </si>
  <si>
    <t>Problemas con la manguera de salida del IBC, esta rota empate con cinta</t>
  </si>
  <si>
    <t>Corto en la rotación</t>
  </si>
  <si>
    <t>Corto en escobillas de coex 2 se soluciona y queda OK</t>
  </si>
  <si>
    <t>Platos corona desjaustados</t>
  </si>
  <si>
    <t>Se destraban discos, se les coloca teflon quedan listos provisionalmente</t>
  </si>
  <si>
    <t>(Todas)</t>
  </si>
  <si>
    <t>Acondicionar cuarto de rodillos y taller de mantenimiento para impedir el ingreso de voladores.
Según instrucción dada a Jorge Fontecha</t>
  </si>
  <si>
    <t>Daño de soporte bascula compactado, requiere soldadura de soporte.
Implementar soporte de protección para evitar futuros daños</t>
  </si>
  <si>
    <t>Se ancla bascula compactado</t>
  </si>
  <si>
    <t>Tornillo daño la rosca no ajusta la manzana para apretar apretar el rollo</t>
  </si>
  <si>
    <t>Se repaza por marchos M10
Se cambia tornillo por roscado dañado</t>
  </si>
  <si>
    <t>Se solicita realizar la instalación de los tableros de seguridad en cada una de las areas</t>
  </si>
  <si>
    <t>Presenta falla de sensor</t>
  </si>
  <si>
    <t>Se hace revisión de sensor y encoder por falla, se hace ajuste en tiempos</t>
  </si>
  <si>
    <t>Cadena del eje embobinador se parte, zona tornillo interno esta recalentada</t>
  </si>
  <si>
    <t>Se cambia cadena en eje del embobinador, lo dos costados se revisa zona del tornillo, cambio de termocupla, toma de consumos, sobre parametros se hace segiumiento</t>
  </si>
  <si>
    <t>Diferencia de lado izquierdo se queda que no funciona</t>
  </si>
  <si>
    <t>Se encuentra en caja botonera desconexión mando, se instala terminal, se ajsuta, se organiza tapa de conexión de motor de diferencial queda operativa</t>
  </si>
  <si>
    <t>Temperaturas altas y bajas</t>
  </si>
  <si>
    <t>D. MORENO</t>
  </si>
  <si>
    <t>Mangas tratador se quemaron</t>
  </si>
  <si>
    <t>Se limpia mangas con alcohol, se aplica silicona alte temperatura, se recomienda dejar seca 30 min</t>
  </si>
  <si>
    <t>Silicona Alta temperatura</t>
  </si>
  <si>
    <t xml:space="preserve">Daño en la toma de corriente </t>
  </si>
  <si>
    <t>Se encuentra toma 220V trifasica partida y genera corto, se remplaza toma y trs fusibles 16A que quemo en el corto, quedo operativo</t>
  </si>
  <si>
    <t>3X Fusibles 16A
1X Toma trifasica</t>
  </si>
  <si>
    <t>Se desordenaron las correas</t>
  </si>
  <si>
    <t>Se realiza ajuste a correas sobremontadas queda resaltar que esta es parte operativa</t>
  </si>
  <si>
    <t>Molesta la temperatura, sube y baja</t>
  </si>
  <si>
    <t>Se revisa, se cambia terminal de resistencia hacia falso contacto, se ajusta se pone a calentar quedando en temperatura de trabajo</t>
  </si>
  <si>
    <t>Fallo en escobillas de rotación</t>
  </si>
  <si>
    <t>Se calibran escobillas, hay una que el soporte ya no agarra bien</t>
  </si>
  <si>
    <t>Se daña manguera de aire de las uñas</t>
  </si>
  <si>
    <t>Se realiza cambio de manguera, se encuentra partida, se da ajuste queda operativa</t>
  </si>
  <si>
    <t>1X Tramo de manguera de 8m X 50mm</t>
  </si>
  <si>
    <t>Etiquetas de columna</t>
  </si>
  <si>
    <t>Se cae silicona en las manijasquemadas</t>
  </si>
  <si>
    <t>Se hace aplicación de silicona alta temperatura, se deja secar por tiempo de 40 minutos</t>
  </si>
  <si>
    <t>Silicona alta temperatura</t>
  </si>
  <si>
    <t>Problemas con los clavos de los huecos no perforan</t>
  </si>
  <si>
    <t>Se realiza afilado de clavos y montaje de sistema de perforaciones, se realizan pruebas y se entrega en operación 7:45
Se tiene en seguimiento el resto del turno</t>
  </si>
  <si>
    <t>Fallo hecha ccandela el tratador</t>
  </si>
  <si>
    <t>Se desmontan rodillos del tratador para inspección visual los cuales se observan en mal estado para operación 10:00 -&gt; 11:00
Se realizo montaje de ejes a los rodillos vulcanizados y se realizo montaje en maquina entregandoselo a producción 13:00 -&gt; 14:30</t>
  </si>
  <si>
    <t>Se apaga constantemente</t>
  </si>
  <si>
    <t>Conector haciendo mal contacto en pantalla y se verifca soldadura y se trabajando OK</t>
  </si>
  <si>
    <t>Se apaga el tablero repetidas ocasiones</t>
  </si>
  <si>
    <t>Se evidencia falso contacto en cable de datos apaga el equipo intermitentemente se realiza seguimiento durante el turno persiste el fallo</t>
  </si>
  <si>
    <t>Barra de perforadores partida</t>
  </si>
  <si>
    <t>Balancin bloqueado</t>
  </si>
  <si>
    <t>Se evidencian sensores en mala posición por tanto no hacen señal, se posicionan y se ajustan, se calibra entrada de aire</t>
  </si>
  <si>
    <t>Se necesitan materiales para taller de mantenimiento</t>
  </si>
  <si>
    <t>Prensa se frena</t>
  </si>
  <si>
    <t>Se lubrican rodamientos de chumaceras, se ajusta tensión motor y se realizan pruebas en operación</t>
  </si>
  <si>
    <t>Fotocelda falla</t>
  </si>
  <si>
    <t>Se realizo cambio de fotocelda y la operaria realiza cambio de parametros quedando operativa</t>
  </si>
  <si>
    <t>Cambio de rodillo pisador</t>
  </si>
  <si>
    <t>Se realiza cambio de rodillo pisador superior</t>
  </si>
  <si>
    <t>Daño en piñon del servo se sigue trabando bajo seguimiento</t>
  </si>
  <si>
    <t>Se evidencia piñon dañado por falta de dientes, se busca en el taller, no se encuentra repuesto para remplazar
Seguimiento durante el turno</t>
  </si>
  <si>
    <t>Se enreda el material en el servo, se arreglan las uñas</t>
  </si>
  <si>
    <t>Se retiran uñas, se desdoblan
Quedan OK</t>
  </si>
  <si>
    <t>Correa del halador destencionada</t>
  </si>
  <si>
    <t>Se tensiona correa sincronica de halador ya que se encuentra demasiado destencionada</t>
  </si>
  <si>
    <t>Echa candela el tratador</t>
  </si>
  <si>
    <t>Se realiza ajuste en conectores, se aisla terminal de potencia y se ajustan cuchillas de tratado, se realizan pruebas y queda operativo, se entrega para arranque</t>
  </si>
  <si>
    <t>Fabricación de mangas tratadoras 51mm X 55mm X 1100mm X3 unidades</t>
  </si>
  <si>
    <t>Muestrar error en sensor 05</t>
  </si>
  <si>
    <t>Falla 05 en sensor drive, se ajusto sensor, se reseteo maquina y se realizan pruebas</t>
  </si>
  <si>
    <t>Zona 1 (Tolva) no calienta</t>
  </si>
  <si>
    <t>Se realiza cambio de pirometro de tolva</t>
  </si>
  <si>
    <t>1X Pirometro</t>
  </si>
  <si>
    <t>Falla en tratador (echa candela)</t>
  </si>
  <si>
    <t>Se encuentra aislador quemado, se cambia por el del cable a tierra ya que no hay en stock, queda OK
Se solicita para su cambio</t>
  </si>
  <si>
    <t>1X Aislador</t>
  </si>
  <si>
    <t>Ajustar clavos de los perforadores</t>
  </si>
  <si>
    <t>Se calibran perforadores, se les echa superbonder como medida transitoria</t>
  </si>
  <si>
    <t>Daño en el balancin</t>
  </si>
  <si>
    <t>Se ajustan rodamientos Queda OK</t>
  </si>
  <si>
    <t>Diferencial izquierda no subia, bombas neumatica y eléctricas</t>
  </si>
  <si>
    <t>Se revisan bombas, clavijas mal conexión, la neúmatica se le hace mantenimiento, diferencial cable abierto, se remplaza, todo queda OK</t>
  </si>
  <si>
    <t>Daño en cilindro neúmatico del perforador</t>
  </si>
  <si>
    <t>Se cambio cilindro neúmatico por daño en rosca</t>
  </si>
  <si>
    <t>1X Cilindro Neúmatico</t>
  </si>
  <si>
    <t>Se enreda el material en el servo y se doblan las uñas</t>
  </si>
  <si>
    <t>Se evidencia material y cinta enredados en rodillo servo, se doblan las uñas, se desmontan se enderezan, se limpian rodillos, se hacen pruebas queda operativa</t>
  </si>
  <si>
    <t>Se rompe correa del servo</t>
  </si>
  <si>
    <t>Se realiza cambio de correa de rodillo de cuchilla ya que se encuentra y queda operativa</t>
  </si>
  <si>
    <t>Manguera del IBC ROTA</t>
  </si>
  <si>
    <t>Se realiza cambio de manguera de salida del IBC la cual se encuentra en mal estado, se interviene en cambio de mallas del cañon A y C, queda lista para arrancar</t>
  </si>
  <si>
    <t>Rodillo en mal estado</t>
  </si>
  <si>
    <t>Se evidencia polea de transmisión rodillo halador servo suelto, se ajusta cuña y prisionero y queda operativo</t>
  </si>
  <si>
    <t>Se rompe rodillo punta del transportador</t>
  </si>
  <si>
    <t>Se desmonta rodillo tensor de transportador, se reconstruye punta se da ajuste al eje, se tensionan correas y queda operativa la maquina</t>
  </si>
  <si>
    <t>Soldadura 60113</t>
  </si>
  <si>
    <t>Maquina presenta variación de emperatura (baja)</t>
  </si>
  <si>
    <t>Se encuentra cable de derivación a resistencia de mordaza superior en mal estado, se realizo el cambio y se instala bornera, queda operativa</t>
  </si>
  <si>
    <t>1X Bornera</t>
  </si>
  <si>
    <t>Cambio de cuchilla</t>
  </si>
  <si>
    <t>Compra urgente:
X30 Tornillo bristol M16 X 60mm
X2 Llaves bristol M14 largas
X2 Laves bristol 9/16" largas
X1 Palanca para dado 1/2"</t>
  </si>
  <si>
    <t>X2 cuñetes aceite 320 Frixo</t>
  </si>
  <si>
    <t xml:space="preserve">Correa 240L 075 X6 u/n correa dentada </t>
  </si>
  <si>
    <t>Balancin del embobinador al momento de prender el embobinador se arrancaba sola y se subia la velocidad a 35</t>
  </si>
  <si>
    <t>Se realiza inspección de circuitos, se condiciona velocidad de motor tambor para operar a baja velocidad ya que se necesita cambio de potenciometro selector el cual se pidio para el cambio, se tiene en seguimiento</t>
  </si>
  <si>
    <t>Falla en sensor</t>
  </si>
  <si>
    <t>Sensor del desembobinador golpeado y cable trozado, se hace empalme cables y posicionamiento de sensor queda operativo</t>
  </si>
  <si>
    <t>Daño en potenciometro
No sube la velocidad
No frena se abaja rampa de descenso</t>
  </si>
  <si>
    <t>Se realizo cambio de pontecniometro, se da ajuste a freno, se realizan pruebas y queda operativa</t>
  </si>
  <si>
    <t>1X Potenciometro</t>
  </si>
  <si>
    <t>Se cambia teflon, se coloca y queda OK</t>
  </si>
  <si>
    <t>Rectficar rosca</t>
  </si>
  <si>
    <t>Se repasa rosca de mordaza</t>
  </si>
  <si>
    <t>E.</t>
  </si>
  <si>
    <t>Atasco en tolva por material</t>
  </si>
  <si>
    <t>Se destraba tolva queda OK</t>
  </si>
  <si>
    <t>Fabricación de camisas roscadas DE CAMISAS ROSCADAS M16 Ø INTERNO X M22 Ø EXTERNO X 30 MM LONGITUD portamallas</t>
  </si>
  <si>
    <t>Maquina se para varias veces, se le avisa a mantenimiento (sensor)</t>
  </si>
  <si>
    <t>La maquina arranca y sube velocidad sola</t>
  </si>
  <si>
    <t>Soldadura del piñon del desembobinador se rompe</t>
  </si>
  <si>
    <t>Se aplica soldadura a eje desembobinador queda operativo</t>
  </si>
  <si>
    <t>Soldadura 6013</t>
  </si>
  <si>
    <t>Probelmas con los tratadores no funcionan para abrir y para cerrar las densiddes, no funcionan para calcularles lasque es</t>
  </si>
  <si>
    <t>Se revisa tablero, control de tablero y paletas, se identifica cableado, se da conexión y ajuste por parte operario queda operativa, se reinicio el equipo pero persiste falla de densidad para calcular</t>
  </si>
  <si>
    <t>D. MENDOZA</t>
  </si>
  <si>
    <t>Daño selladora manual
Soldadura sueta en el pedal</t>
  </si>
  <si>
    <t>Se aplica soldadura a soportes del pedal</t>
  </si>
  <si>
    <t>A</t>
  </si>
  <si>
    <t>Daño en los perforadores desde las 15:00</t>
  </si>
  <si>
    <t>Se solda soporte de perforadores ya que se encuentra partido y se instalan tornillos</t>
  </si>
  <si>
    <t>4X Tornillos M6 X 30mm</t>
  </si>
  <si>
    <t>La cuchilla rompe la bolsa</t>
  </si>
  <si>
    <t>Se da ajuste en cuchilla y mordaza, se ajusta temperatura, se realizan puebas y queda en operación</t>
  </si>
  <si>
    <t>Daño en perforación</t>
  </si>
  <si>
    <t>Cambio de cilindro</t>
  </si>
  <si>
    <t>1X Cilindro neumático</t>
  </si>
  <si>
    <t>Manguera del aire se suelta</t>
  </si>
  <si>
    <t>Se ajusta manguera y cilindro neumático queda operativo</t>
  </si>
  <si>
    <t>Falla ventilador del motor halador prensa</t>
  </si>
  <si>
    <t>Se cambia y se adapta blower
Queda OK</t>
  </si>
  <si>
    <t>Temperatura tornillo externo elevada</t>
  </si>
  <si>
    <t>Se cambia relé estado solido y termocupla queda bajando temperatura</t>
  </si>
  <si>
    <t>Daño en soporte de perforadores</t>
  </si>
  <si>
    <t>Se desmonta soporte perforadores, se aplica soldadura, se monta y se ajusta queda operativa</t>
  </si>
  <si>
    <t>Torpedo del molde suelto</t>
  </si>
  <si>
    <t>Se ajusta torpedo del equipo y se entrega a el operario</t>
  </si>
  <si>
    <t>Tornillo esta muy duro y no sirve</t>
  </si>
  <si>
    <t>Se aplica soldadura se rompe tornillo, se extrae con buje de camisa, se reporta a producción equipo parado mientras traen repuesto, tornillos nuevos</t>
  </si>
  <si>
    <t>Daño en las uñas</t>
  </si>
  <si>
    <t>Se desmontan uñas, se enderezan uñas de las flautas, se retira desgaste en uñas y queda en operación</t>
  </si>
  <si>
    <t>Rodillo loco rodamiento en mal estado</t>
  </si>
  <si>
    <t xml:space="preserve">Se revisa rodillo loco estaba girando en su eje por que la chumacera estaba pegada, se hace limpieza lubricación y ajuste en ambos costados y queda operativo, se lija rodillo </t>
  </si>
  <si>
    <t>Se requiere chumacera UC FL 206 para equipo coex 5, rodillo loco</t>
  </si>
  <si>
    <t>Daño en el transportador</t>
  </si>
  <si>
    <t>Se parte tornillo de sujeción de rodillo tenso transportador, se extrae tornillo y se instala tornillo,se realiza montaje y queda en operación</t>
  </si>
  <si>
    <t>2X Tornillo M5 X 20MM</t>
  </si>
  <si>
    <t>Cables del porta mallas desconectado</t>
  </si>
  <si>
    <t>Se evdencia cable desnconectado en resistencia se daña, terminal hace corto, se conecta nuevamente, se hace seguimiento en el turno</t>
  </si>
  <si>
    <t>Falla en el tratador (se apaga)</t>
  </si>
  <si>
    <t>Se evidencia punto caliente, se hace ajuste se cambia cinta, se hace prueba y persiste corto, se evidencia mangas quemadas y cable dañado, se hace cambio cable y terminales, se aplica silicona de alta temperatuura, queda operativa y se hace seguimiento durante el turno</t>
  </si>
  <si>
    <t>5X Terminales</t>
  </si>
  <si>
    <t xml:space="preserve">Cinta aislante
Silicona alta temperatura
</t>
  </si>
  <si>
    <t>Manzana corta cores no aprieta, rosca dañada</t>
  </si>
  <si>
    <t>Se remplaza tuerca y tornillo por desgaste y exceso de ajust</t>
  </si>
  <si>
    <t>1X Tornillo M12
1X Tuerca M12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</si>
</sst>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hh]:mm:ss"/>
    <numFmt numFmtId="166" formatCode="0.0"/>
    <numFmt numFmtId="170" formatCode="[$-F400]h:mm:ss\ AM/PM"/>
  </numFmts>
  <fonts count="5" x14ac:knownFonts="1">
    <font>
      <sz val="11"/>
      <color theme="1"/>
      <name val="Aptos Narrow"/>
      <family val="2"/>
      <scheme val="minor"/>
    </font>
    <font>
      <b/>
      <sz val="11"/>
      <color theme="1"/>
      <name val="Aptos Narrow"/>
      <family val="2"/>
      <scheme val="minor"/>
    </font>
    <font>
      <sz val="12"/>
      <color theme="1"/>
      <name val="Arial"/>
      <family val="2"/>
    </font>
    <font>
      <b/>
      <sz val="11"/>
      <name val="Roboto"/>
    </font>
    <font>
      <b/>
      <sz val="18"/>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27">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1" xfId="0" applyBorder="1"/>
    <xf numFmtId="14" fontId="0" fillId="0" borderId="1" xfId="0" applyNumberFormat="1" applyBorder="1"/>
    <xf numFmtId="0" fontId="3" fillId="2" borderId="1" xfId="1" applyFont="1" applyFill="1" applyBorder="1" applyAlignment="1">
      <alignment horizontal="center" vertical="center" wrapText="1"/>
    </xf>
    <xf numFmtId="164" fontId="0" fillId="0" borderId="1" xfId="0" applyNumberFormat="1" applyBorder="1"/>
    <xf numFmtId="165" fontId="0" fillId="0" borderId="1" xfId="0" applyNumberFormat="1" applyBorder="1"/>
    <xf numFmtId="165" fontId="0" fillId="0" borderId="0" xfId="0" applyNumberFormat="1"/>
    <xf numFmtId="0" fontId="1" fillId="3" borderId="0" xfId="0" applyFont="1" applyFill="1"/>
    <xf numFmtId="166" fontId="0" fillId="0" borderId="0" xfId="0" applyNumberFormat="1"/>
    <xf numFmtId="0" fontId="0" fillId="0" borderId="1" xfId="0" applyBorder="1" applyAlignment="1">
      <alignment horizontal="left"/>
    </xf>
    <xf numFmtId="0" fontId="0" fillId="0" borderId="0" xfId="0" applyAlignment="1">
      <alignment vertical="top"/>
    </xf>
    <xf numFmtId="164" fontId="0" fillId="0" borderId="0" xfId="0" applyNumberFormat="1" applyAlignment="1">
      <alignment vertical="top"/>
    </xf>
    <xf numFmtId="14" fontId="0" fillId="0" borderId="0" xfId="0" applyNumberFormat="1" applyAlignment="1">
      <alignment vertical="top"/>
    </xf>
    <xf numFmtId="0" fontId="0" fillId="0" borderId="0" xfId="0" applyAlignment="1">
      <alignment vertical="top" wrapText="1"/>
    </xf>
    <xf numFmtId="22" fontId="0" fillId="0" borderId="1" xfId="0" applyNumberFormat="1" applyBorder="1"/>
    <xf numFmtId="22" fontId="0" fillId="0" borderId="0" xfId="0" applyNumberFormat="1"/>
    <xf numFmtId="22" fontId="0" fillId="0" borderId="0" xfId="0" applyNumberFormat="1" applyAlignment="1">
      <alignment vertical="top"/>
    </xf>
    <xf numFmtId="0" fontId="1"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0" fillId="0" borderId="0" xfId="0" applyNumberFormat="1"/>
    <xf numFmtId="170" fontId="0" fillId="0" borderId="0" xfId="0" applyNumberFormat="1"/>
  </cellXfs>
  <cellStyles count="2">
    <cellStyle name="Normal" xfId="0" builtinId="0"/>
    <cellStyle name="Normal 2" xfId="1" xr:uid="{A7518754-C078-4509-AE3B-CF274E675614}"/>
  </cellStyles>
  <dxfs count="40">
    <dxf>
      <numFmt numFmtId="165" formatCode="[hh]:mm:ss"/>
    </dxf>
    <dxf>
      <numFmt numFmtId="166" formatCode="0.0"/>
    </dxf>
    <dxf>
      <numFmt numFmtId="165" formatCode="[hh]:mm:ss"/>
    </dxf>
    <dxf>
      <numFmt numFmtId="166" formatCode="0.0"/>
    </dxf>
    <dxf>
      <numFmt numFmtId="165" formatCode="[hh]:mm:ss"/>
    </dxf>
    <dxf>
      <numFmt numFmtId="27" formatCode="d/mm/yyyy\ h:mm"/>
    </dxf>
    <dxf>
      <numFmt numFmtId="27" formatCode="d/mm/yyyy\ h:mm"/>
    </dxf>
    <dxf>
      <numFmt numFmtId="164" formatCode="[$-F400]h:mm:ss\ AM/PM"/>
    </dxf>
    <dxf>
      <numFmt numFmtId="19" formatCode="d/mm/yyyy"/>
    </dxf>
    <dxf>
      <numFmt numFmtId="164" formatCode="[$-F400]h:mm:ss\ AM/PM"/>
    </dxf>
    <dxf>
      <numFmt numFmtId="164" formatCode="[$-F400]h:mm:ss\ AM/PM"/>
    </dxf>
    <dxf>
      <numFmt numFmtId="19" formatCode="d/mm/yyyy"/>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70" formatCode="[$-F400]h:mm:ss\ AM/PM"/>
    </dxf>
    <dxf>
      <numFmt numFmtId="170" formatCode="[$-F400]h:mm:ss\ AM/PM"/>
    </dxf>
    <dxf>
      <numFmt numFmtId="0" formatCode="General"/>
    </dxf>
    <dxf>
      <numFmt numFmtId="0" formatCode="General"/>
    </dxf>
    <dxf>
      <numFmt numFmtId="0" formatCode="General"/>
    </dxf>
    <dxf>
      <numFmt numFmtId="19" formatCode="d/mm/yyyy"/>
    </dxf>
    <dxf>
      <numFmt numFmtId="170"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
    </dxf>
    <dxf>
      <numFmt numFmtId="165" formatCode="[h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[DATOS TPM.xlsx]DATOS!TablaDinámica1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DATOS!$B$5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7C-4174-919D-8B6B06FB57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7C-4174-919D-8B6B06FB57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57C-4174-919D-8B6B06FB57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57C-4174-919D-8B6B06FB573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57C-4174-919D-8B6B06FB573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57C-4174-919D-8B6B06FB573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57C-4174-919D-8B6B06FB573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57C-4174-919D-8B6B06FB573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57C-4174-919D-8B6B06FB573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57C-4174-919D-8B6B06FB573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F57C-4174-919D-8B6B06FB573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F57C-4174-919D-8B6B06FB573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F57C-4174-919D-8B6B06FB573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F57C-4174-919D-8B6B06FB573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F57C-4174-919D-8B6B06FB573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F57C-4174-919D-8B6B06FB573F}"/>
              </c:ext>
            </c:extLst>
          </c:dPt>
          <c:cat>
            <c:strRef>
              <c:f>DATOS!$A$6:$A$22</c:f>
              <c:strCache>
                <c:ptCount val="16"/>
                <c:pt idx="0">
                  <c:v>C. ORTEGA</c:v>
                </c:pt>
                <c:pt idx="1">
                  <c:v>D. BAUTISTA</c:v>
                </c:pt>
                <c:pt idx="2">
                  <c:v>D. BAUTITA</c:v>
                </c:pt>
                <c:pt idx="3">
                  <c:v>J. FONTECHA</c:v>
                </c:pt>
                <c:pt idx="4">
                  <c:v>J. SILVA</c:v>
                </c:pt>
                <c:pt idx="5">
                  <c:v>J. SILVA Y D. BAUITISTA</c:v>
                </c:pt>
                <c:pt idx="6">
                  <c:v>J.SILVA</c:v>
                </c:pt>
                <c:pt idx="7">
                  <c:v>L. CASTILLA</c:v>
                </c:pt>
                <c:pt idx="8">
                  <c:v>L. CASTILLAS</c:v>
                </c:pt>
                <c:pt idx="9">
                  <c:v>L. FLOREZ</c:v>
                </c:pt>
                <c:pt idx="10">
                  <c:v>L. FLOREZ Y  D. BAUTISTA</c:v>
                </c:pt>
                <c:pt idx="11">
                  <c:v>L. FLOREZ Y D. BAUTISTA</c:v>
                </c:pt>
                <c:pt idx="12">
                  <c:v>M. PEREZ</c:v>
                </c:pt>
                <c:pt idx="13">
                  <c:v>NA</c:v>
                </c:pt>
                <c:pt idx="14">
                  <c:v>O. DUARTE</c:v>
                </c:pt>
                <c:pt idx="15">
                  <c:v>(en blanco)</c:v>
                </c:pt>
              </c:strCache>
            </c:strRef>
          </c:cat>
          <c:val>
            <c:numRef>
              <c:f>DATOS!$B$6:$B$22</c:f>
              <c:numCache>
                <c:formatCode>General</c:formatCode>
                <c:ptCount val="16"/>
                <c:pt idx="0">
                  <c:v>19</c:v>
                </c:pt>
                <c:pt idx="1">
                  <c:v>215</c:v>
                </c:pt>
                <c:pt idx="2">
                  <c:v>2</c:v>
                </c:pt>
                <c:pt idx="3">
                  <c:v>3</c:v>
                </c:pt>
                <c:pt idx="4">
                  <c:v>104</c:v>
                </c:pt>
                <c:pt idx="5">
                  <c:v>2</c:v>
                </c:pt>
                <c:pt idx="6">
                  <c:v>1</c:v>
                </c:pt>
                <c:pt idx="7">
                  <c:v>140</c:v>
                </c:pt>
                <c:pt idx="8">
                  <c:v>1</c:v>
                </c:pt>
                <c:pt idx="9">
                  <c:v>15</c:v>
                </c:pt>
                <c:pt idx="10">
                  <c:v>1</c:v>
                </c:pt>
                <c:pt idx="11">
                  <c:v>2</c:v>
                </c:pt>
                <c:pt idx="12">
                  <c:v>5</c:v>
                </c:pt>
                <c:pt idx="13">
                  <c:v>1</c:v>
                </c:pt>
                <c:pt idx="14">
                  <c:v>116</c:v>
                </c:pt>
                <c:pt idx="15">
                  <c:v>5</c:v>
                </c:pt>
              </c:numCache>
            </c:numRef>
          </c:val>
          <c:extLst>
            <c:ext xmlns:c16="http://schemas.microsoft.com/office/drawing/2014/chart" uri="{C3380CC4-5D6E-409C-BE32-E72D297353CC}">
              <c16:uniqueId val="{00000000-6EAC-4C95-B47E-9BEE8CBC145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[DATOS TPM.xlsx]DATOS!TablaDinámica2</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DATOS!$B$72:$B$73</c:f>
              <c:strCache>
                <c:ptCount val="1"/>
                <c:pt idx="0">
                  <c:v>ABIERTA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DATOS!$A$74:$A$99</c:f>
              <c:strCache>
                <c:ptCount val="25"/>
                <c:pt idx="0">
                  <c:v>CORTA CORE</c:v>
                </c:pt>
                <c:pt idx="1">
                  <c:v>EXTRUSORA</c:v>
                </c:pt>
                <c:pt idx="2">
                  <c:v>EXTRUSORA 1</c:v>
                </c:pt>
                <c:pt idx="3">
                  <c:v>EXTRUSORA 2</c:v>
                </c:pt>
                <c:pt idx="4">
                  <c:v>EXTRUSORA 3</c:v>
                </c:pt>
                <c:pt idx="5">
                  <c:v>EXTRUSORA 3 Y EXTRUSORA 4</c:v>
                </c:pt>
                <c:pt idx="6">
                  <c:v>EXTRUSORA 4</c:v>
                </c:pt>
                <c:pt idx="7">
                  <c:v>EXTRUSORA 5</c:v>
                </c:pt>
                <c:pt idx="8">
                  <c:v>IMPRESORA 1</c:v>
                </c:pt>
                <c:pt idx="9">
                  <c:v>Lab. Calidad</c:v>
                </c:pt>
                <c:pt idx="10">
                  <c:v>MEZCLADORA 1</c:v>
                </c:pt>
                <c:pt idx="11">
                  <c:v>Otro</c:v>
                </c:pt>
                <c:pt idx="12">
                  <c:v>PELETIZADORA</c:v>
                </c:pt>
                <c:pt idx="13">
                  <c:v>PELETIZADORA 1</c:v>
                </c:pt>
                <c:pt idx="14">
                  <c:v>REFILADORA</c:v>
                </c:pt>
                <c:pt idx="15">
                  <c:v>REFILADORA 1</c:v>
                </c:pt>
                <c:pt idx="16">
                  <c:v>REFILADORA 2</c:v>
                </c:pt>
                <c:pt idx="17">
                  <c:v>REFILADORA 3</c:v>
                </c:pt>
                <c:pt idx="18">
                  <c:v>SELLADORA</c:v>
                </c:pt>
                <c:pt idx="19">
                  <c:v>SELLADORA 1</c:v>
                </c:pt>
                <c:pt idx="20">
                  <c:v>SELLADORA 2</c:v>
                </c:pt>
                <c:pt idx="21">
                  <c:v>SELLADORA 3</c:v>
                </c:pt>
                <c:pt idx="22">
                  <c:v>SELLADORA 4</c:v>
                </c:pt>
                <c:pt idx="23">
                  <c:v>SELLADORA 5</c:v>
                </c:pt>
                <c:pt idx="24">
                  <c:v>Corta cores</c:v>
                </c:pt>
              </c:strCache>
            </c:strRef>
          </c:cat>
          <c:val>
            <c:numRef>
              <c:f>DATOS!$B$74:$B$99</c:f>
              <c:numCache>
                <c:formatCode>General</c:formatCode>
                <c:ptCount val="25"/>
                <c:pt idx="0">
                  <c:v>3</c:v>
                </c:pt>
                <c:pt idx="1">
                  <c:v>3</c:v>
                </c:pt>
                <c:pt idx="2">
                  <c:v>4</c:v>
                </c:pt>
                <c:pt idx="3">
                  <c:v>20</c:v>
                </c:pt>
                <c:pt idx="4">
                  <c:v>10</c:v>
                </c:pt>
                <c:pt idx="5">
                  <c:v>1</c:v>
                </c:pt>
                <c:pt idx="6">
                  <c:v>13</c:v>
                </c:pt>
                <c:pt idx="7">
                  <c:v>35</c:v>
                </c:pt>
                <c:pt idx="8">
                  <c:v>12</c:v>
                </c:pt>
                <c:pt idx="9">
                  <c:v>4</c:v>
                </c:pt>
                <c:pt idx="10">
                  <c:v>2</c:v>
                </c:pt>
                <c:pt idx="11">
                  <c:v>30</c:v>
                </c:pt>
                <c:pt idx="12">
                  <c:v>1</c:v>
                </c:pt>
                <c:pt idx="15">
                  <c:v>1</c:v>
                </c:pt>
                <c:pt idx="16">
                  <c:v>3</c:v>
                </c:pt>
                <c:pt idx="17">
                  <c:v>4</c:v>
                </c:pt>
                <c:pt idx="18">
                  <c:v>2</c:v>
                </c:pt>
                <c:pt idx="19">
                  <c:v>3</c:v>
                </c:pt>
                <c:pt idx="20">
                  <c:v>6</c:v>
                </c:pt>
                <c:pt idx="21">
                  <c:v>4</c:v>
                </c:pt>
                <c:pt idx="22">
                  <c:v>1</c:v>
                </c:pt>
              </c:numCache>
            </c:numRef>
          </c:val>
          <c:smooth val="0"/>
          <c:extLst>
            <c:ext xmlns:c16="http://schemas.microsoft.com/office/drawing/2014/chart" uri="{C3380CC4-5D6E-409C-BE32-E72D297353CC}">
              <c16:uniqueId val="{00000000-FC78-4826-ACC2-9F2D94A1DE2D}"/>
            </c:ext>
          </c:extLst>
        </c:ser>
        <c:ser>
          <c:idx val="1"/>
          <c:order val="1"/>
          <c:tx>
            <c:strRef>
              <c:f>DATOS!$C$72:$C$73</c:f>
              <c:strCache>
                <c:ptCount val="1"/>
                <c:pt idx="0">
                  <c:v>ANULADA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DATOS!$A$74:$A$99</c:f>
              <c:strCache>
                <c:ptCount val="25"/>
                <c:pt idx="0">
                  <c:v>CORTA CORE</c:v>
                </c:pt>
                <c:pt idx="1">
                  <c:v>EXTRUSORA</c:v>
                </c:pt>
                <c:pt idx="2">
                  <c:v>EXTRUSORA 1</c:v>
                </c:pt>
                <c:pt idx="3">
                  <c:v>EXTRUSORA 2</c:v>
                </c:pt>
                <c:pt idx="4">
                  <c:v>EXTRUSORA 3</c:v>
                </c:pt>
                <c:pt idx="5">
                  <c:v>EXTRUSORA 3 Y EXTRUSORA 4</c:v>
                </c:pt>
                <c:pt idx="6">
                  <c:v>EXTRUSORA 4</c:v>
                </c:pt>
                <c:pt idx="7">
                  <c:v>EXTRUSORA 5</c:v>
                </c:pt>
                <c:pt idx="8">
                  <c:v>IMPRESORA 1</c:v>
                </c:pt>
                <c:pt idx="9">
                  <c:v>Lab. Calidad</c:v>
                </c:pt>
                <c:pt idx="10">
                  <c:v>MEZCLADORA 1</c:v>
                </c:pt>
                <c:pt idx="11">
                  <c:v>Otro</c:v>
                </c:pt>
                <c:pt idx="12">
                  <c:v>PELETIZADORA</c:v>
                </c:pt>
                <c:pt idx="13">
                  <c:v>PELETIZADORA 1</c:v>
                </c:pt>
                <c:pt idx="14">
                  <c:v>REFILADORA</c:v>
                </c:pt>
                <c:pt idx="15">
                  <c:v>REFILADORA 1</c:v>
                </c:pt>
                <c:pt idx="16">
                  <c:v>REFILADORA 2</c:v>
                </c:pt>
                <c:pt idx="17">
                  <c:v>REFILADORA 3</c:v>
                </c:pt>
                <c:pt idx="18">
                  <c:v>SELLADORA</c:v>
                </c:pt>
                <c:pt idx="19">
                  <c:v>SELLADORA 1</c:v>
                </c:pt>
                <c:pt idx="20">
                  <c:v>SELLADORA 2</c:v>
                </c:pt>
                <c:pt idx="21">
                  <c:v>SELLADORA 3</c:v>
                </c:pt>
                <c:pt idx="22">
                  <c:v>SELLADORA 4</c:v>
                </c:pt>
                <c:pt idx="23">
                  <c:v>SELLADORA 5</c:v>
                </c:pt>
                <c:pt idx="24">
                  <c:v>Corta cores</c:v>
                </c:pt>
              </c:strCache>
            </c:strRef>
          </c:cat>
          <c:val>
            <c:numRef>
              <c:f>DATOS!$C$74:$C$99</c:f>
              <c:numCache>
                <c:formatCode>General</c:formatCode>
                <c:ptCount val="25"/>
                <c:pt idx="6">
                  <c:v>1</c:v>
                </c:pt>
              </c:numCache>
            </c:numRef>
          </c:val>
          <c:smooth val="0"/>
          <c:extLst>
            <c:ext xmlns:c16="http://schemas.microsoft.com/office/drawing/2014/chart" uri="{C3380CC4-5D6E-409C-BE32-E72D297353CC}">
              <c16:uniqueId val="{00000000-3485-445C-882D-86A26B7C127A}"/>
            </c:ext>
          </c:extLst>
        </c:ser>
        <c:ser>
          <c:idx val="2"/>
          <c:order val="2"/>
          <c:tx>
            <c:strRef>
              <c:f>DATOS!$D$72:$D$73</c:f>
              <c:strCache>
                <c:ptCount val="1"/>
                <c:pt idx="0">
                  <c:v>CERRADA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DATOS!$A$74:$A$99</c:f>
              <c:strCache>
                <c:ptCount val="25"/>
                <c:pt idx="0">
                  <c:v>CORTA CORE</c:v>
                </c:pt>
                <c:pt idx="1">
                  <c:v>EXTRUSORA</c:v>
                </c:pt>
                <c:pt idx="2">
                  <c:v>EXTRUSORA 1</c:v>
                </c:pt>
                <c:pt idx="3">
                  <c:v>EXTRUSORA 2</c:v>
                </c:pt>
                <c:pt idx="4">
                  <c:v>EXTRUSORA 3</c:v>
                </c:pt>
                <c:pt idx="5">
                  <c:v>EXTRUSORA 3 Y EXTRUSORA 4</c:v>
                </c:pt>
                <c:pt idx="6">
                  <c:v>EXTRUSORA 4</c:v>
                </c:pt>
                <c:pt idx="7">
                  <c:v>EXTRUSORA 5</c:v>
                </c:pt>
                <c:pt idx="8">
                  <c:v>IMPRESORA 1</c:v>
                </c:pt>
                <c:pt idx="9">
                  <c:v>Lab. Calidad</c:v>
                </c:pt>
                <c:pt idx="10">
                  <c:v>MEZCLADORA 1</c:v>
                </c:pt>
                <c:pt idx="11">
                  <c:v>Otro</c:v>
                </c:pt>
                <c:pt idx="12">
                  <c:v>PELETIZADORA</c:v>
                </c:pt>
                <c:pt idx="13">
                  <c:v>PELETIZADORA 1</c:v>
                </c:pt>
                <c:pt idx="14">
                  <c:v>REFILADORA</c:v>
                </c:pt>
                <c:pt idx="15">
                  <c:v>REFILADORA 1</c:v>
                </c:pt>
                <c:pt idx="16">
                  <c:v>REFILADORA 2</c:v>
                </c:pt>
                <c:pt idx="17">
                  <c:v>REFILADORA 3</c:v>
                </c:pt>
                <c:pt idx="18">
                  <c:v>SELLADORA</c:v>
                </c:pt>
                <c:pt idx="19">
                  <c:v>SELLADORA 1</c:v>
                </c:pt>
                <c:pt idx="20">
                  <c:v>SELLADORA 2</c:v>
                </c:pt>
                <c:pt idx="21">
                  <c:v>SELLADORA 3</c:v>
                </c:pt>
                <c:pt idx="22">
                  <c:v>SELLADORA 4</c:v>
                </c:pt>
                <c:pt idx="23">
                  <c:v>SELLADORA 5</c:v>
                </c:pt>
                <c:pt idx="24">
                  <c:v>Corta cores</c:v>
                </c:pt>
              </c:strCache>
            </c:strRef>
          </c:cat>
          <c:val>
            <c:numRef>
              <c:f>DATOS!$D$74:$D$99</c:f>
              <c:numCache>
                <c:formatCode>General</c:formatCode>
                <c:ptCount val="25"/>
                <c:pt idx="0">
                  <c:v>2</c:v>
                </c:pt>
                <c:pt idx="1">
                  <c:v>9</c:v>
                </c:pt>
                <c:pt idx="2">
                  <c:v>13</c:v>
                </c:pt>
                <c:pt idx="3">
                  <c:v>51</c:v>
                </c:pt>
                <c:pt idx="4">
                  <c:v>45</c:v>
                </c:pt>
                <c:pt idx="6">
                  <c:v>29</c:v>
                </c:pt>
                <c:pt idx="7">
                  <c:v>82</c:v>
                </c:pt>
                <c:pt idx="8">
                  <c:v>104</c:v>
                </c:pt>
                <c:pt idx="9">
                  <c:v>2</c:v>
                </c:pt>
                <c:pt idx="10">
                  <c:v>5</c:v>
                </c:pt>
                <c:pt idx="11">
                  <c:v>43</c:v>
                </c:pt>
                <c:pt idx="12">
                  <c:v>2</c:v>
                </c:pt>
                <c:pt idx="13">
                  <c:v>1</c:v>
                </c:pt>
                <c:pt idx="14">
                  <c:v>4</c:v>
                </c:pt>
                <c:pt idx="15">
                  <c:v>13</c:v>
                </c:pt>
                <c:pt idx="16">
                  <c:v>7</c:v>
                </c:pt>
                <c:pt idx="17">
                  <c:v>33</c:v>
                </c:pt>
                <c:pt idx="18">
                  <c:v>13</c:v>
                </c:pt>
                <c:pt idx="19">
                  <c:v>37</c:v>
                </c:pt>
                <c:pt idx="20">
                  <c:v>101</c:v>
                </c:pt>
                <c:pt idx="21">
                  <c:v>65</c:v>
                </c:pt>
                <c:pt idx="22">
                  <c:v>2</c:v>
                </c:pt>
                <c:pt idx="23">
                  <c:v>1</c:v>
                </c:pt>
                <c:pt idx="24">
                  <c:v>1</c:v>
                </c:pt>
              </c:numCache>
            </c:numRef>
          </c:val>
          <c:smooth val="0"/>
          <c:extLst>
            <c:ext xmlns:c16="http://schemas.microsoft.com/office/drawing/2014/chart" uri="{C3380CC4-5D6E-409C-BE32-E72D297353CC}">
              <c16:uniqueId val="{00000001-3485-445C-882D-86A26B7C127A}"/>
            </c:ext>
          </c:extLst>
        </c:ser>
        <c:ser>
          <c:idx val="3"/>
          <c:order val="3"/>
          <c:tx>
            <c:strRef>
              <c:f>DATOS!$E$72:$E$73</c:f>
              <c:strCache>
                <c:ptCount val="1"/>
                <c:pt idx="0">
                  <c:v>(en blanco)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DATOS!$A$74:$A$99</c:f>
              <c:strCache>
                <c:ptCount val="25"/>
                <c:pt idx="0">
                  <c:v>CORTA CORE</c:v>
                </c:pt>
                <c:pt idx="1">
                  <c:v>EXTRUSORA</c:v>
                </c:pt>
                <c:pt idx="2">
                  <c:v>EXTRUSORA 1</c:v>
                </c:pt>
                <c:pt idx="3">
                  <c:v>EXTRUSORA 2</c:v>
                </c:pt>
                <c:pt idx="4">
                  <c:v>EXTRUSORA 3</c:v>
                </c:pt>
                <c:pt idx="5">
                  <c:v>EXTRUSORA 3 Y EXTRUSORA 4</c:v>
                </c:pt>
                <c:pt idx="6">
                  <c:v>EXTRUSORA 4</c:v>
                </c:pt>
                <c:pt idx="7">
                  <c:v>EXTRUSORA 5</c:v>
                </c:pt>
                <c:pt idx="8">
                  <c:v>IMPRESORA 1</c:v>
                </c:pt>
                <c:pt idx="9">
                  <c:v>Lab. Calidad</c:v>
                </c:pt>
                <c:pt idx="10">
                  <c:v>MEZCLADORA 1</c:v>
                </c:pt>
                <c:pt idx="11">
                  <c:v>Otro</c:v>
                </c:pt>
                <c:pt idx="12">
                  <c:v>PELETIZADORA</c:v>
                </c:pt>
                <c:pt idx="13">
                  <c:v>PELETIZADORA 1</c:v>
                </c:pt>
                <c:pt idx="14">
                  <c:v>REFILADORA</c:v>
                </c:pt>
                <c:pt idx="15">
                  <c:v>REFILADORA 1</c:v>
                </c:pt>
                <c:pt idx="16">
                  <c:v>REFILADORA 2</c:v>
                </c:pt>
                <c:pt idx="17">
                  <c:v>REFILADORA 3</c:v>
                </c:pt>
                <c:pt idx="18">
                  <c:v>SELLADORA</c:v>
                </c:pt>
                <c:pt idx="19">
                  <c:v>SELLADORA 1</c:v>
                </c:pt>
                <c:pt idx="20">
                  <c:v>SELLADORA 2</c:v>
                </c:pt>
                <c:pt idx="21">
                  <c:v>SELLADORA 3</c:v>
                </c:pt>
                <c:pt idx="22">
                  <c:v>SELLADORA 4</c:v>
                </c:pt>
                <c:pt idx="23">
                  <c:v>SELLADORA 5</c:v>
                </c:pt>
                <c:pt idx="24">
                  <c:v>Corta cores</c:v>
                </c:pt>
              </c:strCache>
            </c:strRef>
          </c:cat>
          <c:val>
            <c:numRef>
              <c:f>DATOS!$E$74:$E$99</c:f>
              <c:numCache>
                <c:formatCode>General</c:formatCode>
                <c:ptCount val="25"/>
                <c:pt idx="4">
                  <c:v>1</c:v>
                </c:pt>
                <c:pt idx="7">
                  <c:v>3</c:v>
                </c:pt>
                <c:pt idx="8">
                  <c:v>1</c:v>
                </c:pt>
                <c:pt idx="11">
                  <c:v>1</c:v>
                </c:pt>
                <c:pt idx="19">
                  <c:v>1</c:v>
                </c:pt>
                <c:pt idx="20">
                  <c:v>1</c:v>
                </c:pt>
                <c:pt idx="21">
                  <c:v>1</c:v>
                </c:pt>
              </c:numCache>
            </c:numRef>
          </c:val>
          <c:smooth val="0"/>
          <c:extLst>
            <c:ext xmlns:c16="http://schemas.microsoft.com/office/drawing/2014/chart" uri="{C3380CC4-5D6E-409C-BE32-E72D297353CC}">
              <c16:uniqueId val="{00000002-3485-445C-882D-86A26B7C127A}"/>
            </c:ext>
          </c:extLst>
        </c:ser>
        <c:dLbls>
          <c:showLegendKey val="0"/>
          <c:showVal val="0"/>
          <c:showCatName val="0"/>
          <c:showSerName val="0"/>
          <c:showPercent val="0"/>
          <c:showBubbleSize val="0"/>
        </c:dLbls>
        <c:marker val="1"/>
        <c:smooth val="0"/>
        <c:axId val="560308320"/>
        <c:axId val="560306880"/>
      </c:lineChart>
      <c:catAx>
        <c:axId val="5603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60306880"/>
        <c:crosses val="autoZero"/>
        <c:auto val="1"/>
        <c:lblAlgn val="ctr"/>
        <c:lblOffset val="100"/>
        <c:noMultiLvlLbl val="0"/>
      </c:catAx>
      <c:valAx>
        <c:axId val="56030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6030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419"/>
              <a:t>INDICADOR</a:t>
            </a:r>
            <a:r>
              <a:rPr lang="es-419" baseline="0"/>
              <a:t> MTBF</a:t>
            </a:r>
            <a:endParaRPr lang="es-419"/>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DATOS!$A$54:$A$66</c15:sqref>
                  </c15:fullRef>
                </c:ext>
              </c:extLst>
              <c:f>DATOS!$A$54:$A$63</c:f>
              <c:strCache>
                <c:ptCount val="10"/>
                <c:pt idx="0">
                  <c:v>EXTRUSORA 2</c:v>
                </c:pt>
                <c:pt idx="1">
                  <c:v>EXTRUSORA 3</c:v>
                </c:pt>
                <c:pt idx="2">
                  <c:v>EXTRUSORA 5</c:v>
                </c:pt>
                <c:pt idx="3">
                  <c:v>IMPRESORA 1</c:v>
                </c:pt>
                <c:pt idx="4">
                  <c:v>Otro</c:v>
                </c:pt>
                <c:pt idx="5">
                  <c:v>PELETIZADORA</c:v>
                </c:pt>
                <c:pt idx="6">
                  <c:v>SELLADORA </c:v>
                </c:pt>
                <c:pt idx="7">
                  <c:v>SELLADORA 1</c:v>
                </c:pt>
                <c:pt idx="8">
                  <c:v>SELLADORA 2</c:v>
                </c:pt>
                <c:pt idx="9">
                  <c:v>SELLADORA 3</c:v>
                </c:pt>
              </c:strCache>
            </c:strRef>
          </c:cat>
          <c:val>
            <c:numRef>
              <c:extLst>
                <c:ext xmlns:c15="http://schemas.microsoft.com/office/drawing/2012/chart" uri="{02D57815-91ED-43cb-92C2-25804820EDAC}">
                  <c15:fullRef>
                    <c15:sqref>DATOS!$D$54:$D$66</c15:sqref>
                  </c15:fullRef>
                </c:ext>
              </c:extLst>
              <c:f>DATOS!$D$54:$D$63</c:f>
              <c:numCache>
                <c:formatCode>[hh]:mm:ss</c:formatCode>
                <c:ptCount val="10"/>
                <c:pt idx="0">
                  <c:v>3.375</c:v>
                </c:pt>
                <c:pt idx="1">
                  <c:v>6.895833333333333</c:v>
                </c:pt>
                <c:pt idx="2">
                  <c:v>6.895833333333333</c:v>
                </c:pt>
                <c:pt idx="3">
                  <c:v>3.1805555555555554</c:v>
                </c:pt>
                <c:pt idx="4">
                  <c:v>6.875</c:v>
                </c:pt>
                <c:pt idx="5">
                  <c:v>6.916666666666667</c:v>
                </c:pt>
                <c:pt idx="6">
                  <c:v>3.4659722222222222</c:v>
                </c:pt>
                <c:pt idx="7">
                  <c:v>1.71875</c:v>
                </c:pt>
                <c:pt idx="8">
                  <c:v>3.4684027777777779</c:v>
                </c:pt>
                <c:pt idx="9">
                  <c:v>6.9666666666666668</c:v>
                </c:pt>
              </c:numCache>
            </c:numRef>
          </c:val>
          <c:smooth val="0"/>
          <c:extLst>
            <c:ext xmlns:c16="http://schemas.microsoft.com/office/drawing/2014/chart" uri="{C3380CC4-5D6E-409C-BE32-E72D297353CC}">
              <c16:uniqueId val="{00000000-3BE5-4770-8A83-35DA30C94034}"/>
            </c:ext>
          </c:extLst>
        </c:ser>
        <c:dLbls>
          <c:showLegendKey val="0"/>
          <c:showVal val="0"/>
          <c:showCatName val="0"/>
          <c:showSerName val="0"/>
          <c:showPercent val="0"/>
          <c:showBubbleSize val="0"/>
        </c:dLbls>
        <c:marker val="1"/>
        <c:smooth val="0"/>
        <c:axId val="1061568144"/>
        <c:axId val="1061563344"/>
      </c:lineChart>
      <c:catAx>
        <c:axId val="10615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061563344"/>
        <c:crosses val="autoZero"/>
        <c:auto val="1"/>
        <c:lblAlgn val="ctr"/>
        <c:lblOffset val="100"/>
        <c:noMultiLvlLbl val="0"/>
      </c:catAx>
      <c:valAx>
        <c:axId val="1061563344"/>
        <c:scaling>
          <c:orientation val="minMax"/>
        </c:scaling>
        <c:delete val="0"/>
        <c:axPos val="l"/>
        <c:majorGridlines>
          <c:spPr>
            <a:ln w="9525" cap="flat" cmpd="sng" algn="ctr">
              <a:solidFill>
                <a:schemeClr val="tx1">
                  <a:lumMod val="15000"/>
                  <a:lumOff val="85000"/>
                </a:schemeClr>
              </a:solidFill>
              <a:round/>
            </a:ln>
            <a:effectLst/>
          </c:spPr>
        </c:majorGridlines>
        <c:numFmt formatCode="[h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06156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419"/>
              <a:t>INDICADOR</a:t>
            </a:r>
            <a:r>
              <a:rPr lang="es-419" baseline="0"/>
              <a:t> MTTR</a:t>
            </a:r>
            <a:endParaRPr lang="es-419"/>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DATOS!$A$54:$A$66</c15:sqref>
                  </c15:fullRef>
                </c:ext>
              </c:extLst>
              <c:f>DATOS!$A$54:$A$63</c:f>
              <c:strCache>
                <c:ptCount val="10"/>
                <c:pt idx="0">
                  <c:v>EXTRUSORA 2</c:v>
                </c:pt>
                <c:pt idx="1">
                  <c:v>EXTRUSORA 3</c:v>
                </c:pt>
                <c:pt idx="2">
                  <c:v>EXTRUSORA 5</c:v>
                </c:pt>
                <c:pt idx="3">
                  <c:v>IMPRESORA 1</c:v>
                </c:pt>
                <c:pt idx="4">
                  <c:v>Otro</c:v>
                </c:pt>
                <c:pt idx="5">
                  <c:v>PELETIZADORA</c:v>
                </c:pt>
                <c:pt idx="6">
                  <c:v>SELLADORA </c:v>
                </c:pt>
                <c:pt idx="7">
                  <c:v>SELLADORA 1</c:v>
                </c:pt>
                <c:pt idx="8">
                  <c:v>SELLADORA 2</c:v>
                </c:pt>
                <c:pt idx="9">
                  <c:v>SELLADORA 3</c:v>
                </c:pt>
              </c:strCache>
            </c:strRef>
          </c:cat>
          <c:val>
            <c:numRef>
              <c:extLst>
                <c:ext xmlns:c15="http://schemas.microsoft.com/office/drawing/2012/chart" uri="{02D57815-91ED-43cb-92C2-25804820EDAC}">
                  <c15:fullRef>
                    <c15:sqref>DATOS!$E$54:$E$66</c15:sqref>
                  </c15:fullRef>
                </c:ext>
              </c:extLst>
              <c:f>DATOS!$E$54:$E$63</c:f>
              <c:numCache>
                <c:formatCode>[hh]:mm:ss</c:formatCode>
                <c:ptCount val="10"/>
                <c:pt idx="0">
                  <c:v>0.125</c:v>
                </c:pt>
                <c:pt idx="1">
                  <c:v>0.10416666666666667</c:v>
                </c:pt>
                <c:pt idx="2">
                  <c:v>0.10416666666666667</c:v>
                </c:pt>
                <c:pt idx="3">
                  <c:v>0.31944444444444442</c:v>
                </c:pt>
                <c:pt idx="4">
                  <c:v>0.125</c:v>
                </c:pt>
                <c:pt idx="5">
                  <c:v>8.3333333333333329E-2</c:v>
                </c:pt>
                <c:pt idx="6">
                  <c:v>3.4027777777777775E-2</c:v>
                </c:pt>
                <c:pt idx="7">
                  <c:v>3.125E-2</c:v>
                </c:pt>
                <c:pt idx="8">
                  <c:v>3.1597222222222221E-2</c:v>
                </c:pt>
                <c:pt idx="9">
                  <c:v>3.3333333333333333E-2</c:v>
                </c:pt>
              </c:numCache>
            </c:numRef>
          </c:val>
          <c:smooth val="0"/>
          <c:extLst>
            <c:ext xmlns:c16="http://schemas.microsoft.com/office/drawing/2014/chart" uri="{C3380CC4-5D6E-409C-BE32-E72D297353CC}">
              <c16:uniqueId val="{00000000-7251-4B11-A71B-044FAC6DE2EC}"/>
            </c:ext>
          </c:extLst>
        </c:ser>
        <c:dLbls>
          <c:showLegendKey val="0"/>
          <c:showVal val="0"/>
          <c:showCatName val="0"/>
          <c:showSerName val="0"/>
          <c:showPercent val="0"/>
          <c:showBubbleSize val="0"/>
        </c:dLbls>
        <c:marker val="1"/>
        <c:smooth val="0"/>
        <c:axId val="1061568144"/>
        <c:axId val="1061563344"/>
      </c:lineChart>
      <c:catAx>
        <c:axId val="10615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061563344"/>
        <c:crosses val="autoZero"/>
        <c:auto val="1"/>
        <c:lblAlgn val="ctr"/>
        <c:lblOffset val="100"/>
        <c:noMultiLvlLbl val="0"/>
      </c:catAx>
      <c:valAx>
        <c:axId val="1061563344"/>
        <c:scaling>
          <c:orientation val="minMax"/>
        </c:scaling>
        <c:delete val="0"/>
        <c:axPos val="l"/>
        <c:majorGridlines>
          <c:spPr>
            <a:ln w="9525" cap="flat" cmpd="sng" algn="ctr">
              <a:solidFill>
                <a:schemeClr val="tx1">
                  <a:lumMod val="15000"/>
                  <a:lumOff val="85000"/>
                </a:schemeClr>
              </a:solidFill>
              <a:round/>
            </a:ln>
            <a:effectLst/>
          </c:spPr>
        </c:majorGridlines>
        <c:numFmt formatCode="[h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06156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419"/>
              <a:t>TIEMPOS</a:t>
            </a:r>
            <a:r>
              <a:rPr lang="es-419" baseline="0"/>
              <a:t> POR MAQUINA</a:t>
            </a:r>
            <a:endParaRPr lang="es-419"/>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77-4FD1-A6F6-4C1B8BC482B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77-4FD1-A6F6-4C1B8BC482B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77-4FD1-A6F6-4C1B8BC482B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77-4FD1-A6F6-4C1B8BC482B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77-4FD1-A6F6-4C1B8BC482B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F77-4FD1-A6F6-4C1B8BC482B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A6F-4242-B26A-63234208D4D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E14-478B-8001-878E7540F74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E14-478B-8001-878E7540F7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DATOS!$A$54:$A$66</c15:sqref>
                  </c15:fullRef>
                </c:ext>
              </c:extLst>
              <c:f>(DATOS!$A$54:$A$62,DATOS!$A$65:$A$66)</c:f>
              <c:strCache>
                <c:ptCount val="9"/>
                <c:pt idx="0">
                  <c:v>EXTRUSORA 2</c:v>
                </c:pt>
                <c:pt idx="1">
                  <c:v>EXTRUSORA 3</c:v>
                </c:pt>
                <c:pt idx="2">
                  <c:v>EXTRUSORA 5</c:v>
                </c:pt>
                <c:pt idx="3">
                  <c:v>IMPRESORA 1</c:v>
                </c:pt>
                <c:pt idx="4">
                  <c:v>Otro</c:v>
                </c:pt>
                <c:pt idx="5">
                  <c:v>PELETIZADORA</c:v>
                </c:pt>
                <c:pt idx="6">
                  <c:v>SELLADORA </c:v>
                </c:pt>
                <c:pt idx="7">
                  <c:v>SELLADORA 1</c:v>
                </c:pt>
                <c:pt idx="8">
                  <c:v>SELLADORA 2</c:v>
                </c:pt>
              </c:strCache>
            </c:strRef>
          </c:cat>
          <c:val>
            <c:numRef>
              <c:extLst>
                <c:ext xmlns:c15="http://schemas.microsoft.com/office/drawing/2012/chart" uri="{02D57815-91ED-43cb-92C2-25804820EDAC}">
                  <c15:fullRef>
                    <c15:sqref>DATOS!$B$54:$B$64</c15:sqref>
                  </c15:fullRef>
                </c:ext>
              </c:extLst>
              <c:f>DATOS!$B$54:$B$62</c:f>
              <c:numCache>
                <c:formatCode>[hh]:mm:ss</c:formatCode>
                <c:ptCount val="9"/>
                <c:pt idx="0">
                  <c:v>0.25</c:v>
                </c:pt>
                <c:pt idx="1">
                  <c:v>0.10416666666666667</c:v>
                </c:pt>
                <c:pt idx="2">
                  <c:v>0.10416666666666667</c:v>
                </c:pt>
                <c:pt idx="3">
                  <c:v>0.63888888888888884</c:v>
                </c:pt>
                <c:pt idx="4">
                  <c:v>0.125</c:v>
                </c:pt>
                <c:pt idx="5">
                  <c:v>8.3333333333333329E-2</c:v>
                </c:pt>
                <c:pt idx="6">
                  <c:v>6.805555555555555E-2</c:v>
                </c:pt>
                <c:pt idx="7">
                  <c:v>0.125</c:v>
                </c:pt>
                <c:pt idx="8">
                  <c:v>6.3194444444444442E-2</c:v>
                </c:pt>
              </c:numCache>
            </c:numRef>
          </c:val>
          <c:extLst>
            <c:ext xmlns:c15="http://schemas.microsoft.com/office/drawing/2012/chart" uri="{02D57815-91ED-43cb-92C2-25804820EDAC}">
              <c15:categoryFilterExceptions>
                <c15:categoryFilterException>
                  <c15:sqref>DATOS!$B$63</c15:sqref>
                  <c15:spPr xmlns:c15="http://schemas.microsoft.com/office/drawing/2012/chart">
                    <a:solidFill>
                      <a:schemeClr val="accent4">
                        <a:lumMod val="60000"/>
                      </a:schemeClr>
                    </a:solidFill>
                    <a:ln w="25400">
                      <a:solidFill>
                        <a:schemeClr val="lt1"/>
                      </a:solidFill>
                    </a:ln>
                    <a:effectLst/>
                    <a:sp3d contourW="25400">
                      <a:contourClr>
                        <a:schemeClr val="lt1"/>
                      </a:contourClr>
                    </a:sp3d>
                  </c15:spPr>
                  <c15:bubble3D val="0"/>
                </c15:categoryFilterException>
                <c15:categoryFilterException>
                  <c15:sqref>DATOS!$B$64</c15:sqref>
                  <c15:spPr xmlns:c15="http://schemas.microsoft.com/office/drawing/2012/chart">
                    <a:solidFill>
                      <a:schemeClr val="accent5">
                        <a:lumMod val="60000"/>
                      </a:schemeClr>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00-E20D-4171-9AAD-97452A692E25}"/>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14287</xdr:rowOff>
    </xdr:from>
    <xdr:to>
      <xdr:col>8</xdr:col>
      <xdr:colOff>0</xdr:colOff>
      <xdr:row>18</xdr:row>
      <xdr:rowOff>90487</xdr:rowOff>
    </xdr:to>
    <xdr:graphicFrame macro="">
      <xdr:nvGraphicFramePr>
        <xdr:cNvPr id="2" name="Gráfico 1">
          <a:extLst>
            <a:ext uri="{FF2B5EF4-FFF2-40B4-BE49-F238E27FC236}">
              <a16:creationId xmlns:a16="http://schemas.microsoft.com/office/drawing/2014/main" id="{878D0FA4-9D88-FE9F-6F01-9FDA28427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219808</xdr:colOff>
      <xdr:row>70</xdr:row>
      <xdr:rowOff>119861</xdr:rowOff>
    </xdr:from>
    <xdr:to>
      <xdr:col>15</xdr:col>
      <xdr:colOff>638057</xdr:colOff>
      <xdr:row>93</xdr:row>
      <xdr:rowOff>117231</xdr:rowOff>
    </xdr:to>
    <xdr:graphicFrame macro="">
      <xdr:nvGraphicFramePr>
        <xdr:cNvPr id="5" name="Gráfico 4">
          <a:extLst>
            <a:ext uri="{FF2B5EF4-FFF2-40B4-BE49-F238E27FC236}">
              <a16:creationId xmlns:a16="http://schemas.microsoft.com/office/drawing/2014/main" id="{AD7AA92F-A5DB-C0C2-04E2-8389583D5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389776</xdr:colOff>
      <xdr:row>48</xdr:row>
      <xdr:rowOff>134257</xdr:rowOff>
    </xdr:from>
    <xdr:to>
      <xdr:col>23</xdr:col>
      <xdr:colOff>739423</xdr:colOff>
      <xdr:row>68</xdr:row>
      <xdr:rowOff>94595</xdr:rowOff>
    </xdr:to>
    <xdr:graphicFrame macro="">
      <xdr:nvGraphicFramePr>
        <xdr:cNvPr id="3" name="Gráfico 2">
          <a:extLst>
            <a:ext uri="{FF2B5EF4-FFF2-40B4-BE49-F238E27FC236}">
              <a16:creationId xmlns:a16="http://schemas.microsoft.com/office/drawing/2014/main" id="{21D4F5E8-B9B3-DC39-342D-6D3F02F29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450907</xdr:colOff>
      <xdr:row>70</xdr:row>
      <xdr:rowOff>146182</xdr:rowOff>
    </xdr:from>
    <xdr:to>
      <xdr:col>24</xdr:col>
      <xdr:colOff>85618</xdr:colOff>
      <xdr:row>91</xdr:row>
      <xdr:rowOff>181939</xdr:rowOff>
    </xdr:to>
    <xdr:graphicFrame macro="">
      <xdr:nvGraphicFramePr>
        <xdr:cNvPr id="6" name="Gráfico 5">
          <a:extLst>
            <a:ext uri="{FF2B5EF4-FFF2-40B4-BE49-F238E27FC236}">
              <a16:creationId xmlns:a16="http://schemas.microsoft.com/office/drawing/2014/main" id="{E92462F0-2DBC-4631-AE4D-89CD2B54C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569337</xdr:colOff>
      <xdr:row>53</xdr:row>
      <xdr:rowOff>66731</xdr:rowOff>
    </xdr:from>
    <xdr:to>
      <xdr:col>15</xdr:col>
      <xdr:colOff>597337</xdr:colOff>
      <xdr:row>68</xdr:row>
      <xdr:rowOff>37729</xdr:rowOff>
    </xdr:to>
    <xdr:graphicFrame macro="">
      <xdr:nvGraphicFramePr>
        <xdr:cNvPr id="7" name="Gráfico 6">
          <a:extLst>
            <a:ext uri="{FF2B5EF4-FFF2-40B4-BE49-F238E27FC236}">
              <a16:creationId xmlns:a16="http://schemas.microsoft.com/office/drawing/2014/main" id="{B1D4CCDD-EF6D-17BB-1D75-14DB4A0EA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ciela Medina" refreshedDate="46134.327181250002" createdVersion="8" refreshedVersion="8" minRefreshableVersion="3" recordCount="1362" xr:uid="{8ECA7A54-F009-4400-BF83-2606CFC6D75A}">
  <cacheSource type="worksheet">
    <worksheetSource name="SEGUIMIENTO_TPM_xlsx"/>
  </cacheSource>
  <cacheFields count="23">
    <cacheField name="#TPM" numFmtId="0">
      <sharedItems containsBlank="1" containsMixedTypes="1" containsNumber="1" containsInteger="1" minValue="1" maxValue="1200"/>
    </cacheField>
    <cacheField name="NOMBRE DE QUIEN REPORTA" numFmtId="0">
      <sharedItems containsBlank="1"/>
    </cacheField>
    <cacheField name="HORA REPORTE" numFmtId="164">
      <sharedItems containsNonDate="0" containsDate="1" containsString="0" containsBlank="1" minDate="1899-12-30T00:00:00" maxDate="1899-12-30T23:56:00"/>
    </cacheField>
    <cacheField name="FECHA DE REPORTE" numFmtId="14">
      <sharedItems containsNonDate="0" containsDate="1" containsString="0" containsBlank="1" minDate="2025-02-02T00:00:00" maxDate="2026-04-22T00:00:00" count="169">
        <d v="2025-10-28T00:00:00"/>
        <d v="2025-10-29T00:00:00"/>
        <d v="2025-10-30T00:00:00"/>
        <m/>
        <d v="2025-10-31T00:00:00"/>
        <d v="2025-11-01T00:00:00"/>
        <d v="2025-11-03T00:00:00"/>
        <d v="2025-11-04T00:00:00"/>
        <d v="2025-11-05T00:00:00"/>
        <d v="2025-11-06T00:00:00"/>
        <d v="2025-11-07T00:00:00"/>
        <d v="2025-11-08T00:00:00"/>
        <d v="2025-11-09T00:00:00"/>
        <d v="2025-11-10T00:00:00"/>
        <d v="2025-11-11T00:00:00"/>
        <d v="2025-11-18T00:00:00"/>
        <d v="2025-11-12T00:00:00"/>
        <d v="2025-11-13T00:00:00"/>
        <d v="2025-11-14T00:00:00"/>
        <d v="2025-11-16T00:00:00"/>
        <d v="2025-11-17T00:00:00"/>
        <d v="2025-11-19T00:00:00"/>
        <d v="2025-11-20T00:00:00"/>
        <d v="2025-11-21T00:00:00"/>
        <d v="2025-11-25T00:00:00"/>
        <d v="2025-11-23T00:00:00"/>
        <d v="2025-11-24T00:00:00"/>
        <d v="2025-10-22T00:00:00"/>
        <d v="2025-12-20T00:00:00"/>
        <d v="2026-01-08T00:00:00"/>
        <d v="2026-02-01T00:00:00"/>
        <d v="2026-02-27T00:00:00"/>
        <d v="2025-11-22T00:00:00"/>
        <d v="2025-12-02T00:00:00"/>
        <d v="2025-12-11T00:00:00"/>
        <d v="2025-02-15T00:00:00"/>
        <d v="2026-01-20T00:00:00"/>
        <d v="2026-01-29T00:00:00"/>
        <d v="2026-01-30T00:00:00"/>
        <d v="2026-01-03T00:00:00"/>
        <d v="2026-02-12T00:00:00"/>
        <d v="2026-02-13T00:00:00"/>
        <d v="2026-02-17T00:00:00"/>
        <d v="2026-03-06T00:00:00"/>
        <d v="2026-04-14T00:00:00"/>
        <d v="2025-11-26T00:00:00"/>
        <d v="2025-11-27T00:00:00"/>
        <d v="2025-11-28T00:00:00"/>
        <d v="2025-11-29T00:00:00"/>
        <d v="2025-11-30T00:00:00"/>
        <d v="2025-12-01T00:00:00"/>
        <d v="2025-02-02T00:00:00"/>
        <d v="2025-12-03T00:00:00"/>
        <d v="2025-12-04T00:00:00"/>
        <d v="2025-12-05T00:00:00"/>
        <d v="2025-12-06T00:00:00"/>
        <d v="2025-12-08T00:00:00"/>
        <d v="2025-12-13T00:00:00"/>
        <d v="2025-12-09T00:00:00"/>
        <d v="2025-12-10T00:00:00"/>
        <d v="2025-12-12T00:00:00"/>
        <d v="2025-12-14T00:00:00"/>
        <d v="2025-12-15T00:00:00"/>
        <d v="2025-12-16T00:00:00"/>
        <d v="2025-12-17T00:00:00"/>
        <d v="2025-12-18T00:00:00"/>
        <d v="2025-12-19T00:00:00"/>
        <d v="2025-12-30T00:00:00"/>
        <d v="2025-12-21T00:00:00"/>
        <d v="2025-12-22T00:00:00"/>
        <d v="2025-12-26T00:00:00"/>
        <d v="2025-12-27T00:00:00"/>
        <d v="2025-12-28T00:00:00"/>
        <d v="2025-12-29T00:00:00"/>
        <d v="2026-01-05T00:00:00"/>
        <d v="2025-12-31T00:00:00"/>
        <d v="2026-01-02T00:00:00"/>
        <d v="2026-01-04T00:00:00"/>
        <d v="2026-01-06T00:00:00"/>
        <d v="2026-01-07T00:00:00"/>
        <d v="2026-01-09T00:00:00"/>
        <d v="2026-01-10T00:00:00"/>
        <d v="2026-01-11T00:00:00"/>
        <d v="2026-01-12T00:00:00"/>
        <d v="2026-01-13T00:00:00"/>
        <d v="2026-01-14T00:00:00"/>
        <d v="2026-01-15T00:00:00"/>
        <d v="2026-01-16T00:00:00"/>
        <d v="2026-01-17T00:00:00"/>
        <d v="2026-03-12T00:00:00"/>
        <d v="2026-01-18T00:00:00"/>
        <d v="2026-01-19T00:00:00"/>
        <d v="2026-01-21T00:00:00"/>
        <d v="2026-01-22T00:00:00"/>
        <d v="2026-01-23T00:00:00"/>
        <d v="2026-01-24T00:00:00"/>
        <d v="2026-01-25T00:00:00"/>
        <d v="2026-01-26T00:00:00"/>
        <d v="2026-01-27T00:00:00"/>
        <d v="2026-01-28T00:00:00"/>
        <d v="2026-01-31T00:00:00"/>
        <d v="2026-02-02T00:00:00"/>
        <d v="2026-02-03T00:00:00"/>
        <d v="2026-02-05T00:00:00"/>
        <d v="2026-02-09T00:00:00"/>
        <d v="2026-03-20T00:00:00"/>
        <d v="2026-02-04T00:00:00"/>
        <d v="2026-03-13T00:00:00"/>
        <d v="2026-02-06T00:00:00"/>
        <d v="2026-02-07T00:00:00"/>
        <d v="2026-02-08T00:00:00"/>
        <d v="2026-02-28T00:00:00"/>
        <d v="2026-02-10T00:00:00"/>
        <d v="2026-02-11T00:00:00"/>
        <d v="2026-02-14T00:00:00"/>
        <d v="2026-02-15T00:00:00"/>
        <d v="2026-02-16T00:00:00"/>
        <d v="2026-02-18T00:00:00"/>
        <d v="2026-02-19T00:00:00"/>
        <d v="2026-02-20T00:00:00"/>
        <d v="2026-02-21T00:00:00"/>
        <d v="2026-02-25T00:00:00"/>
        <d v="2026-02-23T00:00:00"/>
        <d v="2026-02-24T00:00:00"/>
        <d v="2026-02-26T00:00:00"/>
        <d v="2026-03-01T00:00:00"/>
        <d v="2026-03-02T00:00:00"/>
        <d v="2026-03-03T00:00:00"/>
        <d v="2026-03-04T00:00:00"/>
        <d v="2026-03-05T00:00:00"/>
        <d v="2026-03-07T00:00:00"/>
        <d v="2026-03-10T00:00:00"/>
        <d v="2026-03-09T00:00:00"/>
        <d v="2026-03-11T00:00:00"/>
        <d v="2026-03-14T00:00:00"/>
        <d v="2026-03-15T00:00:00"/>
        <d v="2026-03-16T00:00:00"/>
        <d v="2026-03-17T00:00:00"/>
        <d v="2026-03-18T00:00:00"/>
        <d v="2026-03-19T00:00:00"/>
        <d v="2026-04-02T00:00:00"/>
        <d v="2026-03-21T00:00:00"/>
        <d v="2026-03-22T00:00:00"/>
        <d v="2026-03-23T00:00:00"/>
        <d v="2026-03-24T00:00:00"/>
        <d v="2026-03-25T00:00:00"/>
        <d v="2026-03-27T00:00:00"/>
        <d v="2026-03-26T00:00:00"/>
        <d v="2026-04-13T00:00:00"/>
        <d v="2026-03-28T00:00:00"/>
        <d v="2026-03-29T00:00:00"/>
        <d v="2026-03-30T00:00:00"/>
        <d v="2026-04-11T00:00:00"/>
        <d v="2026-04-12T00:00:00"/>
        <d v="2026-04-16T00:00:00"/>
        <d v="2026-04-17T00:00:00"/>
        <d v="2026-04-18T00:00:00"/>
        <d v="2026-04-20T00:00:00"/>
        <d v="2026-04-21T00:00:00"/>
        <d v="2026-04-10T00:00:00"/>
        <d v="2026-04-08T00:00:00"/>
        <d v="2026-04-01T00:00:00"/>
        <d v="2026-04-03T00:00:00"/>
        <d v="2026-04-04T00:00:00"/>
        <d v="2026-04-05T00:00:00"/>
        <d v="2026-04-07T00:00:00"/>
        <d v="2026-04-09T00:00:00"/>
        <d v="2026-03-31T00:00:00"/>
        <d v="2026-02-22T00:00:00"/>
      </sharedItems>
      <fieldGroup par="22"/>
    </cacheField>
    <cacheField name="MÁQUINA " numFmtId="0">
      <sharedItems containsBlank="1"/>
    </cacheField>
    <cacheField name="TIPO FALLA" numFmtId="0">
      <sharedItems containsBlank="1"/>
    </cacheField>
    <cacheField name="DESCIPCIÓN " numFmtId="0">
      <sharedItems containsBlank="1"/>
    </cacheField>
    <cacheField name="HORA INICIO INTERVENCIÓN" numFmtId="164">
      <sharedItems containsNonDate="0" containsDate="1" containsString="0" containsBlank="1" minDate="1899-12-30T00:00:00" maxDate="1899-12-30T23:50:00"/>
    </cacheField>
    <cacheField name="HORA FIN  INTERVENCIÓN" numFmtId="164">
      <sharedItems containsNonDate="0" containsDate="1" containsString="0" containsBlank="1" minDate="1899-12-30T00:00:00" maxDate="1899-12-30T23:51:00"/>
    </cacheField>
    <cacheField name="FECHA DE INTERVENCÓN" numFmtId="14">
      <sharedItems containsNonDate="0" containsDate="1" containsString="0" containsBlank="1" minDate="2025-01-05T00:00:00" maxDate="2026-04-23T00:00:00" count="162">
        <d v="2025-10-28T00:00:00"/>
        <d v="2025-10-29T00:00:00"/>
        <d v="2025-10-30T00:00:00"/>
        <m/>
        <d v="2025-10-31T00:00:00"/>
        <d v="2025-11-01T00:00:00"/>
        <d v="2025-11-03T00:00:00"/>
        <d v="2025-11-04T00:00:00"/>
        <d v="2025-11-05T00:00:00"/>
        <d v="2025-11-06T00:00:00"/>
        <d v="2025-11-07T00:00:00"/>
        <d v="2025-11-08T00:00:00"/>
        <d v="2025-11-09T00:00:00"/>
        <d v="2025-11-10T00:00:00"/>
        <d v="2025-11-11T00:00:00"/>
        <d v="2025-11-18T00:00:00"/>
        <d v="2025-11-12T00:00:00"/>
        <d v="2025-11-13T00:00:00"/>
        <d v="2025-11-14T00:00:00"/>
        <d v="2025-11-16T00:00:00"/>
        <d v="2025-11-19T00:00:00"/>
        <d v="2025-11-20T00:00:00"/>
        <d v="2025-11-21T00:00:00"/>
        <d v="2025-11-25T00:00:00"/>
        <d v="2025-11-23T00:00:00"/>
        <d v="2025-11-24T00:00:00"/>
        <d v="2025-12-20T00:00:00"/>
        <d v="2026-02-01T00:00:00"/>
        <d v="2025-12-12T00:00:00"/>
        <d v="2025-12-03T00:00:00"/>
        <d v="2025-12-11T00:00:00"/>
        <d v="2025-11-26T00:00:00"/>
        <d v="2025-11-27T00:00:00"/>
        <d v="2025-11-28T00:00:00"/>
        <d v="2025-11-22T00:00:00"/>
        <d v="2025-11-29T00:00:00"/>
        <d v="2025-11-30T00:00:00"/>
        <d v="2025-12-01T00:00:00"/>
        <d v="2025-12-02T00:00:00"/>
        <d v="2025-12-04T00:00:00"/>
        <d v="2025-12-05T00:00:00"/>
        <d v="2025-12-06T00:00:00"/>
        <d v="2025-12-13T00:00:00"/>
        <d v="2025-12-09T00:00:00"/>
        <d v="2025-12-10T00:00:00"/>
        <d v="2025-12-14T00:00:00"/>
        <d v="2025-12-15T00:00:00"/>
        <d v="2025-12-16T00:00:00"/>
        <d v="2025-12-17T00:00:00"/>
        <d v="2025-12-18T00:00:00"/>
        <d v="2025-12-19T00:00:00"/>
        <d v="2025-12-30T00:00:00"/>
        <d v="2025-12-21T00:00:00"/>
        <d v="2025-12-22T00:00:00"/>
        <d v="2025-12-26T00:00:00"/>
        <d v="2025-12-27T00:00:00"/>
        <d v="2025-12-28T00:00:00"/>
        <d v="2025-12-29T00:00:00"/>
        <d v="2025-01-05T00:00:00"/>
        <d v="2026-01-02T00:00:00"/>
        <d v="2026-01-03T00:00:00"/>
        <d v="2026-01-04T00:00:00"/>
        <d v="2026-01-05T00:00:00"/>
        <d v="2026-01-06T00:00:00"/>
        <d v="2026-01-08T00:00:00"/>
        <d v="2026-01-09T00:00:00"/>
        <d v="2026-01-01T00:00:00"/>
        <d v="2026-03-27T00:00:00"/>
        <d v="2026-01-10T00:00:00"/>
        <d v="2026-01-11T00:00:00"/>
        <d v="2026-01-12T00:00:00"/>
        <d v="2026-01-13T00:00:00"/>
        <d v="2026-01-14T00:00:00"/>
        <d v="2026-01-15T00:00:00"/>
        <d v="2026-01-16T00:00:00"/>
        <d v="2026-01-17T00:00:00"/>
        <d v="2026-03-13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2T00:00:00"/>
        <d v="2026-02-06T00:00:00"/>
        <d v="2026-02-03T00:00:00"/>
        <d v="2026-03-20T00:00:00"/>
        <d v="2026-02-04T00:00:00"/>
        <d v="2026-02-05T00:00:00"/>
        <d v="2026-02-07T00:00:00"/>
        <d v="2026-02-09T00:00:00"/>
        <d v="2026-02-28T00:00:00"/>
        <d v="2026-02-10T00:00:00"/>
        <d v="2026-02-11T00:00:00"/>
        <d v="2026-02-12T00:00:00"/>
        <d v="2026-02-14T00:00:00"/>
        <d v="2026-02-15T00:00:00"/>
        <d v="2026-02-16T00:00:00"/>
        <d v="2026-02-17T00:00:00"/>
        <d v="2026-02-18T00:00:00"/>
        <d v="2026-02-19T00:00:00"/>
        <d v="2026-02-20T00:00:00"/>
        <d v="2026-02-25T00:00:00"/>
        <d v="2026-02-23T00:00:00"/>
        <d v="2026-02-24T00:00:00"/>
        <d v="2026-02-26T00:00:00"/>
        <d v="2026-03-10T00:00:00"/>
        <d v="2026-02-27T00:00:00"/>
        <d v="2026-03-01T00:00:00"/>
        <d v="2026-03-02T00:00:00"/>
        <d v="2026-03-03T00:00:00"/>
        <d v="2026-03-04T00:00:00"/>
        <d v="2026-03-05T00:00:00"/>
        <d v="2026-03-06T00:00:00"/>
        <d v="2026-03-11T00:00:00"/>
        <d v="2026-03-07T00:00:00"/>
        <d v="2026-03-09T00:00:00"/>
        <d v="2026-03-12T00:00:00"/>
        <d v="2026-03-15T00:00:00"/>
        <d v="2026-03-16T00:00:00"/>
        <d v="2026-03-17T00:00:00"/>
        <d v="2026-03-18T00:00:00"/>
        <d v="2026-03-19T00:00:00"/>
        <d v="2026-04-03T00:00:00"/>
        <d v="2026-03-21T00:00:00"/>
        <d v="2026-03-22T00:00:00"/>
        <d v="2026-03-23T00:00:00"/>
        <d v="2026-03-24T00:00:00"/>
        <d v="2026-03-25T00:00:00"/>
        <d v="2026-03-26T00:00:00"/>
        <d v="2026-04-13T00:00:00"/>
        <d v="2026-03-29T00:00:00"/>
        <d v="2026-03-28T00:00:00"/>
        <d v="2026-03-30T00:00:00"/>
        <d v="2026-04-11T00:00:00"/>
        <d v="2026-04-12T00:00:00"/>
        <d v="2026-04-15T00:00:00"/>
        <d v="2026-04-14T00:00:00"/>
        <d v="2026-04-16T00:00:00"/>
        <d v="2026-04-17T00:00:00"/>
        <d v="2026-04-18T00:00:00"/>
        <d v="2026-04-20T00:00:00"/>
        <d v="2026-04-22T00:00:00"/>
        <d v="2026-04-21T00:00:00"/>
        <d v="2026-02-21T00:00:00"/>
        <d v="2026-04-10T00:00:00"/>
        <d v="2026-04-09T00:00:00"/>
        <d v="2026-04-01T00:00:00"/>
        <d v="2026-04-04T00:00:00"/>
        <d v="2026-04-05T00:00:00"/>
        <d v="2026-04-07T00:00:00"/>
        <d v="2026-04-08T00:00:00"/>
        <d v="2026-02-22T00:00:00"/>
        <d v="2026-03-31T00:00:00" u="1"/>
      </sharedItems>
    </cacheField>
    <cacheField name="TIPO INTERVENCIÓN" numFmtId="0">
      <sharedItems containsBlank="1"/>
    </cacheField>
    <cacheField name="ACCIÓN TOMADA" numFmtId="0">
      <sharedItems containsBlank="1" longText="1"/>
    </cacheField>
    <cacheField name="REPUESTOS USADOS" numFmtId="0">
      <sharedItems containsBlank="1" count="188">
        <s v="2 tuercas"/>
        <s v="NA"/>
        <s v="Tornillo 5/16 por 2&quot;"/>
        <s v="1 Rodamiento 6064 zz NR"/>
        <m/>
        <s v="Disco flap y Soldadura 6013"/>
        <s v="Prisioneros 10X15mm"/>
        <s v="Tornillos y arandelas."/>
        <s v="Cinta alta temperatura, borneras."/>
        <s v="Cable para reemplazar"/>
        <s v="Tornillo 8 mm."/>
        <s v="2 Tornillos M8"/>
        <s v="Correa 45"/>
        <s v="Chumacera f208"/>
        <s v="2 Prisioneros M8."/>
        <s v="Manguera 16mm, tornillos."/>
        <s v="2 rodaientos 6006 y 2 rodamientos 6205"/>
        <s v="Correa 1120 XH"/>
        <s v="Rodamiento 6204 ZZ"/>
        <s v="Rodamiento 6205"/>
        <s v="Empaques para chumacera."/>
        <s v="Reles 24VDC"/>
        <s v="Helicoil M10 "/>
        <s v="1 Termocupla tipo J"/>
        <s v="1 Electrovalvula mono estable 5/2 y tornillos M8 V 30 mm"/>
        <s v="1 Correa 900H"/>
        <s v="1 Toma corriente"/>
        <s v="Manguera"/>
        <s v="Bateria"/>
        <s v="Arandelas"/>
        <s v="2 Tornillos M6 X 20mm."/>
        <s v="Cinta aislante y alta temperatura"/>
        <s v="2 Rodamientos 6003"/>
        <s v="Manguera expansiva."/>
        <s v="1 Rodamiento 3202"/>
        <s v="1 Rodamiento MCFR 52AS"/>
        <s v="1 Contactor 32 A"/>
        <s v="2 Tornillos M8 X 30 mm"/>
        <s v="1 TERMOCUPLA"/>
        <s v="1 ARANDELA, 1 GUAZA, 1 TORNILLO M6 X 40"/>
        <s v="TORNILLOS Y ARANDELAS"/>
        <s v="1 Rele de estado solido"/>
        <s v="2 Tornillos M5 X 20mm"/>
        <s v="1 RODAMIENTO 6205  // 1 RODAMIENTO 6206 2Z."/>
        <s v="Mnaguera expansiva."/>
        <s v="1 rodamiento NA6904-XL. 1 pin expamsivo 6mm X 50 mm."/>
        <s v="1 terminal tipo ojo #8."/>
        <s v="1 tuerca M6."/>
        <s v="Tornillo M8 con tuerca"/>
        <s v="1 Base de muletilla."/>
        <s v="1 llave bristol 3/8"/>
        <s v="2 Tornillos M4 X 20 mm avellanados."/>
        <s v="1 actuador DSBC-32-25-PPVA-N3"/>
        <s v="1 Controlador de temperatura, 58006-85-240VAC."/>
        <s v="1 Tornillo M8, 1 Tuerca M8"/>
        <s v="Manguera de 16mm"/>
        <s v="1 relevador 24vdc"/>
        <s v="1,5 m de manguera m8"/>
        <s v="1 metro cable encauchetado"/>
        <s v=" 1 Transformador 220v- 24v"/>
        <s v="1 Contador CTEM-1P"/>
        <s v="1x Rodamiento 600622"/>
        <s v="1x Tornillo M6 x 20mm"/>
        <s v="Relé estado solido XSSR - DA2440W1"/>
        <s v="Rodamiento"/>
        <s v="Correas B38"/>
        <s v="Racor M6 x1"/>
        <s v="Aspas unidad"/>
        <s v="Tornillo M10"/>
        <s v="Tornillo M10 x 20mm"/>
        <s v="2 Pulsadores y 2 contactores 2A"/>
        <s v="Tornillos 8mm x 30 mm"/>
        <s v="Tornillo M10 x 20 mm"/>
        <s v="Tornillos m4"/>
        <s v="Termocupla"/>
        <s v="4x Tornillos M6 x 30"/>
        <s v="2x Abrazadera Media luna 1/2&quot;"/>
        <s v="Tornillo M12 x 30mm, Arandela para ajuste por desgaste"/>
        <s v="Rodamiento 6303201"/>
        <s v="Tornillo M6"/>
        <s v="Tornillo M6 x 20mm y M10 x 8mm"/>
        <s v="Tornillo M8 x 50mm"/>
        <s v="Manguera flexible 2´´x 6mts"/>
        <s v="Relé estado solido"/>
        <s v="Rodamientos 67092 x2 y 60062 x2"/>
        <s v="1x potenciometro B202, 1x resistencia 10 kiloohm"/>
        <s v="1 Racor de 1/2 para M6"/>
        <s v="Cable #10 x 30 cm, 2x terminales ojo #10"/>
        <s v="1x Prisioneros 3/8 x 1/2, 5x Prisioneros M10 x 20mm"/>
        <s v="1x Correa mordaza"/>
        <s v="Platinas de 1/4 x 18 cm"/>
        <s v="Platinas y tornillos"/>
        <s v="Arandela de presión"/>
        <s v="Manguera de alta resistencia silicona de 1´´"/>
        <s v="10x Prisioneros M10"/>
        <s v="Mangueras"/>
        <s v="2x Tornillos M5 x 30 mm"/>
        <s v="NA "/>
        <s v="1x Tornillo M12 x60mm"/>
        <s v="1x Tornillo"/>
        <s v="1x Tornillo M12"/>
        <s v="Tornillo"/>
        <s v="Manguera M12"/>
        <s v="1x Tuerca y 1x Tornillo M12 x 60mm"/>
        <s v="1x Termocupla de 1/4"/>
        <s v="1x Tornillo 3/8 x 2´´"/>
        <s v="1x contador Osram de 8 pines"/>
        <s v="Tramo cadenilla doble paso 40cm"/>
        <s v="1x Piñon en teflon"/>
        <s v="1x Ventilador bifasico 220V"/>
        <s v="1x Tornillo M10"/>
        <s v="1x ventilador 220VAC"/>
        <s v="2x Tornillos M4 x 50mm"/>
        <s v="Tuercas, guasas"/>
        <s v="Relé termico"/>
        <s v="Piñon de teflon y cuadrante"/>
        <s v="1X Tornillo M8 x 30 mm"/>
        <s v="Tornillos M5 x 10mm"/>
        <s v="Tuercas"/>
        <s v="1x Termocupla"/>
        <s v="Rodamientos"/>
        <s v="1X Rodamiento 6203 C3"/>
        <s v="2x Tornillos M6 x 10 mm"/>
        <s v="x2 Seger"/>
        <s v="x1 Tornillo M5 x 20mm"/>
        <s v="x3 Capuchones"/>
        <s v="x1 Rodamiento 6003"/>
        <s v="x2 rodamientos 600"/>
        <s v="1x Tornillo M8"/>
        <s v="1x SSR 60A"/>
        <s v="1x Temporizador"/>
        <s v="1x Tornillo M12, 1x Tuerca M12"/>
        <s v="Tornillos, Correas, Termocuplas"/>
        <s v="1x Fusible"/>
        <s v="Rodamientos, Retenedores"/>
        <s v="1X Tornillo M10 X 50mm"/>
        <s v="1x Relé estado solido SSR 60A"/>
        <s v="1x Resistencia de 100KΩ"/>
        <s v="1X Termocupla tipo J"/>
        <s v="1X Termocupla retrabajada"/>
        <s v="1X Arandela"/>
        <s v="2X Rodamiento helicoidal"/>
        <s v="1X Arandela_x000a_1X Wasa"/>
        <s v="Resortes_x000a_Tornillos_x000a_Prisioneros"/>
        <s v="1X Electrodo 7018"/>
        <s v="1X Breaker siemens 80 A"/>
        <s v="1X Tornillo M6"/>
        <s v="2X Prisioneros 1/4&quot;"/>
        <s v="1X Termocupla tipo bulbo"/>
        <s v="1X MIPLE 1/8&quot; A 1/8&quot;"/>
        <s v="1X Tornillo M5 X 30 mm"/>
        <s v="1X Rodamiento 6005 2Z-C3"/>
        <s v="1X Contactor 18A"/>
        <s v="Resortes"/>
        <s v="Fusibles 16A #3"/>
        <s v="1X Rodamiento 6207 C3"/>
        <s v="1X Relé estado solido (SSR)_x000a_1X Termocupla bulbo tipo J"/>
        <s v="1X Rodamiento 6305"/>
        <s v="1X Rodamiento 3202 - BD - XL - 2HRS - TVH"/>
        <s v="1X Prisionero M10 X 20 mm"/>
        <s v="1X M8 X 20 mm"/>
        <s v="1X Correa 240L"/>
        <s v="3X Tornillos M8 X 30 mm"/>
        <s v="1X Tuerca"/>
        <s v="1X Rodamiento 6001 2Z - C3"/>
        <s v="1X Tuerca M10_x000a_1X Tornillo M10"/>
        <s v="1X Tornillo M10 X 35mm"/>
        <s v="1X Tuerca M12"/>
        <s v="1X Correa 900H"/>
        <s v="4X Tornillos M4 X 20mm"/>
        <s v="1X Contacto NC_x000a_1X Contacto NO"/>
        <s v="Cable encauchetado 4 hilos_x000a_Enchufe tipo stick"/>
        <s v="1X Contactor 32A"/>
        <s v="3X Fusibles 40A"/>
        <s v="REPUESTOS USADOS"/>
        <s v="Sensor posicionamiento selladora #4"/>
        <s v="2X Tornillo M6 X 30mm_x000a_3X Tuerca M6"/>
        <s v="1X SSR 40A 3-32 VAC"/>
        <s v="1X Prisionero M8 X 30mm"/>
        <s v="1X Cilindro 16 X 25mm grafado"/>
        <s v="1X Tornillo M6 X 60mm"/>
        <s v="NAA"/>
        <s v="1X Tornillo M12 X 60mm_x000a_1X Tuerca M12"/>
        <s v="1X Tornillo M8 x 30mm"/>
        <s v="4x Correas transmisión"/>
        <s v="1X Rodamiento 6010 - 2RS1" u="1"/>
        <s v="1X Acople inyector" u="1"/>
        <s v="1X Resistencia 3500W a 220v" u="1"/>
      </sharedItems>
    </cacheField>
    <cacheField name="INSUMOS UTILIZADOS" numFmtId="0">
      <sharedItems containsBlank="1"/>
    </cacheField>
    <cacheField name="TÉCNICO ENCARGADO" numFmtId="0">
      <sharedItems containsBlank="1" count="17">
        <s v="C. ORTEGA"/>
        <s v="O. DUARTE"/>
        <s v="D. BAUTISTA"/>
        <s v="L. CASTILLA"/>
        <m/>
        <s v="L. FLOREZ"/>
        <s v="M. PEREZ"/>
        <s v="J. FONTECHA"/>
        <s v="NA"/>
        <s v="J. SILVA"/>
        <s v="J. SILVA Y D. BAUITISTA"/>
        <s v="D. BAUTITA"/>
        <s v="L. CASTILLAS"/>
        <s v="L. FLOREZ Y D. BAUTISTA"/>
        <s v="J.SILVA"/>
        <s v="L. FLOREZ Y  D. BAUTISTA"/>
        <s v="TÉCNICO ENCARGADO"/>
      </sharedItems>
    </cacheField>
    <cacheField name="ESTADO" numFmtId="0">
      <sharedItems containsBlank="1" count="4">
        <s v="CERRADA"/>
        <m/>
        <s v="ABIERTA"/>
        <s v="ESTADO"/>
      </sharedItems>
    </cacheField>
    <cacheField name="TIEMPO DE INTERVENCIÓN" numFmtId="164">
      <sharedItems containsSemiMixedTypes="0" containsDate="1" containsString="0" containsMixedTypes="1" minDate="1899-12-30T00:00:00" maxDate="1899-12-30T20:15:00"/>
    </cacheField>
    <cacheField name="FECHA Y HORA INICIO" numFmtId="22">
      <sharedItems containsSemiMixedTypes="0" containsNonDate="0" containsDate="1" containsString="0" minDate="1899-12-30T00:00:00" maxDate="2026-04-21T13:45:00"/>
    </cacheField>
    <cacheField name="FECHA Y HORA FINAL" numFmtId="22">
      <sharedItems containsSemiMixedTypes="0" containsNonDate="0" containsDate="1" containsString="0" minDate="1899-12-30T00:00:00" maxDate="2026-04-22T03:00:00"/>
    </cacheField>
    <cacheField name="TIEMPO TOTAL SOLUCIÓN" numFmtId="165">
      <sharedItems containsSemiMixedTypes="0" containsDate="1" containsString="0" containsMixedTypes="1" minDate="1900-01-05T16:53:12" maxDate="1900-03-17T01:00:00"/>
    </cacheField>
    <cacheField name="Meses (FECHA DE REPORTE)" numFmtId="0" databaseField="0">
      <fieldGroup base="3">
        <rangePr groupBy="months" startDate="2025-02-02T00:00:00" endDate="2026-04-22T00:00:00"/>
        <groupItems count="14">
          <s v="&lt;2/2/2025"/>
          <s v="ene"/>
          <s v="feb"/>
          <s v="mar"/>
          <s v="abr"/>
          <s v="may"/>
          <s v="jun"/>
          <s v="jul"/>
          <s v="ago"/>
          <s v="sept"/>
          <s v="oct"/>
          <s v="nov"/>
          <s v="dic"/>
          <s v="&gt;22/4/2026"/>
        </groupItems>
      </fieldGroup>
    </cacheField>
    <cacheField name="Trimestres (FECHA DE REPORTE)" numFmtId="0" databaseField="0">
      <fieldGroup base="3">
        <rangePr groupBy="quarters" startDate="2025-02-02T00:00:00" endDate="2026-04-22T00:00:00"/>
        <groupItems count="6">
          <s v="&lt;2/2/2025"/>
          <s v="Trim.1"/>
          <s v="Trim.2"/>
          <s v="Trim.3"/>
          <s v="Trim.4"/>
          <s v="&gt;22/4/2026"/>
        </groupItems>
      </fieldGroup>
    </cacheField>
    <cacheField name="Años (FECHA DE REPORTE)" numFmtId="0" databaseField="0">
      <fieldGroup base="3">
        <rangePr groupBy="years" startDate="2025-02-02T00:00:00" endDate="2026-04-22T00:00:00"/>
        <groupItems count="4">
          <s v="&lt;2/2/2025"/>
          <s v="2025"/>
          <s v="2026"/>
          <s v="&gt;22/4/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adistico Mantenimiento" refreshedDate="46153.326764930556" createdVersion="8" refreshedVersion="8" minRefreshableVersion="3" recordCount="1465" xr:uid="{03B72D1C-F8DD-4772-BAF9-34C005A52BBA}">
  <cacheSource type="worksheet">
    <worksheetSource ref="A1:P2273" sheet="SEGUIMIENTO TPM xlsx"/>
  </cacheSource>
  <cacheFields count="19">
    <cacheField name="#TPM" numFmtId="0">
      <sharedItems containsBlank="1" containsMixedTypes="1" containsNumber="1" containsInteger="1" minValue="1" maxValue="1300"/>
    </cacheField>
    <cacheField name="NOMBRE DE QUIEN REPORTA" numFmtId="0">
      <sharedItems containsBlank="1"/>
    </cacheField>
    <cacheField name="HORA REPORTE" numFmtId="0">
      <sharedItems containsNonDate="0" containsDate="1" containsString="0" containsBlank="1" minDate="1899-12-30T00:00:00" maxDate="1899-12-30T23:56:00"/>
    </cacheField>
    <cacheField name="FECHA DE REPORTE" numFmtId="0">
      <sharedItems containsNonDate="0" containsDate="1" containsString="0" containsBlank="1" minDate="2025-02-02T00:00:00" maxDate="2026-05-11T00:00:00" count="186">
        <d v="2025-10-28T00:00:00"/>
        <d v="2025-10-29T00:00:00"/>
        <d v="2025-10-30T00:00:00"/>
        <m/>
        <d v="2025-10-31T00:00:00"/>
        <d v="2025-11-01T00:00:00"/>
        <d v="2025-11-03T00:00:00"/>
        <d v="2025-11-04T00:00:00"/>
        <d v="2025-11-05T00:00:00"/>
        <d v="2025-11-06T00:00:00"/>
        <d v="2025-11-07T00:00:00"/>
        <d v="2025-11-08T00:00:00"/>
        <d v="2025-11-09T00:00:00"/>
        <d v="2025-11-10T00:00:00"/>
        <d v="2025-11-11T00:00:00"/>
        <d v="2025-11-18T00:00:00"/>
        <d v="2025-11-12T00:00:00"/>
        <d v="2025-11-13T00:00:00"/>
        <d v="2025-11-14T00:00:00"/>
        <d v="2025-11-16T00:00:00"/>
        <d v="2025-11-17T00:00:00"/>
        <d v="2025-11-19T00:00:00"/>
        <d v="2025-11-20T00:00:00"/>
        <d v="2025-11-21T00:00:00"/>
        <d v="2025-11-25T00:00:00"/>
        <d v="2025-11-23T00:00:00"/>
        <d v="2025-11-24T00:00:00"/>
        <d v="2025-10-22T00:00:00"/>
        <d v="2025-12-20T00:00:00"/>
        <d v="2026-01-08T00:00:00"/>
        <d v="2026-02-01T00:00:00"/>
        <d v="2026-02-27T00:00:00"/>
        <d v="2026-04-13T00:00:00"/>
        <d v="2026-04-30T00:00:00"/>
        <d v="2026-04-29T00:00:00"/>
        <d v="2025-11-22T00:00:00"/>
        <d v="2025-12-02T00:00:00"/>
        <d v="2025-12-11T00:00:00"/>
        <d v="2025-02-15T00:00:00"/>
        <d v="2026-01-20T00:00:00"/>
        <d v="2026-01-29T00:00:00"/>
        <d v="2026-01-30T00:00:00"/>
        <d v="2026-01-03T00:00:00"/>
        <d v="2026-02-12T00:00:00"/>
        <d v="2026-02-13T00:00:00"/>
        <d v="2026-02-17T00:00:00"/>
        <d v="2026-03-06T00:00:00"/>
        <d v="2026-04-14T00:00:00"/>
        <d v="2026-04-24T00:00:00"/>
        <d v="2025-11-26T00:00:00"/>
        <d v="2025-11-27T00:00:00"/>
        <d v="2025-11-28T00:00:00"/>
        <d v="2025-11-29T00:00:00"/>
        <d v="2025-11-30T00:00:00"/>
        <d v="2025-12-01T00:00:00"/>
        <d v="2025-02-02T00:00:00"/>
        <d v="2025-12-03T00:00:00"/>
        <d v="2025-12-04T00:00:00"/>
        <d v="2025-12-05T00:00:00"/>
        <d v="2025-12-06T00:00:00"/>
        <d v="2025-12-08T00:00:00"/>
        <d v="2025-12-13T00:00:00"/>
        <d v="2025-12-09T00:00:00"/>
        <d v="2025-12-10T00:00:00"/>
        <d v="2025-12-12T00:00:00"/>
        <d v="2025-12-14T00:00:00"/>
        <d v="2025-12-15T00:00:00"/>
        <d v="2025-12-16T00:00:00"/>
        <d v="2025-12-17T00:00:00"/>
        <d v="2025-12-18T00:00:00"/>
        <d v="2025-12-19T00:00:00"/>
        <d v="2025-12-30T00:00:00"/>
        <d v="2025-12-21T00:00:00"/>
        <d v="2025-12-22T00:00:00"/>
        <d v="2025-12-26T00:00:00"/>
        <d v="2025-12-27T00:00:00"/>
        <d v="2025-12-28T00:00:00"/>
        <d v="2025-12-29T00:00:00"/>
        <d v="2026-01-05T00:00:00"/>
        <d v="2025-12-31T00:00:00"/>
        <d v="2026-01-02T00:00:00"/>
        <d v="2026-01-04T00:00:00"/>
        <d v="2026-01-06T00:00:00"/>
        <d v="2026-01-07T00:00:00"/>
        <d v="2026-01-09T00:00:00"/>
        <d v="2026-01-10T00:00:00"/>
        <d v="2026-01-11T00:00:00"/>
        <d v="2026-01-12T00:00:00"/>
        <d v="2026-01-13T00:00:00"/>
        <d v="2026-01-14T00:00:00"/>
        <d v="2026-01-15T00:00:00"/>
        <d v="2026-01-16T00:00:00"/>
        <d v="2026-01-17T00:00:00"/>
        <d v="2026-03-12T00:00:00"/>
        <d v="2026-01-18T00:00:00"/>
        <d v="2026-01-19T00:00:00"/>
        <d v="2026-01-21T00:00:00"/>
        <d v="2026-01-22T00:00:00"/>
        <d v="2026-01-23T00:00:00"/>
        <d v="2026-01-24T00:00:00"/>
        <d v="2026-01-25T00:00:00"/>
        <d v="2026-01-26T00:00:00"/>
        <d v="2026-01-27T00:00:00"/>
        <d v="2026-01-28T00:00:00"/>
        <d v="2026-01-31T00:00:00"/>
        <d v="2026-02-02T00:00:00"/>
        <d v="2026-02-03T00:00:00"/>
        <d v="2026-02-05T00:00:00"/>
        <d v="2026-02-09T00:00:00"/>
        <d v="2026-03-20T00:00:00"/>
        <d v="2026-02-04T00:00:00"/>
        <d v="2026-03-13T00:00:00"/>
        <d v="2026-02-06T00:00:00"/>
        <d v="2026-02-07T00:00:00"/>
        <d v="2026-02-08T00:00:00"/>
        <d v="2026-02-28T00:00:00"/>
        <d v="2026-02-10T00:00:00"/>
        <d v="2026-02-11T00:00:00"/>
        <d v="2026-02-14T00:00:00"/>
        <d v="2026-02-15T00:00:00"/>
        <d v="2026-02-16T00:00:00"/>
        <d v="2026-02-18T00:00:00"/>
        <d v="2026-02-19T00:00:00"/>
        <d v="2026-02-20T00:00:00"/>
        <d v="2026-02-21T00:00:00"/>
        <d v="2026-02-25T00:00:00"/>
        <d v="2026-02-23T00:00:00"/>
        <d v="2026-02-24T00:00:00"/>
        <d v="2026-02-26T00:00:00"/>
        <d v="2026-03-01T00:00:00"/>
        <d v="2026-03-02T00:00:00"/>
        <d v="2026-03-03T00:00:00"/>
        <d v="2026-03-04T00:00:00"/>
        <d v="2026-03-05T00:00:00"/>
        <d v="2026-03-07T00:00:00"/>
        <d v="2026-03-10T00:00:00"/>
        <d v="2026-03-09T00:00:00"/>
        <d v="2026-03-11T00:00:00"/>
        <d v="2026-03-16T00:00:00"/>
        <d v="2026-03-14T00:00:00"/>
        <d v="2026-03-15T00:00:00"/>
        <d v="2026-03-17T00:00:00"/>
        <d v="2026-03-18T00:00:00"/>
        <d v="2026-03-19T00:00:00"/>
        <d v="2026-04-02T00:00:00"/>
        <d v="2026-03-21T00:00:00"/>
        <d v="2026-03-22T00:00:00"/>
        <d v="2026-03-23T00:00:00"/>
        <d v="2026-03-24T00:00:00"/>
        <d v="2026-03-25T00:00:00"/>
        <d v="2026-03-27T00:00:00"/>
        <d v="2026-03-26T00:00:00"/>
        <d v="2026-03-28T00:00:00"/>
        <d v="2026-03-29T00:00:00"/>
        <d v="2026-03-30T00:00:00"/>
        <d v="2026-04-11T00:00:00"/>
        <d v="2026-04-12T00:00:00"/>
        <d v="2026-04-16T00:00:00"/>
        <d v="2026-04-17T00:00:00"/>
        <d v="2026-04-18T00:00:00"/>
        <d v="2026-04-20T00:00:00"/>
        <d v="2026-04-21T00:00:00"/>
        <d v="2026-04-22T00:00:00"/>
        <d v="2026-04-23T00:00:00"/>
        <d v="2026-04-25T00:00:00"/>
        <d v="2026-04-27T00:00:00"/>
        <d v="2026-04-28T00:00:00"/>
        <d v="2026-05-01T00:00:00"/>
        <d v="2026-05-02T00:00:00"/>
        <d v="2026-04-03T00:00:00"/>
        <d v="2026-05-04T00:00:00"/>
        <d v="2026-05-05T00:00:00"/>
        <d v="2026-05-06T00:00:00"/>
        <d v="2026-05-08T00:00:00"/>
        <d v="2026-05-07T00:00:00"/>
        <d v="2026-05-09T00:00:00"/>
        <d v="2026-05-10T00:00:00"/>
        <d v="2026-04-10T00:00:00"/>
        <d v="2026-04-08T00:00:00"/>
        <d v="2026-04-01T00:00:00"/>
        <d v="2026-04-04T00:00:00"/>
        <d v="2026-04-05T00:00:00"/>
        <d v="2026-04-07T00:00:00"/>
        <d v="2026-04-09T00:00:00"/>
        <d v="2026-03-31T00:00:00"/>
        <d v="2026-02-22T00:00:00"/>
      </sharedItems>
      <fieldGroup par="18"/>
    </cacheField>
    <cacheField name="MÁQUINA " numFmtId="0">
      <sharedItems containsBlank="1" count="30">
        <s v="SELLADORA 3"/>
        <s v="EXTRUSORA 4"/>
        <s v="SELLADORA"/>
        <s v="EXTRUSORA"/>
        <s v="SELLADORA 2"/>
        <m/>
        <s v="EXTRUSORA 5"/>
        <s v="IMPRESORA 1"/>
        <s v="EXTRUSORA 3"/>
        <s v="REFILADORA 1"/>
        <s v="REFILADORA 3"/>
        <s v="Otro"/>
        <s v="SELLADORA 4"/>
        <s v="SELLADORA 1"/>
        <s v="EXTRUSORA 2"/>
        <s v="NA"/>
        <s v="SELLADORA "/>
        <s v="REFILADORA"/>
        <s v="MEZCLADORA 1"/>
        <s v="EXTRUSORA "/>
        <s v="PELETIZADORA 1"/>
        <s v="EXTRUSORA 1"/>
        <s v="Lab. Calidad"/>
        <s v="PELETIZADORA"/>
        <s v="CORTA CORE"/>
        <s v="REFILADORA 2"/>
        <s v="EXTRUSORA 3 Y EXTRUSORA 4"/>
        <s v="SELLADORA 5"/>
        <s v="MÁQUINA "/>
        <s v="Corta cores"/>
      </sharedItems>
    </cacheField>
    <cacheField name="TIPO FALLA" numFmtId="0">
      <sharedItems containsBlank="1"/>
    </cacheField>
    <cacheField name="DESCIPCIÓN " numFmtId="0">
      <sharedItems containsBlank="1"/>
    </cacheField>
    <cacheField name="HORA INICIO INTERVENCIÓN" numFmtId="0">
      <sharedItems containsNonDate="0" containsDate="1" containsString="0" containsBlank="1" minDate="1899-12-30T00:00:00" maxDate="1899-12-30T23:50:00"/>
    </cacheField>
    <cacheField name="HORA FIN  INTERVENCIÓN" numFmtId="0">
      <sharedItems containsNonDate="0" containsDate="1" containsString="0" containsBlank="1" minDate="1899-12-30T00:00:00" maxDate="1899-12-30T23:51:00"/>
    </cacheField>
    <cacheField name="FECHA DE INTERVENCÓN" numFmtId="0">
      <sharedItems containsNonDate="0" containsDate="1" containsString="0" containsBlank="1" minDate="2025-01-05T00:00:00" maxDate="2026-05-11T00:00:00"/>
    </cacheField>
    <cacheField name="TIPO INTERVENCIÓN" numFmtId="0">
      <sharedItems containsBlank="1"/>
    </cacheField>
    <cacheField name="ACCIÓN TOMADA" numFmtId="0">
      <sharedItems containsBlank="1" longText="1"/>
    </cacheField>
    <cacheField name="REPUESTOS USADOS" numFmtId="0">
      <sharedItems containsBlank="1"/>
    </cacheField>
    <cacheField name="INSUMOS UTILIZADOS" numFmtId="0">
      <sharedItems containsBlank="1"/>
    </cacheField>
    <cacheField name="TÉCNICO ENCARGADO" numFmtId="0">
      <sharedItems containsBlank="1"/>
    </cacheField>
    <cacheField name="ESTADO" numFmtId="0">
      <sharedItems containsBlank="1" count="5">
        <s v="CERRADA"/>
        <m/>
        <s v="ABIERTA"/>
        <s v="ANULADA"/>
        <s v="ESTADO"/>
      </sharedItems>
    </cacheField>
    <cacheField name="Meses (FECHA DE REPORTE)" numFmtId="0" databaseField="0">
      <fieldGroup base="3">
        <rangePr groupBy="months" startDate="2025-02-02T00:00:00" endDate="2026-05-11T00:00:00"/>
        <groupItems count="14">
          <s v="&lt;2/02/2025"/>
          <s v="ene"/>
          <s v="feb"/>
          <s v="mar"/>
          <s v="abr"/>
          <s v="may"/>
          <s v="jun"/>
          <s v="jul"/>
          <s v="ago"/>
          <s v="sep"/>
          <s v="oct"/>
          <s v="nov"/>
          <s v="dic"/>
          <s v="&gt;11/05/2026"/>
        </groupItems>
      </fieldGroup>
    </cacheField>
    <cacheField name="Trimestres (FECHA DE REPORTE)" numFmtId="0" databaseField="0">
      <fieldGroup base="3">
        <rangePr groupBy="quarters" startDate="2025-02-02T00:00:00" endDate="2026-05-11T00:00:00"/>
        <groupItems count="6">
          <s v="&lt;2/02/2025"/>
          <s v="Trim.1"/>
          <s v="Trim.2"/>
          <s v="Trim.3"/>
          <s v="Trim.4"/>
          <s v="&gt;11/05/2026"/>
        </groupItems>
      </fieldGroup>
    </cacheField>
    <cacheField name="Años (FECHA DE REPORTE)" numFmtId="0" databaseField="0">
      <fieldGroup base="3">
        <rangePr groupBy="years" startDate="2025-02-02T00:00:00" endDate="2026-05-11T00:00:00"/>
        <groupItems count="4">
          <s v="&lt;2/02/2025"/>
          <s v="2025"/>
          <s v="2026"/>
          <s v="&gt;11/05/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adistico Mantenimiento" refreshedDate="46153.326815972221" createdVersion="8" refreshedVersion="8" minRefreshableVersion="3" recordCount="1465" xr:uid="{9C3AB94D-59A0-4256-B9A9-0FBE77BF83E8}">
  <cacheSource type="worksheet">
    <worksheetSource ref="A1:T1481" sheet="SEGUIMIENTO TPM xlsx"/>
  </cacheSource>
  <cacheFields count="20">
    <cacheField name="#TPM" numFmtId="0">
      <sharedItems containsBlank="1" containsMixedTypes="1" containsNumber="1" containsInteger="1" minValue="1" maxValue="1300"/>
    </cacheField>
    <cacheField name="NOMBRE DE QUIEN REPORTA" numFmtId="0">
      <sharedItems containsBlank="1"/>
    </cacheField>
    <cacheField name="HORA REPORTE" numFmtId="0">
      <sharedItems containsNonDate="0" containsDate="1" containsString="0" containsBlank="1" minDate="1899-12-30T00:00:00" maxDate="1899-12-30T23:56:00"/>
    </cacheField>
    <cacheField name="FECHA DE REPORTE" numFmtId="0">
      <sharedItems containsNonDate="0" containsDate="1" containsString="0" containsBlank="1" minDate="2025-02-02T00:00:00" maxDate="2026-05-11T00:00:00"/>
    </cacheField>
    <cacheField name="MÁQUINA " numFmtId="0">
      <sharedItems containsBlank="1" count="38">
        <s v="SELLADORA 3"/>
        <s v="EXTRUSORA 4"/>
        <s v="SELLADORA"/>
        <s v="EXTRUSORA"/>
        <s v="SELLADORA 2"/>
        <m/>
        <s v="EXTRUSORA 5"/>
        <s v="IMPRESORA 1"/>
        <s v="EXTRUSORA 3"/>
        <s v="REFILADORA 1"/>
        <s v="REFILADORA 3"/>
        <s v="Otro"/>
        <s v="SELLADORA 4"/>
        <s v="SELLADORA 1"/>
        <s v="EXTRUSORA 2"/>
        <s v="NA"/>
        <s v="SELLADORA "/>
        <s v="REFILADORA"/>
        <s v="MEZCLADORA 1"/>
        <s v="EXTRUSORA "/>
        <s v="PELETIZADORA 1"/>
        <s v="EXTRUSORA 1"/>
        <s v="Lab. Calidad"/>
        <s v="PELETIZADORA"/>
        <s v="CORTA CORE"/>
        <s v="REFILADORA 2"/>
        <s v="EXTRUSORA 3 Y EXTRUSORA 4"/>
        <s v="SELLADORA 5"/>
        <s v="MÁQUINA "/>
        <s v="Corta cores"/>
        <s v="IMPRESORA  1" u="1"/>
        <s v="IMPRESORA" u="1"/>
        <s v="COEX 5" u="1"/>
        <s v="COEX5" u="1"/>
        <s v="IMPRESORA1" u="1"/>
        <s v="COEX 3" u="1"/>
        <s v="COEX 1" u="1"/>
        <s v="COEX 4" u="1"/>
      </sharedItems>
    </cacheField>
    <cacheField name="TIPO FALLA" numFmtId="0">
      <sharedItems containsBlank="1"/>
    </cacheField>
    <cacheField name="DESCIPCIÓN " numFmtId="0">
      <sharedItems containsBlank="1"/>
    </cacheField>
    <cacheField name="HORA INICIO INTERVENCIÓN" numFmtId="0">
      <sharedItems containsNonDate="0" containsDate="1" containsString="0" containsBlank="1" minDate="1899-12-30T00:00:00" maxDate="1899-12-30T23:50:00"/>
    </cacheField>
    <cacheField name="HORA FIN  INTERVENCIÓN" numFmtId="0">
      <sharedItems containsNonDate="0" containsDate="1" containsString="0" containsBlank="1" minDate="1899-12-30T00:00:00" maxDate="1899-12-30T23:51:00"/>
    </cacheField>
    <cacheField name="FECHA DE INTERVENCÓN" numFmtId="0">
      <sharedItems containsNonDate="0" containsDate="1" containsString="0" containsBlank="1" minDate="2025-01-05T00:00:00" maxDate="2026-05-11T00:00:00" count="179">
        <d v="2025-10-28T00:00:00"/>
        <d v="2025-10-29T00:00:00"/>
        <d v="2025-10-30T00:00:00"/>
        <m/>
        <d v="2025-10-31T00:00:00"/>
        <d v="2025-11-01T00:00:00"/>
        <d v="2025-11-03T00:00:00"/>
        <d v="2025-11-04T00:00:00"/>
        <d v="2025-11-05T00:00:00"/>
        <d v="2025-11-06T00:00:00"/>
        <d v="2025-11-07T00:00:00"/>
        <d v="2025-11-08T00:00:00"/>
        <d v="2025-11-09T00:00:00"/>
        <d v="2025-11-10T00:00:00"/>
        <d v="2025-11-11T00:00:00"/>
        <d v="2025-11-18T00:00:00"/>
        <d v="2025-11-12T00:00:00"/>
        <d v="2025-11-13T00:00:00"/>
        <d v="2025-11-14T00:00:00"/>
        <d v="2025-11-16T00:00:00"/>
        <d v="2025-11-19T00:00:00"/>
        <d v="2025-11-20T00:00:00"/>
        <d v="2025-11-21T00:00:00"/>
        <d v="2025-11-25T00:00:00"/>
        <d v="2025-11-23T00:00:00"/>
        <d v="2025-11-24T00:00:00"/>
        <d v="2025-12-20T00:00:00"/>
        <d v="2026-02-01T00:00:00"/>
        <d v="2026-04-30T00:00:00"/>
        <d v="2025-12-12T00:00:00"/>
        <d v="2025-12-03T00:00:00"/>
        <d v="2025-12-11T00:00:00"/>
        <d v="2025-11-26T00:00:00"/>
        <d v="2025-11-27T00:00:00"/>
        <d v="2025-11-28T00:00:00"/>
        <d v="2025-11-22T00:00:00"/>
        <d v="2025-11-29T00:00:00"/>
        <d v="2025-11-30T00:00:00"/>
        <d v="2025-12-01T00:00:00"/>
        <d v="2025-12-02T00:00:00"/>
        <d v="2025-12-04T00:00:00"/>
        <d v="2025-12-05T00:00:00"/>
        <d v="2025-12-06T00:00:00"/>
        <d v="2025-12-13T00:00:00"/>
        <d v="2025-12-09T00:00:00"/>
        <d v="2025-12-10T00:00:00"/>
        <d v="2025-12-14T00:00:00"/>
        <d v="2025-12-15T00:00:00"/>
        <d v="2025-12-16T00:00:00"/>
        <d v="2025-12-17T00:00:00"/>
        <d v="2025-12-18T00:00:00"/>
        <d v="2025-12-19T00:00:00"/>
        <d v="2025-12-30T00:00:00"/>
        <d v="2025-12-21T00:00:00"/>
        <d v="2025-12-22T00:00:00"/>
        <d v="2025-12-26T00:00:00"/>
        <d v="2025-12-27T00:00:00"/>
        <d v="2025-12-28T00:00:00"/>
        <d v="2025-12-29T00:00:00"/>
        <d v="2025-01-05T00:00:00"/>
        <d v="2026-01-02T00:00:00"/>
        <d v="2026-01-03T00:00:00"/>
        <d v="2026-01-04T00:00:00"/>
        <d v="2026-01-05T00:00:00"/>
        <d v="2026-01-06T00:00:00"/>
        <d v="2026-01-08T00:00:00"/>
        <d v="2026-01-09T00:00:00"/>
        <d v="2026-01-01T00:00:00"/>
        <d v="2026-03-27T00:00:00"/>
        <d v="2026-01-10T00:00:00"/>
        <d v="2026-01-11T00:00:00"/>
        <d v="2026-01-12T00:00:00"/>
        <d v="2026-01-13T00:00:00"/>
        <d v="2026-01-14T00:00:00"/>
        <d v="2026-01-15T00:00:00"/>
        <d v="2026-01-16T00:00:00"/>
        <d v="2026-01-17T00:00:00"/>
        <d v="2026-03-13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2T00:00:00"/>
        <d v="2026-02-06T00:00:00"/>
        <d v="2026-02-03T00:00:00"/>
        <d v="2026-03-20T00:00:00"/>
        <d v="2026-02-04T00:00:00"/>
        <d v="2026-02-05T00:00:00"/>
        <d v="2026-02-07T00:00:00"/>
        <d v="2026-02-09T00:00:00"/>
        <d v="2026-02-28T00:00:00"/>
        <d v="2026-02-10T00:00:00"/>
        <d v="2026-02-11T00:00:00"/>
        <d v="2026-02-12T00:00:00"/>
        <d v="2026-02-14T00:00:00"/>
        <d v="2026-02-15T00:00:00"/>
        <d v="2026-02-16T00:00:00"/>
        <d v="2026-02-17T00:00:00"/>
        <d v="2026-02-18T00:00:00"/>
        <d v="2026-02-19T00:00:00"/>
        <d v="2026-02-20T00:00:00"/>
        <d v="2026-02-25T00:00:00"/>
        <d v="2026-02-23T00:00:00"/>
        <d v="2026-02-24T00:00:00"/>
        <d v="2026-02-26T00:00:00"/>
        <d v="2026-03-10T00:00:00"/>
        <d v="2026-02-27T00:00:00"/>
        <d v="2026-03-01T00:00:00"/>
        <d v="2026-03-02T00:00:00"/>
        <d v="2026-03-03T00:00:00"/>
        <d v="2026-03-04T00:00:00"/>
        <d v="2026-03-05T00:00:00"/>
        <d v="2026-03-06T00:00:00"/>
        <d v="2026-03-11T00:00:00"/>
        <d v="2026-03-07T00:00:00"/>
        <d v="2026-03-09T00:00:00"/>
        <d v="2026-03-12T00:00:00"/>
        <d v="2026-03-16T00:00:00"/>
        <d v="2026-03-15T00:00:00"/>
        <d v="2026-03-17T00:00:00"/>
        <d v="2026-03-18T00:00:00"/>
        <d v="2026-03-19T00:00:00"/>
        <d v="2026-04-03T00:00:00"/>
        <d v="2026-03-21T00:00:00"/>
        <d v="2026-03-22T00:00:00"/>
        <d v="2026-03-23T00:00:00"/>
        <d v="2026-03-24T00:00:00"/>
        <d v="2026-03-25T00:00:00"/>
        <d v="2026-03-26T00:00:00"/>
        <d v="2026-04-13T00:00:00"/>
        <d v="2026-03-29T00:00:00"/>
        <d v="2026-03-28T00:00:00"/>
        <d v="2026-03-30T00:00:00"/>
        <d v="2026-04-11T00:00:00"/>
        <d v="2026-04-12T00:00:00"/>
        <d v="2026-04-15T00:00:00"/>
        <d v="2026-04-14T00:00:00"/>
        <d v="2026-04-16T00:00:00"/>
        <d v="2026-04-17T00:00:00"/>
        <d v="2026-04-18T00:00:00"/>
        <d v="2026-04-20T00:00:00"/>
        <d v="2026-04-29T00:00:00"/>
        <d v="2026-04-22T00:00:00"/>
        <d v="2026-04-21T00:00:00"/>
        <d v="2026-04-23T00:00:00"/>
        <d v="2026-04-24T00:00:00"/>
        <d v="2026-04-25T00:00:00"/>
        <d v="2026-04-27T00:00:00"/>
        <d v="2026-04-28T00:00:00"/>
        <d v="2026-05-01T00:00:00"/>
        <d v="2026-05-02T00:00:00"/>
        <d v="2026-05-04T00:00:00"/>
        <d v="2026-05-05T00:00:00"/>
        <d v="2026-05-06T00:00:00"/>
        <d v="2026-05-09T00:00:00"/>
        <d v="2026-05-07T00:00:00"/>
        <d v="2026-05-08T00:00:00"/>
        <d v="2026-05-10T00:00:00"/>
        <d v="2026-02-21T00:00:00"/>
        <d v="2026-04-10T00:00:00"/>
        <d v="2026-04-09T00:00:00"/>
        <d v="2026-04-01T00:00:00"/>
        <d v="2026-04-04T00:00:00"/>
        <d v="2026-04-05T00:00:00"/>
        <d v="2026-04-07T00:00:00"/>
        <d v="2026-04-08T00:00:00"/>
        <d v="2026-02-22T00:00:00"/>
        <d v="2026-03-31T00:00:00" u="1"/>
        <d v="2026-04-02T00:00:00" u="1"/>
      </sharedItems>
    </cacheField>
    <cacheField name="TIPO INTERVENCIÓN" numFmtId="0">
      <sharedItems containsBlank="1"/>
    </cacheField>
    <cacheField name="ACCIÓN TOMADA" numFmtId="0">
      <sharedItems containsBlank="1" longText="1"/>
    </cacheField>
    <cacheField name="REPUESTOS USADOS" numFmtId="0">
      <sharedItems containsBlank="1"/>
    </cacheField>
    <cacheField name="INSUMOS UTILIZADOS" numFmtId="0">
      <sharedItems containsBlank="1"/>
    </cacheField>
    <cacheField name="TÉCNICO ENCARGADO" numFmtId="0">
      <sharedItems containsBlank="1"/>
    </cacheField>
    <cacheField name="ESTADO" numFmtId="0">
      <sharedItems containsBlank="1" count="5">
        <s v="CERRADA"/>
        <m/>
        <s v="ABIERTA"/>
        <s v="ANULADA"/>
        <s v="ESTADO"/>
      </sharedItems>
    </cacheField>
    <cacheField name="TIEMPO DE INTERVENCIÓN" numFmtId="0">
      <sharedItems containsDate="1" containsString="0" containsBlank="1" containsMixedTypes="1" minDate="1900-01-07T06:01:11" maxDate="1899-12-30T20:15:00"/>
    </cacheField>
    <cacheField name="FECHA Y HORA INICIO" numFmtId="0">
      <sharedItems containsNonDate="0" containsDate="1" containsString="0" containsBlank="1" minDate="1899-12-30T00:00:00" maxDate="2026-05-10T03:00:00"/>
    </cacheField>
    <cacheField name="FECHA Y HORA FINAL" numFmtId="0">
      <sharedItems containsNonDate="0" containsDate="1" containsString="0" containsBlank="1" minDate="1899-12-30T00:00:00" maxDate="2026-05-10T03:40:00"/>
    </cacheField>
    <cacheField name="TIEMPO TOTAL SOLUCIÓN" numFmtId="0">
      <sharedItems containsDate="1" containsString="0" containsBlank="1" containsMixedTypes="1" minDate="1900-01-05T14:53:12" maxDate="1900-03-17T01: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2">
  <r>
    <n v="1"/>
    <s v="S. CARDENAL"/>
    <d v="1899-12-30T06:50:00"/>
    <x v="0"/>
    <s v="SELLADORA 3"/>
    <s v="Puntual"/>
    <s v="La tuerca que aprieta el teflon esta dañada."/>
    <d v="1899-12-30T07:30:00"/>
    <d v="1899-12-30T07:40:00"/>
    <x v="0"/>
    <s v="Mecánica"/>
    <s v="Se cambia tuerca 5/16 porque se daño el paso, se cambia por una nueva."/>
    <x v="0"/>
    <s v="NA"/>
    <x v="0"/>
    <x v="0"/>
    <d v="1899-12-30T00:10:00"/>
    <d v="2025-10-28T06:50:00"/>
    <d v="2025-10-28T07:40:00"/>
    <d v="1899-12-30T00:50:00"/>
  </r>
  <r>
    <n v="2"/>
    <s v="S. CARDENAL"/>
    <d v="1899-12-30T07:45:00"/>
    <x v="0"/>
    <s v="SELLADORA 3"/>
    <s v="Repetitiva"/>
    <s v="La cuchilla se baja sola"/>
    <d v="1899-12-30T07:43:00"/>
    <d v="1899-12-30T07:59:00"/>
    <x v="0"/>
    <s v="Mecánica"/>
    <s v="Se le da 1/4 de vuelta al freno del motor de abajo para que sostenga la leva."/>
    <x v="1"/>
    <s v="NA"/>
    <x v="0"/>
    <x v="0"/>
    <d v="1899-12-30T00:16:00"/>
    <d v="2025-10-28T07:45:00"/>
    <d v="2025-10-28T07:59:00"/>
    <d v="1899-12-30T00:14:00"/>
  </r>
  <r>
    <n v="3"/>
    <s v="H. TRIANA"/>
    <d v="1899-12-30T15:20:00"/>
    <x v="0"/>
    <s v="EXTRUSORA 4"/>
    <s v="Repetitiva"/>
    <s v="Se solicita retirar torta de los discos de rotación."/>
    <d v="1899-12-30T15:30:00"/>
    <d v="1899-12-30T16:00:00"/>
    <x v="0"/>
    <s v="Mecánica"/>
    <s v="Retiro de material residuo torta discos de rotación."/>
    <x v="1"/>
    <s v="Cinta de alta temperatura"/>
    <x v="1"/>
    <x v="0"/>
    <d v="1899-12-30T00:30:00"/>
    <d v="2025-10-28T15:20:00"/>
    <d v="2025-10-28T16:00:00"/>
    <d v="1899-12-30T00:40:00"/>
  </r>
  <r>
    <n v="4"/>
    <s v="L. GARZON"/>
    <d v="1899-12-30T20:20:00"/>
    <x v="0"/>
    <s v="SELLADORA"/>
    <s v="Puntual"/>
    <s v="La cuchilla estaba suelta."/>
    <d v="1899-12-30T20:20:00"/>
    <d v="1899-12-30T20:40:00"/>
    <x v="0"/>
    <s v="Mecánica"/>
    <s v="Se ajustan prisioneros de ajuste de mordaza. "/>
    <x v="1"/>
    <s v="NA"/>
    <x v="2"/>
    <x v="0"/>
    <d v="1899-12-30T00:20:00"/>
    <d v="2025-10-28T20:20:00"/>
    <d v="2025-10-28T20:40:00"/>
    <d v="1899-12-30T00:20:00"/>
  </r>
  <r>
    <n v="5"/>
    <s v="D. CUESTA"/>
    <d v="1899-12-30T04:00:00"/>
    <x v="1"/>
    <s v="EXTRUSORA"/>
    <s v="Puntual"/>
    <s v="Revisar zona de temperatura zona exterior del tornillo."/>
    <d v="1899-12-30T04:00:00"/>
    <d v="1899-12-30T04:30:00"/>
    <x v="1"/>
    <s v="Eléctrica"/>
    <s v="Se realiza inspección a los componentes como controlador, rele y termocupla, se realiza calibración de termocupla."/>
    <x v="1"/>
    <s v="NA"/>
    <x v="3"/>
    <x v="0"/>
    <d v="1899-12-30T00:30:00"/>
    <d v="2025-10-29T04:00:00"/>
    <d v="2025-10-29T04:30:00"/>
    <d v="1899-12-30T00:30:00"/>
  </r>
  <r>
    <n v="6"/>
    <s v="S. CARDENAL"/>
    <d v="1899-12-30T12:50:00"/>
    <x v="1"/>
    <s v="SELLADORA 2"/>
    <s v="Puntual"/>
    <s v="Carretes del transportadora rompen bolsa y se queda atrapada. "/>
    <d v="1899-12-30T13:00:00"/>
    <d v="1899-12-30T13:43:00"/>
    <x v="1"/>
    <s v="Mecánica"/>
    <s v="Se ajustan rodillos con corredera a la salida del transportador tornillo no roscaba, se cambia por otro."/>
    <x v="2"/>
    <s v="NA"/>
    <x v="0"/>
    <x v="0"/>
    <d v="1899-12-30T00:43:00"/>
    <d v="2025-10-29T12:50:00"/>
    <d v="2025-10-29T13:43:00"/>
    <d v="1899-12-30T00:53:00"/>
  </r>
  <r>
    <n v="7"/>
    <s v="A. CESPEDES"/>
    <d v="1899-12-30T00:25:00"/>
    <x v="2"/>
    <s v="SELLADORA 3"/>
    <s v="Puntual"/>
    <s v="Transportador no prende."/>
    <d v="1899-12-30T00:25:00"/>
    <d v="1899-12-30T01:15:00"/>
    <x v="2"/>
    <s v="Mecánica"/>
    <s v="Se inspecciona el transportador encontrando el rodamiento averiado y se realiza cambio quedando bien."/>
    <x v="3"/>
    <s v="NA"/>
    <x v="3"/>
    <x v="0"/>
    <d v="1899-12-30T00:50:00"/>
    <d v="2025-10-30T00:25:00"/>
    <d v="2025-10-30T01:15:00"/>
    <d v="1899-12-30T00:50:00"/>
  </r>
  <r>
    <n v="8"/>
    <s v="J. LUCAS"/>
    <d v="1899-12-30T07:25:00"/>
    <x v="2"/>
    <s v="SELLADORA 3"/>
    <s v="Puntual"/>
    <s v="Bolsa se rompe en los carretes por falta de carretes."/>
    <d v="1899-12-30T07:40:00"/>
    <d v="1899-12-30T08:40:00"/>
    <x v="2"/>
    <s v="Mecánica"/>
    <s v="Lubricar carretes y correr un espacio para cubrir los que se rompieron."/>
    <x v="1"/>
    <s v="Lubricante"/>
    <x v="1"/>
    <x v="0"/>
    <d v="1899-12-30T01:00:00"/>
    <d v="2025-10-30T07:25:00"/>
    <d v="2025-10-30T08:40:00"/>
    <d v="1899-12-30T01:15:00"/>
  </r>
  <r>
    <n v="9"/>
    <s v="J. LUCAS"/>
    <d v="1899-12-30T10:50:00"/>
    <x v="2"/>
    <s v="SELLADORA 3"/>
    <s v="Puntual"/>
    <s v="La cuchilla se baja sola y no se sostiene arriba"/>
    <d v="1899-12-30T10:50:00"/>
    <d v="1899-12-30T11:13:00"/>
    <x v="2"/>
    <s v="Mecánica"/>
    <s v="Ajuste del freno motor cuchilla no se mantenia estable quedando operativa. "/>
    <x v="1"/>
    <s v="NA"/>
    <x v="1"/>
    <x v="0"/>
    <d v="1899-12-30T00:23:00"/>
    <d v="2025-10-30T10:50:00"/>
    <d v="2025-10-30T11:13:00"/>
    <d v="1899-12-30T00:23:00"/>
  </r>
  <r>
    <n v="10"/>
    <m/>
    <m/>
    <x v="3"/>
    <m/>
    <m/>
    <m/>
    <m/>
    <m/>
    <x v="3"/>
    <m/>
    <m/>
    <x v="4"/>
    <m/>
    <x v="4"/>
    <x v="1"/>
    <d v="1899-12-30T00:00:00"/>
    <d v="1899-12-30T00:00:00"/>
    <d v="1899-12-30T00:00:00"/>
    <d v="1899-12-30T00:00:00"/>
  </r>
  <r>
    <n v="11"/>
    <m/>
    <m/>
    <x v="3"/>
    <m/>
    <m/>
    <m/>
    <m/>
    <m/>
    <x v="3"/>
    <m/>
    <m/>
    <x v="4"/>
    <m/>
    <x v="4"/>
    <x v="1"/>
    <d v="1899-12-30T00:00:00"/>
    <d v="1899-12-30T00:00:00"/>
    <d v="1899-12-30T00:00:00"/>
    <d v="1899-12-30T00:00:00"/>
  </r>
  <r>
    <n v="12"/>
    <m/>
    <m/>
    <x v="3"/>
    <m/>
    <m/>
    <m/>
    <m/>
    <m/>
    <x v="3"/>
    <m/>
    <m/>
    <x v="4"/>
    <m/>
    <x v="4"/>
    <x v="1"/>
    <d v="1899-12-30T00:00:00"/>
    <d v="1899-12-30T00:00:00"/>
    <d v="1899-12-30T00:00:00"/>
    <d v="1899-12-30T00:00:00"/>
  </r>
  <r>
    <n v="13"/>
    <s v="L. GARZON"/>
    <d v="1899-12-30T17:50:00"/>
    <x v="2"/>
    <s v="SELLADORA 2"/>
    <s v="Puntual"/>
    <s v="Se para máquina para afilar y limpiar cuhilla."/>
    <d v="1899-12-30T17:50:00"/>
    <d v="1899-12-30T20:40:00"/>
    <x v="2"/>
    <s v="Mecánica"/>
    <s v="Se realiza proceso para afilar la cuchilla por daño en el material."/>
    <x v="1"/>
    <s v="NA"/>
    <x v="2"/>
    <x v="0"/>
    <d v="1899-12-30T02:50:00"/>
    <d v="2025-10-30T17:50:00"/>
    <d v="2025-10-30T20:40:00"/>
    <d v="1899-12-30T02:50:00"/>
  </r>
  <r>
    <n v="14"/>
    <s v="A. MIRANDA"/>
    <d v="1899-12-30T17:40:00"/>
    <x v="2"/>
    <s v="EXTRUSORA 5"/>
    <s v="Puntual"/>
    <s v="Fallo en molino de refile."/>
    <d v="1899-12-30T17:40:00"/>
    <d v="1899-12-30T18:20:00"/>
    <x v="2"/>
    <s v="Mecánica"/>
    <s v="Se presento atascamiento de ducto de refile, se desmonta ducto y se retira atascamiento, nuevamente se instala y se realizan pruebas."/>
    <x v="1"/>
    <s v="NA"/>
    <x v="2"/>
    <x v="0"/>
    <d v="1899-12-30T00:40:00"/>
    <d v="2025-10-30T17:40:00"/>
    <d v="2025-10-30T18:20:00"/>
    <d v="1899-12-30T00:40:00"/>
  </r>
  <r>
    <n v="15"/>
    <s v="D. CUESTA"/>
    <d v="1899-12-30T19:00:00"/>
    <x v="2"/>
    <s v="EXTRUSORA"/>
    <s v="Puntual"/>
    <s v="Corto en cable de rotación."/>
    <d v="1899-12-30T19:00:00"/>
    <d v="1899-12-30T19:10:00"/>
    <x v="2"/>
    <s v="Eléctrica"/>
    <s v="Se instala 30 cm de cinta de fibra de vidrio."/>
    <x v="1"/>
    <s v="NA"/>
    <x v="2"/>
    <x v="0"/>
    <d v="1899-12-30T00:10:00"/>
    <d v="2025-10-30T19:00:00"/>
    <d v="2025-10-30T19:10:00"/>
    <d v="1899-12-30T00:10:00"/>
  </r>
  <r>
    <n v="16"/>
    <m/>
    <m/>
    <x v="3"/>
    <m/>
    <m/>
    <m/>
    <m/>
    <m/>
    <x v="3"/>
    <m/>
    <m/>
    <x v="4"/>
    <m/>
    <x v="4"/>
    <x v="1"/>
    <d v="1899-12-30T00:00:00"/>
    <d v="1899-12-30T00:00:00"/>
    <d v="1899-12-30T00:00:00"/>
    <d v="1899-12-30T00:00:00"/>
  </r>
  <r>
    <n v="17"/>
    <m/>
    <m/>
    <x v="3"/>
    <m/>
    <m/>
    <m/>
    <m/>
    <m/>
    <x v="3"/>
    <m/>
    <m/>
    <x v="4"/>
    <m/>
    <x v="4"/>
    <x v="1"/>
    <d v="1899-12-30T00:00:00"/>
    <d v="1899-12-30T00:00:00"/>
    <d v="1899-12-30T00:00:00"/>
    <d v="1899-12-30T00:00:00"/>
  </r>
  <r>
    <n v="18"/>
    <s v="L. GARZON"/>
    <d v="1899-12-30T17:30:00"/>
    <x v="4"/>
    <s v="SELLADORA 3"/>
    <s v="Repetitiva"/>
    <s v="Rollo en transportador."/>
    <d v="1899-12-30T18:00:00"/>
    <d v="1899-12-30T21:30:00"/>
    <x v="4"/>
    <s v="Mecánica"/>
    <s v="Se encuentra variador transportador en rollo, se reinicia y se realiza seguimiento ya que falla continuo."/>
    <x v="1"/>
    <s v="NA"/>
    <x v="2"/>
    <x v="0"/>
    <d v="1899-12-30T03:30:00"/>
    <d v="2025-10-31T17:30:00"/>
    <d v="2025-10-31T21:30:00"/>
    <d v="1899-12-30T04:00:00"/>
  </r>
  <r>
    <n v="19"/>
    <s v="K. RAMOS"/>
    <d v="1899-12-30T21:30:00"/>
    <x v="5"/>
    <s v="EXTRUSORA 5"/>
    <s v="Puntual"/>
    <s v="Tablero superior no abria"/>
    <d v="1899-12-30T21:30:00"/>
    <d v="1899-12-30T22:15:00"/>
    <x v="5"/>
    <s v="Eléctrica"/>
    <s v="Se realiza continuidad a cables de tablero encontrando 2 abiertos, se colocan 2 cables directos temporalmente para poder abrir las paletas."/>
    <x v="1"/>
    <s v="NA"/>
    <x v="3"/>
    <x v="0"/>
    <d v="1899-12-30T00:45:00"/>
    <d v="2025-11-01T21:30:00"/>
    <d v="2025-11-01T22:15:00"/>
    <d v="1899-12-30T00:45:00"/>
  </r>
  <r>
    <n v="20"/>
    <s v="R. CUESTA"/>
    <d v="1899-12-30T23:45:00"/>
    <x v="6"/>
    <s v="IMPRESORA 1"/>
    <s v="Puntual"/>
    <s v="Piñon del eje neumatico se partio la soldadura."/>
    <d v="1899-12-30T23:45:00"/>
    <d v="1899-12-30T00:10:00"/>
    <x v="6"/>
    <s v="Mecánica"/>
    <s v="Se aplica soldadura para sujeción de piñon matriz de eje embobinador."/>
    <x v="5"/>
    <s v="NA"/>
    <x v="2"/>
    <x v="0"/>
    <n v="-0.98263888888888895"/>
    <d v="2025-11-03T23:45:00"/>
    <d v="2025-11-03T00:10:00"/>
    <n v="-0.98263888889050577"/>
  </r>
  <r>
    <n v="21"/>
    <s v="H. TRIANA"/>
    <d v="1899-12-30T13:00:00"/>
    <x v="7"/>
    <s v="EXTRUSORA 3"/>
    <s v="Repetitiva"/>
    <s v="Cambio de tornillos bristol"/>
    <d v="1899-12-30T13:00:00"/>
    <d v="1899-12-30T13:40:00"/>
    <x v="7"/>
    <s v="Mecánica"/>
    <s v="Se machuelea número 10 para ajustar prisioneros que no roscaban."/>
    <x v="6"/>
    <s v="NA"/>
    <x v="0"/>
    <x v="0"/>
    <d v="1899-12-30T00:40:00"/>
    <d v="2025-11-04T13:00:00"/>
    <d v="2025-11-04T13:40:00"/>
    <d v="1899-12-30T00:40:00"/>
  </r>
  <r>
    <n v="22"/>
    <s v="K. RAMOS"/>
    <d v="1899-12-30T21:32:00"/>
    <x v="7"/>
    <s v="EXTRUSORA 5"/>
    <s v="Puntual"/>
    <s v="Calibración de celdas de carga."/>
    <d v="1899-12-30T21:32:00"/>
    <d v="1899-12-30T23:30:00"/>
    <x v="7"/>
    <s v="Mecánica"/>
    <s v="Se realiza calibración de caldas de carga con masa de 20kg"/>
    <x v="1"/>
    <s v="NA"/>
    <x v="2"/>
    <x v="0"/>
    <d v="1899-12-30T01:58:00"/>
    <d v="2025-11-04T21:32:00"/>
    <d v="2025-11-04T23:30:00"/>
    <d v="1899-12-30T01:58:00"/>
  </r>
  <r>
    <n v="23"/>
    <s v="O. ALVAREZ"/>
    <d v="1899-12-30T08:40:00"/>
    <x v="8"/>
    <s v="REFILADORA 1"/>
    <s v="Puntual"/>
    <s v="Escape en la barra "/>
    <m/>
    <d v="1899-12-30T08:45:00"/>
    <x v="8"/>
    <s v="Neumática"/>
    <s v="Se aplica silicona en el prisionero y queda operativa."/>
    <x v="1"/>
    <s v="Silicona"/>
    <x v="1"/>
    <x v="0"/>
    <d v="1899-12-30T08:45:00"/>
    <d v="2025-11-05T08:40:00"/>
    <d v="2025-11-05T08:45:00"/>
    <d v="1899-12-30T00:05:00"/>
  </r>
  <r>
    <n v="24"/>
    <m/>
    <m/>
    <x v="3"/>
    <m/>
    <m/>
    <m/>
    <m/>
    <m/>
    <x v="3"/>
    <m/>
    <m/>
    <x v="4"/>
    <m/>
    <x v="4"/>
    <x v="1"/>
    <d v="1899-12-30T00:00:00"/>
    <d v="1899-12-30T00:00:00"/>
    <d v="1899-12-30T00:00:00"/>
    <d v="1899-12-30T00:00:00"/>
  </r>
  <r>
    <n v="25"/>
    <s v="L. GARZON"/>
    <d v="1899-12-30T00:28:00"/>
    <x v="9"/>
    <s v="SELLADORA 3"/>
    <s v="Puntual"/>
    <s v="Se para carretes de salida bolsa."/>
    <d v="1899-12-30T00:18:00"/>
    <d v="1899-12-30T00:38:00"/>
    <x v="9"/>
    <s v="Mecánica"/>
    <s v="Se encuentra sistema de carretes atascado, se alinean carretes y se realiza pruebas de funcionamiento."/>
    <x v="1"/>
    <s v="NA"/>
    <x v="2"/>
    <x v="0"/>
    <d v="1899-12-30T00:20:00"/>
    <d v="2025-11-06T00:28:00"/>
    <d v="2025-11-06T00:38:00"/>
    <d v="1899-12-30T00:10:00"/>
  </r>
  <r>
    <n v="26"/>
    <s v="A. ROVINA"/>
    <d v="1899-12-30T12:30:00"/>
    <x v="8"/>
    <s v="REFILADORA 3"/>
    <s v="Repetitiva"/>
    <s v="Modificación de castañas"/>
    <m/>
    <m/>
    <x v="3"/>
    <m/>
    <m/>
    <x v="4"/>
    <m/>
    <x v="4"/>
    <x v="2"/>
    <d v="1899-12-30T00:00:00"/>
    <d v="2025-11-05T12:30:00"/>
    <d v="1899-12-30T00:00:00"/>
    <n v="-45966.520833333336"/>
  </r>
  <r>
    <n v="27"/>
    <s v="D. ARRIETA"/>
    <d v="1899-12-30T18:10:00"/>
    <x v="8"/>
    <s v="IMPRESORA 1"/>
    <s v="Puntual"/>
    <s v="Rodillo loco del desembobinador se paro."/>
    <d v="1899-12-30T18:10:00"/>
    <d v="1899-12-30T21:00:00"/>
    <x v="8"/>
    <s v="Mecánica"/>
    <s v="Se cae rodillo de impresora, se amarra con zuncho esta dañado la parte del prisionero."/>
    <x v="1"/>
    <s v="NA"/>
    <x v="0"/>
    <x v="0"/>
    <d v="1899-12-30T02:50:00"/>
    <d v="2025-11-05T18:10:00"/>
    <d v="2025-11-05T21:00:00"/>
    <d v="1899-12-30T02:50:00"/>
  </r>
  <r>
    <n v="28"/>
    <s v="E. BOREA"/>
    <d v="1899-12-30T07:24:00"/>
    <x v="8"/>
    <s v="Otro"/>
    <s v="Puntual"/>
    <s v="No arranca tornillo de alimentación de la tolva"/>
    <d v="1899-12-30T01:15:00"/>
    <d v="1899-12-30T01:30:00"/>
    <x v="9"/>
    <s v="Eléctrica"/>
    <s v="Se realiza inspección de circuito eléctrico de control de motor, se encuentra cableado desconectado, se conecta nuevamente y se realizan pruebas."/>
    <x v="1"/>
    <s v="NA"/>
    <x v="2"/>
    <x v="0"/>
    <d v="1899-12-30T00:15:00"/>
    <d v="2025-11-05T07:24:00"/>
    <d v="2025-11-06T01:30:00"/>
    <d v="1899-12-30T18:06:00"/>
  </r>
  <r>
    <n v="29"/>
    <s v="A. MIRANDA"/>
    <d v="1899-12-30T14:00:00"/>
    <x v="8"/>
    <s v="EXTRUSORA 5"/>
    <s v="Repetitiva"/>
    <s v="Fallo en variador del tornillo B."/>
    <d v="1899-12-30T14:00:00"/>
    <d v="1899-12-30T23:00:00"/>
    <x v="8"/>
    <s v="Eléctrica"/>
    <s v="Se instala ventilador de respaldo para el variador de frecuencia a 220v, se requiere cambio de ventilador para refrigeración."/>
    <x v="1"/>
    <s v="NA"/>
    <x v="2"/>
    <x v="0"/>
    <d v="1899-12-30T09:00:00"/>
    <d v="2025-11-05T14:00:00"/>
    <d v="2025-11-05T23:00:00"/>
    <d v="1899-12-30T09:00:00"/>
  </r>
  <r>
    <n v="30"/>
    <s v="A. CEPEDES"/>
    <d v="1899-12-30T06:00:00"/>
    <x v="9"/>
    <s v="SELLADORA 3"/>
    <s v="Puntual"/>
    <s v="Se cae rodillo del transportador."/>
    <d v="1899-12-30T06:15:00"/>
    <d v="1899-12-30T06:40:00"/>
    <x v="9"/>
    <s v="Mecánica"/>
    <s v="Se extrae tornillo roto y se ajusta el rodillo, se hacen pruebas."/>
    <x v="7"/>
    <s v="NA"/>
    <x v="1"/>
    <x v="0"/>
    <d v="1899-12-30T00:25:00"/>
    <d v="2025-11-06T06:00:00"/>
    <d v="2025-11-06T06:40:00"/>
    <d v="1899-12-30T00:40:00"/>
  </r>
  <r>
    <n v="31"/>
    <s v="D. BUESACO"/>
    <d v="1899-12-30T07:00:00"/>
    <x v="9"/>
    <s v="SELLADORA 4"/>
    <s v="Puntual"/>
    <s v="Falla en carrete, se frena transportador de salida."/>
    <d v="1899-12-30T07:05:00"/>
    <d v="1899-12-30T07:42:00"/>
    <x v="9"/>
    <s v="Eléctrica"/>
    <s v="Revisión del variador, toma de parametros, reinicio de equipo varias veces, se realizan pruebas."/>
    <x v="1"/>
    <s v="NA"/>
    <x v="1"/>
    <x v="0"/>
    <d v="1899-12-30T00:37:00"/>
    <d v="2025-11-06T07:00:00"/>
    <d v="2025-11-06T07:42:00"/>
    <d v="1899-12-30T00:42:00"/>
  </r>
  <r>
    <n v="32"/>
    <s v="O. VALENCIA"/>
    <d v="1899-12-30T06:00:00"/>
    <x v="10"/>
    <s v="Otro"/>
    <s v="Puntual"/>
    <s v="Cableado suelto en resistencias del cable filtros."/>
    <d v="1899-12-30T07:40:00"/>
    <d v="1899-12-30T08:51:00"/>
    <x v="10"/>
    <s v="Eléctrica"/>
    <s v="Se realiza intervención en resistencias desconectadas, se desenergiza, se empalma con borneras recubrimiento cinta de alta temperatura."/>
    <x v="8"/>
    <s v="NA"/>
    <x v="1"/>
    <x v="0"/>
    <d v="1899-12-30T01:11:00"/>
    <d v="2025-11-07T06:00:00"/>
    <d v="2025-11-07T08:51:00"/>
    <d v="1899-12-30T02:51:00"/>
  </r>
  <r>
    <n v="33"/>
    <s v="D. SANCHEZ"/>
    <d v="1899-12-30T20:18:00"/>
    <x v="9"/>
    <s v="SELLADORA 1"/>
    <s v="Puntual"/>
    <s v="Se solicita el cambio de la iluminaria ya que se encuentra en mal estado y genera molestias visuales a los operarios de sellado."/>
    <m/>
    <m/>
    <x v="3"/>
    <m/>
    <m/>
    <x v="4"/>
    <m/>
    <x v="4"/>
    <x v="2"/>
    <d v="1899-12-30T00:00:00"/>
    <d v="2025-11-06T20:18:00"/>
    <d v="1899-12-30T00:00:00"/>
    <n v="-45967.845833333333"/>
  </r>
  <r>
    <n v="34"/>
    <s v="J. MIRANDA"/>
    <d v="1899-12-30T22:30:00"/>
    <x v="9"/>
    <s v="EXTRUSORA 2"/>
    <s v="Puntual"/>
    <s v="Motor de la tolva del pigmento esta fallando, no esta consumiendo lo que se programa, consume más de lo que debe consumir."/>
    <m/>
    <m/>
    <x v="3"/>
    <m/>
    <m/>
    <x v="4"/>
    <m/>
    <x v="4"/>
    <x v="2"/>
    <d v="1899-12-30T00:00:00"/>
    <d v="2025-11-06T22:30:00"/>
    <d v="1899-12-30T00:00:00"/>
    <n v="-45967.9375"/>
  </r>
  <r>
    <n v="35"/>
    <s v="L. GARZON"/>
    <d v="1899-12-30T00:27:00"/>
    <x v="10"/>
    <s v="NA"/>
    <s v="Repetitiva"/>
    <s v="Daño en el transportador."/>
    <d v="1899-12-30T00:27:00"/>
    <d v="1899-12-30T01:00:00"/>
    <x v="10"/>
    <s v="Mecánica"/>
    <s v="Se tensiona rodillo tensor de correas de transportador."/>
    <x v="1"/>
    <s v="NA"/>
    <x v="2"/>
    <x v="0"/>
    <d v="1899-12-30T00:33:00"/>
    <d v="2025-11-07T00:27:00"/>
    <d v="2025-11-07T01:00:00"/>
    <d v="1899-12-30T00:33:00"/>
  </r>
  <r>
    <n v="36"/>
    <s v="C. CASTRO"/>
    <d v="1899-12-30T04:00:00"/>
    <x v="10"/>
    <s v="REFILADORA 3"/>
    <s v="Repetitiva"/>
    <s v="Cambiar rodillos para refilar papel, acondicionar castañas de bobinadores."/>
    <d v="1899-12-30T04:00:00"/>
    <d v="1899-12-30T04:40:00"/>
    <x v="10"/>
    <s v="Mecánica"/>
    <s v="Se instalan rodillos de corto para trabajar papel, se adecuan castañas de bobinadores para refilar papel."/>
    <x v="1"/>
    <s v="NA"/>
    <x v="2"/>
    <x v="0"/>
    <d v="1899-12-30T00:40:00"/>
    <d v="2025-11-07T04:00:00"/>
    <d v="2025-11-07T04:40:00"/>
    <d v="1899-12-30T00:40:00"/>
  </r>
  <r>
    <n v="37"/>
    <s v="R. CUSIA"/>
    <d v="1899-12-30T08:20:00"/>
    <x v="10"/>
    <s v="IMPRESORA 1"/>
    <s v="Puntual"/>
    <s v="Diferencial con cable roto del control"/>
    <d v="1899-12-30T08:30:00"/>
    <d v="1899-12-30T09:00:00"/>
    <x v="10"/>
    <s v="Eléctrica"/>
    <s v="Cables averiados, se corta 30cm para sacar parte averiada y se realiza empalme nuevamente quedando OK."/>
    <x v="9"/>
    <s v="NA"/>
    <x v="3"/>
    <x v="0"/>
    <d v="1899-12-30T00:30:00"/>
    <d v="2025-11-07T08:20:00"/>
    <d v="2025-11-07T09:00:00"/>
    <d v="1899-12-30T00:40:00"/>
  </r>
  <r>
    <n v="38"/>
    <m/>
    <m/>
    <x v="3"/>
    <m/>
    <m/>
    <m/>
    <m/>
    <m/>
    <x v="3"/>
    <m/>
    <m/>
    <x v="4"/>
    <m/>
    <x v="4"/>
    <x v="1"/>
    <d v="1899-12-30T00:00:00"/>
    <d v="1899-12-30T00:00:00"/>
    <d v="1899-12-30T00:00:00"/>
    <d v="1899-12-30T00:00:00"/>
  </r>
  <r>
    <n v="39"/>
    <m/>
    <m/>
    <x v="3"/>
    <m/>
    <m/>
    <m/>
    <m/>
    <m/>
    <x v="3"/>
    <m/>
    <m/>
    <x v="4"/>
    <m/>
    <x v="4"/>
    <x v="1"/>
    <d v="1899-12-30T00:00:00"/>
    <d v="1899-12-30T00:00:00"/>
    <d v="1899-12-30T00:00:00"/>
    <d v="1899-12-30T00:00:00"/>
  </r>
  <r>
    <n v="40"/>
    <s v="F. SANCHEZ"/>
    <d v="1899-12-30T16:58:00"/>
    <x v="10"/>
    <s v="EXTRUSORA 5"/>
    <s v="Puntual"/>
    <s v="Problemas para cuadrar tabular variación de medida de 15 centimetros + o - por el IBC, no se mantiene la medida estantar."/>
    <m/>
    <m/>
    <x v="3"/>
    <m/>
    <m/>
    <x v="4"/>
    <m/>
    <x v="4"/>
    <x v="2"/>
    <d v="1899-12-30T00:00:00"/>
    <d v="2025-11-07T16:58:00"/>
    <d v="1899-12-30T00:00:00"/>
    <n v="-45968.706944444442"/>
  </r>
  <r>
    <n v="41"/>
    <s v="F. SANCHEZ"/>
    <d v="1899-12-30T16:53:00"/>
    <x v="10"/>
    <s v="EXTRUSORA 5"/>
    <s v="Puntual"/>
    <s v="Paletas en mal funcionamiento, partidas, tienen juego, no estabilizan para poder cuadrar fuelle."/>
    <m/>
    <m/>
    <x v="3"/>
    <m/>
    <m/>
    <x v="4"/>
    <m/>
    <x v="4"/>
    <x v="2"/>
    <d v="1899-12-30T00:00:00"/>
    <d v="2025-11-07T16:53:00"/>
    <d v="1899-12-30T00:00:00"/>
    <n v="-45968.703472222223"/>
  </r>
  <r>
    <n v="42"/>
    <s v="D. BUESACO"/>
    <d v="1899-12-30T07:40:00"/>
    <x v="11"/>
    <s v="SELLADORA 3"/>
    <s v="Puntual"/>
    <s v="Material sale por la mitad."/>
    <d v="1899-12-30T07:40:00"/>
    <d v="1899-12-30T08:50:00"/>
    <x v="11"/>
    <s v="Mecánica"/>
    <s v="Aplicar soldadura, cambio de tornillo de polea tensora, ajuste de correa y se realizan pruebas de funcionamiento."/>
    <x v="10"/>
    <s v="Soldadura"/>
    <x v="1"/>
    <x v="0"/>
    <d v="1899-12-30T01:10:00"/>
    <d v="2025-11-08T07:40:00"/>
    <d v="2025-11-08T08:50:00"/>
    <d v="1899-12-30T01:10:00"/>
  </r>
  <r>
    <n v="43"/>
    <s v="E. REYES"/>
    <d v="1899-12-30T14:00:00"/>
    <x v="11"/>
    <s v="SELLADORA "/>
    <s v="Repetitiva"/>
    <s v="Afilar cuchilla"/>
    <d v="1899-12-30T14:00:00"/>
    <d v="1899-12-30T14:30:00"/>
    <x v="11"/>
    <s v="Mecánica"/>
    <s v="Afilar cuchilla, se deja enfriar, se hace pruebas."/>
    <x v="1"/>
    <s v="NA"/>
    <x v="1"/>
    <x v="0"/>
    <d v="1899-12-30T00:30:00"/>
    <d v="2025-11-08T14:00:00"/>
    <d v="2025-11-08T14:30:00"/>
    <d v="1899-12-30T00:30:00"/>
  </r>
  <r>
    <n v="44"/>
    <s v="NA"/>
    <d v="1899-12-30T00:25:00"/>
    <x v="12"/>
    <s v="IMPRESORA 1"/>
    <s v="Puntual"/>
    <s v="Registro lateral en mal estado se paro por llevar pieza al taller para su reparación."/>
    <d v="1899-12-30T00:25:00"/>
    <d v="1899-12-30T02:20:00"/>
    <x v="12"/>
    <s v="Mecánica"/>
    <s v="Se repara registro lateral se colocan tornillos, se vuelve aramar."/>
    <x v="1"/>
    <s v="NA"/>
    <x v="0"/>
    <x v="0"/>
    <d v="1899-12-30T01:55:00"/>
    <d v="2025-11-09T00:25:00"/>
    <d v="2025-11-09T02:20:00"/>
    <d v="1899-12-30T01:55:00"/>
  </r>
  <r>
    <n v="45"/>
    <s v="H. TRIANA"/>
    <d v="1899-12-30T06:40:00"/>
    <x v="13"/>
    <s v="EXTRUSORA"/>
    <s v="Puntual"/>
    <s v="Porta mallas inferior no calienta."/>
    <d v="1899-12-30T06:40:00"/>
    <d v="1899-12-30T07:00:00"/>
    <x v="13"/>
    <s v="Eléctrica"/>
    <s v="Se realiza inspección y se encuentra cable de conexión partido, se reconecta y se deja el equipo calentando."/>
    <x v="1"/>
    <s v="NA"/>
    <x v="2"/>
    <x v="0"/>
    <d v="1899-12-30T00:20:00"/>
    <d v="2025-11-10T06:40:00"/>
    <d v="2025-11-10T07:00:00"/>
    <d v="1899-12-30T00:20:00"/>
  </r>
  <r>
    <n v="46"/>
    <s v="A. POVIRA"/>
    <d v="1899-12-30T07:45:00"/>
    <x v="13"/>
    <s v="REFILADORA"/>
    <s v="Puntual"/>
    <s v="Eje de embobinador se pincha."/>
    <d v="1899-12-30T07:50:00"/>
    <d v="1899-12-30T08:40:00"/>
    <x v="13"/>
    <s v="Mecánica"/>
    <s v="Se encuentra fuga en prisioneros de ajuste, se realiza aplicación de silicona y ajuste, queda en observación."/>
    <x v="1"/>
    <s v="NA"/>
    <x v="2"/>
    <x v="0"/>
    <d v="1899-12-30T00:50:00"/>
    <d v="2025-11-10T07:45:00"/>
    <d v="2025-11-10T08:40:00"/>
    <d v="1899-12-30T00:55:00"/>
  </r>
  <r>
    <n v="47"/>
    <s v="A. POVIRA"/>
    <d v="1899-12-30T08:30:00"/>
    <x v="13"/>
    <s v="REFILADORA 3"/>
    <s v="Repetitiva"/>
    <s v="Cambio de castañas y prensa."/>
    <d v="1899-12-30T08:50:00"/>
    <d v="1899-12-30T09:13:00"/>
    <x v="13"/>
    <s v="Mecánica"/>
    <s v="Se realiza cambio de rodillos pisador para trabajar plastico y se ajustan las castañas para operar."/>
    <x v="1"/>
    <s v="NA"/>
    <x v="2"/>
    <x v="0"/>
    <d v="1899-12-30T00:23:00"/>
    <d v="2025-11-10T08:30:00"/>
    <d v="2025-11-10T09:13:00"/>
    <d v="1899-12-30T00:43:00"/>
  </r>
  <r>
    <n v="48"/>
    <s v="D. PARDO"/>
    <d v="1899-12-30T12:20:00"/>
    <x v="13"/>
    <s v="IMPRESORA 1"/>
    <s v="Puntual"/>
    <s v="Se parten dos tornillos."/>
    <d v="1899-12-30T12:20:00"/>
    <d v="1899-12-30T12:30:00"/>
    <x v="13"/>
    <s v="Mecánica"/>
    <s v="Se encuentran 2 tornillos M8 partidos, se extraen y se reemplazan, quedando operativo."/>
    <x v="11"/>
    <s v="NA"/>
    <x v="2"/>
    <x v="0"/>
    <d v="1899-12-30T00:10:00"/>
    <d v="2025-11-10T12:20:00"/>
    <d v="2025-11-10T12:30:00"/>
    <d v="1899-12-30T00:10:00"/>
  </r>
  <r>
    <n v="49"/>
    <s v="D. CUESTA"/>
    <d v="1899-12-30T21:10:00"/>
    <x v="13"/>
    <s v="EXTRUSORA 2"/>
    <s v="Puntual"/>
    <s v="Se esta calibrando porque ele material sale con puntos descalibrados, se mira que la corona esta un poco caida."/>
    <d v="1899-12-30T21:10:00"/>
    <d v="1899-12-30T21:40:00"/>
    <x v="13"/>
    <s v="Mecánica"/>
    <s v="Se coloca nivel en el molde y presenta desnivel, se realiza calibración con nivel quedando OK."/>
    <x v="1"/>
    <s v="NA"/>
    <x v="3"/>
    <x v="0"/>
    <d v="1899-12-30T00:30:00"/>
    <d v="2025-11-10T21:10:00"/>
    <d v="2025-11-10T21:40:00"/>
    <d v="1899-12-30T00:30:00"/>
  </r>
  <r>
    <n v="50"/>
    <s v="J. CORREA"/>
    <d v="1899-12-30T13:00:00"/>
    <x v="14"/>
    <s v="MEZCLADORA 1"/>
    <s v="Puntual"/>
    <s v="Se revienta correa y se esta derritiendo el material en eje inferior interno."/>
    <d v="1899-12-30T13:00:00"/>
    <d v="1899-12-30T15:00:00"/>
    <x v="14"/>
    <s v="Mecánica"/>
    <s v="Se cambian correas de mezcladora, se da tensión para que la transmisión inicie."/>
    <x v="12"/>
    <s v="NA"/>
    <x v="0"/>
    <x v="0"/>
    <d v="1899-12-30T02:00:00"/>
    <d v="2025-11-11T13:00:00"/>
    <d v="2025-11-11T15:00:00"/>
    <d v="1899-12-30T02:00:00"/>
  </r>
  <r>
    <n v="51"/>
    <m/>
    <m/>
    <x v="3"/>
    <m/>
    <m/>
    <m/>
    <m/>
    <m/>
    <x v="3"/>
    <m/>
    <m/>
    <x v="4"/>
    <m/>
    <x v="4"/>
    <x v="1"/>
    <d v="1899-12-30T00:00:00"/>
    <d v="1899-12-30T00:00:00"/>
    <d v="1899-12-30T00:00:00"/>
    <d v="1899-12-30T00:00:00"/>
  </r>
  <r>
    <n v="52"/>
    <s v="R. MEJIA"/>
    <d v="1899-12-30T15:20:00"/>
    <x v="14"/>
    <s v="IMPRESORA 1"/>
    <s v="Puntual"/>
    <s v="Cable diferencial izquierdo se partio solo funciona lado derecho."/>
    <d v="1899-12-30T15:30:00"/>
    <d v="1899-12-30T17:20:00"/>
    <x v="14"/>
    <s v="Eléctrica"/>
    <s v="Cable abierto desprendidos de bornera, muy cortos, se corre reserva y se empalman."/>
    <x v="1"/>
    <s v="NA"/>
    <x v="3"/>
    <x v="0"/>
    <d v="1899-12-30T01:50:00"/>
    <d v="2025-11-11T15:20:00"/>
    <d v="2025-11-11T17:20:00"/>
    <d v="1899-12-30T02:00:00"/>
  </r>
  <r>
    <n v="53"/>
    <s v="J. MIRANDA"/>
    <d v="1899-12-30T16:40:00"/>
    <x v="14"/>
    <s v="EXTRUSORA 4"/>
    <s v="Puntual"/>
    <s v="Se frena la prensa por favor revisar."/>
    <d v="1899-12-30T17:50:00"/>
    <d v="1899-12-30T18:20:00"/>
    <x v="14"/>
    <s v="Eléctrica"/>
    <s v="Se revisa circuito encontrando conductor con punto caliente, se realiza ajuste quedando OK."/>
    <x v="1"/>
    <s v="NA"/>
    <x v="3"/>
    <x v="0"/>
    <d v="1899-12-30T00:30:00"/>
    <d v="2025-11-11T16:40:00"/>
    <d v="2025-11-11T18:20:00"/>
    <d v="1899-12-30T01:40:00"/>
  </r>
  <r>
    <n v="54"/>
    <s v="R. MEJIA"/>
    <d v="1899-12-30T17:00:00"/>
    <x v="14"/>
    <s v="IMPRESORA 1"/>
    <s v="Puntual"/>
    <s v="Parada para arreglar bobinador ya que el rodamiento se partio."/>
    <d v="1899-12-30T17:00:00"/>
    <d v="1899-12-30T17:20:00"/>
    <x v="14"/>
    <s v="Mecánica"/>
    <s v="Rodamiento guia rodillo embobinador averiado, se realiza desmonte para cambio quedando OK."/>
    <x v="1"/>
    <s v="NA"/>
    <x v="3"/>
    <x v="0"/>
    <d v="1899-12-30T00:20:00"/>
    <d v="2025-11-11T17:00:00"/>
    <d v="2025-11-11T17:20:00"/>
    <d v="1899-12-30T00:20:00"/>
  </r>
  <r>
    <n v="55"/>
    <s v="C. BARAJAS"/>
    <d v="1899-12-30T21:30:00"/>
    <x v="14"/>
    <s v="SELLADORA"/>
    <s v="Puntual"/>
    <s v="El servo arrastra demasiado el material."/>
    <d v="1899-12-30T21:30:00"/>
    <d v="1899-12-30T21:45:00"/>
    <x v="14"/>
    <s v="Eléctrica"/>
    <s v="Sensorde balanza averiado, se ajusta y se deja OK."/>
    <x v="1"/>
    <s v="NA"/>
    <x v="3"/>
    <x v="0"/>
    <d v="1899-12-30T00:15:00"/>
    <d v="2025-11-11T21:30:00"/>
    <d v="2025-11-11T21:45:00"/>
    <d v="1899-12-30T00:15:00"/>
  </r>
  <r>
    <n v="56"/>
    <s v="D. CUESTA"/>
    <d v="1899-12-30T23:50:00"/>
    <x v="14"/>
    <s v="EXTRUSORA"/>
    <s v="Puntual"/>
    <s v="Se para extrusora 4 por fuga de material."/>
    <m/>
    <m/>
    <x v="3"/>
    <m/>
    <m/>
    <x v="4"/>
    <m/>
    <x v="4"/>
    <x v="2"/>
    <d v="1899-12-30T00:00:00"/>
    <d v="2025-11-11T23:50:00"/>
    <d v="1899-12-30T00:00:00"/>
    <n v="-45972.993055555555"/>
  </r>
  <r>
    <n v="57"/>
    <m/>
    <m/>
    <x v="3"/>
    <m/>
    <m/>
    <m/>
    <m/>
    <m/>
    <x v="3"/>
    <m/>
    <m/>
    <x v="4"/>
    <m/>
    <x v="4"/>
    <x v="1"/>
    <d v="1899-12-30T00:00:00"/>
    <d v="1899-12-30T00:00:00"/>
    <d v="1899-12-30T00:00:00"/>
    <d v="1899-12-30T00:00:00"/>
  </r>
  <r>
    <n v="58"/>
    <s v="Y. BERNAL"/>
    <d v="1899-12-30T07:51:00"/>
    <x v="15"/>
    <s v="MEZCLADORA 1"/>
    <s v="Puntual"/>
    <s v="Mezcladora capa externa con fricción interna en el tornillo, esta derritiendo la resina."/>
    <d v="1899-12-30T07:51:00"/>
    <d v="1899-12-30T10:09:00"/>
    <x v="15"/>
    <s v="Mecánica"/>
    <s v="Se cambian empaques, se limpia rodamientos, se lubrica rodamientos y chumaceras."/>
    <x v="13"/>
    <s v="Empaques"/>
    <x v="0"/>
    <x v="0"/>
    <d v="1899-12-30T02:18:00"/>
    <d v="2025-11-18T07:51:00"/>
    <d v="2025-11-18T10:09:00"/>
    <d v="1899-12-30T02:18:00"/>
  </r>
  <r>
    <n v="59"/>
    <s v="H. TRIANA"/>
    <d v="1899-12-30T15:30:00"/>
    <x v="16"/>
    <s v="EXTRUSORA"/>
    <s v="Puntual"/>
    <s v="Falla grafilador."/>
    <d v="1899-12-30T15:30:00"/>
    <d v="1899-12-30T18:00:00"/>
    <x v="16"/>
    <s v="Mecánica"/>
    <s v="Se desmonta motor para inspección en transmisión, se ajusta y se realizan pruebas, se tiene en seguimiento."/>
    <x v="1"/>
    <s v="NA"/>
    <x v="2"/>
    <x v="0"/>
    <d v="1899-12-30T02:30:00"/>
    <d v="2025-11-12T15:30:00"/>
    <d v="2025-11-12T18:00:00"/>
    <d v="1899-12-30T02:30:00"/>
  </r>
  <r>
    <n v="60"/>
    <s v="C. CASTRO"/>
    <d v="1899-12-30T18:00:00"/>
    <x v="16"/>
    <s v="REFILADORA 3"/>
    <s v="Puntual"/>
    <s v="Daño en la manguera del embobinador superior y en el tornillo que soporta la punta de la manguera."/>
    <m/>
    <m/>
    <x v="3"/>
    <m/>
    <m/>
    <x v="4"/>
    <m/>
    <x v="4"/>
    <x v="2"/>
    <d v="1899-12-30T00:00:00"/>
    <d v="2025-11-12T18:00:00"/>
    <d v="1899-12-30T00:00:00"/>
    <n v="-45973.75"/>
  </r>
  <r>
    <n v="61"/>
    <s v="D. CUESTA"/>
    <d v="1899-12-30T20:17:00"/>
    <x v="16"/>
    <s v="EXTRUSORA 4"/>
    <s v="Puntual"/>
    <s v="Se para prensa."/>
    <m/>
    <m/>
    <x v="3"/>
    <m/>
    <m/>
    <x v="4"/>
    <m/>
    <x v="4"/>
    <x v="2"/>
    <d v="1899-12-30T00:00:00"/>
    <d v="2025-11-12T20:17:00"/>
    <d v="1899-12-30T00:00:00"/>
    <n v="-45973.845138888886"/>
  </r>
  <r>
    <n v="62"/>
    <s v="F. SANCHEZ"/>
    <d v="1899-12-30T20:20:00"/>
    <x v="16"/>
    <s v="EXTRUSORA 5"/>
    <s v="Puntual"/>
    <s v="Clavo se queda pegado del alimentador cuando se hace el cambio de bobina del embobinador 2."/>
    <d v="1899-12-30T21:20:00"/>
    <d v="1899-12-30T21:40:00"/>
    <x v="16"/>
    <s v="Mecánica"/>
    <s v="Se realizo ajuste de tornilleria y lubricación a pieza de desplazamiento, se realiza seguimiento."/>
    <x v="1"/>
    <s v="NA"/>
    <x v="2"/>
    <x v="0"/>
    <d v="1899-12-30T00:20:00"/>
    <d v="2025-11-12T20:20:00"/>
    <d v="2025-11-12T21:40:00"/>
    <d v="1899-12-30T01:20:00"/>
  </r>
  <r>
    <n v="63"/>
    <s v="F. SANCHEZ"/>
    <d v="1899-12-30T23:50:00"/>
    <x v="16"/>
    <s v="EXTRUSORA 5"/>
    <s v="Puntual"/>
    <s v="Prisioneros de la segunda barra del embobinador 2 en mal estado, se sueltan y comienzan a fallar."/>
    <d v="1899-12-30T23:50:00"/>
    <d v="1899-12-30T02:00:00"/>
    <x v="16"/>
    <s v="Mecánica"/>
    <s v="Se cambian prisioneros M8 dañados."/>
    <x v="14"/>
    <s v="NA"/>
    <x v="0"/>
    <x v="0"/>
    <n v="-0.90972222222222221"/>
    <d v="2025-11-12T23:50:00"/>
    <d v="2025-11-12T02:00:00"/>
    <n v="-0.90972222221898846"/>
  </r>
  <r>
    <n v="64"/>
    <s v="W. SANDOVAL"/>
    <d v="1899-12-30T07:00:00"/>
    <x v="17"/>
    <s v="REFILADORA 3"/>
    <s v="Puntual"/>
    <s v="Mangueras de ejes embobinadores pinchadas."/>
    <d v="1899-12-30T07:00:00"/>
    <d v="1899-12-30T09:50:00"/>
    <x v="17"/>
    <s v="Neumática"/>
    <s v="Se hizo cambio de mangueras, se extraen tornillos, se reconstruye pisador y queda operativo."/>
    <x v="15"/>
    <s v="Felpa"/>
    <x v="1"/>
    <x v="0"/>
    <d v="1899-12-30T02:50:00"/>
    <d v="2025-11-13T07:00:00"/>
    <d v="2025-11-13T09:50:00"/>
    <d v="1899-12-30T02:50:00"/>
  </r>
  <r>
    <n v="65"/>
    <s v="R. OLIVARES"/>
    <d v="1899-12-30T09:00:00"/>
    <x v="17"/>
    <s v="EXTRUSORA "/>
    <s v="Puntual"/>
    <s v="Se safa el tornillo que soporta la barra de los perforadores."/>
    <d v="1899-12-30T09:00:00"/>
    <d v="1899-12-30T09:50:00"/>
    <x v="17"/>
    <s v="Mecánica"/>
    <s v="Se ajusta tornillo en rodillo perforador, se hace seguimiento, se asegura con un prisionero."/>
    <x v="1"/>
    <s v="NA"/>
    <x v="1"/>
    <x v="0"/>
    <d v="1899-12-30T00:50:00"/>
    <d v="2025-11-13T09:00:00"/>
    <d v="2025-11-13T09:50:00"/>
    <d v="1899-12-30T00:50:00"/>
  </r>
  <r>
    <n v="66"/>
    <s v="H. TRIANA"/>
    <d v="1899-12-30T09:55:00"/>
    <x v="17"/>
    <s v="EXTRUSORA"/>
    <s v="Repetitiva"/>
    <s v="Falla en embobinador, se detiene."/>
    <d v="1899-12-30T09:55:00"/>
    <d v="1899-12-30T10:55:00"/>
    <x v="17"/>
    <s v="Mecánica"/>
    <s v="Se desmonta motorreductor, se cambian rodamientos de corona y sin fin, se entrega OK."/>
    <x v="16"/>
    <s v="NA"/>
    <x v="5"/>
    <x v="0"/>
    <d v="1899-12-30T01:00:00"/>
    <d v="2025-11-13T09:55:00"/>
    <d v="2025-11-13T10:55:00"/>
    <d v="1899-12-30T01:00:00"/>
  </r>
  <r>
    <n v="67"/>
    <s v="R. OLIVARES"/>
    <d v="1899-12-30T15:30:00"/>
    <x v="17"/>
    <s v="EXTRUSORA 5"/>
    <s v="Puntual"/>
    <s v="Los filtros de la bomba de vacio todos estan rotos y dañados."/>
    <m/>
    <m/>
    <x v="3"/>
    <m/>
    <m/>
    <x v="4"/>
    <m/>
    <x v="4"/>
    <x v="2"/>
    <d v="1899-12-30T00:00:00"/>
    <d v="2025-11-13T15:30:00"/>
    <d v="1899-12-30T00:00:00"/>
    <n v="-45974.645833333336"/>
  </r>
  <r>
    <n v="68"/>
    <m/>
    <m/>
    <x v="3"/>
    <m/>
    <m/>
    <m/>
    <m/>
    <m/>
    <x v="3"/>
    <m/>
    <m/>
    <x v="4"/>
    <m/>
    <x v="4"/>
    <x v="1"/>
    <d v="1899-12-30T00:00:00"/>
    <d v="1899-12-30T00:00:00"/>
    <d v="1899-12-30T00:00:00"/>
    <d v="1899-12-30T00:00:00"/>
  </r>
  <r>
    <n v="69"/>
    <s v="D. BUESACO"/>
    <d v="1899-12-30T14:00:00"/>
    <x v="18"/>
    <s v="SELLADORA 3"/>
    <s v="Puntual"/>
    <s v="Rodillo esta muy alto y jala la bolsa."/>
    <d v="1899-12-30T19:00:00"/>
    <d v="1899-12-30T19:20:00"/>
    <x v="18"/>
    <s v="Mecánica"/>
    <s v="Rodillo con tuercas ausente y levantado, se reponen tuercas y se calibra corrigiendo falla."/>
    <x v="0"/>
    <s v="NA"/>
    <x v="3"/>
    <x v="0"/>
    <d v="1899-12-30T00:20:00"/>
    <d v="2025-11-14T14:00:00"/>
    <d v="2025-11-14T19:20:00"/>
    <d v="1899-12-30T05:20:00"/>
  </r>
  <r>
    <n v="70"/>
    <s v="D. CUESTA"/>
    <d v="1899-12-30T20:08:00"/>
    <x v="18"/>
    <s v="EXTRUSORA 4"/>
    <s v="Puntual"/>
    <s v="Corto en la extrusora."/>
    <d v="1899-12-30T20:08:00"/>
    <d v="1899-12-30T20:18:00"/>
    <x v="18"/>
    <s v="Eléctrica"/>
    <s v="Conductor abierto por corto, se realiza empalme y se recubre con cinta tela fibra de vidrio, pendiente cambiar conductor."/>
    <x v="1"/>
    <s v="NA"/>
    <x v="3"/>
    <x v="0"/>
    <d v="1899-12-30T00:10:00"/>
    <d v="2025-11-14T20:08:00"/>
    <d v="2025-11-14T20:18:00"/>
    <d v="1899-12-30T00:10:00"/>
  </r>
  <r>
    <n v="71"/>
    <s v="R. OLIVARES"/>
    <d v="1899-12-30T15:20:00"/>
    <x v="19"/>
    <s v="EXTRUSORA 5"/>
    <s v="Puntual"/>
    <s v="Falla carter tornillo A."/>
    <d v="1899-12-30T15:20:00"/>
    <d v="1899-12-30T15:30:00"/>
    <x v="19"/>
    <s v="Mecánica"/>
    <s v="Se encuentra abierto carter cañon A, se requiere cambio de tapa de carter ya que se encuentra en mal estado y puede volver a fallar."/>
    <x v="1"/>
    <s v="NA"/>
    <x v="2"/>
    <x v="0"/>
    <d v="1899-12-30T00:10:00"/>
    <d v="2025-11-16T15:20:00"/>
    <d v="2025-11-16T15:30:00"/>
    <d v="1899-12-30T00:10:00"/>
  </r>
  <r>
    <n v="72"/>
    <s v="D. ARRIETA"/>
    <d v="1899-12-30T22:35:00"/>
    <x v="20"/>
    <s v="IMPRESORA 1"/>
    <s v="Puntual"/>
    <s v="Correa del embobinador."/>
    <d v="1899-12-30T22:35:00"/>
    <d v="1899-12-30T00:00:00"/>
    <x v="3"/>
    <s v="Mecánica"/>
    <s v="Se desmontan las bases de polea y se monta correa quedando operativo."/>
    <x v="17"/>
    <s v="NA"/>
    <x v="3"/>
    <x v="0"/>
    <n v="-0.94097222222222221"/>
    <d v="2025-11-17T22:35:00"/>
    <d v="1899-12-30T00:00:00"/>
    <n v="-45978.940972222219"/>
  </r>
  <r>
    <n v="73"/>
    <s v="E. BELLO"/>
    <d v="1899-12-30T03:21:00"/>
    <x v="18"/>
    <s v="PELETIZADORA 1"/>
    <s v="Puntual"/>
    <s v="Zona con temperatura baja. En porta malla."/>
    <d v="1899-12-30T15:40:00"/>
    <d v="1899-12-30T17:00:00"/>
    <x v="18"/>
    <s v="Eléctrica"/>
    <s v="Resistencia averiada en terminales, se lleva hasta el taller planta 1, se realiza reparación colocando terminales y se realiza montaje."/>
    <x v="1"/>
    <s v="NA"/>
    <x v="3"/>
    <x v="0"/>
    <d v="1899-12-30T01:20:00"/>
    <d v="2025-11-14T03:21:00"/>
    <d v="2025-11-14T17:00:00"/>
    <d v="1899-12-30T13:39:00"/>
  </r>
  <r>
    <n v="74"/>
    <m/>
    <m/>
    <x v="3"/>
    <m/>
    <m/>
    <m/>
    <m/>
    <m/>
    <x v="3"/>
    <m/>
    <m/>
    <x v="4"/>
    <m/>
    <x v="4"/>
    <x v="1"/>
    <d v="1899-12-30T00:00:00"/>
    <d v="1899-12-30T00:00:00"/>
    <d v="1899-12-30T00:00:00"/>
    <d v="1899-12-30T00:00:00"/>
  </r>
  <r>
    <n v="75"/>
    <s v="A. CESPEDES"/>
    <d v="1899-12-30T18:10:00"/>
    <x v="15"/>
    <s v="SELLADORA 3"/>
    <s v="Puntual"/>
    <s v="La cuchilla se cae."/>
    <d v="1899-12-30T18:10:00"/>
    <d v="1899-12-30T18:40:00"/>
    <x v="15"/>
    <s v="Mecánica"/>
    <s v="Se realiza ajuste de pesos porque la cuchilla se cae cuando se detiene, se da 1/2 vuelta pero se tiene en seguimiento."/>
    <x v="1"/>
    <s v="NA"/>
    <x v="2"/>
    <x v="0"/>
    <d v="1899-12-30T00:30:00"/>
    <d v="2025-11-18T18:10:00"/>
    <d v="2025-11-18T18:40:00"/>
    <d v="1899-12-30T00:30:00"/>
  </r>
  <r>
    <n v="76"/>
    <s v="D. ARRIETA"/>
    <d v="1899-12-30T06:00:00"/>
    <x v="15"/>
    <s v="NA"/>
    <s v="Puntual"/>
    <s v="Rodamiento del embobinador."/>
    <d v="1899-12-30T06:00:00"/>
    <d v="1899-12-30T06:26:00"/>
    <x v="15"/>
    <s v="Mecánica"/>
    <s v="Se cambia rodamiento por que estaba partido por uno nuevo."/>
    <x v="18"/>
    <s v="NA"/>
    <x v="0"/>
    <x v="0"/>
    <d v="1899-12-30T00:26:00"/>
    <d v="2025-11-18T06:00:00"/>
    <d v="2025-11-18T06:26:00"/>
    <d v="1899-12-30T00:26:00"/>
  </r>
  <r>
    <n v="77"/>
    <m/>
    <m/>
    <x v="3"/>
    <m/>
    <m/>
    <m/>
    <m/>
    <m/>
    <x v="3"/>
    <m/>
    <m/>
    <x v="4"/>
    <m/>
    <x v="4"/>
    <x v="1"/>
    <d v="1899-12-30T00:00:00"/>
    <d v="1899-12-30T00:00:00"/>
    <d v="1899-12-30T00:00:00"/>
    <d v="1899-12-30T00:00:00"/>
  </r>
  <r>
    <n v="78"/>
    <s v="D. CUESTA"/>
    <d v="1899-12-30T20:25:00"/>
    <x v="15"/>
    <s v="EXTRUSORA 5"/>
    <s v="Puntual"/>
    <s v="Se para la máquina por el IBC, no estabiliza."/>
    <d v="1899-12-30T20:25:00"/>
    <d v="1899-12-30T21:10:00"/>
    <x v="15"/>
    <s v="Mecánica"/>
    <s v="Se realiza inpección de manguera la cual se encuentra partida con un orificio, re empalma, se retira resina."/>
    <x v="1"/>
    <s v="NA"/>
    <x v="2"/>
    <x v="0"/>
    <d v="1899-12-30T00:45:00"/>
    <d v="2025-11-18T20:25:00"/>
    <d v="2025-11-18T21:10:00"/>
    <d v="1899-12-30T00:45:00"/>
  </r>
  <r>
    <n v="79"/>
    <s v="DEISY"/>
    <d v="1899-12-30T03:00:00"/>
    <x v="21"/>
    <s v="SELLADORA 3"/>
    <s v="Puntual"/>
    <s v="Se para transportador"/>
    <d v="1899-12-30T03:00:00"/>
    <d v="1899-12-30T05:30:00"/>
    <x v="20"/>
    <s v="Eléctrica"/>
    <s v="Ajuste de prisioneros en piñones, revisión del motor presenta alta temperatura, lubricación, toma de consumos."/>
    <x v="1"/>
    <s v="NA"/>
    <x v="1"/>
    <x v="0"/>
    <d v="1899-12-30T02:30:00"/>
    <d v="2025-11-19T03:00:00"/>
    <d v="2025-11-19T05:30:00"/>
    <d v="1899-12-30T02:30:00"/>
  </r>
  <r>
    <n v="80"/>
    <s v="D. ARRIETA"/>
    <d v="1899-12-30T15:00:00"/>
    <x v="21"/>
    <s v="IMPRESORA 1"/>
    <s v="Puntual"/>
    <s v="Se parte eje embobinador"/>
    <d v="1899-12-30T15:00:00"/>
    <d v="1899-12-30T16:00:00"/>
    <x v="20"/>
    <s v="Mecánica"/>
    <s v="Se intercambia eje neumatico desembobinador por bobinador, se realiza cambio de piñon matriz y se instalo."/>
    <x v="19"/>
    <s v="NA"/>
    <x v="2"/>
    <x v="0"/>
    <d v="1899-12-30T01:00:00"/>
    <d v="2025-11-19T15:00:00"/>
    <d v="2025-11-19T16:00:00"/>
    <d v="1899-12-30T01:00:00"/>
  </r>
  <r>
    <n v="81"/>
    <s v="Y. BERNAL"/>
    <d v="1899-12-30T16:54:00"/>
    <x v="21"/>
    <s v="MEZCLADORA 1"/>
    <s v="Repetitiva"/>
    <s v="Se evidencia resistencias quemadas capa externa, vibración y olor a caucho quemado."/>
    <d v="1899-12-30T16:55:00"/>
    <d v="1899-12-30T17:00:00"/>
    <x v="20"/>
    <s v="Mecánica"/>
    <s v="Cambio de empaques debajo de la chumacera, se realizan nuevos por deterioro."/>
    <x v="20"/>
    <s v="NA"/>
    <x v="0"/>
    <x v="0"/>
    <d v="1899-12-30T00:05:00"/>
    <d v="2025-11-19T16:54:00"/>
    <d v="2025-11-19T17:00:00"/>
    <d v="1899-12-30T00:06:00"/>
  </r>
  <r>
    <n v="82"/>
    <s v="S. CARDENAL"/>
    <d v="1899-12-30T11:30:00"/>
    <x v="21"/>
    <s v="SELLADORA 1"/>
    <s v="Puntual"/>
    <s v="Máquina no prende."/>
    <d v="1899-12-30T16:00:00"/>
    <d v="1899-12-30T18:00:00"/>
    <x v="20"/>
    <s v="Eléctrica"/>
    <s v="Máquina no habilitada, se realiza inpección de sensores de puertas, se revisan reles de seguridad y conexiones electricas, se cambia relevos de 24 DC."/>
    <x v="21"/>
    <s v="NA"/>
    <x v="2"/>
    <x v="0"/>
    <d v="1899-12-30T02:00:00"/>
    <d v="2025-11-19T11:30:00"/>
    <d v="2025-11-19T18:00:00"/>
    <d v="1899-12-30T06:30:00"/>
  </r>
  <r>
    <n v="83"/>
    <s v="H. TRIANA"/>
    <d v="1899-12-30T19:49:00"/>
    <x v="21"/>
    <s v="NA"/>
    <s v="Puntual"/>
    <s v="Falla embobinador delantero."/>
    <d v="1899-12-30T19:50:00"/>
    <d v="1899-12-30T20:00:00"/>
    <x v="20"/>
    <s v="Eléctrica"/>
    <s v="Se realiza cambio de muletilla y contacto encendido de bobinador, se entrego operativo."/>
    <x v="1"/>
    <s v="NA"/>
    <x v="2"/>
    <x v="0"/>
    <d v="1899-12-30T00:10:00"/>
    <d v="2025-11-19T19:49:00"/>
    <d v="2025-11-19T20:00:00"/>
    <d v="1899-12-30T00:11:00"/>
  </r>
  <r>
    <n v="84"/>
    <m/>
    <m/>
    <x v="3"/>
    <m/>
    <m/>
    <m/>
    <m/>
    <m/>
    <x v="3"/>
    <m/>
    <m/>
    <x v="4"/>
    <m/>
    <x v="4"/>
    <x v="1"/>
    <d v="1899-12-30T00:00:00"/>
    <d v="1899-12-30T00:00:00"/>
    <d v="1899-12-30T00:00:00"/>
    <d v="1899-12-30T00:00:00"/>
  </r>
  <r>
    <n v="85"/>
    <s v="R. MEJIA"/>
    <d v="1899-12-30T00:20:00"/>
    <x v="22"/>
    <s v="IMPRESORA 1"/>
    <s v="Puntual"/>
    <s v="Se daña rosca de las guardas o tapas de los rodillos porta clise, los tornillos quedan libres."/>
    <d v="1899-12-30T00:20:00"/>
    <d v="1899-12-30T00:40:00"/>
    <x v="21"/>
    <s v="Mecánica"/>
    <s v="Se evidencia rosca helicil ausente, se rectifica rosca y reemplazo de rosca quedando OK."/>
    <x v="22"/>
    <s v="NA"/>
    <x v="3"/>
    <x v="0"/>
    <d v="1899-12-30T00:20:00"/>
    <d v="2025-11-20T00:20:00"/>
    <d v="2025-11-20T00:40:00"/>
    <d v="1899-12-30T00:20:00"/>
  </r>
  <r>
    <n v="86"/>
    <s v="J. MIRANDA"/>
    <d v="1899-12-30T12:41:00"/>
    <x v="22"/>
    <s v="EXTRUSORA 1"/>
    <s v="Puntual"/>
    <s v="Zona del porta malla externo esta presentando falla."/>
    <d v="1899-12-30T13:15:00"/>
    <d v="1899-12-30T13:30:00"/>
    <x v="21"/>
    <s v="Eléctrica"/>
    <s v="Termocupla averiada, se realiza cambio de termocupla y termoposo quedando OK."/>
    <x v="23"/>
    <s v="NA"/>
    <x v="3"/>
    <x v="0"/>
    <d v="1899-12-30T00:15:00"/>
    <d v="2025-11-20T12:41:00"/>
    <d v="2025-11-20T13:30:00"/>
    <d v="1899-12-30T00:49:00"/>
  </r>
  <r>
    <n v="87"/>
    <s v="DEISY"/>
    <d v="1899-12-30T22:45:00"/>
    <x v="22"/>
    <s v="SELLADORA 3"/>
    <s v="Puntual"/>
    <s v="Daño en perforadores."/>
    <d v="1899-12-30T22:45:00"/>
    <d v="1899-12-30T23:35:00"/>
    <x v="21"/>
    <s v="Neumática"/>
    <s v="Electrovalvula averiada, se realiza cambio por una usada regular quedando OK. Tope de balancin superior ausente, se encuentra con tornillos partidos, se extraen y se reemplazan."/>
    <x v="24"/>
    <s v="NA"/>
    <x v="3"/>
    <x v="0"/>
    <d v="1899-12-30T00:50:00"/>
    <d v="2025-11-20T22:45:00"/>
    <d v="2025-11-20T23:35:00"/>
    <d v="1899-12-30T00:50:00"/>
  </r>
  <r>
    <n v="88"/>
    <s v="DEISY"/>
    <d v="1899-12-30T01:50:00"/>
    <x v="23"/>
    <s v="SELLADORA 3"/>
    <s v="Puntual"/>
    <s v="Se rompe correa."/>
    <d v="1899-12-30T02:00:00"/>
    <d v="1899-12-30T02:15:00"/>
    <x v="22"/>
    <s v="Mecánica"/>
    <s v="Correa de transmisión de prensas partida, se retira guarda y se realiza reemplazo de la correa."/>
    <x v="25"/>
    <s v="NA"/>
    <x v="3"/>
    <x v="0"/>
    <d v="1899-12-30T00:15:00"/>
    <d v="2025-11-21T01:50:00"/>
    <d v="2025-11-21T02:15:00"/>
    <d v="1899-12-30T00:25:00"/>
  </r>
  <r>
    <n v="89"/>
    <s v="L. MIRANDA"/>
    <d v="1899-12-30T19:30:00"/>
    <x v="22"/>
    <s v="EXTRUSORA"/>
    <s v="Puntual"/>
    <s v="La cortina de seguridad presenta falla."/>
    <d v="1899-12-30T03:30:00"/>
    <d v="1899-12-30T04:10:00"/>
    <x v="22"/>
    <s v="Eléctrica"/>
    <s v="Se alinean soportes, calibración cortinas quedando OK."/>
    <x v="1"/>
    <s v="NA"/>
    <x v="3"/>
    <x v="0"/>
    <d v="1899-12-30T00:40:00"/>
    <d v="2025-11-20T19:30:00"/>
    <d v="2025-11-21T04:10:00"/>
    <d v="1899-12-30T08:40:00"/>
  </r>
  <r>
    <n v="90"/>
    <m/>
    <m/>
    <x v="3"/>
    <m/>
    <m/>
    <m/>
    <m/>
    <m/>
    <x v="3"/>
    <m/>
    <m/>
    <x v="4"/>
    <m/>
    <x v="4"/>
    <x v="1"/>
    <d v="1899-12-30T00:00:00"/>
    <d v="1899-12-30T00:00:00"/>
    <d v="1899-12-30T00:00:00"/>
    <d v="1899-12-30T00:00:00"/>
  </r>
  <r>
    <n v="91"/>
    <s v="S. CARDENAL"/>
    <d v="1899-12-30T08:45:00"/>
    <x v="23"/>
    <s v="SELLADORA 2"/>
    <s v="Puntual"/>
    <s v="Se daña rodillo."/>
    <d v="1899-12-30T08:45:00"/>
    <d v="1899-12-30T09:30:00"/>
    <x v="22"/>
    <s v="Mecánica"/>
    <s v="Se cambia rodillo por daño de rodamientos."/>
    <x v="1"/>
    <s v="NA"/>
    <x v="0"/>
    <x v="0"/>
    <d v="1899-12-30T00:45:00"/>
    <d v="2025-11-21T08:45:00"/>
    <d v="2025-11-21T09:30:00"/>
    <d v="1899-12-30T00:45:00"/>
  </r>
  <r>
    <n v="92"/>
    <m/>
    <m/>
    <x v="3"/>
    <m/>
    <m/>
    <m/>
    <m/>
    <m/>
    <x v="3"/>
    <m/>
    <m/>
    <x v="4"/>
    <m/>
    <x v="4"/>
    <x v="1"/>
    <d v="1899-12-30T00:00:00"/>
    <d v="1899-12-30T00:00:00"/>
    <d v="1899-12-30T00:00:00"/>
    <d v="1899-12-30T00:00:00"/>
  </r>
  <r>
    <n v="93"/>
    <s v="J. PARADA"/>
    <d v="1899-12-30T10:00:00"/>
    <x v="23"/>
    <s v="IMPRESORA 1"/>
    <s v="Puntual"/>
    <s v="Se daña alineador."/>
    <d v="1899-12-30T10:00:00"/>
    <d v="1899-12-30T10:30:00"/>
    <x v="22"/>
    <s v="Neumática"/>
    <s v="Se realiza ajuste a mordaza fife (alineador) quedando operativo."/>
    <x v="1"/>
    <s v="NA"/>
    <x v="5"/>
    <x v="0"/>
    <d v="1899-12-30T00:30:00"/>
    <d v="2025-11-21T10:00:00"/>
    <d v="2025-11-21T10:30:00"/>
    <d v="1899-12-30T00:30:00"/>
  </r>
  <r>
    <n v="94"/>
    <s v="R. MEJIA"/>
    <d v="1899-12-30T04:00:00"/>
    <x v="24"/>
    <s v="IMPRESORA 1"/>
    <s v="Puntual"/>
    <s v="Seguro bobinador dañado."/>
    <d v="1899-12-30T04:00:00"/>
    <d v="1899-12-30T04:20:00"/>
    <x v="23"/>
    <s v="Mecánica"/>
    <s v="Se realiza cambio de seguro bobinador ya que la rosca se pierde de la mordaza de ajuste."/>
    <x v="1"/>
    <s v="NA"/>
    <x v="2"/>
    <x v="0"/>
    <d v="1899-12-30T00:20:00"/>
    <d v="2025-11-25T04:00:00"/>
    <d v="2025-11-25T04:20:00"/>
    <d v="1899-12-30T00:20:00"/>
  </r>
  <r>
    <n v="95"/>
    <m/>
    <m/>
    <x v="3"/>
    <m/>
    <m/>
    <m/>
    <m/>
    <m/>
    <x v="3"/>
    <m/>
    <m/>
    <x v="4"/>
    <m/>
    <x v="4"/>
    <x v="1"/>
    <d v="1899-12-30T00:00:00"/>
    <d v="1899-12-30T00:00:00"/>
    <d v="1899-12-30T00:00:00"/>
    <d v="1899-12-30T00:00:00"/>
  </r>
  <r>
    <n v="96"/>
    <s v="F. SANCHEZ"/>
    <d v="1899-12-30T09:15:00"/>
    <x v="25"/>
    <s v="EXTRUSORA 5"/>
    <s v="Puntual"/>
    <s v="Problemas con el rodillo donde van las ruedas con los clavos para hacer los huecos al material, se cae el rodillo."/>
    <d v="1899-12-30T09:15:00"/>
    <d v="1899-12-30T15:00:00"/>
    <x v="24"/>
    <s v="Mecánica"/>
    <s v="Daño en pieza sostiene el rodillo, se desoldo, se cae el rodillo, se coloca nuevamente para no parar máquina, se ajusta prisionero."/>
    <x v="1"/>
    <s v="NA"/>
    <x v="0"/>
    <x v="0"/>
    <d v="1899-12-30T05:45:00"/>
    <d v="2025-11-23T09:15:00"/>
    <d v="2025-11-23T15:00:00"/>
    <d v="1899-12-30T05:45:00"/>
  </r>
  <r>
    <n v="97"/>
    <s v="F. SANCHEZ"/>
    <d v="1899-12-30T11:30:00"/>
    <x v="25"/>
    <s v="EXTRUSORA 5"/>
    <s v="Puntual"/>
    <s v="Problemas con las cortinas de los embobinadores A y B, falla de lectura."/>
    <d v="1899-12-30T11:30:00"/>
    <d v="1899-12-30T15:00:00"/>
    <x v="24"/>
    <s v="Mecánica"/>
    <s v="Se ajusta cortinas pero no estan atornilladas, pendiente hacer soportes para atornillar cortinas a la base."/>
    <x v="1"/>
    <s v="NA"/>
    <x v="0"/>
    <x v="0"/>
    <d v="1899-12-30T03:30:00"/>
    <d v="2025-11-23T11:30:00"/>
    <d v="2025-11-23T15:00:00"/>
    <d v="1899-12-30T03:30:00"/>
  </r>
  <r>
    <n v="98"/>
    <s v="Y. BERNAL"/>
    <d v="1899-12-30T08:10:00"/>
    <x v="26"/>
    <s v="MEZCLADORA 1"/>
    <s v="Repetitiva"/>
    <s v="Se solicita revisión porque se apaga cada 10 segundos la mezcladora externa."/>
    <d v="1899-12-30T08:10:00"/>
    <d v="1899-12-30T08:30:00"/>
    <x v="25"/>
    <s v="Eléctrica"/>
    <s v="Se encuentra temporizadorpara apagado automatico y se ajusta para mas tiempo."/>
    <x v="1"/>
    <s v="NA"/>
    <x v="5"/>
    <x v="0"/>
    <d v="1899-12-30T00:20:00"/>
    <d v="2025-11-24T08:10:00"/>
    <d v="2025-11-24T08:30:00"/>
    <d v="1899-12-30T00:20:00"/>
  </r>
  <r>
    <n v="99"/>
    <s v="Y. BERNAL"/>
    <d v="1899-12-30T11:25:00"/>
    <x v="26"/>
    <s v="MEZCLADORA 1"/>
    <s v="Repetitiva"/>
    <s v="Se apaga constantemente el mezclador externo, se informa a mtto."/>
    <d v="1899-12-30T11:30:00"/>
    <m/>
    <x v="25"/>
    <s v="Eléctrica"/>
    <s v="Se desmonta chumacera para limpieza y se inspecciona temporizador y presenta falla ."/>
    <x v="4"/>
    <m/>
    <x v="4"/>
    <x v="2"/>
    <n v="-0.47916666666666669"/>
    <d v="2025-11-24T11:25:00"/>
    <d v="2025-11-24T00:00:00"/>
    <n v="-0.47569444444525288"/>
  </r>
  <r>
    <n v="100"/>
    <s v="D. ZAMORA"/>
    <d v="1899-12-30T14:35:00"/>
    <x v="26"/>
    <s v="REFILADORA 3"/>
    <s v="Repetitiva"/>
    <s v="La felpa se mete entre la manguera lo que hace que el core coja mayor tensión con el material y quede atrapado entre las castañas."/>
    <d v="1899-12-30T14:35:00"/>
    <d v="1899-12-30T14:55:00"/>
    <x v="25"/>
    <s v="Neumática"/>
    <s v="Se desmontan las castañas y se realiza cambio de felpa."/>
    <x v="1"/>
    <s v="NA"/>
    <x v="3"/>
    <x v="0"/>
    <d v="1899-12-30T00:20:00"/>
    <d v="2025-11-24T14:35:00"/>
    <d v="2025-11-24T14:55:00"/>
    <d v="1899-12-30T00:20:00"/>
  </r>
  <r>
    <n v="101"/>
    <s v="L. GARZON"/>
    <d v="1899-12-30T13:06:00"/>
    <x v="13"/>
    <s v="Otro"/>
    <s v="Puntual"/>
    <s v="Se desconecta cable del pedal de troque."/>
    <d v="1899-12-30T13:06:00"/>
    <d v="1899-12-30T13:16:00"/>
    <x v="13"/>
    <s v="Eléctrica"/>
    <s v="Se encuentra cable de pedal de accionamiento del troque desconectado, se realiza conexión."/>
    <x v="1"/>
    <s v="NA"/>
    <x v="2"/>
    <x v="0"/>
    <d v="1899-12-30T00:10:00"/>
    <d v="2025-11-10T13:06:00"/>
    <d v="2025-11-10T13:16:00"/>
    <d v="1899-12-30T00:10:00"/>
  </r>
  <r>
    <n v="102"/>
    <s v="L. GARZON"/>
    <d v="1899-12-30T08:10:00"/>
    <x v="14"/>
    <s v="SELLADORA"/>
    <s v="Puntual"/>
    <s v="Se para por destensión en correas transportadoras. "/>
    <d v="1899-12-30T08:10:00"/>
    <d v="1899-12-30T12:30:00"/>
    <x v="14"/>
    <s v="Mecánica"/>
    <s v="Se da más tensión repetidamente para ajustar correas."/>
    <x v="1"/>
    <s v="NA"/>
    <x v="2"/>
    <x v="0"/>
    <d v="1899-12-30T04:20:00"/>
    <d v="2025-11-11T08:10:00"/>
    <d v="2025-11-11T12:30:00"/>
    <d v="1899-12-30T04:20:00"/>
  </r>
  <r>
    <n v="103"/>
    <s v="Y. SIUTA"/>
    <d v="1899-12-30T14:00:00"/>
    <x v="16"/>
    <s v="Otro"/>
    <s v="Puntual"/>
    <s v="Baño tapado"/>
    <d v="1899-12-30T14:30:00"/>
    <d v="1899-12-30T14:50:00"/>
    <x v="16"/>
    <s v="NA"/>
    <s v="Se aplica diablo rojo para destapar el baño."/>
    <x v="1"/>
    <s v="Diablo rojo"/>
    <x v="6"/>
    <x v="0"/>
    <d v="1899-12-30T00:20:00"/>
    <d v="2025-11-12T14:00:00"/>
    <d v="2025-11-12T14:50:00"/>
    <d v="1899-12-30T00:50:00"/>
  </r>
  <r>
    <n v="104"/>
    <s v="Y. SIUTA"/>
    <d v="1899-12-30T10:30:00"/>
    <x v="17"/>
    <s v="Otro"/>
    <s v="Puntual"/>
    <s v="Acondicionar cuarto de rodillos y taller de mtoo para impedir el ingreso de voladores."/>
    <m/>
    <m/>
    <x v="3"/>
    <m/>
    <s v="Se tapa con polisombra y espuma de poliuterano expansiva los espacios donde pueden ingresar los insectos."/>
    <x v="1"/>
    <s v="Espuma y polisombra."/>
    <x v="4"/>
    <x v="2"/>
    <d v="1899-12-30T00:00:00"/>
    <d v="2025-11-13T10:30:00"/>
    <d v="1899-12-30T00:00:00"/>
    <n v="-45974.4375"/>
  </r>
  <r>
    <n v="105"/>
    <s v="Y. SIUTA"/>
    <d v="1899-12-30T07:00:00"/>
    <x v="17"/>
    <s v="Lab. Calidad"/>
    <s v="Puntual"/>
    <s v="Realizar mueble para bolsas de contramuestras de calidad."/>
    <m/>
    <m/>
    <x v="3"/>
    <m/>
    <m/>
    <x v="4"/>
    <m/>
    <x v="4"/>
    <x v="2"/>
    <d v="1899-12-30T00:00:00"/>
    <d v="2025-11-13T07:00:00"/>
    <d v="1899-12-30T00:00:00"/>
    <n v="-45974.291666666664"/>
  </r>
  <r>
    <n v="106"/>
    <s v="L. GARZON"/>
    <d v="1899-12-30T07:44:00"/>
    <x v="18"/>
    <s v="SELLADORA"/>
    <s v="Puntual"/>
    <s v="Falla en pantalla"/>
    <d v="1899-12-30T07:44:00"/>
    <d v="1899-12-30T07:55:00"/>
    <x v="18"/>
    <s v="Eléctrica"/>
    <s v="Se encuentra sensor de la pelicula accionado, se realiza ajuste y quedo operativo."/>
    <x v="1"/>
    <s v="NA"/>
    <x v="2"/>
    <x v="0"/>
    <d v="1899-12-30T00:11:00"/>
    <d v="2025-11-14T07:44:00"/>
    <d v="2025-11-14T07:55:00"/>
    <d v="1899-12-30T00:11:00"/>
  </r>
  <r>
    <n v="107"/>
    <s v="P. JEREZ"/>
    <d v="1899-12-30T12:24:00"/>
    <x v="21"/>
    <s v="Lab. Calidad"/>
    <s v="Puntual"/>
    <s v="Toma corriente no sirve, no da energia."/>
    <m/>
    <m/>
    <x v="3"/>
    <m/>
    <m/>
    <x v="4"/>
    <m/>
    <x v="4"/>
    <x v="2"/>
    <d v="1899-12-30T00:00:00"/>
    <d v="2025-11-19T12:24:00"/>
    <d v="1899-12-30T00:00:00"/>
    <n v="-45980.51666666667"/>
  </r>
  <r>
    <n v="108"/>
    <s v="Y. SIUTA"/>
    <d v="1899-12-30T07:00:00"/>
    <x v="26"/>
    <s v="Lab. Calidad"/>
    <s v="Puntual"/>
    <s v="Revisión de equipo termoencogido, presenta  ruidos en el ventilador al iniciar calentamiento."/>
    <m/>
    <m/>
    <x v="3"/>
    <m/>
    <m/>
    <x v="4"/>
    <m/>
    <x v="4"/>
    <x v="2"/>
    <d v="1899-12-30T00:00:00"/>
    <d v="2025-11-24T07:00:00"/>
    <d v="1899-12-30T00:00:00"/>
    <n v="-45985.291666666664"/>
  </r>
  <r>
    <n v="109"/>
    <s v="Y. SIUTA"/>
    <d v="1899-12-30T10:00:00"/>
    <x v="27"/>
    <s v="Lab. Calidad"/>
    <s v="Puntual"/>
    <s v="Selladora de laboratorio No tiene temperatura uniforme, validar la opción de construir un equipo nuevo o dejar a punto la maquina actual"/>
    <m/>
    <m/>
    <x v="3"/>
    <m/>
    <s v="Se implementa selladora para muestras de calidad, se capacita personal y se hace entrega"/>
    <x v="4"/>
    <m/>
    <x v="7"/>
    <x v="0"/>
    <d v="1899-12-30T00:00:00"/>
    <d v="2025-10-22T10:00:00"/>
    <d v="1899-12-30T00:00:00"/>
    <n v="-45952.416666666664"/>
  </r>
  <r>
    <n v="110"/>
    <m/>
    <m/>
    <x v="3"/>
    <m/>
    <m/>
    <m/>
    <m/>
    <m/>
    <x v="3"/>
    <m/>
    <m/>
    <x v="4"/>
    <m/>
    <x v="4"/>
    <x v="1"/>
    <d v="1899-12-30T00:00:00"/>
    <d v="1899-12-30T00:00:00"/>
    <d v="1899-12-30T00:00:00"/>
    <d v="1899-12-30T00:00:00"/>
  </r>
  <r>
    <n v="111"/>
    <m/>
    <m/>
    <x v="3"/>
    <m/>
    <m/>
    <m/>
    <m/>
    <m/>
    <x v="3"/>
    <m/>
    <m/>
    <x v="4"/>
    <m/>
    <x v="4"/>
    <x v="1"/>
    <d v="1899-12-30T00:00:00"/>
    <d v="1899-12-30T00:00:00"/>
    <d v="1899-12-30T00:00:00"/>
    <d v="1899-12-30T00:00:00"/>
  </r>
  <r>
    <n v="112"/>
    <s v="P. JEREZ"/>
    <d v="1899-12-30T09:09:00"/>
    <x v="28"/>
    <s v="Lab. Calidad"/>
    <s v="Puntual"/>
    <s v="Equipos del laboratorio no encienden, revisión toma."/>
    <d v="1899-12-30T09:25:00"/>
    <d v="1899-12-30T09:40:00"/>
    <x v="26"/>
    <s v="Eléctrica"/>
    <s v="Tomas GFCI activan protección al momento de encender, el equipo de retracción, se coloca toma temporalmente y se solicita RQ para cambio de tomas."/>
    <x v="26"/>
    <s v="NA"/>
    <x v="3"/>
    <x v="0"/>
    <d v="1899-12-30T00:15:00"/>
    <d v="2025-12-20T09:09:00"/>
    <d v="2025-12-20T09:40:00"/>
    <d v="1899-12-30T00:31:00"/>
  </r>
  <r>
    <n v="113"/>
    <s v="P. JEREZ"/>
    <m/>
    <x v="29"/>
    <s v="Lab. Calidad"/>
    <s v="Puntual"/>
    <s v="Reparación entre paños muebles de calidad"/>
    <m/>
    <m/>
    <x v="3"/>
    <m/>
    <m/>
    <x v="4"/>
    <m/>
    <x v="4"/>
    <x v="2"/>
    <d v="1899-12-30T00:00:00"/>
    <d v="2026-01-08T00:00:00"/>
    <d v="1899-12-30T00:00:00"/>
    <n v="-46030"/>
  </r>
  <r>
    <n v="114"/>
    <s v="J. BRICEÑO"/>
    <d v="1899-12-30T16:03:00"/>
    <x v="30"/>
    <s v="IMPRESORA 1"/>
    <s v="Puntual"/>
    <s v="Eje pinchado"/>
    <d v="1899-12-30T16:05:00"/>
    <d v="1899-12-30T16:25:00"/>
    <x v="27"/>
    <s v="Neúmatica"/>
    <s v="Se inspeccionan mangueras encontrandose una con fisuras, se realiza cambio quedando OK"/>
    <x v="27"/>
    <s v="NA"/>
    <x v="3"/>
    <x v="0"/>
    <d v="1899-12-30T00:20:00"/>
    <d v="2026-02-01T16:03:00"/>
    <d v="2026-02-01T16:25:00"/>
    <d v="1899-12-30T00:22:00"/>
  </r>
  <r>
    <n v="115"/>
    <s v="A. MENDOZA"/>
    <d v="1899-12-30T22:15:00"/>
    <x v="31"/>
    <s v="Otro"/>
    <s v="Puntual"/>
    <s v="Toma corriente no funciona en area de laboratorio"/>
    <m/>
    <m/>
    <x v="3"/>
    <m/>
    <m/>
    <x v="4"/>
    <m/>
    <x v="4"/>
    <x v="2"/>
    <d v="1899-12-30T00:00:00"/>
    <d v="2026-02-27T22:15:00"/>
    <d v="1899-12-30T00:00:00"/>
    <n v="-46080.927083333336"/>
  </r>
  <r>
    <n v="116"/>
    <m/>
    <m/>
    <x v="3"/>
    <m/>
    <m/>
    <m/>
    <m/>
    <m/>
    <x v="3"/>
    <m/>
    <m/>
    <x v="4"/>
    <m/>
    <x v="4"/>
    <x v="1"/>
    <d v="1899-12-30T00:00:00"/>
    <d v="1899-12-30T00:00:00"/>
    <d v="1899-12-30T00:00:00"/>
    <d v="1899-12-30T00:00:00"/>
  </r>
  <r>
    <n v="117"/>
    <m/>
    <m/>
    <x v="3"/>
    <m/>
    <m/>
    <m/>
    <m/>
    <m/>
    <x v="3"/>
    <m/>
    <m/>
    <x v="4"/>
    <m/>
    <x v="4"/>
    <x v="1"/>
    <d v="1899-12-30T00:00:00"/>
    <d v="1899-12-30T00:00:00"/>
    <d v="1899-12-30T00:00:00"/>
    <d v="1899-12-30T00:00:00"/>
  </r>
  <r>
    <n v="118"/>
    <m/>
    <m/>
    <x v="3"/>
    <m/>
    <m/>
    <m/>
    <m/>
    <m/>
    <x v="3"/>
    <m/>
    <m/>
    <x v="4"/>
    <m/>
    <x v="4"/>
    <x v="1"/>
    <d v="1899-12-30T00:00:00"/>
    <d v="1899-12-30T00:00:00"/>
    <d v="1899-12-30T00:00:00"/>
    <d v="1899-12-30T00:00:00"/>
  </r>
  <r>
    <n v="119"/>
    <m/>
    <m/>
    <x v="3"/>
    <m/>
    <m/>
    <m/>
    <m/>
    <m/>
    <x v="3"/>
    <m/>
    <m/>
    <x v="4"/>
    <m/>
    <x v="4"/>
    <x v="1"/>
    <d v="1899-12-30T00:00:00"/>
    <d v="1899-12-30T00:00:00"/>
    <d v="1899-12-30T00:00:00"/>
    <d v="1899-12-30T00:00:00"/>
  </r>
  <r>
    <n v="120"/>
    <m/>
    <m/>
    <x v="3"/>
    <m/>
    <m/>
    <m/>
    <m/>
    <m/>
    <x v="3"/>
    <m/>
    <m/>
    <x v="4"/>
    <m/>
    <x v="4"/>
    <x v="1"/>
    <d v="1899-12-30T00:00:00"/>
    <d v="1899-12-30T00:00:00"/>
    <d v="1899-12-30T00:00:00"/>
    <d v="1899-12-30T00:00:00"/>
  </r>
  <r>
    <n v="121"/>
    <m/>
    <m/>
    <x v="3"/>
    <m/>
    <m/>
    <m/>
    <m/>
    <m/>
    <x v="3"/>
    <m/>
    <m/>
    <x v="4"/>
    <m/>
    <x v="4"/>
    <x v="1"/>
    <d v="1899-12-30T00:00:00"/>
    <d v="1899-12-30T00:00:00"/>
    <d v="1899-12-30T00:00:00"/>
    <d v="1899-12-30T00:00:00"/>
  </r>
  <r>
    <n v="122"/>
    <m/>
    <m/>
    <x v="3"/>
    <m/>
    <m/>
    <m/>
    <m/>
    <m/>
    <x v="3"/>
    <m/>
    <m/>
    <x v="4"/>
    <m/>
    <x v="4"/>
    <x v="1"/>
    <d v="1899-12-30T00:00:00"/>
    <d v="1899-12-30T00:00:00"/>
    <d v="1899-12-30T00:00:00"/>
    <d v="1899-12-30T00:00:00"/>
  </r>
  <r>
    <n v="123"/>
    <m/>
    <m/>
    <x v="3"/>
    <m/>
    <m/>
    <m/>
    <m/>
    <m/>
    <x v="3"/>
    <m/>
    <m/>
    <x v="4"/>
    <m/>
    <x v="4"/>
    <x v="1"/>
    <d v="1899-12-30T00:00:00"/>
    <d v="1899-12-30T00:00:00"/>
    <d v="1899-12-30T00:00:00"/>
    <d v="1899-12-30T00:00:00"/>
  </r>
  <r>
    <n v="124"/>
    <m/>
    <m/>
    <x v="3"/>
    <m/>
    <m/>
    <m/>
    <m/>
    <m/>
    <x v="3"/>
    <m/>
    <m/>
    <x v="4"/>
    <m/>
    <x v="4"/>
    <x v="1"/>
    <d v="1899-12-30T00:00:00"/>
    <d v="1899-12-30T00:00:00"/>
    <d v="1899-12-30T00:00:00"/>
    <d v="1899-12-30T00:00:00"/>
  </r>
  <r>
    <n v="125"/>
    <m/>
    <m/>
    <x v="3"/>
    <m/>
    <m/>
    <m/>
    <m/>
    <m/>
    <x v="3"/>
    <m/>
    <m/>
    <x v="4"/>
    <m/>
    <x v="4"/>
    <x v="1"/>
    <d v="1899-12-30T00:00:00"/>
    <d v="1899-12-30T00:00:00"/>
    <d v="1899-12-30T00:00:00"/>
    <d v="1899-12-30T00:00:00"/>
  </r>
  <r>
    <n v="126"/>
    <m/>
    <m/>
    <x v="3"/>
    <m/>
    <m/>
    <m/>
    <m/>
    <m/>
    <x v="3"/>
    <m/>
    <m/>
    <x v="4"/>
    <m/>
    <x v="4"/>
    <x v="1"/>
    <d v="1899-12-30T00:00:00"/>
    <d v="1899-12-30T00:00:00"/>
    <d v="1899-12-30T00:00:00"/>
    <d v="1899-12-30T00:00:00"/>
  </r>
  <r>
    <n v="127"/>
    <m/>
    <m/>
    <x v="3"/>
    <m/>
    <m/>
    <m/>
    <m/>
    <m/>
    <x v="3"/>
    <m/>
    <m/>
    <x v="4"/>
    <m/>
    <x v="4"/>
    <x v="1"/>
    <d v="1899-12-30T00:00:00"/>
    <d v="1899-12-30T00:00:00"/>
    <d v="1899-12-30T00:00:00"/>
    <d v="1899-12-30T00:00:00"/>
  </r>
  <r>
    <n v="128"/>
    <m/>
    <m/>
    <x v="3"/>
    <m/>
    <m/>
    <m/>
    <m/>
    <m/>
    <x v="3"/>
    <m/>
    <m/>
    <x v="4"/>
    <m/>
    <x v="4"/>
    <x v="1"/>
    <d v="1899-12-30T00:00:00"/>
    <d v="1899-12-30T00:00:00"/>
    <d v="1899-12-30T00:00:00"/>
    <d v="1899-12-30T00:00:00"/>
  </r>
  <r>
    <n v="129"/>
    <m/>
    <m/>
    <x v="3"/>
    <m/>
    <m/>
    <m/>
    <m/>
    <m/>
    <x v="3"/>
    <m/>
    <m/>
    <x v="4"/>
    <m/>
    <x v="4"/>
    <x v="1"/>
    <d v="1899-12-30T00:00:00"/>
    <d v="1899-12-30T00:00:00"/>
    <d v="1899-12-30T00:00:00"/>
    <d v="1899-12-30T00:00:00"/>
  </r>
  <r>
    <n v="130"/>
    <m/>
    <m/>
    <x v="3"/>
    <m/>
    <m/>
    <m/>
    <m/>
    <m/>
    <x v="3"/>
    <m/>
    <m/>
    <x v="4"/>
    <m/>
    <x v="4"/>
    <x v="1"/>
    <d v="1899-12-30T00:00:00"/>
    <d v="1899-12-30T00:00:00"/>
    <d v="1899-12-30T00:00:00"/>
    <d v="1899-12-30T00:00:00"/>
  </r>
  <r>
    <n v="131"/>
    <m/>
    <m/>
    <x v="3"/>
    <m/>
    <m/>
    <m/>
    <m/>
    <m/>
    <x v="3"/>
    <m/>
    <m/>
    <x v="4"/>
    <m/>
    <x v="4"/>
    <x v="1"/>
    <d v="1899-12-30T00:00:00"/>
    <d v="1899-12-30T00:00:00"/>
    <d v="1899-12-30T00:00:00"/>
    <d v="1899-12-30T00:00:00"/>
  </r>
  <r>
    <n v="132"/>
    <m/>
    <m/>
    <x v="3"/>
    <m/>
    <m/>
    <m/>
    <m/>
    <m/>
    <x v="3"/>
    <m/>
    <m/>
    <x v="4"/>
    <m/>
    <x v="4"/>
    <x v="1"/>
    <d v="1899-12-30T00:00:00"/>
    <d v="1899-12-30T00:00:00"/>
    <d v="1899-12-30T00:00:00"/>
    <d v="1899-12-30T00:00:00"/>
  </r>
  <r>
    <n v="133"/>
    <m/>
    <m/>
    <x v="3"/>
    <m/>
    <m/>
    <m/>
    <m/>
    <m/>
    <x v="3"/>
    <m/>
    <m/>
    <x v="4"/>
    <m/>
    <x v="4"/>
    <x v="1"/>
    <d v="1899-12-30T00:00:00"/>
    <d v="1899-12-30T00:00:00"/>
    <d v="1899-12-30T00:00:00"/>
    <d v="1899-12-30T00:00:00"/>
  </r>
  <r>
    <n v="134"/>
    <m/>
    <m/>
    <x v="3"/>
    <m/>
    <m/>
    <m/>
    <m/>
    <m/>
    <x v="3"/>
    <m/>
    <m/>
    <x v="4"/>
    <m/>
    <x v="4"/>
    <x v="1"/>
    <d v="1899-12-30T00:00:00"/>
    <d v="1899-12-30T00:00:00"/>
    <d v="1899-12-30T00:00:00"/>
    <d v="1899-12-30T00:00:00"/>
  </r>
  <r>
    <n v="135"/>
    <m/>
    <m/>
    <x v="3"/>
    <m/>
    <m/>
    <m/>
    <m/>
    <m/>
    <x v="3"/>
    <m/>
    <m/>
    <x v="4"/>
    <m/>
    <x v="4"/>
    <x v="1"/>
    <d v="1899-12-30T00:00:00"/>
    <d v="1899-12-30T00:00:00"/>
    <d v="1899-12-30T00:00:00"/>
    <d v="1899-12-30T00:00:00"/>
  </r>
  <r>
    <n v="136"/>
    <m/>
    <m/>
    <x v="3"/>
    <m/>
    <m/>
    <m/>
    <m/>
    <m/>
    <x v="3"/>
    <m/>
    <m/>
    <x v="4"/>
    <m/>
    <x v="4"/>
    <x v="1"/>
    <d v="1899-12-30T00:00:00"/>
    <d v="1899-12-30T00:00:00"/>
    <d v="1899-12-30T00:00:00"/>
    <d v="1899-12-30T00:00:00"/>
  </r>
  <r>
    <n v="137"/>
    <m/>
    <m/>
    <x v="3"/>
    <m/>
    <m/>
    <m/>
    <m/>
    <m/>
    <x v="3"/>
    <m/>
    <m/>
    <x v="4"/>
    <m/>
    <x v="4"/>
    <x v="1"/>
    <d v="1899-12-30T00:00:00"/>
    <d v="1899-12-30T00:00:00"/>
    <d v="1899-12-30T00:00:00"/>
    <d v="1899-12-30T00:00:00"/>
  </r>
  <r>
    <n v="138"/>
    <m/>
    <m/>
    <x v="3"/>
    <m/>
    <m/>
    <m/>
    <m/>
    <m/>
    <x v="3"/>
    <m/>
    <m/>
    <x v="4"/>
    <m/>
    <x v="4"/>
    <x v="1"/>
    <d v="1899-12-30T00:00:00"/>
    <d v="1899-12-30T00:00:00"/>
    <d v="1899-12-30T00:00:00"/>
    <d v="1899-12-30T00:00:00"/>
  </r>
  <r>
    <n v="139"/>
    <m/>
    <m/>
    <x v="3"/>
    <m/>
    <m/>
    <m/>
    <m/>
    <m/>
    <x v="3"/>
    <m/>
    <m/>
    <x v="4"/>
    <m/>
    <x v="4"/>
    <x v="1"/>
    <d v="1899-12-30T00:00:00"/>
    <d v="1899-12-30T00:00:00"/>
    <d v="1899-12-30T00:00:00"/>
    <d v="1899-12-30T00:00:00"/>
  </r>
  <r>
    <n v="140"/>
    <m/>
    <m/>
    <x v="3"/>
    <m/>
    <m/>
    <m/>
    <m/>
    <m/>
    <x v="3"/>
    <m/>
    <m/>
    <x v="4"/>
    <m/>
    <x v="4"/>
    <x v="1"/>
    <d v="1899-12-30T00:00:00"/>
    <d v="1899-12-30T00:00:00"/>
    <d v="1899-12-30T00:00:00"/>
    <d v="1899-12-30T00:00:00"/>
  </r>
  <r>
    <n v="141"/>
    <m/>
    <m/>
    <x v="3"/>
    <m/>
    <m/>
    <m/>
    <m/>
    <m/>
    <x v="3"/>
    <m/>
    <m/>
    <x v="4"/>
    <m/>
    <x v="4"/>
    <x v="1"/>
    <d v="1899-12-30T00:00:00"/>
    <d v="1899-12-30T00:00:00"/>
    <d v="1899-12-30T00:00:00"/>
    <d v="1899-12-30T00:00:00"/>
  </r>
  <r>
    <n v="142"/>
    <m/>
    <m/>
    <x v="3"/>
    <m/>
    <m/>
    <m/>
    <m/>
    <m/>
    <x v="3"/>
    <m/>
    <m/>
    <x v="4"/>
    <m/>
    <x v="4"/>
    <x v="1"/>
    <d v="1899-12-30T00:00:00"/>
    <d v="1899-12-30T00:00:00"/>
    <d v="1899-12-30T00:00:00"/>
    <d v="1899-12-30T00:00:00"/>
  </r>
  <r>
    <n v="143"/>
    <m/>
    <m/>
    <x v="3"/>
    <m/>
    <m/>
    <m/>
    <m/>
    <m/>
    <x v="3"/>
    <m/>
    <m/>
    <x v="4"/>
    <m/>
    <x v="4"/>
    <x v="1"/>
    <d v="1899-12-30T00:00:00"/>
    <d v="1899-12-30T00:00:00"/>
    <d v="1899-12-30T00:00:00"/>
    <d v="1899-12-30T00:00:00"/>
  </r>
  <r>
    <n v="144"/>
    <m/>
    <m/>
    <x v="3"/>
    <m/>
    <m/>
    <m/>
    <m/>
    <m/>
    <x v="3"/>
    <m/>
    <m/>
    <x v="4"/>
    <m/>
    <x v="4"/>
    <x v="1"/>
    <d v="1899-12-30T00:00:00"/>
    <d v="1899-12-30T00:00:00"/>
    <d v="1899-12-30T00:00:00"/>
    <d v="1899-12-30T00:00:00"/>
  </r>
  <r>
    <n v="145"/>
    <m/>
    <m/>
    <x v="3"/>
    <m/>
    <m/>
    <m/>
    <m/>
    <m/>
    <x v="3"/>
    <m/>
    <m/>
    <x v="4"/>
    <m/>
    <x v="4"/>
    <x v="1"/>
    <d v="1899-12-30T00:00:00"/>
    <d v="1899-12-30T00:00:00"/>
    <d v="1899-12-30T00:00:00"/>
    <d v="1899-12-30T00:00:00"/>
  </r>
  <r>
    <n v="146"/>
    <m/>
    <m/>
    <x v="3"/>
    <m/>
    <m/>
    <m/>
    <m/>
    <m/>
    <x v="3"/>
    <m/>
    <m/>
    <x v="4"/>
    <m/>
    <x v="4"/>
    <x v="1"/>
    <d v="1899-12-30T00:00:00"/>
    <d v="1899-12-30T00:00:00"/>
    <d v="1899-12-30T00:00:00"/>
    <d v="1899-12-30T00:00:00"/>
  </r>
  <r>
    <n v="147"/>
    <m/>
    <m/>
    <x v="3"/>
    <m/>
    <m/>
    <m/>
    <m/>
    <m/>
    <x v="3"/>
    <m/>
    <m/>
    <x v="4"/>
    <m/>
    <x v="4"/>
    <x v="1"/>
    <d v="1899-12-30T00:00:00"/>
    <d v="1899-12-30T00:00:00"/>
    <d v="1899-12-30T00:00:00"/>
    <d v="1899-12-30T00:00:00"/>
  </r>
  <r>
    <n v="148"/>
    <m/>
    <m/>
    <x v="3"/>
    <m/>
    <m/>
    <m/>
    <m/>
    <m/>
    <x v="3"/>
    <m/>
    <m/>
    <x v="4"/>
    <m/>
    <x v="4"/>
    <x v="1"/>
    <d v="1899-12-30T00:00:00"/>
    <d v="1899-12-30T00:00:00"/>
    <d v="1899-12-30T00:00:00"/>
    <d v="1899-12-30T00:00:00"/>
  </r>
  <r>
    <n v="149"/>
    <m/>
    <m/>
    <x v="3"/>
    <m/>
    <m/>
    <m/>
    <m/>
    <m/>
    <x v="3"/>
    <m/>
    <m/>
    <x v="4"/>
    <m/>
    <x v="4"/>
    <x v="1"/>
    <d v="1899-12-30T00:00:00"/>
    <d v="1899-12-30T00:00:00"/>
    <d v="1899-12-30T00:00:00"/>
    <d v="1899-12-30T00:00:00"/>
  </r>
  <r>
    <n v="150"/>
    <m/>
    <m/>
    <x v="3"/>
    <m/>
    <m/>
    <m/>
    <m/>
    <m/>
    <x v="3"/>
    <m/>
    <m/>
    <x v="4"/>
    <m/>
    <x v="4"/>
    <x v="1"/>
    <d v="1899-12-30T00:00:00"/>
    <d v="1899-12-30T00:00:00"/>
    <d v="1899-12-30T00:00:00"/>
    <d v="1899-12-30T00:00:00"/>
  </r>
  <r>
    <n v="151"/>
    <m/>
    <m/>
    <x v="3"/>
    <m/>
    <m/>
    <m/>
    <m/>
    <m/>
    <x v="3"/>
    <m/>
    <m/>
    <x v="4"/>
    <m/>
    <x v="4"/>
    <x v="1"/>
    <d v="1899-12-30T00:00:00"/>
    <d v="1899-12-30T00:00:00"/>
    <d v="1899-12-30T00:00:00"/>
    <d v="1899-12-30T00:00:00"/>
  </r>
  <r>
    <n v="152"/>
    <m/>
    <m/>
    <x v="3"/>
    <m/>
    <m/>
    <m/>
    <m/>
    <m/>
    <x v="3"/>
    <m/>
    <m/>
    <x v="4"/>
    <m/>
    <x v="4"/>
    <x v="1"/>
    <d v="1899-12-30T00:00:00"/>
    <d v="1899-12-30T00:00:00"/>
    <d v="1899-12-30T00:00:00"/>
    <d v="1899-12-30T00:00:00"/>
  </r>
  <r>
    <n v="153"/>
    <m/>
    <m/>
    <x v="3"/>
    <m/>
    <m/>
    <m/>
    <m/>
    <m/>
    <x v="3"/>
    <m/>
    <m/>
    <x v="4"/>
    <m/>
    <x v="4"/>
    <x v="1"/>
    <d v="1899-12-30T00:00:00"/>
    <d v="1899-12-30T00:00:00"/>
    <d v="1899-12-30T00:00:00"/>
    <d v="1899-12-30T00:00:00"/>
  </r>
  <r>
    <n v="154"/>
    <m/>
    <m/>
    <x v="3"/>
    <m/>
    <m/>
    <m/>
    <m/>
    <m/>
    <x v="3"/>
    <m/>
    <m/>
    <x v="4"/>
    <m/>
    <x v="4"/>
    <x v="1"/>
    <d v="1899-12-30T00:00:00"/>
    <d v="1899-12-30T00:00:00"/>
    <d v="1899-12-30T00:00:00"/>
    <d v="1899-12-30T00:00:00"/>
  </r>
  <r>
    <n v="155"/>
    <m/>
    <m/>
    <x v="3"/>
    <m/>
    <m/>
    <m/>
    <m/>
    <m/>
    <x v="3"/>
    <m/>
    <m/>
    <x v="4"/>
    <m/>
    <x v="4"/>
    <x v="1"/>
    <d v="1899-12-30T00:00:00"/>
    <d v="1899-12-30T00:00:00"/>
    <d v="1899-12-30T00:00:00"/>
    <d v="1899-12-30T00:00:00"/>
  </r>
  <r>
    <n v="156"/>
    <m/>
    <m/>
    <x v="3"/>
    <m/>
    <m/>
    <m/>
    <m/>
    <m/>
    <x v="3"/>
    <m/>
    <m/>
    <x v="4"/>
    <m/>
    <x v="4"/>
    <x v="1"/>
    <d v="1899-12-30T00:00:00"/>
    <d v="1899-12-30T00:00:00"/>
    <d v="1899-12-30T00:00:00"/>
    <d v="1899-12-30T00:00:00"/>
  </r>
  <r>
    <n v="157"/>
    <m/>
    <m/>
    <x v="3"/>
    <m/>
    <m/>
    <m/>
    <m/>
    <m/>
    <x v="3"/>
    <m/>
    <m/>
    <x v="4"/>
    <m/>
    <x v="4"/>
    <x v="1"/>
    <d v="1899-12-30T00:00:00"/>
    <d v="1899-12-30T00:00:00"/>
    <d v="1899-12-30T00:00:00"/>
    <d v="1899-12-30T00:00:00"/>
  </r>
  <r>
    <n v="158"/>
    <m/>
    <m/>
    <x v="3"/>
    <m/>
    <m/>
    <m/>
    <m/>
    <m/>
    <x v="3"/>
    <m/>
    <m/>
    <x v="4"/>
    <m/>
    <x v="4"/>
    <x v="1"/>
    <d v="1899-12-30T00:00:00"/>
    <d v="1899-12-30T00:00:00"/>
    <d v="1899-12-30T00:00:00"/>
    <d v="1899-12-30T00:00:00"/>
  </r>
  <r>
    <n v="159"/>
    <m/>
    <m/>
    <x v="3"/>
    <m/>
    <m/>
    <m/>
    <m/>
    <m/>
    <x v="3"/>
    <m/>
    <m/>
    <x v="4"/>
    <m/>
    <x v="4"/>
    <x v="1"/>
    <d v="1899-12-30T00:00:00"/>
    <d v="1899-12-30T00:00:00"/>
    <d v="1899-12-30T00:00:00"/>
    <d v="1899-12-30T00:00:00"/>
  </r>
  <r>
    <n v="160"/>
    <m/>
    <m/>
    <x v="3"/>
    <m/>
    <m/>
    <m/>
    <m/>
    <m/>
    <x v="3"/>
    <m/>
    <m/>
    <x v="4"/>
    <m/>
    <x v="4"/>
    <x v="1"/>
    <d v="1899-12-30T00:00:00"/>
    <d v="1899-12-30T00:00:00"/>
    <d v="1899-12-30T00:00:00"/>
    <d v="1899-12-30T00:00:00"/>
  </r>
  <r>
    <n v="161"/>
    <m/>
    <m/>
    <x v="3"/>
    <m/>
    <m/>
    <m/>
    <m/>
    <m/>
    <x v="3"/>
    <m/>
    <m/>
    <x v="4"/>
    <m/>
    <x v="4"/>
    <x v="1"/>
    <d v="1899-12-30T00:00:00"/>
    <d v="1899-12-30T00:00:00"/>
    <d v="1899-12-30T00:00:00"/>
    <d v="1899-12-30T00:00:00"/>
  </r>
  <r>
    <n v="162"/>
    <m/>
    <m/>
    <x v="3"/>
    <m/>
    <m/>
    <m/>
    <m/>
    <m/>
    <x v="3"/>
    <m/>
    <m/>
    <x v="4"/>
    <m/>
    <x v="4"/>
    <x v="1"/>
    <d v="1899-12-30T00:00:00"/>
    <d v="1899-12-30T00:00:00"/>
    <d v="1899-12-30T00:00:00"/>
    <d v="1899-12-30T00:00:00"/>
  </r>
  <r>
    <n v="163"/>
    <m/>
    <m/>
    <x v="3"/>
    <m/>
    <m/>
    <m/>
    <m/>
    <m/>
    <x v="3"/>
    <m/>
    <m/>
    <x v="4"/>
    <m/>
    <x v="4"/>
    <x v="1"/>
    <d v="1899-12-30T00:00:00"/>
    <d v="1899-12-30T00:00:00"/>
    <d v="1899-12-30T00:00:00"/>
    <d v="1899-12-30T00:00:00"/>
  </r>
  <r>
    <n v="164"/>
    <m/>
    <m/>
    <x v="3"/>
    <m/>
    <m/>
    <m/>
    <m/>
    <m/>
    <x v="3"/>
    <m/>
    <m/>
    <x v="4"/>
    <m/>
    <x v="4"/>
    <x v="1"/>
    <d v="1899-12-30T00:00:00"/>
    <d v="1899-12-30T00:00:00"/>
    <d v="1899-12-30T00:00:00"/>
    <d v="1899-12-30T00:00:00"/>
  </r>
  <r>
    <n v="165"/>
    <m/>
    <m/>
    <x v="3"/>
    <m/>
    <m/>
    <m/>
    <m/>
    <m/>
    <x v="3"/>
    <m/>
    <m/>
    <x v="4"/>
    <m/>
    <x v="4"/>
    <x v="1"/>
    <d v="1899-12-30T00:00:00"/>
    <d v="1899-12-30T00:00:00"/>
    <d v="1899-12-30T00:00:00"/>
    <d v="1899-12-30T00:00:00"/>
  </r>
  <r>
    <n v="166"/>
    <m/>
    <m/>
    <x v="3"/>
    <m/>
    <m/>
    <m/>
    <m/>
    <m/>
    <x v="3"/>
    <m/>
    <m/>
    <x v="4"/>
    <m/>
    <x v="4"/>
    <x v="1"/>
    <d v="1899-12-30T00:00:00"/>
    <d v="1899-12-30T00:00:00"/>
    <d v="1899-12-30T00:00:00"/>
    <d v="1899-12-30T00:00:00"/>
  </r>
  <r>
    <n v="167"/>
    <m/>
    <m/>
    <x v="3"/>
    <m/>
    <m/>
    <m/>
    <m/>
    <m/>
    <x v="3"/>
    <m/>
    <m/>
    <x v="4"/>
    <m/>
    <x v="4"/>
    <x v="1"/>
    <d v="1899-12-30T00:00:00"/>
    <d v="1899-12-30T00:00:00"/>
    <d v="1899-12-30T00:00:00"/>
    <d v="1899-12-30T00:00:00"/>
  </r>
  <r>
    <n v="168"/>
    <m/>
    <m/>
    <x v="3"/>
    <m/>
    <m/>
    <m/>
    <m/>
    <m/>
    <x v="3"/>
    <m/>
    <m/>
    <x v="4"/>
    <m/>
    <x v="4"/>
    <x v="1"/>
    <d v="1899-12-30T00:00:00"/>
    <d v="1899-12-30T00:00:00"/>
    <d v="1899-12-30T00:00:00"/>
    <d v="1899-12-30T00:00:00"/>
  </r>
  <r>
    <n v="169"/>
    <m/>
    <m/>
    <x v="3"/>
    <m/>
    <m/>
    <m/>
    <m/>
    <m/>
    <x v="3"/>
    <m/>
    <m/>
    <x v="4"/>
    <m/>
    <x v="4"/>
    <x v="1"/>
    <d v="1899-12-30T00:00:00"/>
    <d v="1899-12-30T00:00:00"/>
    <d v="1899-12-30T00:00:00"/>
    <d v="1899-12-30T00:00:00"/>
  </r>
  <r>
    <n v="170"/>
    <m/>
    <m/>
    <x v="3"/>
    <m/>
    <m/>
    <m/>
    <m/>
    <m/>
    <x v="3"/>
    <m/>
    <m/>
    <x v="4"/>
    <m/>
    <x v="4"/>
    <x v="1"/>
    <d v="1899-12-30T00:00:00"/>
    <d v="1899-12-30T00:00:00"/>
    <d v="1899-12-30T00:00:00"/>
    <d v="1899-12-30T00:00:00"/>
  </r>
  <r>
    <n v="171"/>
    <m/>
    <m/>
    <x v="3"/>
    <m/>
    <m/>
    <m/>
    <m/>
    <m/>
    <x v="3"/>
    <m/>
    <m/>
    <x v="4"/>
    <m/>
    <x v="4"/>
    <x v="1"/>
    <d v="1899-12-30T00:00:00"/>
    <d v="1899-12-30T00:00:00"/>
    <d v="1899-12-30T00:00:00"/>
    <d v="1899-12-30T00:00:00"/>
  </r>
  <r>
    <n v="172"/>
    <m/>
    <m/>
    <x v="3"/>
    <m/>
    <m/>
    <m/>
    <m/>
    <m/>
    <x v="3"/>
    <m/>
    <m/>
    <x v="4"/>
    <m/>
    <x v="4"/>
    <x v="1"/>
    <d v="1899-12-30T00:00:00"/>
    <d v="1899-12-30T00:00:00"/>
    <d v="1899-12-30T00:00:00"/>
    <d v="1899-12-30T00:00:00"/>
  </r>
  <r>
    <n v="173"/>
    <m/>
    <m/>
    <x v="3"/>
    <m/>
    <m/>
    <m/>
    <m/>
    <m/>
    <x v="3"/>
    <m/>
    <m/>
    <x v="4"/>
    <m/>
    <x v="4"/>
    <x v="1"/>
    <d v="1899-12-30T00:00:00"/>
    <d v="1899-12-30T00:00:00"/>
    <d v="1899-12-30T00:00:00"/>
    <d v="1899-12-30T00:00:00"/>
  </r>
  <r>
    <n v="174"/>
    <m/>
    <m/>
    <x v="3"/>
    <m/>
    <m/>
    <m/>
    <m/>
    <m/>
    <x v="3"/>
    <m/>
    <m/>
    <x v="4"/>
    <m/>
    <x v="4"/>
    <x v="1"/>
    <d v="1899-12-30T00:00:00"/>
    <d v="1899-12-30T00:00:00"/>
    <d v="1899-12-30T00:00:00"/>
    <d v="1899-12-30T00:00:00"/>
  </r>
  <r>
    <n v="175"/>
    <m/>
    <m/>
    <x v="3"/>
    <m/>
    <m/>
    <m/>
    <m/>
    <m/>
    <x v="3"/>
    <m/>
    <m/>
    <x v="4"/>
    <m/>
    <x v="4"/>
    <x v="1"/>
    <d v="1899-12-30T00:00:00"/>
    <d v="1899-12-30T00:00:00"/>
    <d v="1899-12-30T00:00:00"/>
    <d v="1899-12-30T00:00:00"/>
  </r>
  <r>
    <n v="176"/>
    <m/>
    <m/>
    <x v="3"/>
    <m/>
    <m/>
    <m/>
    <m/>
    <m/>
    <x v="3"/>
    <m/>
    <m/>
    <x v="4"/>
    <m/>
    <x v="4"/>
    <x v="1"/>
    <d v="1899-12-30T00:00:00"/>
    <d v="1899-12-30T00:00:00"/>
    <d v="1899-12-30T00:00:00"/>
    <d v="1899-12-30T00:00:00"/>
  </r>
  <r>
    <n v="177"/>
    <m/>
    <m/>
    <x v="3"/>
    <m/>
    <m/>
    <m/>
    <m/>
    <m/>
    <x v="3"/>
    <m/>
    <m/>
    <x v="4"/>
    <m/>
    <x v="4"/>
    <x v="1"/>
    <d v="1899-12-30T00:00:00"/>
    <d v="1899-12-30T00:00:00"/>
    <d v="1899-12-30T00:00:00"/>
    <d v="1899-12-30T00:00:00"/>
  </r>
  <r>
    <n v="178"/>
    <m/>
    <m/>
    <x v="3"/>
    <m/>
    <m/>
    <m/>
    <m/>
    <m/>
    <x v="3"/>
    <m/>
    <m/>
    <x v="4"/>
    <m/>
    <x v="4"/>
    <x v="1"/>
    <d v="1899-12-30T00:00:00"/>
    <d v="1899-12-30T00:00:00"/>
    <d v="1899-12-30T00:00:00"/>
    <d v="1899-12-30T00:00:00"/>
  </r>
  <r>
    <n v="179"/>
    <m/>
    <m/>
    <x v="3"/>
    <m/>
    <m/>
    <m/>
    <m/>
    <m/>
    <x v="3"/>
    <m/>
    <m/>
    <x v="4"/>
    <m/>
    <x v="4"/>
    <x v="1"/>
    <d v="1899-12-30T00:00:00"/>
    <d v="1899-12-30T00:00:00"/>
    <d v="1899-12-30T00:00:00"/>
    <d v="1899-12-30T00:00:00"/>
  </r>
  <r>
    <n v="180"/>
    <m/>
    <m/>
    <x v="3"/>
    <m/>
    <m/>
    <m/>
    <m/>
    <m/>
    <x v="3"/>
    <m/>
    <m/>
    <x v="4"/>
    <m/>
    <x v="4"/>
    <x v="1"/>
    <d v="1899-12-30T00:00:00"/>
    <d v="1899-12-30T00:00:00"/>
    <d v="1899-12-30T00:00:00"/>
    <d v="1899-12-30T00:00:00"/>
  </r>
  <r>
    <n v="181"/>
    <m/>
    <m/>
    <x v="3"/>
    <m/>
    <m/>
    <m/>
    <m/>
    <m/>
    <x v="3"/>
    <m/>
    <m/>
    <x v="4"/>
    <m/>
    <x v="4"/>
    <x v="1"/>
    <d v="1899-12-30T00:00:00"/>
    <d v="1899-12-30T00:00:00"/>
    <d v="1899-12-30T00:00:00"/>
    <d v="1899-12-30T00:00:00"/>
  </r>
  <r>
    <n v="182"/>
    <m/>
    <m/>
    <x v="3"/>
    <m/>
    <m/>
    <m/>
    <m/>
    <m/>
    <x v="3"/>
    <m/>
    <m/>
    <x v="4"/>
    <m/>
    <x v="4"/>
    <x v="1"/>
    <d v="1899-12-30T00:00:00"/>
    <d v="1899-12-30T00:00:00"/>
    <d v="1899-12-30T00:00:00"/>
    <d v="1899-12-30T00:00:00"/>
  </r>
  <r>
    <n v="183"/>
    <m/>
    <m/>
    <x v="3"/>
    <m/>
    <m/>
    <m/>
    <m/>
    <m/>
    <x v="3"/>
    <m/>
    <m/>
    <x v="4"/>
    <m/>
    <x v="4"/>
    <x v="1"/>
    <d v="1899-12-30T00:00:00"/>
    <d v="1899-12-30T00:00:00"/>
    <d v="1899-12-30T00:00:00"/>
    <d v="1899-12-30T00:00:00"/>
  </r>
  <r>
    <n v="184"/>
    <m/>
    <m/>
    <x v="3"/>
    <m/>
    <m/>
    <m/>
    <m/>
    <m/>
    <x v="3"/>
    <m/>
    <m/>
    <x v="4"/>
    <m/>
    <x v="4"/>
    <x v="1"/>
    <d v="1899-12-30T00:00:00"/>
    <d v="1899-12-30T00:00:00"/>
    <d v="1899-12-30T00:00:00"/>
    <d v="1899-12-30T00:00:00"/>
  </r>
  <r>
    <n v="185"/>
    <m/>
    <m/>
    <x v="3"/>
    <m/>
    <m/>
    <m/>
    <m/>
    <m/>
    <x v="3"/>
    <m/>
    <m/>
    <x v="4"/>
    <m/>
    <x v="4"/>
    <x v="1"/>
    <d v="1899-12-30T00:00:00"/>
    <d v="1899-12-30T00:00:00"/>
    <d v="1899-12-30T00:00:00"/>
    <d v="1899-12-30T00:00:00"/>
  </r>
  <r>
    <n v="186"/>
    <m/>
    <m/>
    <x v="3"/>
    <m/>
    <m/>
    <m/>
    <m/>
    <m/>
    <x v="3"/>
    <m/>
    <m/>
    <x v="4"/>
    <m/>
    <x v="4"/>
    <x v="1"/>
    <d v="1899-12-30T00:00:00"/>
    <d v="1899-12-30T00:00:00"/>
    <d v="1899-12-30T00:00:00"/>
    <d v="1899-12-30T00:00:00"/>
  </r>
  <r>
    <n v="187"/>
    <m/>
    <m/>
    <x v="3"/>
    <m/>
    <m/>
    <m/>
    <m/>
    <m/>
    <x v="3"/>
    <m/>
    <m/>
    <x v="4"/>
    <m/>
    <x v="4"/>
    <x v="1"/>
    <d v="1899-12-30T00:00:00"/>
    <d v="1899-12-30T00:00:00"/>
    <d v="1899-12-30T00:00:00"/>
    <d v="1899-12-30T00:00:00"/>
  </r>
  <r>
    <n v="188"/>
    <m/>
    <m/>
    <x v="3"/>
    <m/>
    <m/>
    <m/>
    <m/>
    <m/>
    <x v="3"/>
    <m/>
    <m/>
    <x v="4"/>
    <m/>
    <x v="4"/>
    <x v="1"/>
    <d v="1899-12-30T00:00:00"/>
    <d v="1899-12-30T00:00:00"/>
    <d v="1899-12-30T00:00:00"/>
    <d v="1899-12-30T00:00:00"/>
  </r>
  <r>
    <n v="189"/>
    <m/>
    <m/>
    <x v="3"/>
    <m/>
    <m/>
    <m/>
    <m/>
    <m/>
    <x v="3"/>
    <m/>
    <m/>
    <x v="4"/>
    <m/>
    <x v="4"/>
    <x v="1"/>
    <d v="1899-12-30T00:00:00"/>
    <d v="1899-12-30T00:00:00"/>
    <d v="1899-12-30T00:00:00"/>
    <d v="1899-12-30T00:00:00"/>
  </r>
  <r>
    <n v="190"/>
    <m/>
    <m/>
    <x v="3"/>
    <m/>
    <m/>
    <m/>
    <m/>
    <m/>
    <x v="3"/>
    <m/>
    <m/>
    <x v="4"/>
    <m/>
    <x v="4"/>
    <x v="1"/>
    <d v="1899-12-30T00:00:00"/>
    <d v="1899-12-30T00:00:00"/>
    <d v="1899-12-30T00:00:00"/>
    <d v="1899-12-30T00:00:00"/>
  </r>
  <r>
    <n v="191"/>
    <m/>
    <m/>
    <x v="3"/>
    <m/>
    <m/>
    <m/>
    <m/>
    <m/>
    <x v="3"/>
    <m/>
    <m/>
    <x v="4"/>
    <m/>
    <x v="4"/>
    <x v="1"/>
    <d v="1899-12-30T00:00:00"/>
    <d v="1899-12-30T00:00:00"/>
    <d v="1899-12-30T00:00:00"/>
    <d v="1899-12-30T00:00:00"/>
  </r>
  <r>
    <n v="201"/>
    <s v="J. PINZÓN"/>
    <d v="1899-12-30T11:47:00"/>
    <x v="8"/>
    <s v="Otro"/>
    <s v="Puntual"/>
    <s v="Compra e instalación de reflectores o lamparas, para la parte perimetral de la bodega, ruta de evacuación muy oscuro. Revisar la posibilidad de sensores de movimiento."/>
    <m/>
    <m/>
    <x v="3"/>
    <m/>
    <m/>
    <x v="4"/>
    <m/>
    <x v="4"/>
    <x v="2"/>
    <d v="1899-12-30T00:00:00"/>
    <d v="2025-11-05T11:47:00"/>
    <d v="1899-12-30T00:00:00"/>
    <n v="-45966.490972222222"/>
  </r>
  <r>
    <n v="202"/>
    <s v="A. VIRGUEZ"/>
    <d v="1899-12-30T07:00:00"/>
    <x v="8"/>
    <s v="Otro"/>
    <s v="Puntual"/>
    <s v="Se requiere reparar bateria del elevador de rollos ya que se encuentra operando conectado el equipo."/>
    <d v="1899-12-30T10:00:00"/>
    <d v="1899-12-30T10:30:00"/>
    <x v="8"/>
    <s v="Eléctrica"/>
    <s v="Se reemplaza la baterial al equipo ya que estaba dañada."/>
    <x v="28"/>
    <s v="NA"/>
    <x v="7"/>
    <x v="0"/>
    <d v="1899-12-30T00:30:00"/>
    <d v="2025-11-05T07:00:00"/>
    <d v="2025-11-05T10:30:00"/>
    <d v="1899-12-30T03:30:00"/>
  </r>
  <r>
    <n v="203"/>
    <s v="A. VIRGUEZ"/>
    <d v="1899-12-30T07:00:00"/>
    <x v="8"/>
    <s v="Otro"/>
    <s v="Puntual"/>
    <s v="Se requiere reemplazar la lampara colgante que esta ubicada en el area de sellado."/>
    <m/>
    <m/>
    <x v="3"/>
    <m/>
    <m/>
    <x v="4"/>
    <m/>
    <x v="4"/>
    <x v="2"/>
    <d v="1899-12-30T00:00:00"/>
    <d v="2025-11-05T07:00:00"/>
    <d v="1899-12-30T00:00:00"/>
    <n v="-45966.291666666664"/>
  </r>
  <r>
    <n v="204"/>
    <s v="A. VIRGUEZ"/>
    <d v="1899-12-30T07:00:00"/>
    <x v="8"/>
    <s v="Otro"/>
    <s v="Puntual"/>
    <s v="Se requiere realizar mejora en proceso de secado del material a peletizar por medio del ventilador ya que genera derrame de agua."/>
    <m/>
    <m/>
    <x v="3"/>
    <m/>
    <m/>
    <x v="4"/>
    <m/>
    <x v="4"/>
    <x v="2"/>
    <d v="1899-12-30T00:00:00"/>
    <d v="2025-11-05T07:00:00"/>
    <d v="1899-12-30T00:00:00"/>
    <n v="-45966.291666666664"/>
  </r>
  <r>
    <n v="205"/>
    <s v="A. VIRGUEZ"/>
    <d v="1899-12-30T07:00:00"/>
    <x v="8"/>
    <s v="Otro"/>
    <s v="Puntual"/>
    <s v="Se requiere adecuar el cuarto que se encuentra junto al muelle para llevar acabo la atención de AT."/>
    <m/>
    <m/>
    <x v="3"/>
    <m/>
    <m/>
    <x v="4"/>
    <m/>
    <x v="4"/>
    <x v="2"/>
    <d v="1899-12-30T00:00:00"/>
    <d v="2025-11-05T07:00:00"/>
    <d v="1899-12-30T00:00:00"/>
    <n v="-45966.291666666664"/>
  </r>
  <r>
    <n v="206"/>
    <s v="J. PINZÓN"/>
    <d v="1899-12-30T07:00:00"/>
    <x v="21"/>
    <s v="Otro"/>
    <s v="Puntual"/>
    <s v="Instalación paros de emergencia de todas las máquinas cerca del área de manipulación."/>
    <m/>
    <m/>
    <x v="3"/>
    <m/>
    <m/>
    <x v="4"/>
    <m/>
    <x v="4"/>
    <x v="2"/>
    <d v="1899-12-30T00:00:00"/>
    <d v="2025-11-19T07:00:00"/>
    <d v="1899-12-30T00:00:00"/>
    <n v="-45980.291666666664"/>
  </r>
  <r>
    <n v="207"/>
    <s v="A. VIRGUEZ"/>
    <d v="1899-12-30T07:00:00"/>
    <x v="24"/>
    <s v="Otro"/>
    <s v="Puntual"/>
    <s v="Se solicita realizar una revisión y ajuste de las guardas de las trampas de roedores, ya que algunas se encuentran sueltas."/>
    <d v="1899-12-30T07:00:00"/>
    <d v="1899-12-30T08:00:00"/>
    <x v="28"/>
    <s v="Mecánica"/>
    <s v="Se justan trampas de los roedores"/>
    <x v="1"/>
    <s v="NA"/>
    <x v="6"/>
    <x v="0"/>
    <d v="1899-12-30T01:00:00"/>
    <d v="2025-11-25T07:00:00"/>
    <d v="2025-12-12T08:00:00"/>
    <d v="1900-01-16T01:00:00"/>
  </r>
  <r>
    <n v="208"/>
    <s v="J. PINZÓN"/>
    <d v="1899-12-30T15:30:00"/>
    <x v="32"/>
    <s v="Otro"/>
    <s v="Puntual"/>
    <s v="Se requiere instalación eléctrica independiente para la lampara atrapa insectos."/>
    <d v="1899-12-30T10:00:00"/>
    <d v="1899-12-30T12:00:00"/>
    <x v="24"/>
    <s v="Eléctrica"/>
    <s v="Se dejan en paralelo la conexión de las lamparas e independientes al interruptor."/>
    <x v="1"/>
    <s v="NA"/>
    <x v="6"/>
    <x v="0"/>
    <d v="1899-12-30T02:00:00"/>
    <d v="2025-11-22T15:30:00"/>
    <d v="2025-11-23T12:00:00"/>
    <d v="1899-12-30T20:30:00"/>
  </r>
  <r>
    <n v="209"/>
    <s v="A. VIRGUEZ"/>
    <d v="1899-12-30T07:00:00"/>
    <x v="26"/>
    <s v="EXTRUSORA 5"/>
    <s v="Puntual"/>
    <s v="Se requiere ajustar la tapa del piso de refile."/>
    <m/>
    <m/>
    <x v="3"/>
    <m/>
    <m/>
    <x v="4"/>
    <m/>
    <x v="4"/>
    <x v="1"/>
    <d v="1899-12-30T00:00:00"/>
    <d v="2025-11-24T07:00:00"/>
    <d v="1899-12-30T00:00:00"/>
    <n v="-45985.291666666664"/>
  </r>
  <r>
    <n v="210"/>
    <s v="A. VIRGUEZ"/>
    <d v="1899-12-30T02:30:00"/>
    <x v="20"/>
    <s v="Otro"/>
    <s v="Puntual"/>
    <s v="Compra e instalación de manija para ventanas en el área administrativa. 2."/>
    <m/>
    <m/>
    <x v="3"/>
    <m/>
    <m/>
    <x v="4"/>
    <m/>
    <x v="4"/>
    <x v="2"/>
    <d v="1899-12-30T00:00:00"/>
    <d v="2025-11-17T02:30:00"/>
    <d v="1899-12-30T00:00:00"/>
    <n v="-45978.104166666664"/>
  </r>
  <r>
    <n v="211"/>
    <s v="J. PINZÓN"/>
    <d v="1899-12-30T03:05:00"/>
    <x v="33"/>
    <s v="Otro"/>
    <s v="Puntual"/>
    <s v="Mantenimiento a la puerta corrediza de la cafeteria."/>
    <d v="1899-12-30T08:00:00"/>
    <d v="1899-12-30T10:00:00"/>
    <x v="29"/>
    <s v="Mecánica"/>
    <s v="Se cambian rodamientos inferiores de la puerta y se lubrica con grasa."/>
    <x v="1"/>
    <s v="NA"/>
    <x v="6"/>
    <x v="0"/>
    <d v="1899-12-30T02:00:00"/>
    <d v="2025-12-02T03:05:00"/>
    <d v="2025-12-03T10:00:00"/>
    <d v="1899-12-31T06:55:00"/>
  </r>
  <r>
    <n v="212"/>
    <s v="A. VIRGUEZ"/>
    <d v="1899-12-30T06:00:00"/>
    <x v="34"/>
    <s v="Otro"/>
    <s v="Puntual"/>
    <s v="Se requiere reubicar lampara del muelle, la blanca, se tiene que bajar y conectarla ya que el proveedor indica que esta muy elevada."/>
    <d v="1899-12-30T07:00:00"/>
    <d v="1899-12-30T09:00:00"/>
    <x v="30"/>
    <s v="Mecánica"/>
    <s v="Se fija más abajo la lampara, y se corre el cartel, queda operativa."/>
    <x v="1"/>
    <s v="NA"/>
    <x v="6"/>
    <x v="0"/>
    <d v="1899-12-30T02:00:00"/>
    <d v="2025-12-11T06:00:00"/>
    <d v="2025-12-11T09:00:00"/>
    <d v="1899-12-30T03:00:00"/>
  </r>
  <r>
    <n v="213"/>
    <s v="A. VIRGUEZ"/>
    <m/>
    <x v="34"/>
    <s v="Otro"/>
    <s v="Puntual"/>
    <s v="Se requiere instalar la puerta del control de tacos en el area de peletizado"/>
    <m/>
    <m/>
    <x v="3"/>
    <m/>
    <m/>
    <x v="4"/>
    <m/>
    <x v="4"/>
    <x v="2"/>
    <d v="1899-12-30T00:00:00"/>
    <d v="2025-12-11T00:00:00"/>
    <d v="1899-12-30T00:00:00"/>
    <n v="-46002"/>
  </r>
  <r>
    <n v="214"/>
    <s v="A. VIRGUEZ"/>
    <m/>
    <x v="35"/>
    <s v="Otro"/>
    <s v="Puntual"/>
    <s v="Se solicita arreglo y mejora de la caja de madera donde se disponen los residuos de los cores cuando se cortan"/>
    <m/>
    <m/>
    <x v="3"/>
    <m/>
    <m/>
    <x v="4"/>
    <m/>
    <x v="4"/>
    <x v="2"/>
    <d v="1899-12-30T00:00:00"/>
    <d v="2025-02-15T00:00:00"/>
    <d v="1899-12-30T00:00:00"/>
    <n v="-45703"/>
  </r>
  <r>
    <n v="215"/>
    <s v="A. VIRGUEZ"/>
    <m/>
    <x v="36"/>
    <s v="Otro"/>
    <s v="Puntual"/>
    <s v="Se requiere ajuste de la caja de breaker que se encuentra al lado de la mezcladora, ya que se evidencia inclinación para un costado"/>
    <m/>
    <m/>
    <x v="3"/>
    <m/>
    <m/>
    <x v="4"/>
    <m/>
    <x v="4"/>
    <x v="2"/>
    <d v="1899-12-30T00:00:00"/>
    <d v="2026-01-20T00:00:00"/>
    <d v="1899-12-30T00:00:00"/>
    <n v="-46042"/>
  </r>
  <r>
    <n v="216"/>
    <s v="A. VIRGUEZ"/>
    <m/>
    <x v="36"/>
    <s v="Otro"/>
    <s v="Puntual"/>
    <s v="Se requiere realicen arreglo de gabinete de aseo en el area de extrusión"/>
    <m/>
    <m/>
    <x v="3"/>
    <m/>
    <m/>
    <x v="4"/>
    <m/>
    <x v="4"/>
    <x v="0"/>
    <d v="1899-12-30T00:00:00"/>
    <d v="2026-01-20T00:00:00"/>
    <d v="1899-12-30T00:00:00"/>
    <n v="-46042"/>
  </r>
  <r>
    <n v="217"/>
    <m/>
    <m/>
    <x v="3"/>
    <m/>
    <s v="Puntual"/>
    <m/>
    <m/>
    <m/>
    <x v="3"/>
    <m/>
    <m/>
    <x v="4"/>
    <m/>
    <x v="4"/>
    <x v="1"/>
    <d v="1899-12-30T00:00:00"/>
    <d v="1899-12-30T00:00:00"/>
    <d v="1899-12-30T00:00:00"/>
    <d v="1899-12-30T00:00:00"/>
  </r>
  <r>
    <n v="218"/>
    <s v="A. VIRGUEZ"/>
    <m/>
    <x v="37"/>
    <s v="Otro"/>
    <s v="Puntual"/>
    <s v="Se requiere cambio de material de escalera de impresión por material resistente antideslizante"/>
    <m/>
    <m/>
    <x v="3"/>
    <m/>
    <m/>
    <x v="4"/>
    <m/>
    <x v="4"/>
    <x v="2"/>
    <d v="1899-12-30T00:00:00"/>
    <d v="2026-01-29T00:00:00"/>
    <d v="1899-12-30T00:00:00"/>
    <n v="-46051"/>
  </r>
  <r>
    <n v="219"/>
    <s v="A. VIRGUEZ"/>
    <m/>
    <x v="38"/>
    <s v="Otro"/>
    <s v="Puntual"/>
    <s v="Se requiere fabricar e instalar guarda para trampa de roedores en el muelle #2"/>
    <m/>
    <m/>
    <x v="3"/>
    <m/>
    <m/>
    <x v="4"/>
    <m/>
    <x v="4"/>
    <x v="2"/>
    <d v="1899-12-30T00:00:00"/>
    <d v="2026-01-30T00:00:00"/>
    <d v="1899-12-30T00:00:00"/>
    <n v="-46052"/>
  </r>
  <r>
    <n v="220"/>
    <s v="A. VIRGUEZ"/>
    <m/>
    <x v="38"/>
    <s v="Otro"/>
    <s v="Puntual"/>
    <s v="Se requiere reparación de ventana de la bodega de peletizado"/>
    <m/>
    <m/>
    <x v="3"/>
    <m/>
    <m/>
    <x v="4"/>
    <m/>
    <x v="4"/>
    <x v="2"/>
    <d v="1899-12-30T00:00:00"/>
    <d v="2026-01-30T00:00:00"/>
    <d v="1899-12-30T00:00:00"/>
    <n v="-46052"/>
  </r>
  <r>
    <n v="221"/>
    <s v="A. VIRGUEZ"/>
    <m/>
    <x v="39"/>
    <s v="Otro"/>
    <s v="Puntual"/>
    <s v="Se requiere arreglo de la cerradura perilla de la puerta de la oficina de producción"/>
    <m/>
    <m/>
    <x v="3"/>
    <m/>
    <m/>
    <x v="4"/>
    <m/>
    <x v="4"/>
    <x v="2"/>
    <d v="1899-12-30T00:00:00"/>
    <d v="2026-01-03T00:00:00"/>
    <d v="1899-12-30T00:00:00"/>
    <n v="-46025"/>
  </r>
  <r>
    <n v="222"/>
    <s v="J. CONTRERAS"/>
    <m/>
    <x v="40"/>
    <s v="Otro"/>
    <s v="Puntual"/>
    <s v="Manija de sisterna baño bodega de peletizado dañada"/>
    <m/>
    <m/>
    <x v="3"/>
    <m/>
    <m/>
    <x v="4"/>
    <m/>
    <x v="4"/>
    <x v="2"/>
    <d v="1899-12-30T00:00:00"/>
    <d v="2026-02-12T00:00:00"/>
    <d v="1899-12-30T00:00:00"/>
    <n v="-46065"/>
  </r>
  <r>
    <n v="223"/>
    <s v="A. VIRGUEZ"/>
    <m/>
    <x v="41"/>
    <s v="EXTRUSORA 5"/>
    <s v="Puntual"/>
    <s v="Se requiere aislar cables que estan en el motor del centro de la coestrusora"/>
    <m/>
    <m/>
    <x v="3"/>
    <m/>
    <m/>
    <x v="4"/>
    <m/>
    <x v="4"/>
    <x v="2"/>
    <d v="1899-12-30T00:00:00"/>
    <d v="2026-02-13T00:00:00"/>
    <d v="1899-12-30T00:00:00"/>
    <n v="-46066"/>
  </r>
  <r>
    <n v="224"/>
    <s v="A. VIRGUEZ"/>
    <m/>
    <x v="41"/>
    <s v="PELETIZADORA"/>
    <s v="Puntual"/>
    <s v="Se requiere reparación de la puerta de la caja de los breaker en el molino pequeño de la peletizadora"/>
    <m/>
    <m/>
    <x v="3"/>
    <m/>
    <m/>
    <x v="4"/>
    <m/>
    <x v="4"/>
    <x v="2"/>
    <d v="1899-12-30T00:00:00"/>
    <d v="2026-02-13T00:00:00"/>
    <d v="1899-12-30T00:00:00"/>
    <n v="-46066"/>
  </r>
  <r>
    <n v="225"/>
    <s v="A. VIRGUEZ"/>
    <m/>
    <x v="42"/>
    <s v="Otro"/>
    <s v="Puntual"/>
    <s v="Se solicita realicen cambio de la toma corriente , interructor del cuarto rodillo"/>
    <m/>
    <m/>
    <x v="3"/>
    <m/>
    <m/>
    <x v="4"/>
    <m/>
    <x v="4"/>
    <x v="2"/>
    <d v="1899-12-30T00:00:00"/>
    <d v="2026-02-17T00:00:00"/>
    <d v="1899-12-30T00:00:00"/>
    <n v="-46070"/>
  </r>
  <r>
    <n v="226"/>
    <s v="A. VIRGUEZ"/>
    <m/>
    <x v="42"/>
    <s v="Otro"/>
    <s v="Puntual"/>
    <s v="Se solicita reparen conexión eléctrica que se encuentra en la parte superior de la pared del muelle #2"/>
    <m/>
    <m/>
    <x v="3"/>
    <m/>
    <m/>
    <x v="4"/>
    <m/>
    <x v="4"/>
    <x v="2"/>
    <d v="1899-12-30T00:00:00"/>
    <d v="2026-02-17T00:00:00"/>
    <d v="1899-12-30T00:00:00"/>
    <n v="-46070"/>
  </r>
  <r>
    <n v="227"/>
    <s v="A. VIRGUEZ"/>
    <m/>
    <x v="43"/>
    <s v="EXTRUSORA 5"/>
    <s v="Puntual"/>
    <s v="Se requeire instalar la tapa de la caja de breaker de la coextrusora #5 que se encuentra caida"/>
    <m/>
    <m/>
    <x v="3"/>
    <m/>
    <m/>
    <x v="4"/>
    <m/>
    <x v="4"/>
    <x v="1"/>
    <d v="1899-12-30T00:00:00"/>
    <d v="2026-03-06T00:00:00"/>
    <d v="1899-12-30T00:00:00"/>
    <n v="-46087"/>
  </r>
  <r>
    <n v="228"/>
    <m/>
    <m/>
    <x v="3"/>
    <m/>
    <m/>
    <m/>
    <m/>
    <m/>
    <x v="3"/>
    <m/>
    <m/>
    <x v="4"/>
    <m/>
    <x v="4"/>
    <x v="1"/>
    <d v="1899-12-30T00:00:00"/>
    <d v="1899-12-30T00:00:00"/>
    <d v="1899-12-30T00:00:00"/>
    <d v="1899-12-30T00:00:00"/>
  </r>
  <r>
    <n v="229"/>
    <s v="L. GALVIS"/>
    <d v="1899-12-30T03:44:00"/>
    <x v="44"/>
    <s v="Otro"/>
    <s v="Puntual"/>
    <s v="Se solicita soporte de camilla del area de peletizado"/>
    <m/>
    <m/>
    <x v="3"/>
    <m/>
    <m/>
    <x v="4"/>
    <m/>
    <x v="4"/>
    <x v="2"/>
    <d v="1899-12-30T00:00:00"/>
    <d v="2026-04-14T03:44:00"/>
    <d v="1899-12-30T00:00:00"/>
    <n v="-46126.155555555553"/>
  </r>
  <r>
    <n v="230"/>
    <m/>
    <m/>
    <x v="3"/>
    <m/>
    <m/>
    <m/>
    <m/>
    <m/>
    <x v="3"/>
    <m/>
    <m/>
    <x v="4"/>
    <m/>
    <x v="4"/>
    <x v="1"/>
    <d v="1899-12-30T00:00:00"/>
    <d v="1899-12-30T00:00:00"/>
    <d v="1899-12-30T00:00:00"/>
    <d v="1899-12-30T00:00:00"/>
  </r>
  <r>
    <n v="231"/>
    <m/>
    <m/>
    <x v="3"/>
    <m/>
    <m/>
    <m/>
    <m/>
    <m/>
    <x v="3"/>
    <m/>
    <m/>
    <x v="4"/>
    <m/>
    <x v="4"/>
    <x v="1"/>
    <d v="1899-12-30T00:00:00"/>
    <d v="1899-12-30T00:00:00"/>
    <d v="1899-12-30T00:00:00"/>
    <d v="1899-12-30T00:00:00"/>
  </r>
  <r>
    <n v="232"/>
    <m/>
    <m/>
    <x v="3"/>
    <m/>
    <m/>
    <m/>
    <m/>
    <m/>
    <x v="3"/>
    <m/>
    <m/>
    <x v="4"/>
    <m/>
    <x v="4"/>
    <x v="1"/>
    <d v="1899-12-30T00:00:00"/>
    <d v="1899-12-30T00:00:00"/>
    <d v="1899-12-30T00:00:00"/>
    <d v="1899-12-30T00:00:00"/>
  </r>
  <r>
    <n v="233"/>
    <m/>
    <m/>
    <x v="3"/>
    <m/>
    <m/>
    <m/>
    <m/>
    <m/>
    <x v="3"/>
    <m/>
    <m/>
    <x v="4"/>
    <m/>
    <x v="4"/>
    <x v="1"/>
    <d v="1899-12-30T00:00:00"/>
    <d v="1899-12-30T00:00:00"/>
    <d v="1899-12-30T00:00:00"/>
    <d v="1899-12-30T00:00:00"/>
  </r>
  <r>
    <n v="234"/>
    <m/>
    <m/>
    <x v="3"/>
    <m/>
    <m/>
    <m/>
    <m/>
    <m/>
    <x v="3"/>
    <m/>
    <m/>
    <x v="4"/>
    <m/>
    <x v="4"/>
    <x v="1"/>
    <d v="1899-12-30T00:00:00"/>
    <d v="1899-12-30T00:00:00"/>
    <d v="1899-12-30T00:00:00"/>
    <d v="1899-12-30T00:00:00"/>
  </r>
  <r>
    <n v="235"/>
    <m/>
    <m/>
    <x v="3"/>
    <m/>
    <m/>
    <m/>
    <m/>
    <m/>
    <x v="3"/>
    <m/>
    <m/>
    <x v="4"/>
    <m/>
    <x v="4"/>
    <x v="1"/>
    <d v="1899-12-30T00:00:00"/>
    <d v="1899-12-30T00:00:00"/>
    <d v="1899-12-30T00:00:00"/>
    <d v="1899-12-30T00:00:00"/>
  </r>
  <r>
    <n v="236"/>
    <m/>
    <m/>
    <x v="3"/>
    <m/>
    <m/>
    <m/>
    <m/>
    <m/>
    <x v="3"/>
    <m/>
    <m/>
    <x v="4"/>
    <m/>
    <x v="4"/>
    <x v="1"/>
    <d v="1899-12-30T00:00:00"/>
    <d v="1899-12-30T00:00:00"/>
    <d v="1899-12-30T00:00:00"/>
    <d v="1899-12-30T00:00:00"/>
  </r>
  <r>
    <n v="237"/>
    <m/>
    <m/>
    <x v="3"/>
    <m/>
    <m/>
    <m/>
    <m/>
    <m/>
    <x v="3"/>
    <m/>
    <m/>
    <x v="4"/>
    <m/>
    <x v="4"/>
    <x v="1"/>
    <d v="1899-12-30T00:00:00"/>
    <d v="1899-12-30T00:00:00"/>
    <d v="1899-12-30T00:00:00"/>
    <d v="1899-12-30T00:00:00"/>
  </r>
  <r>
    <n v="238"/>
    <m/>
    <m/>
    <x v="3"/>
    <m/>
    <m/>
    <m/>
    <m/>
    <m/>
    <x v="3"/>
    <m/>
    <m/>
    <x v="4"/>
    <m/>
    <x v="4"/>
    <x v="1"/>
    <d v="1899-12-30T00:00:00"/>
    <d v="1899-12-30T00:00:00"/>
    <d v="1899-12-30T00:00:00"/>
    <d v="1899-12-30T00:00:00"/>
  </r>
  <r>
    <n v="239"/>
    <m/>
    <m/>
    <x v="3"/>
    <m/>
    <m/>
    <m/>
    <m/>
    <m/>
    <x v="3"/>
    <m/>
    <m/>
    <x v="4"/>
    <m/>
    <x v="4"/>
    <x v="1"/>
    <d v="1899-12-30T00:00:00"/>
    <d v="1899-12-30T00:00:00"/>
    <d v="1899-12-30T00:00:00"/>
    <d v="1899-12-30T00:00:00"/>
  </r>
  <r>
    <n v="240"/>
    <m/>
    <m/>
    <x v="3"/>
    <m/>
    <m/>
    <m/>
    <m/>
    <m/>
    <x v="3"/>
    <m/>
    <m/>
    <x v="4"/>
    <m/>
    <x v="4"/>
    <x v="1"/>
    <d v="1899-12-30T00:00:00"/>
    <d v="1899-12-30T00:00:00"/>
    <d v="1899-12-30T00:00:00"/>
    <d v="1899-12-30T00:00:00"/>
  </r>
  <r>
    <n v="241"/>
    <m/>
    <m/>
    <x v="3"/>
    <m/>
    <m/>
    <m/>
    <m/>
    <m/>
    <x v="3"/>
    <m/>
    <m/>
    <x v="4"/>
    <m/>
    <x v="4"/>
    <x v="1"/>
    <d v="1899-12-30T00:00:00"/>
    <d v="1899-12-30T00:00:00"/>
    <d v="1899-12-30T00:00:00"/>
    <d v="1899-12-30T00:00:00"/>
  </r>
  <r>
    <n v="242"/>
    <m/>
    <m/>
    <x v="3"/>
    <m/>
    <m/>
    <m/>
    <m/>
    <m/>
    <x v="3"/>
    <m/>
    <m/>
    <x v="4"/>
    <m/>
    <x v="4"/>
    <x v="1"/>
    <d v="1899-12-30T00:00:00"/>
    <d v="1899-12-30T00:00:00"/>
    <d v="1899-12-30T00:00:00"/>
    <d v="1899-12-30T00:00:00"/>
  </r>
  <r>
    <n v="243"/>
    <m/>
    <m/>
    <x v="3"/>
    <m/>
    <m/>
    <m/>
    <m/>
    <m/>
    <x v="3"/>
    <m/>
    <m/>
    <x v="4"/>
    <m/>
    <x v="4"/>
    <x v="1"/>
    <d v="1899-12-30T00:00:00"/>
    <d v="1899-12-30T00:00:00"/>
    <d v="1899-12-30T00:00:00"/>
    <d v="1899-12-30T00:00:00"/>
  </r>
  <r>
    <n v="244"/>
    <m/>
    <m/>
    <x v="3"/>
    <m/>
    <m/>
    <m/>
    <m/>
    <m/>
    <x v="3"/>
    <m/>
    <m/>
    <x v="4"/>
    <m/>
    <x v="4"/>
    <x v="1"/>
    <d v="1899-12-30T00:00:00"/>
    <d v="1899-12-30T00:00:00"/>
    <d v="1899-12-30T00:00:00"/>
    <d v="1899-12-30T00:00:00"/>
  </r>
  <r>
    <n v="245"/>
    <m/>
    <m/>
    <x v="3"/>
    <m/>
    <m/>
    <m/>
    <m/>
    <m/>
    <x v="3"/>
    <m/>
    <m/>
    <x v="4"/>
    <m/>
    <x v="4"/>
    <x v="1"/>
    <d v="1899-12-30T00:00:00"/>
    <d v="1899-12-30T00:00:00"/>
    <d v="1899-12-30T00:00:00"/>
    <d v="1899-12-30T00:00:00"/>
  </r>
  <r>
    <n v="246"/>
    <m/>
    <m/>
    <x v="3"/>
    <m/>
    <m/>
    <m/>
    <m/>
    <m/>
    <x v="3"/>
    <m/>
    <m/>
    <x v="4"/>
    <m/>
    <x v="4"/>
    <x v="1"/>
    <d v="1899-12-30T00:00:00"/>
    <d v="1899-12-30T00:00:00"/>
    <d v="1899-12-30T00:00:00"/>
    <d v="1899-12-30T00:00:00"/>
  </r>
  <r>
    <n v="247"/>
    <m/>
    <m/>
    <x v="3"/>
    <m/>
    <m/>
    <m/>
    <m/>
    <m/>
    <x v="3"/>
    <m/>
    <m/>
    <x v="4"/>
    <m/>
    <x v="4"/>
    <x v="1"/>
    <d v="1899-12-30T00:00:00"/>
    <d v="1899-12-30T00:00:00"/>
    <d v="1899-12-30T00:00:00"/>
    <d v="1899-12-30T00:00:00"/>
  </r>
  <r>
    <n v="248"/>
    <m/>
    <m/>
    <x v="3"/>
    <m/>
    <m/>
    <m/>
    <m/>
    <m/>
    <x v="3"/>
    <m/>
    <m/>
    <x v="4"/>
    <m/>
    <x v="4"/>
    <x v="1"/>
    <d v="1899-12-30T00:00:00"/>
    <d v="1899-12-30T00:00:00"/>
    <d v="1899-12-30T00:00:00"/>
    <d v="1899-12-30T00:00:00"/>
  </r>
  <r>
    <n v="249"/>
    <m/>
    <m/>
    <x v="3"/>
    <m/>
    <m/>
    <m/>
    <m/>
    <m/>
    <x v="3"/>
    <m/>
    <m/>
    <x v="4"/>
    <m/>
    <x v="4"/>
    <x v="1"/>
    <d v="1899-12-30T00:00:00"/>
    <d v="1899-12-30T00:00:00"/>
    <d v="1899-12-30T00:00:00"/>
    <d v="1899-12-30T00:00:00"/>
  </r>
  <r>
    <n v="250"/>
    <m/>
    <m/>
    <x v="3"/>
    <m/>
    <m/>
    <m/>
    <m/>
    <m/>
    <x v="3"/>
    <m/>
    <m/>
    <x v="4"/>
    <m/>
    <x v="4"/>
    <x v="1"/>
    <d v="1899-12-30T00:00:00"/>
    <d v="1899-12-30T00:00:00"/>
    <d v="1899-12-30T00:00:00"/>
    <d v="1899-12-30T00:00:00"/>
  </r>
  <r>
    <n v="251"/>
    <m/>
    <m/>
    <x v="3"/>
    <m/>
    <m/>
    <m/>
    <m/>
    <m/>
    <x v="3"/>
    <m/>
    <m/>
    <x v="4"/>
    <m/>
    <x v="4"/>
    <x v="1"/>
    <d v="1899-12-30T00:00:00"/>
    <d v="1899-12-30T00:00:00"/>
    <d v="1899-12-30T00:00:00"/>
    <d v="1899-12-30T00:00:00"/>
  </r>
  <r>
    <n v="252"/>
    <m/>
    <m/>
    <x v="3"/>
    <m/>
    <m/>
    <m/>
    <m/>
    <m/>
    <x v="3"/>
    <m/>
    <m/>
    <x v="4"/>
    <m/>
    <x v="4"/>
    <x v="1"/>
    <d v="1899-12-30T00:00:00"/>
    <d v="1899-12-30T00:00:00"/>
    <d v="1899-12-30T00:00:00"/>
    <d v="1899-12-30T00:00:00"/>
  </r>
  <r>
    <n v="253"/>
    <m/>
    <m/>
    <x v="3"/>
    <m/>
    <m/>
    <m/>
    <m/>
    <m/>
    <x v="3"/>
    <m/>
    <m/>
    <x v="4"/>
    <m/>
    <x v="4"/>
    <x v="1"/>
    <d v="1899-12-30T00:00:00"/>
    <d v="1899-12-30T00:00:00"/>
    <d v="1899-12-30T00:00:00"/>
    <d v="1899-12-30T00:00:00"/>
  </r>
  <r>
    <n v="254"/>
    <m/>
    <m/>
    <x v="3"/>
    <m/>
    <m/>
    <m/>
    <m/>
    <m/>
    <x v="3"/>
    <m/>
    <m/>
    <x v="4"/>
    <m/>
    <x v="4"/>
    <x v="1"/>
    <d v="1899-12-30T00:00:00"/>
    <d v="1899-12-30T00:00:00"/>
    <d v="1899-12-30T00:00:00"/>
    <d v="1899-12-30T00:00:00"/>
  </r>
  <r>
    <n v="255"/>
    <m/>
    <m/>
    <x v="3"/>
    <m/>
    <m/>
    <m/>
    <m/>
    <m/>
    <x v="3"/>
    <m/>
    <m/>
    <x v="4"/>
    <m/>
    <x v="4"/>
    <x v="1"/>
    <d v="1899-12-30T00:00:00"/>
    <d v="1899-12-30T00:00:00"/>
    <d v="1899-12-30T00:00:00"/>
    <d v="1899-12-30T00:00:00"/>
  </r>
  <r>
    <n v="256"/>
    <m/>
    <m/>
    <x v="3"/>
    <m/>
    <m/>
    <m/>
    <m/>
    <m/>
    <x v="3"/>
    <m/>
    <m/>
    <x v="4"/>
    <m/>
    <x v="4"/>
    <x v="1"/>
    <d v="1899-12-30T00:00:00"/>
    <d v="1899-12-30T00:00:00"/>
    <d v="1899-12-30T00:00:00"/>
    <d v="1899-12-30T00:00:00"/>
  </r>
  <r>
    <n v="257"/>
    <m/>
    <m/>
    <x v="3"/>
    <m/>
    <m/>
    <m/>
    <m/>
    <m/>
    <x v="3"/>
    <m/>
    <m/>
    <x v="4"/>
    <m/>
    <x v="4"/>
    <x v="1"/>
    <d v="1899-12-30T00:00:00"/>
    <d v="1899-12-30T00:00:00"/>
    <d v="1899-12-30T00:00:00"/>
    <d v="1899-12-30T00:00:00"/>
  </r>
  <r>
    <n v="258"/>
    <m/>
    <m/>
    <x v="3"/>
    <m/>
    <m/>
    <m/>
    <m/>
    <m/>
    <x v="3"/>
    <m/>
    <m/>
    <x v="4"/>
    <m/>
    <x v="4"/>
    <x v="1"/>
    <d v="1899-12-30T00:00:00"/>
    <d v="1899-12-30T00:00:00"/>
    <d v="1899-12-30T00:00:00"/>
    <d v="1899-12-30T00:00:00"/>
  </r>
  <r>
    <n v="259"/>
    <m/>
    <m/>
    <x v="3"/>
    <m/>
    <m/>
    <m/>
    <m/>
    <m/>
    <x v="3"/>
    <m/>
    <m/>
    <x v="4"/>
    <m/>
    <x v="4"/>
    <x v="1"/>
    <d v="1899-12-30T00:00:00"/>
    <d v="1899-12-30T00:00:00"/>
    <d v="1899-12-30T00:00:00"/>
    <d v="1899-12-30T00:00:00"/>
  </r>
  <r>
    <n v="260"/>
    <m/>
    <m/>
    <x v="3"/>
    <m/>
    <m/>
    <m/>
    <m/>
    <m/>
    <x v="3"/>
    <m/>
    <m/>
    <x v="4"/>
    <m/>
    <x v="4"/>
    <x v="1"/>
    <d v="1899-12-30T00:00:00"/>
    <d v="1899-12-30T00:00:00"/>
    <d v="1899-12-30T00:00:00"/>
    <d v="1899-12-30T00:00:00"/>
  </r>
  <r>
    <n v="261"/>
    <m/>
    <m/>
    <x v="3"/>
    <m/>
    <m/>
    <m/>
    <m/>
    <m/>
    <x v="3"/>
    <m/>
    <m/>
    <x v="4"/>
    <m/>
    <x v="4"/>
    <x v="1"/>
    <d v="1899-12-30T00:00:00"/>
    <d v="1899-12-30T00:00:00"/>
    <d v="1899-12-30T00:00:00"/>
    <d v="1899-12-30T00:00:00"/>
  </r>
  <r>
    <n v="262"/>
    <m/>
    <m/>
    <x v="3"/>
    <m/>
    <m/>
    <m/>
    <m/>
    <m/>
    <x v="3"/>
    <m/>
    <m/>
    <x v="4"/>
    <m/>
    <x v="4"/>
    <x v="1"/>
    <d v="1899-12-30T00:00:00"/>
    <d v="1899-12-30T00:00:00"/>
    <d v="1899-12-30T00:00:00"/>
    <d v="1899-12-30T00:00:00"/>
  </r>
  <r>
    <n v="263"/>
    <m/>
    <m/>
    <x v="3"/>
    <m/>
    <m/>
    <m/>
    <m/>
    <m/>
    <x v="3"/>
    <m/>
    <m/>
    <x v="4"/>
    <m/>
    <x v="4"/>
    <x v="1"/>
    <d v="1899-12-30T00:00:00"/>
    <d v="1899-12-30T00:00:00"/>
    <d v="1899-12-30T00:00:00"/>
    <d v="1899-12-30T00:00:00"/>
  </r>
  <r>
    <n v="264"/>
    <m/>
    <m/>
    <x v="3"/>
    <m/>
    <m/>
    <m/>
    <m/>
    <m/>
    <x v="3"/>
    <m/>
    <m/>
    <x v="4"/>
    <m/>
    <x v="4"/>
    <x v="1"/>
    <d v="1899-12-30T00:00:00"/>
    <d v="1899-12-30T00:00:00"/>
    <d v="1899-12-30T00:00:00"/>
    <d v="1899-12-30T00:00:00"/>
  </r>
  <r>
    <n v="265"/>
    <m/>
    <m/>
    <x v="3"/>
    <m/>
    <m/>
    <m/>
    <m/>
    <m/>
    <x v="3"/>
    <m/>
    <m/>
    <x v="4"/>
    <m/>
    <x v="4"/>
    <x v="1"/>
    <d v="1899-12-30T00:00:00"/>
    <d v="1899-12-30T00:00:00"/>
    <d v="1899-12-30T00:00:00"/>
    <d v="1899-12-30T00:00:00"/>
  </r>
  <r>
    <n v="266"/>
    <m/>
    <m/>
    <x v="3"/>
    <m/>
    <m/>
    <m/>
    <m/>
    <m/>
    <x v="3"/>
    <m/>
    <m/>
    <x v="4"/>
    <m/>
    <x v="4"/>
    <x v="1"/>
    <d v="1899-12-30T00:00:00"/>
    <d v="1899-12-30T00:00:00"/>
    <d v="1899-12-30T00:00:00"/>
    <d v="1899-12-30T00:00:00"/>
  </r>
  <r>
    <n v="267"/>
    <m/>
    <m/>
    <x v="3"/>
    <m/>
    <m/>
    <m/>
    <m/>
    <m/>
    <x v="3"/>
    <m/>
    <m/>
    <x v="4"/>
    <m/>
    <x v="4"/>
    <x v="1"/>
    <d v="1899-12-30T00:00:00"/>
    <d v="1899-12-30T00:00:00"/>
    <d v="1899-12-30T00:00:00"/>
    <d v="1899-12-30T00:00:00"/>
  </r>
  <r>
    <n v="268"/>
    <m/>
    <m/>
    <x v="3"/>
    <m/>
    <m/>
    <m/>
    <m/>
    <m/>
    <x v="3"/>
    <m/>
    <m/>
    <x v="4"/>
    <m/>
    <x v="4"/>
    <x v="1"/>
    <d v="1899-12-30T00:00:00"/>
    <d v="1899-12-30T00:00:00"/>
    <d v="1899-12-30T00:00:00"/>
    <d v="1899-12-30T00:00:00"/>
  </r>
  <r>
    <n v="269"/>
    <m/>
    <m/>
    <x v="3"/>
    <m/>
    <m/>
    <m/>
    <m/>
    <m/>
    <x v="3"/>
    <m/>
    <m/>
    <x v="4"/>
    <m/>
    <x v="4"/>
    <x v="1"/>
    <d v="1899-12-30T00:00:00"/>
    <d v="1899-12-30T00:00:00"/>
    <d v="1899-12-30T00:00:00"/>
    <d v="1899-12-30T00:00:00"/>
  </r>
  <r>
    <n v="270"/>
    <m/>
    <m/>
    <x v="3"/>
    <m/>
    <m/>
    <m/>
    <m/>
    <m/>
    <x v="3"/>
    <m/>
    <m/>
    <x v="4"/>
    <m/>
    <x v="4"/>
    <x v="1"/>
    <d v="1899-12-30T00:00:00"/>
    <d v="1899-12-30T00:00:00"/>
    <d v="1899-12-30T00:00:00"/>
    <d v="1899-12-30T00:00:00"/>
  </r>
  <r>
    <n v="271"/>
    <m/>
    <m/>
    <x v="3"/>
    <m/>
    <m/>
    <m/>
    <m/>
    <m/>
    <x v="3"/>
    <m/>
    <m/>
    <x v="4"/>
    <m/>
    <x v="4"/>
    <x v="1"/>
    <d v="1899-12-30T00:00:00"/>
    <d v="1899-12-30T00:00:00"/>
    <d v="1899-12-30T00:00:00"/>
    <d v="1899-12-30T00:00:00"/>
  </r>
  <r>
    <n v="272"/>
    <m/>
    <m/>
    <x v="3"/>
    <m/>
    <m/>
    <m/>
    <m/>
    <m/>
    <x v="3"/>
    <m/>
    <m/>
    <x v="4"/>
    <m/>
    <x v="4"/>
    <x v="1"/>
    <d v="1899-12-30T00:00:00"/>
    <d v="1899-12-30T00:00:00"/>
    <d v="1899-12-30T00:00:00"/>
    <d v="1899-12-30T00:00:00"/>
  </r>
  <r>
    <n v="273"/>
    <m/>
    <m/>
    <x v="3"/>
    <m/>
    <m/>
    <m/>
    <m/>
    <m/>
    <x v="3"/>
    <m/>
    <m/>
    <x v="4"/>
    <m/>
    <x v="4"/>
    <x v="1"/>
    <d v="1899-12-30T00:00:00"/>
    <d v="1899-12-30T00:00:00"/>
    <d v="1899-12-30T00:00:00"/>
    <d v="1899-12-30T00:00:00"/>
  </r>
  <r>
    <n v="274"/>
    <m/>
    <m/>
    <x v="3"/>
    <m/>
    <m/>
    <m/>
    <m/>
    <m/>
    <x v="3"/>
    <m/>
    <m/>
    <x v="4"/>
    <m/>
    <x v="4"/>
    <x v="1"/>
    <d v="1899-12-30T00:00:00"/>
    <d v="1899-12-30T00:00:00"/>
    <d v="1899-12-30T00:00:00"/>
    <d v="1899-12-30T00:00:00"/>
  </r>
  <r>
    <n v="275"/>
    <m/>
    <m/>
    <x v="3"/>
    <m/>
    <m/>
    <m/>
    <m/>
    <m/>
    <x v="3"/>
    <m/>
    <m/>
    <x v="4"/>
    <m/>
    <x v="4"/>
    <x v="1"/>
    <d v="1899-12-30T00:00:00"/>
    <d v="1899-12-30T00:00:00"/>
    <d v="1899-12-30T00:00:00"/>
    <d v="1899-12-30T00:00:00"/>
  </r>
  <r>
    <n v="276"/>
    <m/>
    <m/>
    <x v="3"/>
    <m/>
    <m/>
    <m/>
    <m/>
    <m/>
    <x v="3"/>
    <m/>
    <m/>
    <x v="4"/>
    <m/>
    <x v="4"/>
    <x v="1"/>
    <d v="1899-12-30T00:00:00"/>
    <d v="1899-12-30T00:00:00"/>
    <d v="1899-12-30T00:00:00"/>
    <d v="1899-12-30T00:00:00"/>
  </r>
  <r>
    <n v="277"/>
    <m/>
    <m/>
    <x v="3"/>
    <m/>
    <m/>
    <m/>
    <m/>
    <m/>
    <x v="3"/>
    <m/>
    <m/>
    <x v="4"/>
    <m/>
    <x v="4"/>
    <x v="1"/>
    <d v="1899-12-30T00:00:00"/>
    <d v="1899-12-30T00:00:00"/>
    <d v="1899-12-30T00:00:00"/>
    <d v="1899-12-30T00:00:00"/>
  </r>
  <r>
    <n v="278"/>
    <m/>
    <m/>
    <x v="3"/>
    <m/>
    <m/>
    <m/>
    <m/>
    <m/>
    <x v="3"/>
    <m/>
    <m/>
    <x v="4"/>
    <m/>
    <x v="4"/>
    <x v="1"/>
    <d v="1899-12-30T00:00:00"/>
    <d v="1899-12-30T00:00:00"/>
    <d v="1899-12-30T00:00:00"/>
    <d v="1899-12-30T00:00:00"/>
  </r>
  <r>
    <n v="279"/>
    <m/>
    <m/>
    <x v="3"/>
    <m/>
    <m/>
    <m/>
    <m/>
    <m/>
    <x v="3"/>
    <m/>
    <m/>
    <x v="4"/>
    <m/>
    <x v="4"/>
    <x v="1"/>
    <d v="1899-12-30T00:00:00"/>
    <d v="1899-12-30T00:00:00"/>
    <d v="1899-12-30T00:00:00"/>
    <d v="1899-12-30T00:00:00"/>
  </r>
  <r>
    <n v="280"/>
    <m/>
    <m/>
    <x v="3"/>
    <m/>
    <m/>
    <m/>
    <m/>
    <m/>
    <x v="3"/>
    <m/>
    <m/>
    <x v="4"/>
    <m/>
    <x v="4"/>
    <x v="1"/>
    <d v="1899-12-30T00:00:00"/>
    <d v="1899-12-30T00:00:00"/>
    <d v="1899-12-30T00:00:00"/>
    <d v="1899-12-30T00:00:00"/>
  </r>
  <r>
    <n v="281"/>
    <m/>
    <m/>
    <x v="3"/>
    <m/>
    <m/>
    <m/>
    <m/>
    <m/>
    <x v="3"/>
    <m/>
    <m/>
    <x v="4"/>
    <m/>
    <x v="4"/>
    <x v="1"/>
    <d v="1899-12-30T00:00:00"/>
    <d v="1899-12-30T00:00:00"/>
    <d v="1899-12-30T00:00:00"/>
    <d v="1899-12-30T00:00:00"/>
  </r>
  <r>
    <n v="282"/>
    <m/>
    <m/>
    <x v="3"/>
    <m/>
    <m/>
    <m/>
    <m/>
    <m/>
    <x v="3"/>
    <m/>
    <m/>
    <x v="4"/>
    <m/>
    <x v="4"/>
    <x v="1"/>
    <d v="1899-12-30T00:00:00"/>
    <d v="1899-12-30T00:00:00"/>
    <d v="1899-12-30T00:00:00"/>
    <d v="1899-12-30T00:00:00"/>
  </r>
  <r>
    <n v="283"/>
    <m/>
    <m/>
    <x v="3"/>
    <m/>
    <m/>
    <m/>
    <m/>
    <m/>
    <x v="3"/>
    <m/>
    <m/>
    <x v="4"/>
    <m/>
    <x v="4"/>
    <x v="1"/>
    <d v="1899-12-30T00:00:00"/>
    <d v="1899-12-30T00:00:00"/>
    <d v="1899-12-30T00:00:00"/>
    <d v="1899-12-30T00:00:00"/>
  </r>
  <r>
    <n v="284"/>
    <m/>
    <m/>
    <x v="3"/>
    <m/>
    <m/>
    <m/>
    <m/>
    <m/>
    <x v="3"/>
    <m/>
    <m/>
    <x v="4"/>
    <m/>
    <x v="4"/>
    <x v="1"/>
    <d v="1899-12-30T00:00:00"/>
    <d v="1899-12-30T00:00:00"/>
    <d v="1899-12-30T00:00:00"/>
    <d v="1899-12-30T00:00:00"/>
  </r>
  <r>
    <n v="285"/>
    <m/>
    <m/>
    <x v="3"/>
    <m/>
    <m/>
    <m/>
    <m/>
    <m/>
    <x v="3"/>
    <m/>
    <m/>
    <x v="4"/>
    <m/>
    <x v="4"/>
    <x v="1"/>
    <d v="1899-12-30T00:00:00"/>
    <d v="1899-12-30T00:00:00"/>
    <d v="1899-12-30T00:00:00"/>
    <d v="1899-12-30T00:00:00"/>
  </r>
  <r>
    <n v="286"/>
    <m/>
    <m/>
    <x v="3"/>
    <m/>
    <m/>
    <m/>
    <m/>
    <m/>
    <x v="3"/>
    <m/>
    <m/>
    <x v="4"/>
    <m/>
    <x v="4"/>
    <x v="1"/>
    <d v="1899-12-30T00:00:00"/>
    <d v="1899-12-30T00:00:00"/>
    <d v="1899-12-30T00:00:00"/>
    <d v="1899-12-30T00:00:00"/>
  </r>
  <r>
    <n v="287"/>
    <m/>
    <m/>
    <x v="3"/>
    <m/>
    <m/>
    <m/>
    <m/>
    <m/>
    <x v="3"/>
    <m/>
    <m/>
    <x v="4"/>
    <m/>
    <x v="4"/>
    <x v="1"/>
    <d v="1899-12-30T00:00:00"/>
    <d v="1899-12-30T00:00:00"/>
    <d v="1899-12-30T00:00:00"/>
    <d v="1899-12-30T00:00:00"/>
  </r>
  <r>
    <n v="288"/>
    <m/>
    <m/>
    <x v="3"/>
    <m/>
    <m/>
    <m/>
    <m/>
    <m/>
    <x v="3"/>
    <m/>
    <m/>
    <x v="4"/>
    <m/>
    <x v="4"/>
    <x v="1"/>
    <d v="1899-12-30T00:00:00"/>
    <d v="1899-12-30T00:00:00"/>
    <d v="1899-12-30T00:00:00"/>
    <d v="1899-12-30T00:00:00"/>
  </r>
  <r>
    <n v="289"/>
    <m/>
    <m/>
    <x v="3"/>
    <m/>
    <m/>
    <m/>
    <m/>
    <m/>
    <x v="3"/>
    <m/>
    <m/>
    <x v="4"/>
    <m/>
    <x v="4"/>
    <x v="1"/>
    <d v="1899-12-30T00:00:00"/>
    <d v="1899-12-30T00:00:00"/>
    <d v="1899-12-30T00:00:00"/>
    <d v="1899-12-30T00:00:00"/>
  </r>
  <r>
    <n v="290"/>
    <m/>
    <m/>
    <x v="3"/>
    <m/>
    <m/>
    <m/>
    <m/>
    <m/>
    <x v="3"/>
    <m/>
    <m/>
    <x v="4"/>
    <m/>
    <x v="4"/>
    <x v="1"/>
    <d v="1899-12-30T00:00:00"/>
    <d v="1899-12-30T00:00:00"/>
    <d v="1899-12-30T00:00:00"/>
    <d v="1899-12-30T00:00:00"/>
  </r>
  <r>
    <n v="291"/>
    <m/>
    <m/>
    <x v="3"/>
    <m/>
    <m/>
    <m/>
    <m/>
    <m/>
    <x v="3"/>
    <m/>
    <m/>
    <x v="4"/>
    <m/>
    <x v="4"/>
    <x v="1"/>
    <d v="1899-12-30T00:00:00"/>
    <d v="1899-12-30T00:00:00"/>
    <d v="1899-12-30T00:00:00"/>
    <d v="1899-12-30T00:00:00"/>
  </r>
  <r>
    <n v="292"/>
    <m/>
    <m/>
    <x v="3"/>
    <m/>
    <m/>
    <m/>
    <m/>
    <m/>
    <x v="3"/>
    <m/>
    <m/>
    <x v="4"/>
    <m/>
    <x v="4"/>
    <x v="1"/>
    <d v="1899-12-30T00:00:00"/>
    <d v="1899-12-30T00:00:00"/>
    <d v="1899-12-30T00:00:00"/>
    <d v="1899-12-30T00:00:00"/>
  </r>
  <r>
    <n v="293"/>
    <m/>
    <m/>
    <x v="3"/>
    <m/>
    <m/>
    <m/>
    <m/>
    <m/>
    <x v="3"/>
    <m/>
    <m/>
    <x v="4"/>
    <m/>
    <x v="4"/>
    <x v="1"/>
    <d v="1899-12-30T00:00:00"/>
    <d v="1899-12-30T00:00:00"/>
    <d v="1899-12-30T00:00:00"/>
    <d v="1899-12-30T00:00:00"/>
  </r>
  <r>
    <n v="294"/>
    <m/>
    <m/>
    <x v="3"/>
    <m/>
    <m/>
    <m/>
    <m/>
    <m/>
    <x v="3"/>
    <m/>
    <m/>
    <x v="4"/>
    <m/>
    <x v="4"/>
    <x v="1"/>
    <d v="1899-12-30T00:00:00"/>
    <d v="1899-12-30T00:00:00"/>
    <d v="1899-12-30T00:00:00"/>
    <d v="1899-12-30T00:00:00"/>
  </r>
  <r>
    <n v="295"/>
    <m/>
    <m/>
    <x v="3"/>
    <m/>
    <m/>
    <m/>
    <m/>
    <m/>
    <x v="3"/>
    <m/>
    <m/>
    <x v="4"/>
    <m/>
    <x v="4"/>
    <x v="1"/>
    <d v="1899-12-30T00:00:00"/>
    <d v="1899-12-30T00:00:00"/>
    <d v="1899-12-30T00:00:00"/>
    <d v="1899-12-30T00:00:00"/>
  </r>
  <r>
    <n v="296"/>
    <m/>
    <m/>
    <x v="3"/>
    <m/>
    <m/>
    <m/>
    <m/>
    <m/>
    <x v="3"/>
    <m/>
    <m/>
    <x v="4"/>
    <m/>
    <x v="4"/>
    <x v="1"/>
    <d v="1899-12-30T00:00:00"/>
    <d v="1899-12-30T00:00:00"/>
    <d v="1899-12-30T00:00:00"/>
    <d v="1899-12-30T00:00:00"/>
  </r>
  <r>
    <n v="297"/>
    <m/>
    <m/>
    <x v="3"/>
    <m/>
    <m/>
    <m/>
    <m/>
    <m/>
    <x v="3"/>
    <m/>
    <m/>
    <x v="4"/>
    <m/>
    <x v="4"/>
    <x v="1"/>
    <d v="1899-12-30T00:00:00"/>
    <d v="1899-12-30T00:00:00"/>
    <d v="1899-12-30T00:00:00"/>
    <d v="1899-12-30T00:00:00"/>
  </r>
  <r>
    <n v="298"/>
    <m/>
    <m/>
    <x v="3"/>
    <m/>
    <m/>
    <m/>
    <m/>
    <m/>
    <x v="3"/>
    <m/>
    <m/>
    <x v="4"/>
    <m/>
    <x v="4"/>
    <x v="1"/>
    <d v="1899-12-30T00:00:00"/>
    <d v="1899-12-30T00:00:00"/>
    <d v="1899-12-30T00:00:00"/>
    <d v="1899-12-30T00:00:00"/>
  </r>
  <r>
    <n v="299"/>
    <m/>
    <m/>
    <x v="3"/>
    <m/>
    <m/>
    <m/>
    <m/>
    <m/>
    <x v="3"/>
    <m/>
    <m/>
    <x v="4"/>
    <m/>
    <x v="4"/>
    <x v="1"/>
    <d v="1899-12-30T00:00:00"/>
    <d v="1899-12-30T00:00:00"/>
    <d v="1899-12-30T00:00:00"/>
    <d v="1899-12-30T00:00:00"/>
  </r>
  <r>
    <n v="300"/>
    <m/>
    <m/>
    <x v="3"/>
    <m/>
    <m/>
    <m/>
    <m/>
    <m/>
    <x v="3"/>
    <m/>
    <m/>
    <x v="4"/>
    <m/>
    <x v="4"/>
    <x v="1"/>
    <d v="1899-12-30T00:00:00"/>
    <d v="1899-12-30T00:00:00"/>
    <d v="1899-12-30T00:00:00"/>
    <d v="1899-12-30T00:00:00"/>
  </r>
  <r>
    <n v="301"/>
    <s v="J. PARDO"/>
    <d v="1899-12-30T17:05:00"/>
    <x v="26"/>
    <s v="IMPRESORA 1"/>
    <s v="Puntual"/>
    <s v="Manila se sale."/>
    <d v="1899-12-30T17:05:00"/>
    <d v="1899-12-30T17:20:00"/>
    <x v="25"/>
    <s v="Mecánica"/>
    <s v="Se coloca pasador clic plastico de manila registro."/>
    <x v="1"/>
    <s v="NA"/>
    <x v="3"/>
    <x v="0"/>
    <d v="1899-12-30T00:15:00"/>
    <d v="2025-11-24T17:05:00"/>
    <d v="2025-11-24T17:20:00"/>
    <d v="1899-12-30T00:15:00"/>
  </r>
  <r>
    <n v="302"/>
    <s v="S. CARDENAL"/>
    <d v="1899-12-30T15:00:00"/>
    <x v="26"/>
    <s v="SELLADORA 3"/>
    <s v="Puntual"/>
    <s v="Correa dañada"/>
    <d v="1899-12-30T15:00:00"/>
    <d v="1899-12-30T16:00:00"/>
    <x v="25"/>
    <s v="Mecánica"/>
    <s v="Se realiza montaje de correa y calibración de freno motor inferior."/>
    <x v="1"/>
    <s v="NA"/>
    <x v="3"/>
    <x v="0"/>
    <d v="1899-12-30T01:00:00"/>
    <d v="2025-11-24T15:00:00"/>
    <d v="2025-11-24T16:00:00"/>
    <d v="1899-12-30T01:00:00"/>
  </r>
  <r>
    <n v="303"/>
    <s v="S. CARDENAL"/>
    <d v="1899-12-30T17:50:00"/>
    <x v="26"/>
    <s v="SELLADORA 3"/>
    <s v="Puntual"/>
    <s v="Máquina se para sola y aparece código 50."/>
    <d v="1899-12-30T18:00:00"/>
    <m/>
    <x v="25"/>
    <s v="Eléctrica"/>
    <s v="Se encuentra falla de variador por sobre carga, se revisa y se desajusta el freno de motor para dejar mas libre el motor, se resetea, se presenta temperaturas altas, se desmonta freno y se pone a girar en vacio para descartar rodamientos, se da ajuste a las correas, se revisan conexiones. (El motor transportador se acciona con botones que no deberia)."/>
    <x v="1"/>
    <s v="NA"/>
    <x v="4"/>
    <x v="2"/>
    <n v="-0.75"/>
    <d v="2025-11-24T17:50:00"/>
    <d v="2025-11-24T00:00:00"/>
    <n v="-0.74305555555474712"/>
  </r>
  <r>
    <n v="304"/>
    <s v="R. MEJIA"/>
    <d v="1899-12-30T01:10:00"/>
    <x v="24"/>
    <s v="IMPRESORA 1"/>
    <s v="Puntual"/>
    <s v="Rodamiento brazo bobinador se sale ya esta con desgaste considerable."/>
    <d v="1899-12-30T01:13:00"/>
    <d v="1899-12-30T01:40:00"/>
    <x v="25"/>
    <s v="Mecánica"/>
    <s v="Se instala buje de presión para ajustar en espacio para el rodamiento y se instala arandela con mayor diametro."/>
    <x v="29"/>
    <s v="NA"/>
    <x v="2"/>
    <x v="0"/>
    <d v="1899-12-30T00:27:00"/>
    <d v="2025-11-25T01:10:00"/>
    <d v="2025-11-24T01:40:00"/>
    <n v="-0.97916666666424135"/>
  </r>
  <r>
    <n v="305"/>
    <m/>
    <m/>
    <x v="3"/>
    <m/>
    <m/>
    <m/>
    <m/>
    <m/>
    <x v="3"/>
    <m/>
    <m/>
    <x v="4"/>
    <m/>
    <x v="4"/>
    <x v="1"/>
    <d v="1899-12-30T00:00:00"/>
    <d v="1899-12-30T00:00:00"/>
    <d v="1899-12-30T00:00:00"/>
    <d v="1899-12-30T00:00:00"/>
  </r>
  <r>
    <n v="306"/>
    <m/>
    <m/>
    <x v="3"/>
    <m/>
    <m/>
    <m/>
    <m/>
    <m/>
    <x v="3"/>
    <m/>
    <m/>
    <x v="4"/>
    <m/>
    <x v="4"/>
    <x v="1"/>
    <d v="1899-12-30T00:00:00"/>
    <d v="1899-12-30T00:00:00"/>
    <d v="1899-12-30T00:00:00"/>
    <d v="1899-12-30T00:00:00"/>
  </r>
  <r>
    <n v="307"/>
    <s v="J. PARDO"/>
    <d v="1899-12-30T07:00:00"/>
    <x v="24"/>
    <s v="IMPRESORA 1"/>
    <s v="Puntual"/>
    <s v="Rodillo 58 torcido."/>
    <m/>
    <m/>
    <x v="3"/>
    <m/>
    <m/>
    <x v="4"/>
    <m/>
    <x v="4"/>
    <x v="2"/>
    <d v="1899-12-30T00:00:00"/>
    <d v="2025-11-25T07:00:00"/>
    <d v="1899-12-30T00:00:00"/>
    <n v="-45986.291666666664"/>
  </r>
  <r>
    <n v="308"/>
    <s v="L. MORALES"/>
    <d v="1899-12-30T07:00:00"/>
    <x v="24"/>
    <s v="CORTA CORE"/>
    <s v="Puntual"/>
    <s v="Falla en la corta core, tornillo se desliza."/>
    <m/>
    <m/>
    <x v="3"/>
    <m/>
    <m/>
    <x v="4"/>
    <m/>
    <x v="4"/>
    <x v="2"/>
    <d v="1899-12-30T00:00:00"/>
    <d v="2025-11-25T07:00:00"/>
    <d v="1899-12-30T00:00:00"/>
    <n v="-45986.291666666664"/>
  </r>
  <r>
    <n v="309"/>
    <s v="Y. BERNAL"/>
    <d v="1899-12-30T12:30:00"/>
    <x v="24"/>
    <s v="MEZCLADORA 1"/>
    <s v="Repetitiva"/>
    <s v="Se presentan particulas que salen de la parte de debajo de la mezcladora externa. Se evidencia que el empaque esta dañado."/>
    <m/>
    <m/>
    <x v="3"/>
    <m/>
    <m/>
    <x v="4"/>
    <m/>
    <x v="4"/>
    <x v="2"/>
    <d v="1899-12-30T00:00:00"/>
    <d v="2025-11-25T12:30:00"/>
    <d v="1899-12-30T00:00:00"/>
    <n v="-45986.520833333336"/>
  </r>
  <r>
    <n v="310"/>
    <s v="C. BARAJAS"/>
    <d v="1899-12-30T13:30:00"/>
    <x v="24"/>
    <s v="SELLADORA"/>
    <s v="Puntual"/>
    <s v="Variación en temperatura."/>
    <d v="1899-12-30T13:30:00"/>
    <d v="1899-12-30T14:00:00"/>
    <x v="23"/>
    <s v="Eléctrica"/>
    <s v="Se ajusta termocupla, se entrega máquina trabajando."/>
    <x v="1"/>
    <s v="NA"/>
    <x v="5"/>
    <x v="0"/>
    <d v="1899-12-30T00:30:00"/>
    <d v="2025-11-25T13:30:00"/>
    <d v="2025-11-25T14:00:00"/>
    <d v="1899-12-30T00:30:00"/>
  </r>
  <r>
    <n v="311"/>
    <m/>
    <m/>
    <x v="3"/>
    <m/>
    <m/>
    <m/>
    <m/>
    <m/>
    <x v="3"/>
    <m/>
    <m/>
    <x v="4"/>
    <m/>
    <x v="4"/>
    <x v="1"/>
    <d v="1899-12-30T00:00:00"/>
    <d v="1899-12-30T00:00:00"/>
    <d v="1899-12-30T00:00:00"/>
    <d v="1899-12-30T00:00:00"/>
  </r>
  <r>
    <n v="312"/>
    <s v="K. RAMOS"/>
    <d v="1899-12-30T20:20:00"/>
    <x v="24"/>
    <s v="EXTRUSORA 5"/>
    <s v="Puntual"/>
    <s v="Se quema contactor que abre el tablero."/>
    <d v="1899-12-30T20:20:00"/>
    <d v="1899-12-30T21:40:00"/>
    <x v="23"/>
    <s v="Eléctrica"/>
    <s v="Se realiza inspección por salto de guardamotor, se realiza inspección de cableado, el cual esta en buen estado, se revisa conexión motor y se encuentra cable partido de conexión a bobina, se mide resistencia de bobinas y se observa desbalanceo, se abre paleta del tablero, se deja de forma manuel y se entrega para arranque."/>
    <x v="1"/>
    <s v="NA"/>
    <x v="2"/>
    <x v="0"/>
    <d v="1899-12-30T01:20:00"/>
    <d v="2025-11-25T20:20:00"/>
    <d v="2025-11-25T21:40:00"/>
    <d v="1899-12-30T01:20:00"/>
  </r>
  <r>
    <n v="313"/>
    <m/>
    <m/>
    <x v="3"/>
    <m/>
    <m/>
    <m/>
    <m/>
    <m/>
    <x v="3"/>
    <m/>
    <m/>
    <x v="4"/>
    <m/>
    <x v="4"/>
    <x v="1"/>
    <d v="1899-12-30T00:00:00"/>
    <d v="1899-12-30T00:00:00"/>
    <d v="1899-12-30T00:00:00"/>
    <d v="1899-12-30T00:00:00"/>
  </r>
  <r>
    <n v="314"/>
    <s v="D. ZAMORA"/>
    <d v="1899-12-30T06:00:00"/>
    <x v="45"/>
    <s v="REFILADORA 3"/>
    <s v="Repetitiva"/>
    <s v="Cambio de posicionamiento para las castañas"/>
    <d v="1899-12-30T06:10:00"/>
    <d v="1899-12-30T06:30:00"/>
    <x v="31"/>
    <s v="Mecánica "/>
    <s v="Se realiza cambio de rodillos y organización, castañas superior e inferior."/>
    <x v="1"/>
    <s v="NA"/>
    <x v="3"/>
    <x v="0"/>
    <d v="1899-12-30T00:20:00"/>
    <d v="2025-11-26T06:00:00"/>
    <d v="2025-11-26T06:30:00"/>
    <d v="1899-12-30T00:30:00"/>
  </r>
  <r>
    <n v="315"/>
    <s v="J. PARDO"/>
    <d v="1899-12-30T07:00:00"/>
    <x v="45"/>
    <s v="IMPRESORA 1"/>
    <s v="Puntual"/>
    <s v="Daño en rodamientos embobinador."/>
    <d v="1899-12-30T07:10:00"/>
    <d v="1899-12-30T07:30:00"/>
    <x v="31"/>
    <s v="Mecánica"/>
    <s v="Se realiza ajuste seguidor leva y cambio de tornillos."/>
    <x v="30"/>
    <s v="NA"/>
    <x v="3"/>
    <x v="0"/>
    <d v="1899-12-30T00:20:00"/>
    <d v="2025-11-26T07:00:00"/>
    <d v="2025-11-26T07:30:00"/>
    <d v="1899-12-30T00:30:00"/>
  </r>
  <r>
    <n v="316"/>
    <m/>
    <m/>
    <x v="3"/>
    <m/>
    <m/>
    <m/>
    <m/>
    <m/>
    <x v="3"/>
    <m/>
    <m/>
    <x v="4"/>
    <m/>
    <x v="4"/>
    <x v="1"/>
    <d v="1899-12-30T00:00:00"/>
    <d v="1899-12-30T00:00:00"/>
    <d v="1899-12-30T00:00:00"/>
    <d v="1899-12-30T00:00:00"/>
  </r>
  <r>
    <n v="317"/>
    <s v="D. CUESTA"/>
    <d v="1899-12-30T08:35:00"/>
    <x v="45"/>
    <s v="EXTRUSORA 4"/>
    <s v="Puntual"/>
    <s v="Se frena rodillo del embobinador y se enreda el material en el rodillo halador."/>
    <d v="1899-12-30T08:40:00"/>
    <d v="1899-12-30T09:30:00"/>
    <x v="31"/>
    <s v="Eléctrica"/>
    <s v="Motor se apaga por sobrecarga, se establece a un voltaje 180V y trabaja con normalidad."/>
    <x v="1"/>
    <s v="NA"/>
    <x v="3"/>
    <x v="0"/>
    <d v="1899-12-30T00:50:00"/>
    <d v="2025-11-26T08:35:00"/>
    <d v="2025-11-26T09:30:00"/>
    <d v="1899-12-30T00:55:00"/>
  </r>
  <r>
    <n v="318"/>
    <s v="C. CASTRO"/>
    <d v="1899-12-30T18:30:00"/>
    <x v="45"/>
    <s v="REFILADORA 3"/>
    <s v="Puntual"/>
    <s v="Motor refrigerante del freno bloqueado freno recalentado."/>
    <m/>
    <m/>
    <x v="3"/>
    <m/>
    <m/>
    <x v="4"/>
    <m/>
    <x v="4"/>
    <x v="2"/>
    <d v="1899-12-30T00:00:00"/>
    <d v="2025-11-26T18:30:00"/>
    <d v="1899-12-30T00:00:00"/>
    <n v="-45987.770833333336"/>
  </r>
  <r>
    <n v="319"/>
    <s v="L. GARZON"/>
    <d v="1899-12-30T05:00:00"/>
    <x v="46"/>
    <s v="SELLADORA "/>
    <s v="Puntual"/>
    <s v="Daño en conexión eléctrica de la cuchilla."/>
    <d v="1899-12-30T05:00:00"/>
    <d v="1899-12-30T05:20:00"/>
    <x v="32"/>
    <s v="Eléctrica"/>
    <s v="Empalmar cables de alimentación de cuchilla."/>
    <x v="31"/>
    <s v="NA"/>
    <x v="1"/>
    <x v="0"/>
    <d v="1899-12-30T00:20:00"/>
    <d v="2025-11-27T05:00:00"/>
    <d v="2025-11-27T05:20:00"/>
    <d v="1899-12-30T00:20:00"/>
  </r>
  <r>
    <n v="320"/>
    <s v="L. GARZON"/>
    <d v="1899-12-30T22:00:00"/>
    <x v="46"/>
    <s v="SELLADORA 2"/>
    <s v="Puntual"/>
    <s v="Rodillo se mueve con el transportador ya que estas quedan pegadas."/>
    <d v="1899-12-30T22:00:00"/>
    <d v="1899-12-30T23:00:00"/>
    <x v="32"/>
    <s v="Mecánica"/>
    <s v="Se da ajuste a distancia de rodillos y tornilleria quedando operativo."/>
    <x v="1"/>
    <s v="NA"/>
    <x v="1"/>
    <x v="0"/>
    <d v="1899-12-30T01:00:00"/>
    <d v="2025-11-27T22:00:00"/>
    <d v="2025-11-27T23:00:00"/>
    <d v="1899-12-30T01:00:00"/>
  </r>
  <r>
    <n v="321"/>
    <s v="L. GARZON"/>
    <d v="1899-12-30T22:00:00"/>
    <x v="46"/>
    <s v="SELLADORA 4"/>
    <s v="Puntual"/>
    <s v="Daño en el rodamiento de las correas del motor del transportador."/>
    <d v="1899-12-30T22:00:00"/>
    <d v="1899-12-30T23:00:00"/>
    <x v="32"/>
    <s v="Mecánica"/>
    <s v="Se encuentra transportador sin movimiento, se realiza inspección y se encuentra rodamiento de polea dañado, se desmonta y se realiza cambio. El eje presenta desgaste, se realiza plano para montaje de RQ."/>
    <x v="32"/>
    <s v="NA"/>
    <x v="2"/>
    <x v="0"/>
    <d v="1899-12-30T01:00:00"/>
    <d v="2025-11-27T22:00:00"/>
    <d v="2025-11-27T23:00:00"/>
    <d v="1899-12-30T01:00:00"/>
  </r>
  <r>
    <n v="322"/>
    <s v="C. CASTRO"/>
    <d v="1899-12-30T03:40:00"/>
    <x v="47"/>
    <s v="REFILADORA 3"/>
    <s v="Repetitiva"/>
    <s v="Cambio de castañas para trabajo de papel."/>
    <d v="1899-12-30T04:00:00"/>
    <d v="1899-12-30T04:30:00"/>
    <x v="33"/>
    <s v="Mecánica"/>
    <s v="Se modifican posiciones de castañas para trabajar papel por petición de producción."/>
    <x v="1"/>
    <s v="NA"/>
    <x v="1"/>
    <x v="0"/>
    <d v="1899-12-30T00:30:00"/>
    <d v="2025-11-28T03:40:00"/>
    <d v="2025-11-28T04:30:00"/>
    <d v="1899-12-30T00:50:00"/>
  </r>
  <r>
    <n v="323"/>
    <s v="A. CESPEDES"/>
    <d v="1899-12-30T06:40:00"/>
    <x v="47"/>
    <s v="SELLADORA 1"/>
    <s v="Puntual"/>
    <s v="Cambio de teflon"/>
    <d v="1899-12-30T06:40:00"/>
    <d v="1899-12-30T07:20:00"/>
    <x v="33"/>
    <s v="Mecánica"/>
    <s v="Cambio de teflon"/>
    <x v="1"/>
    <s v="NA"/>
    <x v="3"/>
    <x v="0"/>
    <d v="1899-12-30T00:40:00"/>
    <d v="2025-11-28T06:40:00"/>
    <d v="2025-11-28T07:20:00"/>
    <d v="1899-12-30T00:40:00"/>
  </r>
  <r>
    <n v="324"/>
    <s v="D. ZAMORA"/>
    <d v="1899-12-30T08:40:00"/>
    <x v="32"/>
    <s v="REFILADORA 3"/>
    <s v="Repetitiva"/>
    <s v="Cambio de castañas y de pisadores."/>
    <d v="1899-12-30T08:40:00"/>
    <d v="1899-12-30T09:00:00"/>
    <x v="34"/>
    <s v="Mecánica"/>
    <s v="Calibración y organización de castañas."/>
    <x v="1"/>
    <s v="NA"/>
    <x v="3"/>
    <x v="0"/>
    <d v="1899-12-30T00:20:00"/>
    <d v="2025-11-22T08:40:00"/>
    <d v="2025-11-22T09:00:00"/>
    <d v="1899-12-30T00:20:00"/>
  </r>
  <r>
    <n v="325"/>
    <s v="D. ZAMORA"/>
    <d v="1899-12-30T14:10:00"/>
    <x v="47"/>
    <s v="REFILADORA 3"/>
    <s v="Repetitiva"/>
    <s v="Se pincha la manguera del rebobinador superior."/>
    <d v="1899-12-30T14:10:00"/>
    <d v="1899-12-30T15:00:00"/>
    <x v="33"/>
    <s v="Neumática"/>
    <s v="Manguera dañada se cambia a una nueva, se coloca recubrimiento de manguera."/>
    <x v="33"/>
    <s v="NA"/>
    <x v="0"/>
    <x v="0"/>
    <d v="1899-12-30T00:50:00"/>
    <d v="2025-11-28T14:10:00"/>
    <d v="2025-11-28T15:00:00"/>
    <d v="1899-12-30T00:50:00"/>
  </r>
  <r>
    <n v="326"/>
    <s v="M. MARTINEZ"/>
    <d v="1899-12-30T17:15:00"/>
    <x v="47"/>
    <s v="SELLADORA 2"/>
    <s v="Puntual"/>
    <s v="La prensa no cierra."/>
    <d v="1899-12-30T17:15:00"/>
    <d v="1899-12-30T18:00:00"/>
    <x v="33"/>
    <s v="Mecánica"/>
    <s v="La prensa se encuentra desalineada, se desmonta seguros y mordazas, se alinea y se da ajuste a pensa."/>
    <x v="1"/>
    <s v="NA"/>
    <x v="2"/>
    <x v="0"/>
    <d v="1899-12-30T00:45:00"/>
    <d v="2025-11-28T17:15:00"/>
    <d v="2025-11-28T18:00:00"/>
    <d v="1899-12-30T00:45:00"/>
  </r>
  <r>
    <n v="327"/>
    <s v="J. PARDO"/>
    <d v="1899-12-30T19:10:00"/>
    <x v="47"/>
    <s v="IMPRESORA 1"/>
    <s v="Puntual"/>
    <s v="Rodamiento caido."/>
    <d v="1899-12-30T19:10:00"/>
    <d v="1899-12-30T19:30:00"/>
    <x v="33"/>
    <s v="Mecánica"/>
    <s v="Se cambia rodamiento y buje en el soporte de bobinador ya que se encuentra dañado."/>
    <x v="34"/>
    <s v="NA"/>
    <x v="2"/>
    <x v="0"/>
    <d v="1899-12-30T00:20:00"/>
    <d v="2025-11-28T19:10:00"/>
    <d v="2025-11-28T19:30:00"/>
    <d v="1899-12-30T00:20:00"/>
  </r>
  <r>
    <n v="328"/>
    <s v="M. MARTINEZ"/>
    <d v="1899-12-30T18:25:00"/>
    <x v="47"/>
    <s v="SELLADORA"/>
    <s v="Puntual"/>
    <s v="Falla en la fotocelda, no toma lectura."/>
    <d v="1899-12-30T18:25:00"/>
    <d v="1899-12-30T18:40:00"/>
    <x v="33"/>
    <s v="Eléctrica"/>
    <s v="Se ajusta posición de fotocelda y se realizan pruebas en funcionamiento."/>
    <x v="1"/>
    <s v="NA"/>
    <x v="2"/>
    <x v="0"/>
    <d v="1899-12-30T00:15:00"/>
    <d v="2025-11-28T18:25:00"/>
    <d v="2025-11-28T18:40:00"/>
    <d v="1899-12-30T00:15:00"/>
  </r>
  <r>
    <n v="329"/>
    <s v="D. ARIETA"/>
    <d v="1899-12-30T17:45:00"/>
    <x v="48"/>
    <s v="IMPRESORA 1"/>
    <s v="Puntual"/>
    <s v="Falla bomba neumatica"/>
    <d v="1899-12-30T18:00:00"/>
    <d v="1899-12-30T18:20:00"/>
    <x v="35"/>
    <s v="Mecánica"/>
    <s v="Se realiza inspección de bomba neumatica ya que no genera succión ni subida de tinta, se realiza desmonte y los acoples se encuentran obstruidos por material, se ensambla y se prueba."/>
    <x v="1"/>
    <s v="NA"/>
    <x v="2"/>
    <x v="0"/>
    <d v="1899-12-30T00:20:00"/>
    <d v="2025-11-29T17:45:00"/>
    <d v="2025-11-29T18:20:00"/>
    <d v="1899-12-30T00:35:00"/>
  </r>
  <r>
    <n v="330"/>
    <s v="D. CUESTA"/>
    <d v="1899-12-30T19:00:00"/>
    <x v="48"/>
    <s v="EXTRUSORA 5"/>
    <s v="Puntual"/>
    <s v="Revisar rotación presentando falla"/>
    <d v="1899-12-30T19:00:00"/>
    <d v="1899-12-30T22:00:00"/>
    <x v="35"/>
    <s v="Mecánica"/>
    <s v="Se encuentra falla en rotación, se realiza inspección y se encuentra que la rotación se frena, se evidencia un rodamiento frenado en la rotación y se cambia."/>
    <x v="35"/>
    <s v="NA"/>
    <x v="2"/>
    <x v="0"/>
    <d v="1899-12-30T03:00:00"/>
    <d v="2025-11-29T19:00:00"/>
    <d v="2025-11-29T22:00:00"/>
    <d v="1899-12-30T03:00:00"/>
  </r>
  <r>
    <n v="331"/>
    <s v="D. CUESTA"/>
    <d v="1899-12-30T04:50:00"/>
    <x v="49"/>
    <s v="EXTRUSORA 5"/>
    <s v="Puntual"/>
    <s v="Revisar barra se le sale el aire."/>
    <d v="1899-12-30T04:50:00"/>
    <d v="1899-12-30T05:10:00"/>
    <x v="36"/>
    <s v="Neumática"/>
    <s v="Se encuentra fuga por valvula, se realiza limpieza a esta, se monto nuevamente y se realizan pruebas."/>
    <x v="1"/>
    <s v="NA"/>
    <x v="2"/>
    <x v="0"/>
    <d v="1899-12-30T00:20:00"/>
    <d v="2025-11-30T04:50:00"/>
    <d v="2025-11-30T05:10:00"/>
    <d v="1899-12-30T00:20:00"/>
  </r>
  <r>
    <n v="332"/>
    <s v="A. CESPEDES"/>
    <d v="1899-12-30T12:20:00"/>
    <x v="49"/>
    <s v="SELLADORA 4"/>
    <s v="Puntual"/>
    <s v="El material no avanza."/>
    <m/>
    <m/>
    <x v="3"/>
    <m/>
    <m/>
    <x v="4"/>
    <m/>
    <x v="4"/>
    <x v="2"/>
    <d v="1899-12-30T00:00:00"/>
    <d v="2025-11-30T12:20:00"/>
    <d v="1899-12-30T00:00:00"/>
    <n v="-45991.513888888891"/>
  </r>
  <r>
    <n v="333"/>
    <s v="DANIELA"/>
    <d v="1899-12-30T09:10:00"/>
    <x v="49"/>
    <s v="IMPRESORA 1"/>
    <s v="Puntual"/>
    <s v="Brazo de desembobinador."/>
    <d v="1899-12-30T09:10:00"/>
    <d v="1899-12-30T10:15:00"/>
    <x v="36"/>
    <s v="Mecánica"/>
    <s v="Base brazo desembobinador inferior partido, se fabriica soporte y se traslada el superior al inferior, se ajustan tornillos de base brazo posterior que tambien se desajustaron."/>
    <x v="1"/>
    <s v="NA"/>
    <x v="3"/>
    <x v="0"/>
    <d v="1899-12-30T01:05:00"/>
    <d v="2025-11-30T09:10:00"/>
    <d v="2025-11-30T10:15:00"/>
    <d v="1899-12-30T01:05:00"/>
  </r>
  <r>
    <n v="334"/>
    <s v="F. SANCHEZ"/>
    <d v="1899-12-30T18:50:00"/>
    <x v="49"/>
    <s v="EXTRUSORA 5"/>
    <s v="Puntual"/>
    <s v="Problemas para cerrar las paletas, no funcionaba para poder cerrar y abrir."/>
    <d v="1899-12-30T19:00:00"/>
    <d v="1899-12-30T21:30:00"/>
    <x v="36"/>
    <s v="Eléctrica"/>
    <s v="Se realiza inspección de sistema de paletas inferiores, los cuales no abren ni cierran, se realizan pruebas, se evidencia cable de alimentación abierto, se realiza intercambio, se ajusta posición de las paletas y se realizan pruebas de funcionamiento."/>
    <x v="1"/>
    <s v="NA"/>
    <x v="2"/>
    <x v="0"/>
    <d v="1899-12-30T02:30:00"/>
    <d v="2025-11-30T18:50:00"/>
    <d v="2025-11-30T21:30:00"/>
    <d v="1899-12-30T02:40:00"/>
  </r>
  <r>
    <n v="335"/>
    <s v="F. SANCHEZ"/>
    <d v="1899-12-30T18:50:00"/>
    <x v="49"/>
    <s v="EXTRUSORA 5"/>
    <s v="Puntual"/>
    <s v="El motor de la paleta lado derecho esta que se cae, tiene las bases paridas."/>
    <m/>
    <m/>
    <x v="3"/>
    <m/>
    <m/>
    <x v="4"/>
    <m/>
    <x v="4"/>
    <x v="2"/>
    <d v="1899-12-30T00:00:00"/>
    <d v="2025-11-30T18:50:00"/>
    <d v="1899-12-30T00:00:00"/>
    <n v="-45991.784722222219"/>
  </r>
  <r>
    <n v="336"/>
    <s v="F. SANCHEZ"/>
    <d v="1899-12-30T20:20:00"/>
    <x v="49"/>
    <s v="EXTRUSORA 5"/>
    <s v="Puntual"/>
    <s v="Tubo de la antiestatica se salio en el material al cambio de bobina del embobinador, ese tubo estaba en condiciones malas, no estaba funcionando, la estatica lleva tiempo sin funcionar."/>
    <d v="1899-12-30T20:30:00"/>
    <d v="1899-12-30T20:00:00"/>
    <x v="36"/>
    <s v="Mecánica"/>
    <s v="Se apoya a retirar de la antiestatica atascada en la pelicula de bobinador A, se desconecta y se dejo en el taller. Se monta RQ para la reparación."/>
    <x v="1"/>
    <s v="NA"/>
    <x v="2"/>
    <x v="0"/>
    <n v="-2.0833333333333259E-2"/>
    <d v="2025-11-30T20:20:00"/>
    <d v="2025-11-30T20:00:00"/>
    <n v="-1.3888888883229811E-2"/>
  </r>
  <r>
    <n v="337"/>
    <s v="J. MIRANDA"/>
    <d v="1899-12-30T07:40:00"/>
    <x v="50"/>
    <s v="NA"/>
    <s v="NA"/>
    <s v="Falla en la temperatura del barril, no estabiliza."/>
    <d v="1899-12-30T07:40:00"/>
    <d v="1899-12-30T08:15:00"/>
    <x v="37"/>
    <s v="Eléctrica"/>
    <s v="Se observa contactor pegado, se hace cambio, se revisa resistencia, se hace seguimiento."/>
    <x v="36"/>
    <s v="NA"/>
    <x v="1"/>
    <x v="0"/>
    <d v="1899-12-30T00:35:00"/>
    <d v="2025-12-01T07:40:00"/>
    <d v="2025-12-01T08:15:00"/>
    <d v="1899-12-30T00:35:00"/>
  </r>
  <r>
    <n v="338"/>
    <s v="L. GARZON"/>
    <d v="1899-12-30T08:25:00"/>
    <x v="50"/>
    <s v="SELLADORA 2"/>
    <s v="Puntual"/>
    <s v="Máquina se para y se apaga el tablero."/>
    <d v="1899-12-30T08:25:00"/>
    <d v="1899-12-30T08:40:00"/>
    <x v="37"/>
    <s v="Eléctrica"/>
    <s v="Se ajusta conexión servoFriF, Se enciende y entrega trabajando."/>
    <x v="1"/>
    <s v="NA"/>
    <x v="5"/>
    <x v="0"/>
    <d v="1899-12-30T00:15:00"/>
    <d v="2025-12-01T08:25:00"/>
    <d v="2025-12-01T08:40:00"/>
    <d v="1899-12-30T00:15:00"/>
  </r>
  <r>
    <n v="339"/>
    <s v="J. MIRANDA"/>
    <d v="1899-12-30T06:00:00"/>
    <x v="51"/>
    <s v="EXTRUSORA"/>
    <s v="Puntual"/>
    <s v="Prensa del embobinador se esta frenando"/>
    <m/>
    <m/>
    <x v="3"/>
    <m/>
    <m/>
    <x v="4"/>
    <m/>
    <x v="4"/>
    <x v="2"/>
    <d v="1899-12-30T00:00:00"/>
    <d v="2025-02-02T06:00:00"/>
    <d v="1899-12-30T00:00:00"/>
    <n v="-45690.25"/>
  </r>
  <r>
    <n v="340"/>
    <s v="L. ANTONIO"/>
    <d v="1899-12-30T10:30:00"/>
    <x v="50"/>
    <s v="EXTRUSORA 5"/>
    <s v="Puntual"/>
    <s v="Se para rotación continuamente."/>
    <m/>
    <m/>
    <x v="3"/>
    <m/>
    <m/>
    <x v="4"/>
    <m/>
    <x v="4"/>
    <x v="2"/>
    <d v="1899-12-30T00:00:00"/>
    <d v="2025-12-01T10:30:00"/>
    <d v="1899-12-30T00:00:00"/>
    <n v="-45992.4375"/>
  </r>
  <r>
    <n v="341"/>
    <s v="D. ARIETA"/>
    <d v="1899-12-30T10:30:00"/>
    <x v="50"/>
    <s v="IMPRESORA 1"/>
    <s v="Puntual"/>
    <s v="Control de mando (botones), esta para cambio."/>
    <m/>
    <m/>
    <x v="3"/>
    <s v="Eléctrica"/>
    <s v="Se observa botonera no optura se destapa se encuentran componentes rotos, se solicita cambio total pendiente"/>
    <x v="4"/>
    <m/>
    <x v="4"/>
    <x v="2"/>
    <d v="1899-12-30T00:00:00"/>
    <d v="2025-12-01T10:30:00"/>
    <d v="1899-12-30T00:00:00"/>
    <n v="-45992.4375"/>
  </r>
  <r>
    <n v="342"/>
    <s v="D. CUESTA"/>
    <d v="1899-12-30T11:15:00"/>
    <x v="50"/>
    <s v="IMPRESORA 1"/>
    <s v="Puntual"/>
    <s v="El pisador del embobinador."/>
    <d v="1899-12-30T11:25:00"/>
    <d v="1899-12-30T12:20:00"/>
    <x v="37"/>
    <s v="Mecánica"/>
    <s v="Se observa tornillos rotos del pisador, se perforan y se extraen para el cambio, se repasa rosca."/>
    <x v="37"/>
    <s v="NA"/>
    <x v="1"/>
    <x v="0"/>
    <d v="1899-12-30T00:55:00"/>
    <d v="2025-12-01T11:15:00"/>
    <d v="2025-12-01T12:20:00"/>
    <d v="1899-12-30T01:05:00"/>
  </r>
  <r>
    <n v="343"/>
    <s v="D. CUESTA"/>
    <d v="1899-12-30T01:40:00"/>
    <x v="33"/>
    <s v="EXTRUSORA 4"/>
    <s v="Puntual"/>
    <s v="Revisar temperatura de la rotación."/>
    <d v="1899-12-30T01:40:00"/>
    <d v="1899-12-30T08:00:00"/>
    <x v="38"/>
    <s v="Eléctrica"/>
    <s v="Se verifica conexión de termocuplas elevadas, se verifica que no este desconectada."/>
    <x v="1"/>
    <s v="NA"/>
    <x v="0"/>
    <x v="0"/>
    <d v="1899-12-30T06:20:00"/>
    <d v="2025-12-02T01:40:00"/>
    <d v="2025-12-02T08:00:00"/>
    <d v="1899-12-30T06:20:00"/>
  </r>
  <r>
    <n v="344"/>
    <s v="M. MARTINEZ"/>
    <d v="1899-12-30T00:01:00"/>
    <x v="33"/>
    <s v="SELLADORA 2"/>
    <s v="Puntual"/>
    <s v="Termocupla y temperatura."/>
    <d v="1899-12-30T00:01:00"/>
    <d v="1899-12-30T02:00:00"/>
    <x v="38"/>
    <s v="Eléctrica"/>
    <s v="Se verifican los 220V de salida en la termocupla inferior de 14A en el controlador marca 29°C y en la termocupla no se refleja ese valor."/>
    <x v="38"/>
    <s v="NA"/>
    <x v="0"/>
    <x v="0"/>
    <d v="1899-12-30T01:59:00"/>
    <d v="2025-12-02T00:01:00"/>
    <d v="2025-12-02T02:00:00"/>
    <d v="1899-12-30T01:59:00"/>
  </r>
  <r>
    <n v="345"/>
    <s v="M. MARTINEZ"/>
    <d v="1899-12-30T03:00:00"/>
    <x v="33"/>
    <s v="SELLADORA 2"/>
    <s v="Repetitiva"/>
    <s v="Correas sueltas."/>
    <d v="1899-12-30T03:00:00"/>
    <d v="1899-12-30T04:00:00"/>
    <x v="38"/>
    <s v="Mecánica"/>
    <s v="Rodillo con poca tensión se coloca arandela, guaza para ajustar."/>
    <x v="39"/>
    <s v="NA"/>
    <x v="0"/>
    <x v="0"/>
    <d v="1899-12-30T01:00:00"/>
    <d v="2025-12-02T03:00:00"/>
    <d v="2025-12-02T04:00:00"/>
    <d v="1899-12-30T01:00:00"/>
  </r>
  <r>
    <n v="346"/>
    <s v="O. VALENCIA"/>
    <d v="1899-12-30T10:16:00"/>
    <x v="33"/>
    <s v="Otro"/>
    <s v="Puntual"/>
    <s v="Daño en base del motoro secadora, Daño en caja del motor ajitador."/>
    <d v="1899-12-30T10:16:00"/>
    <d v="1899-12-30T11:22:00"/>
    <x v="38"/>
    <s v="Mecánica"/>
    <s v="Se rectifican roscas e instalan tornillos nuevos, se entrga el equipo bien."/>
    <x v="1"/>
    <s v="NA"/>
    <x v="5"/>
    <x v="0"/>
    <d v="1899-12-30T01:06:00"/>
    <d v="2025-12-02T10:16:00"/>
    <d v="2025-12-02T11:22:00"/>
    <d v="1899-12-30T01:06:00"/>
  </r>
  <r>
    <n v="347"/>
    <s v="L. GARZON"/>
    <d v="1899-12-30T11:00:00"/>
    <x v="33"/>
    <s v="SELLADORA 1"/>
    <s v="Puntual"/>
    <s v="Falla en el suministro de aire despues de haberse ido la energia eléctrica."/>
    <d v="1899-12-30T11:15:00"/>
    <d v="1899-12-30T12:00:00"/>
    <x v="38"/>
    <s v="Eléctrica"/>
    <s v="Se encuentraa aire de flauta inferior directa, se realiza inspección de parametros y ajuste de conexiones."/>
    <x v="1"/>
    <s v="NA"/>
    <x v="2"/>
    <x v="0"/>
    <d v="1899-12-30T00:45:00"/>
    <d v="2025-12-02T11:00:00"/>
    <d v="2025-12-02T12:00:00"/>
    <d v="1899-12-30T01:00:00"/>
  </r>
  <r>
    <n v="348"/>
    <s v="L. GARZON"/>
    <d v="1899-12-30T10:00:00"/>
    <x v="33"/>
    <s v="SELLADORA 2"/>
    <s v="Puntual"/>
    <s v="Daño en el tornillo de rodillo del transportador."/>
    <d v="1899-12-30T10:00:00"/>
    <d v="1899-12-30T10:30:00"/>
    <x v="38"/>
    <s v="Mecánica"/>
    <s v="Se ajusta tornillo con arandelas y se coloca tornillo de respaldo para que se mantenga."/>
    <x v="40"/>
    <s v="NA"/>
    <x v="1"/>
    <x v="0"/>
    <d v="1899-12-30T00:30:00"/>
    <d v="2025-12-02T10:00:00"/>
    <d v="2025-12-02T10:30:00"/>
    <d v="1899-12-30T00:30:00"/>
  </r>
  <r>
    <n v="349"/>
    <s v="J. PARDO"/>
    <d v="1899-12-30T16:40:00"/>
    <x v="33"/>
    <s v="IMPRESORA 1"/>
    <s v="Puntual"/>
    <s v="Tornillo partido"/>
    <d v="1899-12-30T16:40:00"/>
    <d v="1899-12-30T17:00:00"/>
    <x v="38"/>
    <s v="Mecánica"/>
    <s v="Manila con tornillo roto de desembobinador, se aplica soldadura quedando OK."/>
    <x v="1"/>
    <s v="1 Soldadura."/>
    <x v="3"/>
    <x v="0"/>
    <d v="1899-12-30T00:20:00"/>
    <d v="2025-12-02T16:40:00"/>
    <d v="2025-12-02T17:00:00"/>
    <d v="1899-12-30T00:20:00"/>
  </r>
  <r>
    <n v="350"/>
    <m/>
    <m/>
    <x v="3"/>
    <m/>
    <m/>
    <m/>
    <m/>
    <m/>
    <x v="3"/>
    <m/>
    <m/>
    <x v="4"/>
    <m/>
    <x v="4"/>
    <x v="1"/>
    <d v="1899-12-30T00:00:00"/>
    <d v="1899-12-30T00:00:00"/>
    <d v="1899-12-30T00:00:00"/>
    <d v="1899-12-30T00:00:00"/>
  </r>
  <r>
    <n v="351"/>
    <s v="H. TRIANA"/>
    <d v="1899-12-30T21:30:00"/>
    <x v="33"/>
    <s v="EXTRUSORA 3"/>
    <s v="Puntual"/>
    <s v="Falla en las zona 1 del molde."/>
    <d v="1899-12-30T20:40:00"/>
    <d v="1899-12-30T21:10:00"/>
    <x v="38"/>
    <s v="Eléctrica"/>
    <s v="Rele de estado solido averiado, se realiza cambio por uno nuevo."/>
    <x v="41"/>
    <s v="NA"/>
    <x v="3"/>
    <x v="0"/>
    <d v="1899-12-30T00:30:00"/>
    <d v="2025-12-02T21:30:00"/>
    <d v="2025-12-02T21:10:00"/>
    <n v="-1.3888888890505768E-2"/>
  </r>
  <r>
    <n v="352"/>
    <s v="O. ARRIETA"/>
    <d v="1899-12-30T01:43:00"/>
    <x v="52"/>
    <s v="IMPRESORA 1"/>
    <s v="Puntual"/>
    <s v="Rodamiento de el embobinador."/>
    <d v="1899-12-30T01:43:00"/>
    <d v="1899-12-30T02:00:00"/>
    <x v="29"/>
    <s v="Mecánica"/>
    <s v="Se cambia rodamiento que se daño la jaula se saca y se devuelve a colocar ajustando tornillos."/>
    <x v="34"/>
    <s v="NA"/>
    <x v="0"/>
    <x v="0"/>
    <d v="1899-12-30T00:17:00"/>
    <d v="2025-12-03T01:43:00"/>
    <d v="2025-12-03T02:00:00"/>
    <d v="1899-12-30T00:17:00"/>
  </r>
  <r>
    <n v="353"/>
    <m/>
    <m/>
    <x v="3"/>
    <m/>
    <m/>
    <m/>
    <m/>
    <m/>
    <x v="3"/>
    <m/>
    <m/>
    <x v="4"/>
    <m/>
    <x v="4"/>
    <x v="1"/>
    <d v="1899-12-30T00:00:00"/>
    <d v="1899-12-30T00:00:00"/>
    <d v="1899-12-30T00:00:00"/>
    <d v="1899-12-30T00:00:00"/>
  </r>
  <r>
    <n v="354"/>
    <s v="Y. BERNAL"/>
    <d v="1899-12-30T12:15:00"/>
    <x v="52"/>
    <s v="MEZCLADORA 1"/>
    <s v="Puntual"/>
    <s v="Se reporta a mantenimiento correa porfuera del rodillo"/>
    <d v="1899-12-30T12:30:00"/>
    <d v="1899-12-30T01:00:00"/>
    <x v="29"/>
    <s v="Mecánica"/>
    <s v="Se tensiona correa, se ajusta polea."/>
    <x v="1"/>
    <s v="NA"/>
    <x v="1"/>
    <x v="0"/>
    <n v="-0.47916666666666669"/>
    <d v="2025-12-03T12:15:00"/>
    <d v="2025-12-03T01:00:00"/>
    <n v="-0.46875"/>
  </r>
  <r>
    <n v="355"/>
    <s v="K. RAMOS"/>
    <d v="1899-12-30T16:30:00"/>
    <x v="52"/>
    <s v="EXTRUSORA 5"/>
    <s v="Puntual"/>
    <s v="Fallo en la pinza de lectura, se cae."/>
    <d v="1899-12-30T17:20:00"/>
    <d v="1899-12-30T18:50:00"/>
    <x v="29"/>
    <s v="Mecánica"/>
    <s v="Pinza con soporte malobrado y conector roto, se rectifican roscas soporte y se construyen pines de acople quedando funcional."/>
    <x v="42"/>
    <s v="NA"/>
    <x v="3"/>
    <x v="0"/>
    <d v="1899-12-30T01:30:00"/>
    <d v="2025-12-03T16:30:00"/>
    <d v="2025-12-03T18:50:00"/>
    <d v="1899-12-30T02:20:00"/>
  </r>
  <r>
    <n v="356"/>
    <s v="D. CUESTA"/>
    <d v="1899-12-30T23:30:00"/>
    <x v="52"/>
    <s v="EXTRUSORA 3"/>
    <s v="Puntual"/>
    <s v="Revisar zona porta mallas exterior, no se para máquina."/>
    <d v="1899-12-30T23:35:00"/>
    <d v="1899-12-30T00:00:00"/>
    <x v="29"/>
    <s v="Eléctrica"/>
    <s v="Termocupla no corresponde o es adecuada para la máquina, se realiza cambio por tipo J."/>
    <x v="23"/>
    <s v="NA"/>
    <x v="3"/>
    <x v="0"/>
    <n v="-0.98263888888888884"/>
    <d v="2025-12-03T23:30:00"/>
    <d v="2025-12-03T00:00:00"/>
    <n v="-0.97916666666424135"/>
  </r>
  <r>
    <n v="357"/>
    <s v="D. ZAMORA"/>
    <d v="1899-12-30T23:50:00"/>
    <x v="52"/>
    <s v="REFILADORA 3"/>
    <s v="Repetitiva"/>
    <s v="Cambio de castañas y de pisadores."/>
    <d v="1899-12-30T00:00:00"/>
    <d v="1899-12-30T00:20:00"/>
    <x v="29"/>
    <s v="Mecánica"/>
    <s v="Cambio de rodillos y castañas."/>
    <x v="1"/>
    <s v="NA"/>
    <x v="3"/>
    <x v="0"/>
    <d v="1899-12-30T00:20:00"/>
    <d v="2025-12-03T23:50:00"/>
    <d v="2025-12-03T00:20:00"/>
    <n v="-0.97916666666424135"/>
  </r>
  <r>
    <n v="358"/>
    <s v="D. ZAMORA"/>
    <d v="1899-12-30T02:40:00"/>
    <x v="53"/>
    <s v="REFILADORA 3"/>
    <s v="Puntual"/>
    <s v="Se entorcha la manguera del rebobinador superior."/>
    <d v="1899-12-30T02:45:00"/>
    <d v="1899-12-30T03:15:00"/>
    <x v="39"/>
    <s v="Mecánica"/>
    <s v="Manguera enrollada se desmontan castañas y se realiza cambio de felpa corrigiendo error."/>
    <x v="1"/>
    <s v="NA"/>
    <x v="3"/>
    <x v="0"/>
    <d v="1899-12-30T00:30:00"/>
    <d v="2025-12-04T02:40:00"/>
    <d v="2025-12-04T03:15:00"/>
    <d v="1899-12-30T00:35:00"/>
  </r>
  <r>
    <n v="359"/>
    <s v="S. CARDENAL"/>
    <d v="1899-12-30T03:30:00"/>
    <x v="53"/>
    <s v="SELLADORA 2"/>
    <s v="Puntual"/>
    <s v="La cuchilla no sube."/>
    <d v="1899-12-30T03:30:00"/>
    <d v="1899-12-30T03:50:00"/>
    <x v="39"/>
    <s v="Mecánica"/>
    <s v="Correas mordaza motor destensionados, se realiza calibración."/>
    <x v="1"/>
    <s v="NA"/>
    <x v="3"/>
    <x v="0"/>
    <d v="1899-12-30T00:20:00"/>
    <d v="2025-12-04T03:30:00"/>
    <d v="2025-12-04T03:50:00"/>
    <d v="1899-12-30T00:20:00"/>
  </r>
  <r>
    <n v="360"/>
    <m/>
    <m/>
    <x v="3"/>
    <m/>
    <m/>
    <m/>
    <m/>
    <m/>
    <x v="3"/>
    <m/>
    <m/>
    <x v="4"/>
    <m/>
    <x v="4"/>
    <x v="1"/>
    <d v="1899-12-30T00:00:00"/>
    <d v="1899-12-30T00:00:00"/>
    <d v="1899-12-30T00:00:00"/>
    <d v="1899-12-30T00:00:00"/>
  </r>
  <r>
    <n v="361"/>
    <s v="O. CESPEDES"/>
    <d v="1899-12-30T08:35:00"/>
    <x v="53"/>
    <s v="REFILADORA 3"/>
    <s v="Puntual"/>
    <s v="Daño de máquina por motor, se esta recalentando."/>
    <d v="1899-12-30T09:00:00"/>
    <d v="1899-12-30T11:41:00"/>
    <x v="39"/>
    <s v="Eléctrica"/>
    <s v="Se desmonta motor por recalentamiento, se hace cambio de rodamientos, se fabrica jaula y estator, se ajusta y se instala nuevamente."/>
    <x v="43"/>
    <s v="NA"/>
    <x v="1"/>
    <x v="0"/>
    <d v="1899-12-30T02:41:00"/>
    <d v="2025-12-04T08:35:00"/>
    <d v="2025-12-04T11:41:00"/>
    <d v="1899-12-30T03:06:00"/>
  </r>
  <r>
    <n v="362"/>
    <s v="A. CESPEDES"/>
    <d v="1899-12-30T14:30:00"/>
    <x v="7"/>
    <s v="SELLADORA 2"/>
    <s v="Puntual"/>
    <s v="Daño en termocupla."/>
    <d v="1899-12-30T14:30:00"/>
    <d v="1899-12-30T15:15:00"/>
    <x v="39"/>
    <s v="Eléctrica"/>
    <s v="Se extrae termocupla partida en la cuchilla."/>
    <x v="38"/>
    <s v="NA"/>
    <x v="1"/>
    <x v="0"/>
    <d v="1899-12-30T00:45:00"/>
    <d v="2025-11-04T14:30:00"/>
    <d v="2025-12-04T15:15:00"/>
    <d v="1900-01-29T00:45:00"/>
  </r>
  <r>
    <n v="363"/>
    <s v="K. RAMOS"/>
    <d v="1899-12-30T14:00:00"/>
    <x v="53"/>
    <s v="EXTRUSORA 5"/>
    <s v="Puntual"/>
    <s v="Se pincha maquina y se pasa la pelicula para un solo lado, el auxiliar apaga los bobinadores y los vuelve a prender, generando que la pelicula se llevara el faisi para dentro y torcerlo."/>
    <d v="1899-12-30T14:00:00"/>
    <d v="1899-12-30T19:30:00"/>
    <x v="39"/>
    <s v="Mecánica"/>
    <s v="Se encuentra pinza fife en malas condiciones, se realiza ajuste electronicamente de tarjeta, cableado y sistema fife."/>
    <x v="1"/>
    <s v="NA"/>
    <x v="2"/>
    <x v="0"/>
    <d v="1899-12-30T05:30:00"/>
    <d v="2025-12-04T14:00:00"/>
    <d v="2025-12-04T19:30:00"/>
    <d v="1899-12-30T05:30:00"/>
  </r>
  <r>
    <n v="364"/>
    <s v="D. ZAMORA"/>
    <d v="1899-12-30T18:00:00"/>
    <x v="53"/>
    <s v="REFILADORA 3"/>
    <s v="Puntual"/>
    <s v="Cambio de posición de las castañas."/>
    <d v="1899-12-30T18:10:00"/>
    <d v="1899-12-30T18:20:00"/>
    <x v="39"/>
    <s v="Mecánica"/>
    <s v="Se realiza ajuste de castañas para reproceso, por peticion de producción."/>
    <x v="1"/>
    <s v="NA"/>
    <x v="2"/>
    <x v="0"/>
    <d v="1899-12-30T00:10:00"/>
    <d v="2025-12-04T18:00:00"/>
    <d v="2025-12-04T18:20:00"/>
    <d v="1899-12-30T00:20:00"/>
  </r>
  <r>
    <n v="365"/>
    <s v="D. ZAMORA"/>
    <d v="1899-12-30T18:50:00"/>
    <x v="53"/>
    <s v="REFILADORA 3"/>
    <s v="Repetitiva"/>
    <s v="Se pincha la manguera del rebobinador inferior."/>
    <d v="1899-12-30T19:00:00"/>
    <d v="1899-12-30T20:30:00"/>
    <x v="39"/>
    <s v="Neumática"/>
    <s v="Se encuentra 2 mangueras fisuradas, se realiza el cambio, se cambia el recubrimiento, haciendo falta separadores de teflon en los dos embobinadores."/>
    <x v="44"/>
    <s v="Felpa aislante."/>
    <x v="2"/>
    <x v="0"/>
    <d v="1899-12-30T01:30:00"/>
    <d v="2025-12-04T18:50:00"/>
    <d v="2025-12-04T20:30:00"/>
    <d v="1899-12-30T01:40:00"/>
  </r>
  <r>
    <n v="366"/>
    <s v="S. CARDENAL"/>
    <d v="1899-12-30T23:40:00"/>
    <x v="53"/>
    <s v="SELLADORA 2"/>
    <s v="Puntual"/>
    <s v="Rodamiento dañado."/>
    <d v="1899-12-30T23:40:00"/>
    <d v="1899-12-30T00:00:00"/>
    <x v="39"/>
    <s v="Mecánica"/>
    <s v="Se realiza cambio de rodamiento de eje deembobinador y se instala pin expandible."/>
    <x v="45"/>
    <s v="NA"/>
    <x v="2"/>
    <x v="0"/>
    <n v="-0.98611111111111116"/>
    <d v="2025-12-04T23:40:00"/>
    <d v="2025-12-04T00:00:00"/>
    <n v="-0.98611111110949423"/>
  </r>
  <r>
    <n v="367"/>
    <s v="J. PARDO"/>
    <d v="1899-12-30T20:30:00"/>
    <x v="53"/>
    <s v="IMPRESORA 1"/>
    <s v="Puntual"/>
    <s v="Bomba de tinta no arranca."/>
    <d v="1899-12-30T20:30:00"/>
    <d v="1899-12-30T20:45:00"/>
    <x v="39"/>
    <s v="Neumática"/>
    <s v="Se encuentra bomba de tinta con manguera obstruida por material, se requiere un filtro para desconectar y evitar que se tape las mangueras."/>
    <x v="1"/>
    <s v="NA"/>
    <x v="2"/>
    <x v="0"/>
    <d v="1899-12-30T00:15:00"/>
    <d v="2025-12-04T20:30:00"/>
    <d v="2025-12-04T20:45:00"/>
    <d v="1899-12-30T00:15:00"/>
  </r>
  <r>
    <n v="368"/>
    <s v="K. RAMOS"/>
    <d v="1899-12-30T23:50:00"/>
    <x v="53"/>
    <s v="EXTRUSORA 5"/>
    <s v="Puntual"/>
    <s v="Fallo en pantalla."/>
    <d v="1899-12-30T00:00:00"/>
    <d v="1899-12-30T00:40:00"/>
    <x v="39"/>
    <s v="Eléctrica"/>
    <s v="Se encuentra falla de ventiladores en torre de la pantalla, se desenebra la maquina, se revisan blowers de las flautas los cuales se observan en buen estado."/>
    <x v="1"/>
    <s v="NA"/>
    <x v="2"/>
    <x v="0"/>
    <d v="1899-12-30T00:40:00"/>
    <d v="2025-12-04T23:50:00"/>
    <d v="2025-12-04T00:40:00"/>
    <n v="-0.96527777777373558"/>
  </r>
  <r>
    <n v="369"/>
    <s v="S. CARDENAL"/>
    <d v="1899-12-30T03:00:00"/>
    <x v="54"/>
    <s v="SELLADORA 2"/>
    <s v="Puntual"/>
    <s v="Se daña la puerta de la guarda."/>
    <d v="1899-12-30T03:00:00"/>
    <d v="1899-12-30T03:15:00"/>
    <x v="40"/>
    <s v="Mecánica"/>
    <s v="Se parte bisagra de puerta de acceso a fotocelda y máquina se desabilita, se puentean sensores de presencia para poder trabajar, se deben cambiar las bisagras."/>
    <x v="1"/>
    <s v="NA"/>
    <x v="2"/>
    <x v="0"/>
    <d v="1899-12-30T00:15:00"/>
    <d v="2025-12-05T03:00:00"/>
    <d v="2025-12-05T03:15:00"/>
    <d v="1899-12-30T00:15:00"/>
  </r>
  <r>
    <n v="370"/>
    <s v="J. PARDO"/>
    <d v="1899-12-30T04:00:00"/>
    <x v="54"/>
    <s v="IMPRESORA 1"/>
    <s v="Puntual"/>
    <s v="Se daña el eje mecánico."/>
    <d v="1899-12-30T04:00:00"/>
    <d v="1899-12-30T04:20:00"/>
    <x v="40"/>
    <s v="Mecánica"/>
    <s v="Se ajusta piñon de eje y se solda para dar ajuste."/>
    <x v="1"/>
    <s v="NA"/>
    <x v="2"/>
    <x v="0"/>
    <d v="1899-12-30T00:20:00"/>
    <d v="2025-12-05T04:00:00"/>
    <d v="2025-12-05T04:20:00"/>
    <d v="1899-12-30T00:20:00"/>
  </r>
  <r>
    <n v="371"/>
    <s v="D. MIRANDA"/>
    <d v="1899-12-30T08:09:00"/>
    <x v="54"/>
    <s v="EXTRUSORA 1"/>
    <s v="Puntual"/>
    <s v="Cable suelto en el barril, afectando la temperatura."/>
    <d v="1899-12-30T08:20:00"/>
    <d v="1899-12-30T08:30:00"/>
    <x v="40"/>
    <s v="Eléctrica"/>
    <s v="Terminal del circuito barril esta abierta, se realiza cambio y conexión quedando funcional."/>
    <x v="46"/>
    <s v="NA"/>
    <x v="3"/>
    <x v="0"/>
    <d v="1899-12-30T00:10:00"/>
    <d v="2025-12-05T08:09:00"/>
    <d v="2025-12-05T08:30:00"/>
    <d v="1899-12-30T00:21:00"/>
  </r>
  <r>
    <n v="372"/>
    <s v="L. GARZON"/>
    <d v="1899-12-30T09:40:00"/>
    <x v="54"/>
    <s v="SELLADORA 2"/>
    <s v="Puntual"/>
    <s v="Se apaga el tablero de la maquina y se apaga."/>
    <d v="1899-12-30T09:55:00"/>
    <d v="1899-12-30T10:05:00"/>
    <x v="40"/>
    <s v="Eléctrica"/>
    <s v="Conector abierto o suelto en la pantalla, se realiza ajuste quedando funcional."/>
    <x v="1"/>
    <s v="NA"/>
    <x v="3"/>
    <x v="0"/>
    <d v="1899-12-30T00:10:00"/>
    <d v="2025-12-05T09:40:00"/>
    <d v="2025-12-05T10:05:00"/>
    <d v="1899-12-30T00:25:00"/>
  </r>
  <r>
    <n v="373"/>
    <s v="O. ALVAREZ"/>
    <d v="1899-12-30T16:30:00"/>
    <x v="54"/>
    <s v="REFILADORA 1"/>
    <s v="Puntual"/>
    <s v="El flay no estaba leyendo."/>
    <d v="1899-12-30T16:30:00"/>
    <d v="1899-12-30T17:00:00"/>
    <x v="40"/>
    <s v="Neumática"/>
    <s v="Parilla del paso del aceite pedido tuerca, se repone tuerca y se realiza calibración."/>
    <x v="47"/>
    <s v="NA"/>
    <x v="3"/>
    <x v="0"/>
    <d v="1899-12-30T00:30:00"/>
    <d v="2025-12-05T16:30:00"/>
    <d v="2025-12-05T17:00:00"/>
    <d v="1899-12-30T00:30:00"/>
  </r>
  <r>
    <n v="374"/>
    <s v="NA"/>
    <d v="1899-12-30T19:40:00"/>
    <x v="54"/>
    <s v="SELLADORA 2"/>
    <s v="Puntual"/>
    <s v="Daño en varilla soporte precorte, la maquina se bloquea y se apaga sola."/>
    <d v="1899-12-30T19:40:00"/>
    <m/>
    <x v="40"/>
    <s v="Mecánica"/>
    <s v="Se solda un tornillo con tuerca para dar ajuste, se hace seguimiento, falla el servo de control, se evidencia que presenta dañado el cable de datos."/>
    <x v="48"/>
    <s v="NA"/>
    <x v="8"/>
    <x v="0"/>
    <n v="-0.81944444444444442"/>
    <d v="2025-12-05T19:40:00"/>
    <d v="2025-12-05T00:00:00"/>
    <n v="-0.81944444444525288"/>
  </r>
  <r>
    <n v="375"/>
    <s v="L. GARZON"/>
    <d v="1899-12-30T08:00:00"/>
    <x v="55"/>
    <s v="SELLADORA 2"/>
    <s v="Repetitiva"/>
    <s v="La maquina se apaga el tablero y se para intermitente."/>
    <d v="1899-12-30T08:00:00"/>
    <d v="1899-12-30T14:15:00"/>
    <x v="41"/>
    <s v="Eléctrica"/>
    <s v="Se encuentra fallando pantalla de control, se apaga y se reinicia, se realiza ajuste de conectores y limpieza, se tiene en seguimiento durante el turno."/>
    <x v="1"/>
    <s v="NA"/>
    <x v="2"/>
    <x v="0"/>
    <d v="1899-12-30T06:15:00"/>
    <d v="2025-12-06T08:00:00"/>
    <d v="2025-12-06T14:15:00"/>
    <d v="1899-12-30T06:15:00"/>
  </r>
  <r>
    <n v="376"/>
    <s v="L. GARZON"/>
    <d v="1899-12-30T11:00:00"/>
    <x v="55"/>
    <s v="SELLADORA 3"/>
    <s v="Puntual"/>
    <s v="Muletilla de transportador suelta."/>
    <d v="1899-12-30T10:50:00"/>
    <d v="1899-12-30T11:01:00"/>
    <x v="41"/>
    <s v="Mecánica"/>
    <s v="Se encuentra muletilla de arranque del transportador con base partida, se realiza el cambio y se da ajuste."/>
    <x v="49"/>
    <s v="NA"/>
    <x v="2"/>
    <x v="0"/>
    <d v="1899-12-30T00:11:00"/>
    <d v="2025-12-06T11:00:00"/>
    <d v="2025-12-06T11:01:00"/>
    <d v="1899-12-30T00:01:00"/>
  </r>
  <r>
    <n v="377"/>
    <s v="J. GOMEZ"/>
    <d v="1899-12-30T07:30:00"/>
    <x v="55"/>
    <s v="CORTA CORE"/>
    <s v="Puntual"/>
    <s v="Tornillo y llave de ajuste de la mordaza en mal estado."/>
    <d v="1899-12-30T07:30:00"/>
    <d v="1899-12-30T08:00:00"/>
    <x v="41"/>
    <s v="Mecánica"/>
    <s v="Se realiza cambio del tornillo de ajuste ya que perdio el cuadrante y se fabrica una llave T."/>
    <x v="50"/>
    <s v="NA"/>
    <x v="2"/>
    <x v="0"/>
    <d v="1899-12-30T00:30:00"/>
    <d v="2025-12-06T07:30:00"/>
    <d v="2025-12-06T08:00:00"/>
    <d v="1899-12-30T00:30:00"/>
  </r>
  <r>
    <n v="378"/>
    <s v="K. RAMOS"/>
    <d v="1899-12-30T09:00:00"/>
    <x v="55"/>
    <s v="EXTRUSORA 5"/>
    <s v="Puntual"/>
    <s v="Brazo de alimentacion no sube."/>
    <d v="1899-12-30T09:00:00"/>
    <d v="1899-12-30T09:30:00"/>
    <x v="41"/>
    <s v="Neumática"/>
    <s v="Se encuentran tornillos de ajuste de soporte del actuador de alimentación partidos, se extraen y se realiza el cambio."/>
    <x v="51"/>
    <s v="NA"/>
    <x v="2"/>
    <x v="0"/>
    <d v="1899-12-30T00:30:00"/>
    <d v="2025-12-06T09:00:00"/>
    <d v="2025-12-06T09:30:00"/>
    <d v="1899-12-30T00:30:00"/>
  </r>
  <r>
    <n v="379"/>
    <s v="A. CESPEDES"/>
    <d v="1899-12-30T15:30:00"/>
    <x v="55"/>
    <s v="SELLADORA 2"/>
    <s v="Repetitiva"/>
    <s v="Daño en el soporte del precorte."/>
    <d v="1899-12-30T15:30:00"/>
    <d v="1899-12-30T15:55:00"/>
    <x v="41"/>
    <s v="Mecánica"/>
    <s v="Se parte el espigo de actuador del sistema de precorte, se realiza cambio de actuador."/>
    <x v="52"/>
    <s v="NA"/>
    <x v="2"/>
    <x v="0"/>
    <d v="1899-12-30T00:25:00"/>
    <d v="2025-12-06T15:30:00"/>
    <d v="2025-12-06T15:55:00"/>
    <d v="1899-12-30T00:25:00"/>
  </r>
  <r>
    <n v="380"/>
    <m/>
    <m/>
    <x v="3"/>
    <m/>
    <m/>
    <m/>
    <m/>
    <m/>
    <x v="3"/>
    <m/>
    <m/>
    <x v="4"/>
    <m/>
    <x v="4"/>
    <x v="1"/>
    <d v="1899-12-30T00:00:00"/>
    <d v="1899-12-30T00:00:00"/>
    <d v="1899-12-30T00:00:00"/>
    <d v="1899-12-30T00:00:00"/>
  </r>
  <r>
    <n v="381"/>
    <s v="K. RAMOS"/>
    <d v="1899-12-30T04:45:00"/>
    <x v="56"/>
    <s v="EXTRUSORA 5"/>
    <s v="Puntual"/>
    <s v="La corona se cae"/>
    <m/>
    <m/>
    <x v="3"/>
    <m/>
    <m/>
    <x v="4"/>
    <m/>
    <x v="4"/>
    <x v="2"/>
    <d v="1899-12-30T00:00:00"/>
    <d v="2025-12-08T04:45:00"/>
    <d v="1899-12-30T00:00:00"/>
    <n v="-45999.197916666664"/>
  </r>
  <r>
    <n v="382"/>
    <s v="H. TRIANA"/>
    <d v="1899-12-30T00:10:00"/>
    <x v="57"/>
    <s v="EXTRUSORA 4"/>
    <s v="Puntual"/>
    <s v="Falla en contactor en zona de rotación."/>
    <d v="1899-12-30T00:10:00"/>
    <d v="1899-12-30T00:30:00"/>
    <x v="42"/>
    <s v="Eléctrica"/>
    <s v="Controlador averiado, se realiza cambio por uno nuevo quedando OK."/>
    <x v="53"/>
    <s v="NA"/>
    <x v="3"/>
    <x v="0"/>
    <d v="1899-12-30T00:20:00"/>
    <d v="2025-12-13T00:10:00"/>
    <d v="2025-12-13T00:30:00"/>
    <d v="1899-12-30T00:20:00"/>
  </r>
  <r>
    <n v="383"/>
    <s v="S. CARDENAL"/>
    <d v="1899-12-30T07:40:00"/>
    <x v="58"/>
    <s v="SELLADORA 2"/>
    <s v="Puntual"/>
    <s v="Se cae base de los perforadores."/>
    <d v="1899-12-30T07:40:00"/>
    <d v="1899-12-30T09:00:00"/>
    <x v="43"/>
    <s v="Mecánica"/>
    <s v="Se encuentra partido espigo de actuador, se realiza cambio de actuador y se instala tuerca de seguridad ya que la convencional se suelta con el movimiento, se instala varilla de sugeción de perforación faltante con tornillo."/>
    <x v="54"/>
    <s v="NA"/>
    <x v="2"/>
    <x v="0"/>
    <d v="1899-12-30T01:20:00"/>
    <d v="2025-12-09T07:40:00"/>
    <d v="2025-12-09T09:00:00"/>
    <d v="1899-12-30T01:20:00"/>
  </r>
  <r>
    <n v="384"/>
    <m/>
    <m/>
    <x v="3"/>
    <m/>
    <m/>
    <m/>
    <m/>
    <m/>
    <x v="3"/>
    <m/>
    <m/>
    <x v="4"/>
    <m/>
    <x v="4"/>
    <x v="1"/>
    <d v="1899-12-30T00:00:00"/>
    <d v="1899-12-30T00:00:00"/>
    <d v="1899-12-30T00:00:00"/>
    <d v="1899-12-30T00:00:00"/>
  </r>
  <r>
    <n v="385"/>
    <m/>
    <m/>
    <x v="3"/>
    <m/>
    <m/>
    <m/>
    <m/>
    <m/>
    <x v="3"/>
    <m/>
    <m/>
    <x v="4"/>
    <m/>
    <x v="4"/>
    <x v="1"/>
    <d v="1899-12-30T00:00:00"/>
    <d v="1899-12-30T00:00:00"/>
    <d v="1899-12-30T00:00:00"/>
    <d v="1899-12-30T00:00:00"/>
  </r>
  <r>
    <n v="386"/>
    <s v="S. CARDENAL"/>
    <d v="1899-12-30T11:30:00"/>
    <x v="58"/>
    <s v="SELLADORA 2"/>
    <s v="Puntual"/>
    <s v="Maquina se apaga sola"/>
    <d v="1899-12-30T11:30:00"/>
    <d v="1899-12-30T18:00:00"/>
    <x v="43"/>
    <s v="Eléctrica"/>
    <s v="Se realizo ajuste de conexiones eléctricas, conectores y se aplica aire forzado._x000a_11:30-11:45_x000a_12:40-13:05_x000a_16:50-17:00_x000a_La falla continua ocasionalmente falla, en algunas ocasiones la operaria reseteo y arranco nuevamente"/>
    <x v="1"/>
    <s v="NA"/>
    <x v="1"/>
    <x v="0"/>
    <d v="1899-12-30T06:30:00"/>
    <d v="2025-12-09T11:30:00"/>
    <d v="2025-12-09T18:00:00"/>
    <d v="1899-12-30T06:30:00"/>
  </r>
  <r>
    <n v="387"/>
    <s v="L. GARZON"/>
    <d v="1899-12-30T15:00:00"/>
    <x v="58"/>
    <s v="SELLADORA 2"/>
    <s v="Puntual"/>
    <s v="Tornillos de ajuste de actuador sueltos"/>
    <d v="1899-12-30T15:00:00"/>
    <d v="1899-12-30T15:10:00"/>
    <x v="43"/>
    <s v="Mecánica"/>
    <s v="Se da ajuste a tornillos de ajuste de actuador."/>
    <x v="1"/>
    <s v="NA"/>
    <x v="2"/>
    <x v="0"/>
    <d v="1899-12-30T00:10:00"/>
    <d v="2025-12-09T15:00:00"/>
    <d v="2025-12-09T15:10:00"/>
    <d v="1899-12-30T00:10:00"/>
  </r>
  <r>
    <n v="388"/>
    <m/>
    <m/>
    <x v="3"/>
    <m/>
    <m/>
    <m/>
    <m/>
    <m/>
    <x v="3"/>
    <m/>
    <m/>
    <x v="4"/>
    <m/>
    <x v="4"/>
    <x v="1"/>
    <d v="1899-12-30T00:00:00"/>
    <d v="1899-12-30T00:00:00"/>
    <d v="1899-12-30T00:00:00"/>
    <d v="1899-12-30T00:00:00"/>
  </r>
  <r>
    <n v="389"/>
    <s v="F. SANCHEZ"/>
    <d v="1899-12-30T00:10:00"/>
    <x v="59"/>
    <s v="EXTRUSORA 5"/>
    <s v="Puntual"/>
    <s v="Para la máquina por falla en velocidad."/>
    <d v="1899-12-30T00:10:00"/>
    <d v="1899-12-30T00:30:00"/>
    <x v="44"/>
    <s v="Eléctrica"/>
    <s v="Se evidencia cableado de rotación en vias equivocadas, posiblemente por la limpieza programada, se reubican en sitio adecuado y se entrega OK."/>
    <x v="1"/>
    <s v="NA"/>
    <x v="5"/>
    <x v="0"/>
    <d v="1899-12-30T00:20:00"/>
    <d v="2025-12-10T00:10:00"/>
    <d v="2025-12-10T00:30:00"/>
    <d v="1899-12-30T00:20:00"/>
  </r>
  <r>
    <n v="390"/>
    <m/>
    <m/>
    <x v="3"/>
    <m/>
    <m/>
    <m/>
    <m/>
    <m/>
    <x v="3"/>
    <m/>
    <m/>
    <x v="4"/>
    <m/>
    <x v="4"/>
    <x v="1"/>
    <d v="1899-12-30T00:00:00"/>
    <d v="1899-12-30T00:00:00"/>
    <d v="1899-12-30T00:00:00"/>
    <d v="1899-12-30T00:00:00"/>
  </r>
  <r>
    <n v="391"/>
    <s v="S. PATIÑO"/>
    <d v="1899-12-30T08:00:00"/>
    <x v="59"/>
    <s v="EXTRUSORA 4"/>
    <s v="Puntual"/>
    <s v="Tratador corona se apaga y al reiniciarlo no enciende"/>
    <m/>
    <m/>
    <x v="3"/>
    <m/>
    <m/>
    <x v="4"/>
    <m/>
    <x v="4"/>
    <x v="2"/>
    <d v="1899-12-30T00:00:00"/>
    <d v="2025-12-10T08:00:00"/>
    <d v="1899-12-30T00:00:00"/>
    <n v="-46001.333333333336"/>
  </r>
  <r>
    <n v="392"/>
    <m/>
    <m/>
    <x v="3"/>
    <m/>
    <m/>
    <m/>
    <m/>
    <m/>
    <x v="3"/>
    <m/>
    <m/>
    <x v="4"/>
    <m/>
    <x v="4"/>
    <x v="1"/>
    <d v="1899-12-30T00:00:00"/>
    <d v="1899-12-30T00:00:00"/>
    <d v="1899-12-30T00:00:00"/>
    <d v="1899-12-30T00:00:00"/>
  </r>
  <r>
    <n v="393"/>
    <s v="D. CUESTA"/>
    <m/>
    <x v="59"/>
    <s v="EXTRUSORA 4"/>
    <s v="Puntual"/>
    <s v="Revisar tratador COEX 4"/>
    <d v="1899-12-30T19:00:00"/>
    <d v="1899-12-30T19:30:00"/>
    <x v="44"/>
    <s v="Eléctrica"/>
    <s v="Se realizo inspección de alimentación 220 V a tratador, se realizan pruebas en vacio, quedo pendiente en operación ya que el operario en turno manifesto que se apaga"/>
    <x v="1"/>
    <s v="NA"/>
    <x v="2"/>
    <x v="0"/>
    <d v="1899-12-30T00:30:00"/>
    <d v="2025-12-10T00:00:00"/>
    <d v="2025-12-10T19:30:00"/>
    <d v="1899-12-30T19:30:00"/>
  </r>
  <r>
    <n v="394"/>
    <s v="D. CUESTA"/>
    <d v="1899-12-30T22:30:00"/>
    <x v="59"/>
    <s v="EXTRUSORA 3"/>
    <s v="Puntual"/>
    <s v="Cortar cuchillas para cuadrar tratador."/>
    <d v="1899-12-30T22:30:00"/>
    <d v="1899-12-30T23:30:00"/>
    <x v="44"/>
    <s v="Mecánica"/>
    <s v="Se realiza reubicación de las cuchillas del tratador para cuadrar la referencia del material."/>
    <x v="1"/>
    <s v="NA"/>
    <x v="2"/>
    <x v="0"/>
    <d v="1899-12-30T01:00:00"/>
    <d v="2025-12-10T22:30:00"/>
    <d v="2025-12-10T23:30:00"/>
    <d v="1899-12-30T01:00:00"/>
  </r>
  <r>
    <n v="395"/>
    <s v="D. ZAMORA"/>
    <d v="1899-12-30T03:55:00"/>
    <x v="34"/>
    <s v="REFILADORA 3"/>
    <s v="Repetitiva"/>
    <s v="Cambio de posición de las castañas en rebobinador inferior."/>
    <d v="1899-12-30T03:55:00"/>
    <d v="1899-12-30T04:10:00"/>
    <x v="30"/>
    <s v="Mecánica"/>
    <s v="Se realiza cambio de posición de castañas por petición de producción."/>
    <x v="1"/>
    <s v="NA"/>
    <x v="2"/>
    <x v="0"/>
    <d v="1899-12-30T00:15:00"/>
    <d v="2025-12-11T03:55:00"/>
    <d v="2025-12-11T04:10:00"/>
    <d v="1899-12-30T00:15:00"/>
  </r>
  <r>
    <n v="396"/>
    <s v="E. REYES"/>
    <d v="1899-12-30T02:00:00"/>
    <x v="34"/>
    <s v="SELLADORA 2"/>
    <s v="Puntual"/>
    <s v="Daño en soporte de los perforadores y varilla."/>
    <d v="1899-12-30T02:00:00"/>
    <d v="1899-12-30T02:30:00"/>
    <x v="30"/>
    <s v="Mecánica"/>
    <s v="Se desmonta soporte de actuadores de los perforadores, se solda  ya que se encuentran partidos y se instala varilla que tensa el tornillo de sujeción  partido."/>
    <x v="1"/>
    <s v="NA"/>
    <x v="2"/>
    <x v="0"/>
    <d v="1899-12-30T00:30:00"/>
    <d v="2025-12-11T02:00:00"/>
    <d v="2025-12-11T02:30:00"/>
    <d v="1899-12-30T00:30:00"/>
  </r>
  <r>
    <n v="397"/>
    <s v="K. RAMOS"/>
    <d v="1899-12-30T21:00:00"/>
    <x v="59"/>
    <s v="EXTRUSORA 5"/>
    <s v="Puntual"/>
    <s v="Piñon de perforadores suelto."/>
    <d v="1899-12-30T21:00:00"/>
    <d v="1899-12-30T21:40:00"/>
    <x v="44"/>
    <s v="Mecánica"/>
    <s v="Se encuentra buje de sujeción de piñon de perforadores sin prisioneros."/>
    <x v="1"/>
    <s v="NA"/>
    <x v="2"/>
    <x v="0"/>
    <d v="1899-12-30T00:40:00"/>
    <d v="2025-12-10T21:00:00"/>
    <d v="2025-12-10T21:40:00"/>
    <d v="1899-12-30T00:40:00"/>
  </r>
  <r>
    <n v="398"/>
    <m/>
    <m/>
    <x v="3"/>
    <m/>
    <m/>
    <m/>
    <m/>
    <m/>
    <x v="3"/>
    <m/>
    <m/>
    <x v="4"/>
    <m/>
    <x v="4"/>
    <x v="1"/>
    <d v="1899-12-30T00:00:00"/>
    <d v="1899-12-30T00:00:00"/>
    <d v="1899-12-30T00:00:00"/>
    <d v="1899-12-30T00:00:00"/>
  </r>
  <r>
    <n v="399"/>
    <s v="D. ZAMORA"/>
    <d v="1899-12-30T04:00:00"/>
    <x v="60"/>
    <s v="REFILADORA 3"/>
    <s v="Repetitiva"/>
    <s v="Cambio de posición de castañas y cambio de pisador."/>
    <d v="1899-12-30T04:00:00"/>
    <d v="1899-12-30T04:30:00"/>
    <x v="28"/>
    <s v="Mecánica"/>
    <s v="Se realiza cambio de rodillo o pisador y posición de castañas."/>
    <x v="1"/>
    <s v="NA"/>
    <x v="1"/>
    <x v="0"/>
    <d v="1899-12-30T00:30:00"/>
    <d v="2025-12-12T04:00:00"/>
    <d v="2025-12-12T04:30:00"/>
    <d v="1899-12-30T00:30:00"/>
  </r>
  <r>
    <n v="400"/>
    <s v="R. MEJIA"/>
    <d v="1899-12-30T02:10:00"/>
    <x v="60"/>
    <s v="IMPRESORA 1"/>
    <s v="Puntual"/>
    <s v="Se safa piñon de eje neumatico bobinador."/>
    <d v="1899-12-30T02:10:00"/>
    <d v="1899-12-30T02:30:00"/>
    <x v="28"/>
    <s v="Mecánica"/>
    <s v="Se aplica soldadura a piñon eje bobinador."/>
    <x v="1"/>
    <s v="Soldadura 308 de 1/8&quot;"/>
    <x v="1"/>
    <x v="0"/>
    <d v="1899-12-30T00:20:00"/>
    <d v="2025-12-12T02:10:00"/>
    <d v="2025-12-12T02:30:00"/>
    <d v="1899-12-30T00:20:00"/>
  </r>
  <r>
    <n v="401"/>
    <s v="R. MEJIA"/>
    <d v="1899-12-30T06:00:00"/>
    <x v="57"/>
    <s v="IMPRESORA 1"/>
    <s v="Puntual"/>
    <s v="Eje neumatico con escape."/>
    <d v="1899-12-30T06:00:00"/>
    <d v="1899-12-30T07:15:00"/>
    <x v="42"/>
    <s v="Neumática"/>
    <s v="Se reemplaza la manguera con escape y queda operativa."/>
    <x v="55"/>
    <s v="NA"/>
    <x v="1"/>
    <x v="0"/>
    <d v="1899-12-30T01:15:00"/>
    <d v="2025-12-13T06:00:00"/>
    <d v="2025-12-13T07:15:00"/>
    <d v="1899-12-30T01:15:00"/>
  </r>
  <r>
    <n v="402"/>
    <s v="R. OLIVARES"/>
    <d v="1899-12-30T15:45:00"/>
    <x v="57"/>
    <s v="EXTRUSORA 4"/>
    <s v="Puntual"/>
    <s v="El tratado estaba trabajando bien de un momento a otro hace corto y se apago."/>
    <d v="1899-12-30T18:00:00"/>
    <d v="1899-12-30T20:30:00"/>
    <x v="42"/>
    <s v="Eléctrica"/>
    <s v="Se revisa tratador el cual presenta corto, se decide instalar el que esta en el taller, se entrega instalada y probado en vacio."/>
    <x v="1"/>
    <s v="NA"/>
    <x v="2"/>
    <x v="0"/>
    <d v="1899-12-30T02:30:00"/>
    <d v="2025-12-13T15:45:00"/>
    <d v="2025-12-13T20:30:00"/>
    <d v="1899-12-30T04:45:00"/>
  </r>
  <r>
    <n v="403"/>
    <s v="R. MEJIA"/>
    <d v="1899-12-30T06:00:00"/>
    <x v="61"/>
    <s v="IMPRESORA 1"/>
    <s v="Puntual"/>
    <s v="Se paró la máquina por rodamiento bobinador."/>
    <d v="1899-12-30T06:10:00"/>
    <d v="1899-12-30T06:30:00"/>
    <x v="45"/>
    <s v="Mecánica"/>
    <s v="Base porta seguidor de leva sufre desgaste. Perdiendo ajuste en el seguidor de leva, se fabrica arandela gruesa para evitar que se salga."/>
    <x v="1"/>
    <s v="NA"/>
    <x v="3"/>
    <x v="0"/>
    <d v="1899-12-30T00:20:00"/>
    <d v="2025-12-14T06:00:00"/>
    <d v="2025-12-14T06:30:00"/>
    <d v="1899-12-30T00:30:00"/>
  </r>
  <r>
    <n v="404"/>
    <s v="R. MEJIA"/>
    <d v="1899-12-30T14:00:00"/>
    <x v="61"/>
    <s v="IMPRESORA 1"/>
    <s v="Puntual"/>
    <s v="Se paró la máquina por daño en el sistema electrico de bobinador."/>
    <d v="1899-12-30T14:00:00"/>
    <d v="1899-12-30T16:00:00"/>
    <x v="45"/>
    <s v="Eléctrica"/>
    <s v="Se inspecciona fusibles en general sin anomalias, se desmontan tarjetas de variador para inspección encontrando relevador averiado, se realiza cambio."/>
    <x v="56"/>
    <s v="NA"/>
    <x v="3"/>
    <x v="0"/>
    <d v="1899-12-30T02:00:00"/>
    <d v="2025-12-14T14:00:00"/>
    <d v="2025-12-14T16:00:00"/>
    <d v="1899-12-30T02:00:00"/>
  </r>
  <r>
    <n v="405"/>
    <s v="O. VALENCIA"/>
    <d v="1899-12-30T23:30:00"/>
    <x v="61"/>
    <s v="Otro"/>
    <s v="Puntual"/>
    <s v="Daño en soporte del motor del molino."/>
    <d v="1899-12-30T23:30:00"/>
    <d v="1899-12-30T03:40:00"/>
    <x v="45"/>
    <s v="Mecánica"/>
    <s v="Se revisa el motor, se suelta completo, se aplica soldadura, se ajusta y se realizan pruebas."/>
    <x v="1"/>
    <s v="Equipo de soldadura"/>
    <x v="1"/>
    <x v="0"/>
    <n v="-0.82638888888888884"/>
    <d v="2025-12-14T23:30:00"/>
    <d v="2025-12-14T03:40:00"/>
    <n v="-0.82638888888322981"/>
  </r>
  <r>
    <n v="406"/>
    <s v="S. CARDENAL"/>
    <d v="1899-12-30T16:20:00"/>
    <x v="62"/>
    <s v="SELLADORA 3"/>
    <s v="Puntual"/>
    <s v="La máquina no trabaja porque hay que bajarle golpes."/>
    <d v="1899-12-30T16:30:00"/>
    <d v="1899-12-30T17:00:00"/>
    <x v="46"/>
    <s v="Eléctrica"/>
    <s v="Se cambia parametros del variador de transportador para disminuir golpes de manera remota, se deja operativa."/>
    <x v="1"/>
    <s v="NA"/>
    <x v="2"/>
    <x v="0"/>
    <d v="1899-12-30T00:30:00"/>
    <d v="2025-12-15T16:20:00"/>
    <d v="2025-12-15T17:00:00"/>
    <d v="1899-12-30T00:40:00"/>
  </r>
  <r>
    <n v="407"/>
    <s v="D. ARRIETA"/>
    <d v="1899-12-30T16:50:00"/>
    <x v="62"/>
    <s v="IMPRESORA 1"/>
    <s v="Puntual"/>
    <s v="Eje del embobinador se sale el aire"/>
    <d v="1899-12-30T16:50:00"/>
    <d v="1899-12-30T17:30:00"/>
    <x v="46"/>
    <s v="Neumática"/>
    <s v="Se encuentran 2 mangueras fisuradas, se reparan y se entrega operativa."/>
    <x v="1"/>
    <s v="NA"/>
    <x v="2"/>
    <x v="0"/>
    <d v="1899-12-30T00:40:00"/>
    <d v="2025-12-15T16:50:00"/>
    <d v="2025-12-15T17:30:00"/>
    <d v="1899-12-30T00:40:00"/>
  </r>
  <r>
    <n v="408"/>
    <s v="R. MEJIA"/>
    <d v="1899-12-30T18:40:00"/>
    <x v="62"/>
    <s v="IMPRESORA 1"/>
    <s v="Puntual"/>
    <s v="Parada de máquina por fuga de aire eje neumático bobinador."/>
    <d v="1899-12-30T18:40:00"/>
    <d v="1899-12-30T19:01:00"/>
    <x v="46"/>
    <s v="Neumática"/>
    <s v="Manguera presenta fuga y muy corta, se realiza cambio por nueva queda operacional."/>
    <x v="57"/>
    <s v="NA"/>
    <x v="3"/>
    <x v="0"/>
    <d v="1899-12-30T00:21:00"/>
    <d v="2025-12-15T18:40:00"/>
    <d v="2025-12-15T19:01:00"/>
    <d v="1899-12-30T00:21:00"/>
  </r>
  <r>
    <n v="409"/>
    <s v="K. RAMOS"/>
    <m/>
    <x v="63"/>
    <s v="EXTRUSORA 5"/>
    <s v="Puntual"/>
    <s v="Pistola de aire del bobinador A se daño"/>
    <m/>
    <m/>
    <x v="3"/>
    <m/>
    <m/>
    <x v="4"/>
    <m/>
    <x v="4"/>
    <x v="2"/>
    <d v="1899-12-30T00:00:00"/>
    <d v="2025-12-16T00:00:00"/>
    <d v="1899-12-30T00:00:00"/>
    <n v="-46007"/>
  </r>
  <r>
    <n v="410"/>
    <s v="H. TRIANA"/>
    <d v="1899-12-30T09:20:00"/>
    <x v="63"/>
    <s v="EXTRUSORA 2"/>
    <s v="Puntual"/>
    <s v="Falla en el tratador"/>
    <d v="1899-12-30T09:20:00"/>
    <d v="1899-12-30T10:00:00"/>
    <x v="47"/>
    <s v="Eléctrica"/>
    <s v="Se revisa tratador y se limpia, se retiran impuresas del material y queda operativa."/>
    <x v="1"/>
    <s v="NA"/>
    <x v="1"/>
    <x v="0"/>
    <d v="1899-12-30T00:40:00"/>
    <d v="2025-12-16T09:20:00"/>
    <d v="2025-12-16T10:00:00"/>
    <d v="1899-12-30T00:40:00"/>
  </r>
  <r>
    <n v="411"/>
    <s v="L. MIRANDA"/>
    <d v="1899-12-30T14:35:00"/>
    <x v="63"/>
    <s v="EXTRUSORA 5"/>
    <s v="Puntual"/>
    <s v="Presenta una falla en la rotación."/>
    <d v="1899-12-30T14:35:00"/>
    <d v="1899-12-30T17:00:00"/>
    <x v="46"/>
    <s v="Eléctrica"/>
    <s v="se revisa rotación y se corrije el daño aislando un cable."/>
    <x v="58"/>
    <s v="NA"/>
    <x v="1"/>
    <x v="0"/>
    <d v="1899-12-30T02:25:00"/>
    <d v="2025-12-16T14:35:00"/>
    <d v="2025-12-15T17:00:00"/>
    <n v="-0.89930555555474712"/>
  </r>
  <r>
    <n v="412"/>
    <s v="L. MIRANDA"/>
    <d v="1899-12-30T14:35:00"/>
    <x v="63"/>
    <s v="EXTRUSORA 5"/>
    <s v="Puntual"/>
    <s v="Falla en el molino, no prende y esta oliendo a quemado."/>
    <d v="1899-12-30T14:35:00"/>
    <d v="1899-12-30T17:00:00"/>
    <x v="47"/>
    <s v="Eléctrica"/>
    <s v="Se interviene tablero de control del tablero del molino, se evidencia el transformador quemado, se sustituye por otro provicionalmente."/>
    <x v="59"/>
    <s v="NA"/>
    <x v="1"/>
    <x v="0"/>
    <d v="1899-12-30T02:25:00"/>
    <d v="2025-12-16T14:35:00"/>
    <d v="2025-12-16T17:00:00"/>
    <d v="1899-12-30T02:25:00"/>
  </r>
  <r>
    <n v="413"/>
    <s v="D. ZAMORA"/>
    <d v="1899-12-30T17:00:00"/>
    <x v="63"/>
    <s v="REFILADORA 3"/>
    <s v="Puntual"/>
    <s v="Se entorcha la manguera con la felpa de rebobinador superior."/>
    <d v="1899-12-30T17:00:00"/>
    <d v="1899-12-30T17:40:00"/>
    <x v="47"/>
    <s v="Mecánica"/>
    <s v="Se desmontan las castañas, se desentorcha manguera y se cuadra felpa, se monta y se ajustan."/>
    <x v="1"/>
    <s v="NA"/>
    <x v="1"/>
    <x v="0"/>
    <d v="1899-12-30T00:40:00"/>
    <d v="2025-12-16T17:00:00"/>
    <d v="2025-12-16T17:40:00"/>
    <d v="1899-12-30T00:40:00"/>
  </r>
  <r>
    <n v="414"/>
    <s v="D. CUESTA"/>
    <d v="1899-12-30T01:25:00"/>
    <x v="63"/>
    <s v="EXTRUSORA 2"/>
    <s v="Puntual"/>
    <s v="Para cambio cuenta metro coex2"/>
    <d v="1899-12-30T01:25:00"/>
    <d v="1899-12-30T02:25:00"/>
    <x v="47"/>
    <s v="Eléctrica"/>
    <s v="Se realiza cambio de contador ya que no funciona, se realiza cambio en cambio de referencia queda operativo."/>
    <x v="60"/>
    <s v="NA"/>
    <x v="2"/>
    <x v="0"/>
    <d v="1899-12-30T01:00:00"/>
    <d v="2025-12-16T01:25:00"/>
    <d v="2025-12-16T02:25:00"/>
    <d v="1899-12-30T01:00:00"/>
  </r>
  <r>
    <n v="415"/>
    <m/>
    <m/>
    <x v="3"/>
    <m/>
    <m/>
    <m/>
    <m/>
    <m/>
    <x v="3"/>
    <m/>
    <m/>
    <x v="4"/>
    <m/>
    <x v="4"/>
    <x v="1"/>
    <d v="1899-12-30T00:00:00"/>
    <d v="1899-12-30T00:00:00"/>
    <d v="1899-12-30T00:00:00"/>
    <d v="1899-12-30T00:00:00"/>
  </r>
  <r>
    <n v="416"/>
    <s v="L. GARZON"/>
    <d v="1899-12-30T23:56:00"/>
    <x v="63"/>
    <s v="SELLADORA 1"/>
    <s v="Puntual"/>
    <s v="Temperatura molesta por termocupla que no esta haciendo buen contacto."/>
    <d v="1899-12-30T00:00:00"/>
    <d v="1899-12-30T00:15:00"/>
    <x v="47"/>
    <s v="Eléctrica"/>
    <s v="Se encuentra variando temperatura del setpoint, se encuentra conector con fallo, se ajusta conector y se realizan pruebas de funcionamiento."/>
    <x v="1"/>
    <s v="NA"/>
    <x v="2"/>
    <x v="0"/>
    <d v="1899-12-30T00:15:00"/>
    <d v="2025-12-16T23:56:00"/>
    <d v="2025-12-16T00:15:00"/>
    <n v="-0.98680555555620231"/>
  </r>
  <r>
    <n v="417"/>
    <s v="D. BUESACO"/>
    <d v="1899-12-30T11:35:00"/>
    <x v="64"/>
    <s v="SELLADORA 3"/>
    <s v="Puntual"/>
    <s v="Fotocelda se le pide apoyo a mantenimiento por falla."/>
    <d v="1899-12-30T11:40:00"/>
    <d v="1899-12-30T14:15:00"/>
    <x v="48"/>
    <s v="Eléctrica"/>
    <s v="Se revisa la fotocelda y se encuentra OK, se evidencia la prensa sin resorte, se repone y se realiza calibración, se realiza calibración prensa transportadora corrigiendo falla."/>
    <x v="1"/>
    <s v="NA"/>
    <x v="3"/>
    <x v="0"/>
    <d v="1899-12-30T02:35:00"/>
    <d v="2025-12-17T11:35:00"/>
    <d v="2025-12-17T14:15:00"/>
    <d v="1899-12-30T02:40:00"/>
  </r>
  <r>
    <n v="418"/>
    <s v="J. MIRANDA"/>
    <d v="1899-12-30T15:50:00"/>
    <x v="64"/>
    <s v="EXTRUSORA 3"/>
    <s v="Puntual"/>
    <s v="Se quemo la manga de la coex3."/>
    <d v="1899-12-30T15:50:00"/>
    <d v="1899-12-30T16:20:00"/>
    <x v="48"/>
    <s v="Neumática"/>
    <s v="Manguera inferior del tratador quemada, se realiza reparación con silicona roja temporalmente, queda operativa."/>
    <x v="1"/>
    <s v="NA"/>
    <x v="3"/>
    <x v="0"/>
    <d v="1899-12-30T00:30:00"/>
    <d v="2025-12-17T15:50:00"/>
    <d v="2025-12-17T16:20:00"/>
    <d v="1899-12-30T00:30:00"/>
  </r>
  <r>
    <n v="419"/>
    <s v="R. OLIVARES"/>
    <d v="1899-12-30T11:00:00"/>
    <x v="65"/>
    <s v="EXTRUSORA 5"/>
    <s v="Puntual"/>
    <s v="Calibrar las celdas de carga."/>
    <d v="1899-12-30T11:00:00"/>
    <d v="1899-12-30T11:30:00"/>
    <x v="49"/>
    <s v="Mecánica"/>
    <s v="Se realiza calibración de celdas de carga en embobinadores."/>
    <x v="1"/>
    <s v="NA"/>
    <x v="2"/>
    <x v="0"/>
    <d v="1899-12-30T00:30:00"/>
    <d v="2025-12-18T11:00:00"/>
    <d v="2025-12-18T11:30:00"/>
    <d v="1899-12-30T00:30:00"/>
  </r>
  <r>
    <n v="420"/>
    <m/>
    <m/>
    <x v="3"/>
    <m/>
    <m/>
    <m/>
    <m/>
    <m/>
    <x v="3"/>
    <m/>
    <m/>
    <x v="4"/>
    <m/>
    <x v="4"/>
    <x v="1"/>
    <d v="1899-12-30T00:00:00"/>
    <d v="1899-12-30T00:00:00"/>
    <d v="1899-12-30T00:00:00"/>
    <d v="1899-12-30T00:00:00"/>
  </r>
  <r>
    <n v="421"/>
    <s v="F. SANCHEZ"/>
    <d v="1899-12-30T18:50:00"/>
    <x v="65"/>
    <s v="EXTRUSORA 5"/>
    <s v="Puntual"/>
    <s v="Paleta del lado derecho no funciona para abrir y cerrar."/>
    <d v="1899-12-30T18:50:00"/>
    <d v="1899-12-30T19:20:00"/>
    <x v="49"/>
    <s v="Eléctrica"/>
    <s v="Circuito de motor posterior al tablero con conductor abierto, se realiza cambio."/>
    <x v="1"/>
    <s v="NA"/>
    <x v="3"/>
    <x v="0"/>
    <d v="1899-12-30T00:30:00"/>
    <d v="2025-12-18T18:50:00"/>
    <d v="2025-12-18T19:20:00"/>
    <d v="1899-12-30T00:30:00"/>
  </r>
  <r>
    <n v="422"/>
    <s v="D. ZAMORA"/>
    <d v="1899-12-30T20:30:00"/>
    <x v="65"/>
    <s v="REFILADORA 3"/>
    <s v="Puntual"/>
    <s v="Se entorcha la felpa con la manguera en el rebobinador superior."/>
    <d v="1899-12-30T20:35:00"/>
    <d v="1899-12-30T21:10:00"/>
    <x v="49"/>
    <s v="Mecánica"/>
    <s v="Mangeras entorchadas, se desmontan castañas, se fabrican felpa para realizar cambio."/>
    <x v="1"/>
    <s v="Felpa"/>
    <x v="3"/>
    <x v="0"/>
    <d v="1899-12-30T00:35:00"/>
    <d v="2025-12-18T20:30:00"/>
    <d v="2025-12-18T21:10:00"/>
    <d v="1899-12-30T00:40:00"/>
  </r>
  <r>
    <n v="423"/>
    <s v="C. BARAJAS"/>
    <d v="1899-12-30T06:50:00"/>
    <x v="66"/>
    <s v="SELLADORA 2"/>
    <s v="Puntual"/>
    <s v="Falla en la estática."/>
    <d v="1899-12-30T06:50:00"/>
    <d v="1899-12-30T07:40:00"/>
    <x v="50"/>
    <s v="Eléctrica"/>
    <s v="Organizar circuito falla en tratador."/>
    <x v="1"/>
    <s v="NA"/>
    <x v="1"/>
    <x v="0"/>
    <d v="1899-12-30T00:50:00"/>
    <d v="2025-12-19T06:50:00"/>
    <d v="2025-12-19T07:40:00"/>
    <d v="1899-12-30T00:50:00"/>
  </r>
  <r>
    <n v="424"/>
    <s v="H. TRIANA"/>
    <d v="1899-12-30T08:50:00"/>
    <x v="66"/>
    <s v="EXTRUSORA 3"/>
    <s v="Puntual"/>
    <s v="Se daña el rodamiento de la varilla de embobinar rollos"/>
    <d v="1899-12-30T08:50:00"/>
    <d v="1899-12-30T09:45:00"/>
    <x v="50"/>
    <s v="Mecánica"/>
    <s v="Se evidencia rodamiento mal estado, se hace cambio, se da ajuste y se entrga al operario"/>
    <x v="61"/>
    <s v="NA"/>
    <x v="1"/>
    <x v="0"/>
    <d v="1899-12-30T00:55:00"/>
    <d v="2025-12-19T08:50:00"/>
    <d v="2025-12-19T09:45:00"/>
    <d v="1899-12-30T00:55:00"/>
  </r>
  <r>
    <n v="425"/>
    <s v="S. CARDENAL"/>
    <d v="1899-12-30T17:00:00"/>
    <x v="66"/>
    <s v="SELLADORA 3"/>
    <s v="Puntual"/>
    <s v="Correas sueltas"/>
    <d v="1899-12-30T17:00:00"/>
    <d v="1899-12-30T17:30:00"/>
    <x v="50"/>
    <s v="Mecánica"/>
    <s v="Cambiar arandelas y ajustar tornillos"/>
    <x v="29"/>
    <s v="NA"/>
    <x v="1"/>
    <x v="1"/>
    <d v="1899-12-30T00:30:00"/>
    <d v="2025-12-19T17:00:00"/>
    <d v="2025-12-19T17:30:00"/>
    <d v="1899-12-30T00:30:00"/>
  </r>
  <r>
    <n v="426"/>
    <s v="D. ZAMORA"/>
    <d v="1899-12-30T22:20:00"/>
    <x v="66"/>
    <s v="REFILADORA 3"/>
    <m/>
    <s v="Se entorcha con la felpa del rebobinador superior"/>
    <d v="1899-12-30T22:20:00"/>
    <d v="1899-12-30T22:40:00"/>
    <x v="50"/>
    <s v="Mecánica"/>
    <s v="Se realiza desmonte de castañas de bobinador superior y se acomodan mangueras neúmaticas del eje, se arma nuevamente, no se genera parada, se interviene en tiempo de refrigerio del operario"/>
    <x v="1"/>
    <s v="NA"/>
    <x v="2"/>
    <x v="0"/>
    <d v="1899-12-30T00:20:00"/>
    <d v="2025-12-19T22:20:00"/>
    <d v="2025-12-19T22:40:00"/>
    <d v="1899-12-30T00:20:00"/>
  </r>
  <r>
    <n v="427"/>
    <s v="D. CUESTA"/>
    <d v="1899-12-30T00:20:00"/>
    <x v="28"/>
    <s v="EXTRUSORA 4"/>
    <s v="Puntual"/>
    <s v="Coex #3 hace corto en las mangas"/>
    <d v="1899-12-30T00:20:00"/>
    <d v="1899-12-30T03:00:00"/>
    <x v="26"/>
    <s v="Mecánica"/>
    <s v="Se encuentran mangas quemadas por exposición al arco sin pelicula, se retira material y se realiza limpieza, se requiere montar RQ para cambio de mangas ya que estan quemadas"/>
    <x v="1"/>
    <s v="NA"/>
    <x v="2"/>
    <x v="0"/>
    <d v="1899-12-30T02:40:00"/>
    <d v="2025-12-20T00:20:00"/>
    <d v="2025-12-20T03:00:00"/>
    <d v="1899-12-30T02:40:00"/>
  </r>
  <r>
    <n v="428"/>
    <s v="L. GARZON"/>
    <d v="1899-12-30T22:00:00"/>
    <x v="66"/>
    <s v="SELLADORA 3"/>
    <s v="Puntual"/>
    <s v="Rodillo de transportador sin tornillo"/>
    <d v="1899-12-30T22:00:00"/>
    <d v="1899-12-30T22:12:00"/>
    <x v="50"/>
    <s v="Mecánica"/>
    <s v="Se realiza instalación de tornillo M6 x 20mm de sujeción de rodillo tensor del transportador"/>
    <x v="62"/>
    <s v="NA"/>
    <x v="2"/>
    <x v="0"/>
    <d v="1899-12-30T00:12:00"/>
    <d v="2025-12-19T22:00:00"/>
    <d v="2025-12-19T22:12:00"/>
    <d v="1899-12-30T00:12:00"/>
  </r>
  <r>
    <n v="429"/>
    <s v="E. BOHORQUEZ"/>
    <d v="1899-12-30T11:45:00"/>
    <x v="67"/>
    <m/>
    <s v="Puntual"/>
    <s v="Falla en el transportador"/>
    <d v="1899-12-30T11:45:00"/>
    <d v="1899-12-30T12:05:00"/>
    <x v="51"/>
    <s v="Eléctrica"/>
    <s v="Se encuentra muletillo de accionamiento desacoplado, se dio ajuste y se realizan pruebas de arranque del transportador, se graduo frecuencia de variador de cuchillo para bajar golpes de 30 a 11.7 Hz"/>
    <x v="1"/>
    <s v="NA"/>
    <x v="2"/>
    <x v="0"/>
    <d v="1899-12-30T00:20:00"/>
    <d v="2025-12-30T11:45:00"/>
    <d v="2025-12-30T12:05:00"/>
    <d v="1899-12-30T00:20:00"/>
  </r>
  <r>
    <n v="430"/>
    <s v="D. ZAMORA"/>
    <d v="1899-12-30T03:00:00"/>
    <x v="28"/>
    <s v="REFILADORA 3"/>
    <s v="Puntual"/>
    <s v="Se pincha manguera del rebobinador superior"/>
    <d v="1899-12-30T03:15:00"/>
    <d v="1899-12-30T03:25:00"/>
    <x v="26"/>
    <s v="Mecánica"/>
    <s v="Se encuentra mangueros atascados, se acomodan posición de los mangueros y se realizan pruebas quedando operativo"/>
    <x v="1"/>
    <s v="NA"/>
    <x v="2"/>
    <x v="0"/>
    <d v="1899-12-30T00:10:00"/>
    <d v="2025-12-20T03:00:00"/>
    <d v="2025-12-20T03:25:00"/>
    <d v="1899-12-30T00:25:00"/>
  </r>
  <r>
    <n v="431"/>
    <s v="M. NIVIA"/>
    <d v="1899-12-30T03:50:00"/>
    <x v="28"/>
    <s v="Otro"/>
    <s v="Puntual"/>
    <s v="Mordaza de corta cores no ajusto"/>
    <d v="1899-12-30T03:50:00"/>
    <d v="1899-12-30T04:20:00"/>
    <x v="26"/>
    <s v="Mecánica"/>
    <s v="Se encuentra rosca rodada de ajuste de mordaza, se instala tuerca para todnillo 5/16"/>
    <x v="1"/>
    <s v="NA"/>
    <x v="2"/>
    <x v="0"/>
    <d v="1899-12-30T00:30:00"/>
    <d v="2025-12-20T03:50:00"/>
    <d v="2025-12-20T04:20:00"/>
    <d v="1899-12-30T00:30:00"/>
  </r>
  <r>
    <n v="432"/>
    <s v="D. ZAMORA"/>
    <d v="1899-12-30T14:15:00"/>
    <x v="28"/>
    <s v="REFILADORA 3"/>
    <s v="Puntual"/>
    <s v="Se encuentra la manguera con la felpa del rebobinador superior"/>
    <d v="1899-12-30T19:15:00"/>
    <d v="1899-12-30T19:50:00"/>
    <x v="26"/>
    <s v="Neumática"/>
    <s v="Se revisan mangueras, se desentorchan, se ajusta felpa y castañas, se hace prueba de fuga"/>
    <x v="1"/>
    <s v="NA"/>
    <x v="1"/>
    <x v="0"/>
    <d v="1899-12-30T00:35:00"/>
    <d v="2025-12-20T14:15:00"/>
    <d v="2025-12-20T19:50:00"/>
    <d v="1899-12-30T05:35:00"/>
  </r>
  <r>
    <n v="433"/>
    <s v="J. MIRANDA"/>
    <d v="1899-12-30T23:50:00"/>
    <x v="28"/>
    <s v="EXTRUSORA 2"/>
    <s v="Puntual"/>
    <s v="Zonas de los tornillos estan mal elaborados"/>
    <m/>
    <m/>
    <x v="3"/>
    <m/>
    <s v="Se revisa motor aire forzado el cual se encuentra desfasado, se realizan pruebas en vacio y no arranca, se deja maquina sin aire forzado ya que no tenemos respuesta"/>
    <x v="1"/>
    <s v="NA"/>
    <x v="4"/>
    <x v="2"/>
    <d v="1899-12-30T00:00:00"/>
    <d v="2025-12-20T23:50:00"/>
    <d v="1899-12-30T00:00:00"/>
    <n v="-46011.993055555555"/>
  </r>
  <r>
    <n v="434"/>
    <s v="H. ZEA"/>
    <d v="1899-12-30T07:00:00"/>
    <x v="68"/>
    <s v="Otro"/>
    <m/>
    <s v="Corta cores no ajusto"/>
    <d v="1899-12-30T07:00:00"/>
    <d v="1899-12-30T07:30:00"/>
    <x v="52"/>
    <s v="Mecánica"/>
    <s v="Se encuentra rosca de ajuste de mordaza de ajuste partida, se remplaza tuerca"/>
    <x v="1"/>
    <s v="NA"/>
    <x v="2"/>
    <x v="0"/>
    <d v="1899-12-30T00:30:00"/>
    <d v="2025-12-21T07:00:00"/>
    <d v="2025-12-21T07:30:00"/>
    <d v="1899-12-30T00:30:00"/>
  </r>
  <r>
    <n v="435"/>
    <s v="A. MIRANDA"/>
    <d v="1899-12-30T06:30:00"/>
    <x v="68"/>
    <s v="EXTRUSORA 5"/>
    <m/>
    <s v="Se alarma porque brazo no sube"/>
    <d v="1899-12-30T06:30:00"/>
    <d v="1899-12-30T07:00:00"/>
    <x v="52"/>
    <s v="Mecánica / Neumática"/>
    <s v="Brazo de descarga no sube, se cambia racor m6 x 1/4 y se lubrica soporte, se genero parada de máquina"/>
    <x v="4"/>
    <m/>
    <x v="2"/>
    <x v="0"/>
    <d v="1899-12-30T00:30:00"/>
    <d v="2025-12-21T06:30:00"/>
    <d v="2025-12-21T07:00:00"/>
    <d v="1899-12-30T00:30:00"/>
  </r>
  <r>
    <n v="436"/>
    <s v="L. GARZON"/>
    <d v="1899-12-30T03:17:00"/>
    <x v="68"/>
    <s v="SELLADORA 3"/>
    <s v="Puntual"/>
    <s v="Daño en transportador"/>
    <d v="1899-12-30T03:17:00"/>
    <d v="1899-12-30T03:30:00"/>
    <x v="53"/>
    <s v="Mecánica"/>
    <s v="Tornillo rodillo trasportador partido, se retira tornillo averiado y se remplaza quedando operacional"/>
    <x v="1"/>
    <s v="NA"/>
    <x v="3"/>
    <x v="0"/>
    <d v="1899-12-30T00:13:00"/>
    <d v="2025-12-21T03:17:00"/>
    <d v="2025-12-22T03:30:00"/>
    <d v="1899-12-31T00:13:00"/>
  </r>
  <r>
    <n v="437"/>
    <s v="E. BELLO"/>
    <d v="1899-12-30T09:30:00"/>
    <x v="68"/>
    <s v="Otro"/>
    <m/>
    <s v="Corto en tablero de tornillo de alimentación"/>
    <d v="1899-12-30T09:30:00"/>
    <d v="1899-12-30T10:00:00"/>
    <x v="52"/>
    <s v="Eléctrica"/>
    <s v="Se encuentra cable de control de conexión de muletilla en mal estado, se realiza cambio de cable muletilla y se realizan pruebas quedando operancional"/>
    <x v="1"/>
    <s v="NA"/>
    <x v="2"/>
    <x v="0"/>
    <d v="1899-12-30T00:30:00"/>
    <d v="2025-12-21T09:30:00"/>
    <d v="2025-12-21T10:00:00"/>
    <d v="1899-12-30T00:30:00"/>
  </r>
  <r>
    <n v="438"/>
    <m/>
    <m/>
    <x v="3"/>
    <m/>
    <m/>
    <m/>
    <m/>
    <m/>
    <x v="3"/>
    <m/>
    <m/>
    <x v="4"/>
    <m/>
    <x v="4"/>
    <x v="1"/>
    <d v="1899-12-30T00:00:00"/>
    <d v="1899-12-30T00:00:00"/>
    <d v="1899-12-30T00:00:00"/>
    <d v="1899-12-30T00:00:00"/>
  </r>
  <r>
    <n v="439"/>
    <s v="L. GARZON"/>
    <d v="1899-12-30T04:30:00"/>
    <x v="69"/>
    <s v="SELLADORA 2"/>
    <s v="Puntual"/>
    <s v="Problema con temperatura de la cuchilla se baja"/>
    <d v="1899-12-30T04:30:00"/>
    <d v="1899-12-30T04:40:00"/>
    <x v="53"/>
    <s v="Eléctrica"/>
    <s v="Protección de circuito de resistencia activada,se inspecciona circuito, no se encuentra anomalia"/>
    <x v="1"/>
    <s v="NA"/>
    <x v="3"/>
    <x v="0"/>
    <d v="1899-12-30T00:10:00"/>
    <d v="2025-12-22T04:30:00"/>
    <d v="2025-12-22T04:40:00"/>
    <d v="1899-12-30T00:10:00"/>
  </r>
  <r>
    <n v="440"/>
    <m/>
    <m/>
    <x v="3"/>
    <m/>
    <m/>
    <m/>
    <m/>
    <m/>
    <x v="3"/>
    <m/>
    <m/>
    <x v="4"/>
    <m/>
    <x v="4"/>
    <x v="1"/>
    <d v="1899-12-30T00:00:00"/>
    <d v="1899-12-30T00:00:00"/>
    <d v="1899-12-30T00:00:00"/>
    <d v="1899-12-30T00:00:00"/>
  </r>
  <r>
    <n v="441"/>
    <m/>
    <m/>
    <x v="3"/>
    <m/>
    <m/>
    <m/>
    <m/>
    <m/>
    <x v="3"/>
    <m/>
    <m/>
    <x v="4"/>
    <m/>
    <x v="4"/>
    <x v="1"/>
    <d v="1899-12-30T00:00:00"/>
    <d v="1899-12-30T00:00:00"/>
    <d v="1899-12-30T00:00:00"/>
    <d v="1899-12-30T00:00:00"/>
  </r>
  <r>
    <n v="442"/>
    <s v="S. CARDENAL"/>
    <d v="1899-12-30T18:40:00"/>
    <x v="70"/>
    <s v="SELLADORA 3"/>
    <m/>
    <s v="El brazo del balancin se cayo"/>
    <d v="1899-12-30T18:40:00"/>
    <d v="1899-12-30T19:00:00"/>
    <x v="54"/>
    <s v="Mecánica"/>
    <s v="Se conecta manguera en piston neumático y se ajusta con tornillos 6mm que faltaba"/>
    <x v="1"/>
    <s v="Tornillo 6mm"/>
    <x v="1"/>
    <x v="0"/>
    <d v="1899-12-30T00:20:00"/>
    <d v="2025-12-26T18:40:00"/>
    <d v="2025-12-26T19:00:00"/>
    <d v="1899-12-30T00:20:00"/>
  </r>
  <r>
    <n v="443"/>
    <s v="B. RODRIGUEZ"/>
    <d v="1899-12-30T23:30:00"/>
    <x v="3"/>
    <s v="Otro"/>
    <m/>
    <s v="No ajustaba manzana de la cortadora de cores"/>
    <m/>
    <m/>
    <x v="3"/>
    <s v="Mecánica"/>
    <s v="Se cambia tornillo de ajuste, se cambia tuerca, se aplica soldadura, se solda estria de fijación"/>
    <x v="1"/>
    <s v="NA"/>
    <x v="1"/>
    <x v="0"/>
    <d v="1899-12-30T00:00:00"/>
    <d v="1899-12-30T23:30:00"/>
    <d v="1899-12-30T00:00:00"/>
    <n v="-0.97916666666666663"/>
  </r>
  <r>
    <n v="444"/>
    <s v="C. BARAJAS"/>
    <d v="1899-12-30T03:04:00"/>
    <x v="71"/>
    <s v="SELLADORA"/>
    <m/>
    <s v="Levantamiento en uña (falla)"/>
    <d v="1899-12-30T03:04:00"/>
    <d v="1899-12-30T03:10:00"/>
    <x v="55"/>
    <s v="Mecánica"/>
    <s v="Se reubico posición de uña de flautas inferiores"/>
    <x v="1"/>
    <s v="NA"/>
    <x v="2"/>
    <x v="0"/>
    <d v="1899-12-30T00:06:00"/>
    <d v="2025-12-27T03:04:00"/>
    <d v="2025-12-27T03:10:00"/>
    <d v="1899-12-30T00:06:00"/>
  </r>
  <r>
    <n v="445"/>
    <s v="C. BARAJAS"/>
    <d v="1899-12-30T15:15:00"/>
    <x v="71"/>
    <s v="SELLADORA"/>
    <m/>
    <s v="Se rompe base de los perforadores"/>
    <d v="1899-12-30T15:15:00"/>
    <d v="1899-12-30T16:20:00"/>
    <x v="55"/>
    <s v="Mecánica"/>
    <s v="Se encuentra soporte de perforadores partido, se soldó soporte, se reinstalo y quedo en operación"/>
    <x v="1"/>
    <s v="NA"/>
    <x v="2"/>
    <x v="0"/>
    <d v="1899-12-30T01:05:00"/>
    <d v="2025-12-27T15:15:00"/>
    <d v="2025-12-27T16:20:00"/>
    <d v="1899-12-30T01:05:00"/>
  </r>
  <r>
    <n v="446"/>
    <s v="D. BUESACO"/>
    <d v="1899-12-30T16:20:00"/>
    <x v="71"/>
    <s v="SELLADORA 3"/>
    <m/>
    <s v="Daño de carretes en operación"/>
    <d v="1899-12-30T16:20:00"/>
    <d v="1899-12-30T17:30:00"/>
    <x v="55"/>
    <s v="Mecánica"/>
    <s v="Material se atasco en los carretes y en el momento de extraerlo se rompen 6 carretes. Se realizo desmonte de sistema carretes, se reubican posición de carretes y se cambia rodamiento 6002, se instalo y quedo operativo"/>
    <x v="1"/>
    <s v="NA"/>
    <x v="2"/>
    <x v="0"/>
    <d v="1899-12-30T01:10:00"/>
    <d v="2025-12-27T16:20:00"/>
    <d v="2025-12-27T17:30:00"/>
    <d v="1899-12-30T01:10:00"/>
  </r>
  <r>
    <n v="447"/>
    <s v="D. BUESACO"/>
    <d v="1899-12-30T20:50:00"/>
    <x v="72"/>
    <s v="SELLADORA 3"/>
    <m/>
    <s v="Falla perforadores"/>
    <d v="1899-12-30T20:50:00"/>
    <d v="1899-12-30T21:10:00"/>
    <x v="56"/>
    <s v="Mecánica"/>
    <s v="Se instaló tornillo m10 x 35mm de ajuste de actuador de perforadores ya que se parte, quedó en operación"/>
    <x v="1"/>
    <s v="Tornillo m10 x 35mm"/>
    <x v="2"/>
    <x v="0"/>
    <d v="1899-12-30T00:20:00"/>
    <d v="2025-12-28T20:50:00"/>
    <d v="2025-12-28T21:10:00"/>
    <d v="1899-12-30T00:20:00"/>
  </r>
  <r>
    <n v="448"/>
    <s v="L. GARZON"/>
    <d v="1899-12-30T06:10:00"/>
    <x v="72"/>
    <s v="SELLADORA 2"/>
    <m/>
    <s v="Falla en cilindro de perforadores"/>
    <d v="1899-12-30T06:10:00"/>
    <d v="1899-12-30T06:55:00"/>
    <x v="56"/>
    <s v="Mecánica"/>
    <s v="Se le einstala tuerca para dar ajuste en presiona piston de perforadores"/>
    <x v="1"/>
    <s v="NA"/>
    <x v="1"/>
    <x v="0"/>
    <d v="1899-12-30T00:45:00"/>
    <d v="2025-12-28T06:10:00"/>
    <d v="2025-12-28T06:55:00"/>
    <d v="1899-12-30T00:45:00"/>
  </r>
  <r>
    <n v="449"/>
    <s v="S. CARDENAL"/>
    <d v="1899-12-30T01:50:00"/>
    <x v="73"/>
    <s v="SELLADORA 3"/>
    <m/>
    <s v="Botón del transportador se solto"/>
    <d v="1899-12-30T01:30:00"/>
    <d v="1899-12-30T02:05:00"/>
    <x v="57"/>
    <s v="Mecánica"/>
    <s v="Se encuentra muletilla de arranque de transportador desacoplada, se realiza ajuste y se entrega operativo"/>
    <x v="1"/>
    <s v="NA"/>
    <x v="2"/>
    <x v="0"/>
    <d v="1899-12-30T00:35:00"/>
    <d v="2025-12-29T01:50:00"/>
    <d v="2025-12-29T02:05:00"/>
    <d v="1899-12-30T00:15:00"/>
  </r>
  <r>
    <n v="450"/>
    <s v="S. CARDENAL"/>
    <d v="1899-12-30T03:10:00"/>
    <x v="73"/>
    <s v="SELLADORA 2"/>
    <m/>
    <s v="Flautas se doblaron"/>
    <d v="1899-12-30T03:10:00"/>
    <d v="1899-12-30T03:50:00"/>
    <x v="57"/>
    <s v="Mecánica"/>
    <s v="Se enderezan uñas de las flautas"/>
    <x v="1"/>
    <s v="NA"/>
    <x v="2"/>
    <x v="0"/>
    <d v="1899-12-30T00:40:00"/>
    <d v="2025-12-29T03:10:00"/>
    <d v="2025-12-29T03:50:00"/>
    <d v="1899-12-30T00:40:00"/>
  </r>
  <r>
    <n v="451"/>
    <s v="R. MEJIA"/>
    <d v="1899-12-30T04:10:00"/>
    <x v="73"/>
    <s v="IMPRESORA 1"/>
    <s v="Puntual"/>
    <s v="Diferencial no responde "/>
    <d v="1899-12-30T04:10:00"/>
    <d v="1899-12-30T05:30:00"/>
    <x v="57"/>
    <s v="Eléctrica"/>
    <s v="Se realizo inspección a circuito eléctrico de control de accionamiento, se encuentran en buen estado los componentes, se encuentra cable del control abierto ( de control a circuito diferencial) se remplazo cable y quedo operacional"/>
    <x v="1"/>
    <s v="NA"/>
    <x v="2"/>
    <x v="0"/>
    <d v="1899-12-30T01:20:00"/>
    <d v="2025-12-29T04:10:00"/>
    <d v="2025-12-29T05:30:00"/>
    <d v="1899-12-30T01:20:00"/>
  </r>
  <r>
    <n v="452"/>
    <m/>
    <m/>
    <x v="3"/>
    <m/>
    <m/>
    <m/>
    <m/>
    <m/>
    <x v="3"/>
    <m/>
    <m/>
    <x v="4"/>
    <m/>
    <x v="4"/>
    <x v="1"/>
    <d v="1899-12-30T00:00:00"/>
    <d v="1899-12-30T00:00:00"/>
    <d v="1899-12-30T00:00:00"/>
    <d v="1899-12-30T00:00:00"/>
  </r>
  <r>
    <n v="453"/>
    <s v="H. TRIANA"/>
    <d v="1899-12-30T05:25:00"/>
    <x v="73"/>
    <s v="EXTRUSORA 4"/>
    <s v="Repetitiva"/>
    <s v="Quitar torta en coex #4"/>
    <d v="1899-12-30T09:00:00"/>
    <d v="1899-12-30T09:45:00"/>
    <x v="51"/>
    <s v="Mecánica"/>
    <s v="Se retiro exceso de torta rotación coex 4, se conecta cable portamallas suelto, quedo listo para arrancar"/>
    <x v="1"/>
    <s v="NA"/>
    <x v="2"/>
    <x v="0"/>
    <d v="1899-12-30T00:45:00"/>
    <d v="2025-12-29T05:25:00"/>
    <d v="2025-12-30T09:45:00"/>
    <d v="1899-12-31T04:20:00"/>
  </r>
  <r>
    <n v="454"/>
    <s v="J. PARDO"/>
    <d v="1899-12-30T16:00:00"/>
    <x v="73"/>
    <s v="IMPRESORA 1"/>
    <m/>
    <s v="Daño en diferencial"/>
    <d v="1899-12-30T06:00:00"/>
    <d v="1899-12-30T08:20:00"/>
    <x v="51"/>
    <s v="Eléctrica"/>
    <s v="Se recibe turno con la novedad, se realiza inspección de cableado de control de funcionamiento, se adecuan cableados de comunicación entre los dis diferenciales, ya que se encuentra uno abierto y uno intercambiado y ademas contacto NC de final de carrea up de polipasto abierto, se realizan pruebas, se armo nuevamente, se cambio control y cable mando, quedo en operacio"/>
    <x v="1"/>
    <s v="NA"/>
    <x v="2"/>
    <x v="0"/>
    <d v="1899-12-30T02:20:00"/>
    <d v="2025-12-29T16:00:00"/>
    <d v="2025-12-30T08:20:00"/>
    <d v="1899-12-30T16:20:00"/>
  </r>
  <r>
    <n v="455"/>
    <s v="R. OLIVARES"/>
    <d v="1899-12-30T20:40:00"/>
    <x v="73"/>
    <s v="EXTRUSORA 5"/>
    <m/>
    <s v="Fuga de agua manguera de la transmision, tornillo ¨B¨ y corto del succionador de refile"/>
    <d v="1899-12-30T20:40:00"/>
    <d v="1899-12-30T21:12:00"/>
    <x v="57"/>
    <s v="Eléctrica"/>
    <s v="Se realiza empalme en cableado succionador del refile, presento corto, se ajusto manguera en caja tornillo ¨B¨"/>
    <x v="1"/>
    <s v="NA"/>
    <x v="1"/>
    <x v="0"/>
    <d v="1899-12-30T00:32:00"/>
    <d v="2025-12-29T20:40:00"/>
    <d v="2025-12-29T21:12:00"/>
    <d v="1899-12-30T00:32:00"/>
  </r>
  <r>
    <n v="456"/>
    <s v="O. ALVARES"/>
    <d v="1899-12-30T15:45:00"/>
    <x v="74"/>
    <s v="SELLADORA"/>
    <s v="Puntual"/>
    <s v="Corto en el bloyer"/>
    <d v="1899-12-30T15:50:00"/>
    <d v="1899-12-30T16:00:00"/>
    <x v="58"/>
    <s v="Eléctrica"/>
    <s v="Aislamiento de corto y reparación"/>
    <x v="1"/>
    <s v="Cinta aislante"/>
    <x v="9"/>
    <x v="0"/>
    <d v="1899-12-30T00:10:00"/>
    <d v="2026-01-05T15:45:00"/>
    <d v="2025-01-05T16:00:00"/>
    <n v="-364.98958333333576"/>
  </r>
  <r>
    <n v="457"/>
    <s v="H. TRIANA"/>
    <d v="1899-12-30T15:50:00"/>
    <x v="67"/>
    <s v="EXTRUSORA 2"/>
    <s v="Repetitiva"/>
    <s v="Recalentamiento en tornillos, se suben 60 grados aprox"/>
    <m/>
    <m/>
    <x v="3"/>
    <m/>
    <m/>
    <x v="4"/>
    <m/>
    <x v="4"/>
    <x v="2"/>
    <d v="1899-12-30T00:00:00"/>
    <d v="2025-12-30T15:50:00"/>
    <d v="1899-12-30T00:00:00"/>
    <n v="-46021.659722222219"/>
  </r>
  <r>
    <n v="458"/>
    <s v="H. TRIANA"/>
    <d v="1899-12-30T06:06:00"/>
    <x v="75"/>
    <s v="EXTRUSORA 2"/>
    <s v="Puntual"/>
    <s v="Tornillos dañados de la tolva interior"/>
    <m/>
    <m/>
    <x v="3"/>
    <s v="Mecánica"/>
    <s v="Se revisa roscas se rectifica y se cambia tornillares, se da ajuste"/>
    <x v="1"/>
    <s v="Tornillos m6 x 50 mm"/>
    <x v="1"/>
    <x v="0"/>
    <d v="1899-12-30T00:00:00"/>
    <d v="2025-12-31T06:06:00"/>
    <d v="1899-12-30T00:00:00"/>
    <n v="-46022.254166666666"/>
  </r>
  <r>
    <n v="459"/>
    <s v="R. OLIVARES"/>
    <d v="1899-12-30T18:20:00"/>
    <x v="67"/>
    <s v="EXTRUSORA 3"/>
    <m/>
    <s v="Son de la voquilla del molde coex 3 no esta calentando"/>
    <d v="1899-12-30T18:25:00"/>
    <d v="1899-12-30T19:08:00"/>
    <x v="51"/>
    <s v="Eléctrica"/>
    <s v="Reconexión de resistencia ya que estaba haciendo mal contacto"/>
    <x v="1"/>
    <s v="NA"/>
    <x v="9"/>
    <x v="0"/>
    <d v="1899-12-30T00:43:00"/>
    <d v="2025-12-30T18:20:00"/>
    <d v="2025-12-30T19:08:00"/>
    <d v="1899-12-30T00:48:00"/>
  </r>
  <r>
    <n v="460"/>
    <s v="R. OLIVARES"/>
    <d v="1899-12-30T20:30:00"/>
    <x v="67"/>
    <s v="EXTRUSORA 3"/>
    <m/>
    <s v="Son del molde coex 3 se recalento y no baja la temperatura"/>
    <d v="1899-12-30T21:50:00"/>
    <d v="1899-12-30T22:10:00"/>
    <x v="51"/>
    <s v="Eléctrica"/>
    <s v="Cambió de rele estado solido"/>
    <x v="63"/>
    <s v="Relé estado solido XSSR - DA2440W1"/>
    <x v="9"/>
    <x v="0"/>
    <d v="1899-12-30T00:20:00"/>
    <d v="2025-12-30T20:30:00"/>
    <d v="2025-12-30T22:10:00"/>
    <d v="1899-12-30T01:40:00"/>
  </r>
  <r>
    <n v="461"/>
    <s v="R. MEJIA"/>
    <d v="1899-12-30T22:00:00"/>
    <x v="67"/>
    <s v="IMPRESORA 1"/>
    <m/>
    <s v="Los adaptadores del porta elisé se salen dejando rodamiento en el aire provocando falla en la compresión"/>
    <d v="1899-12-30T22:11:00"/>
    <d v="1899-12-30T22:30:00"/>
    <x v="51"/>
    <s v="Mecánica"/>
    <s v="Aplicar trabarosca para que no se corra de sitio"/>
    <x v="1"/>
    <s v="Trabarosca"/>
    <x v="9"/>
    <x v="0"/>
    <d v="1899-12-30T00:19:00"/>
    <d v="2025-12-30T22:00:00"/>
    <d v="2025-12-30T22:30:00"/>
    <d v="1899-12-30T00:30:00"/>
  </r>
  <r>
    <n v="462"/>
    <s v="R. MEJIA"/>
    <d v="1899-12-30T00:10:00"/>
    <x v="67"/>
    <s v="IMPRESORA 1"/>
    <m/>
    <s v="Se daño rodamiento bobinador exactamente el rodamiento donde se va el eje neumatico"/>
    <d v="1899-12-30T12:30:00"/>
    <d v="1899-12-30T01:08:00"/>
    <x v="3"/>
    <s v="Mecánica"/>
    <s v="Cambios reemplazar rodamiento"/>
    <x v="64"/>
    <s v="Rodamiento"/>
    <x v="9"/>
    <x v="0"/>
    <n v="-0.47361111111111115"/>
    <d v="2025-12-30T00:10:00"/>
    <d v="1899-12-30T01:08:00"/>
    <n v="-46020.959722222222"/>
  </r>
  <r>
    <n v="463"/>
    <s v="R. MEJIA"/>
    <d v="1899-12-30T01:53:00"/>
    <x v="75"/>
    <s v="IMPRESORA 1"/>
    <m/>
    <s v="Problemas con la diferencial"/>
    <d v="1899-12-30T02:10:00"/>
    <d v="1899-12-30T08:30:00"/>
    <x v="59"/>
    <s v="Mecánica"/>
    <s v="Se revisa la diferencial de diagnostico, es atascamiento por daño en el resorte de presion lado izquierdo, se debe bajar todo el diferencial/ para su cambio"/>
    <x v="1"/>
    <s v="NA"/>
    <x v="10"/>
    <x v="0"/>
    <d v="1899-12-30T06:20:00"/>
    <d v="2025-12-31T01:53:00"/>
    <d v="2026-01-02T08:30:00"/>
    <d v="1900-01-01T06:37:00"/>
  </r>
  <r>
    <n v="464"/>
    <s v="R. OLIVARES"/>
    <d v="1899-12-30T00:30:00"/>
    <x v="75"/>
    <s v="EXTRUSORA 5"/>
    <m/>
    <s v="Se apago el chiller y la maquina coex 5 se empezo a calentar y a descalibrar"/>
    <d v="1899-12-30T00:35:00"/>
    <d v="1899-12-30T08:00:00"/>
    <x v="59"/>
    <s v="Eléctrica"/>
    <s v="Se revisa chiller, se identifica alarma, se hace procedimiento para reset pero no se resetea por multiples resets"/>
    <x v="1"/>
    <s v="NA"/>
    <x v="9"/>
    <x v="0"/>
    <d v="1899-12-30T07:25:00"/>
    <d v="2025-12-31T00:30:00"/>
    <d v="2026-01-02T08:00:00"/>
    <d v="1900-01-01T07:30:00"/>
  </r>
  <r>
    <n v="465"/>
    <s v="S. CARDENAL"/>
    <d v="1899-12-30T06:20:00"/>
    <x v="76"/>
    <s v="SELLADORA 2"/>
    <m/>
    <s v="Rodillo del transportador dañado"/>
    <d v="1899-12-30T06:30:00"/>
    <d v="1899-12-30T07:00:00"/>
    <x v="59"/>
    <s v="Mecánica"/>
    <s v="Se interviene maquina 6:30, se realizo desmonte y cambio de rodamiento 6001, se realiza montaje quedo en operación"/>
    <x v="1"/>
    <s v="NA"/>
    <x v="2"/>
    <x v="0"/>
    <d v="1899-12-30T00:30:00"/>
    <d v="2026-01-02T06:20:00"/>
    <d v="2026-01-02T07:00:00"/>
    <d v="1899-12-30T00:40:00"/>
  </r>
  <r>
    <n v="466"/>
    <s v="S. CARDENAL"/>
    <d v="1899-12-30T09:10:00"/>
    <x v="76"/>
    <s v="SELLADORA 2"/>
    <m/>
    <s v="Rodillo antes del halador dañado"/>
    <d v="1899-12-30T09:40:00"/>
    <d v="1899-12-30T09:55:00"/>
    <x v="59"/>
    <s v="Mecánica"/>
    <s v="Rodillo dañado, se interviene, ajusta posición de rodamientos y se instalo pin segger 8mm, quedo en operación"/>
    <x v="1"/>
    <s v="NA"/>
    <x v="2"/>
    <x v="0"/>
    <d v="1899-12-30T00:15:00"/>
    <d v="2026-01-02T09:10:00"/>
    <d v="2026-01-02T09:55:00"/>
    <d v="1899-12-30T00:45:00"/>
  </r>
  <r>
    <n v="467"/>
    <s v="B. GAITAN"/>
    <d v="1899-12-30T10:15:00"/>
    <x v="76"/>
    <s v="Otro"/>
    <s v="Repetitiva"/>
    <s v="Fuga de liquido de frenos, rueda de tracción izquierda de equipo inactivo montacarga, IAC planta 2"/>
    <d v="1899-12-30T07:00:00"/>
    <d v="1899-12-30T09:00:00"/>
    <x v="59"/>
    <s v="Mecánica"/>
    <s v="Se recibe al proveedor para revisar los frenos, queda operativa"/>
    <x v="1"/>
    <s v="NA"/>
    <x v="1"/>
    <x v="0"/>
    <d v="1899-12-30T02:00:00"/>
    <d v="2026-01-02T10:15:00"/>
    <d v="2026-01-02T09:00:00"/>
    <n v="-5.2083333335758653E-2"/>
  </r>
  <r>
    <n v="468"/>
    <s v="B. GAITAN"/>
    <d v="1899-12-30T10:15:00"/>
    <x v="76"/>
    <s v="Otro"/>
    <s v="Repetitiva"/>
    <s v="Desprendimiento parrilla protectora carro portahorquillas, se evidencia que esta partida, montacarga electrica planta 1"/>
    <m/>
    <m/>
    <x v="3"/>
    <m/>
    <m/>
    <x v="4"/>
    <m/>
    <x v="4"/>
    <x v="1"/>
    <d v="1899-12-30T00:00:00"/>
    <d v="2026-01-02T10:15:00"/>
    <d v="1899-12-30T00:00:00"/>
    <n v="-46024.427083333336"/>
  </r>
  <r>
    <n v="469"/>
    <s v="R. OLIVARES"/>
    <d v="1899-12-30T08:30:00"/>
    <x v="76"/>
    <s v="EXTRUSORA 5"/>
    <s v="Puntual"/>
    <s v="Correa halador partida"/>
    <d v="1899-12-30T08:30:00"/>
    <d v="1899-12-30T09:30:00"/>
    <x v="59"/>
    <s v="Mecánica"/>
    <s v="Queda parada por falta de correas en el inventario_x000a_Se busca correa de backout en el taller, se encuentra, se hace requisición para la compra equipo"/>
    <x v="1"/>
    <s v="NA"/>
    <x v="1"/>
    <x v="2"/>
    <d v="1899-12-30T01:00:00"/>
    <d v="2026-01-02T08:30:00"/>
    <d v="2026-01-02T09:30:00"/>
    <d v="1899-12-30T01:00:00"/>
  </r>
  <r>
    <n v="470"/>
    <s v="R. ALVARES"/>
    <d v="1899-12-30T08:30:00"/>
    <x v="76"/>
    <s v="EXTRUSORA"/>
    <m/>
    <s v="Correas de molino de refile dañadas"/>
    <d v="1899-12-30T08:30:00"/>
    <d v="1899-12-30T09:10:00"/>
    <x v="59"/>
    <s v="Mecánica"/>
    <s v="Se realizo cambio de correas B38(x3), se realizan pruebas en vacio y quedo listo para arranque"/>
    <x v="65"/>
    <s v="Correas B38"/>
    <x v="2"/>
    <x v="0"/>
    <d v="1899-12-30T00:40:00"/>
    <d v="2026-01-02T08:30:00"/>
    <d v="2026-01-02T09:10:00"/>
    <d v="1899-12-30T00:40:00"/>
  </r>
  <r>
    <n v="471"/>
    <s v="L. GALVIS"/>
    <d v="1899-12-30T08:05:00"/>
    <x v="76"/>
    <s v="EXTRUSORA 1"/>
    <m/>
    <s v="No enciende el variador del halador"/>
    <d v="1899-12-30T08:05:00"/>
    <d v="1899-12-30T08:25:00"/>
    <x v="59"/>
    <s v="Mecánica"/>
    <s v="Se realizo ajuste de conexiones electricas, se realizo reset y quedo en operación"/>
    <x v="1"/>
    <s v="NA"/>
    <x v="2"/>
    <x v="0"/>
    <d v="1899-12-30T00:20:00"/>
    <d v="2026-01-02T08:05:00"/>
    <d v="2026-01-02T08:25:00"/>
    <d v="1899-12-30T00:20:00"/>
  </r>
  <r>
    <n v="472"/>
    <s v="S. CARDENAL"/>
    <d v="1899-12-30T12:20:00"/>
    <x v="76"/>
    <s v="SELLADORA 2"/>
    <m/>
    <s v="Termocupla dañada"/>
    <d v="1899-12-30T12:20:00"/>
    <d v="1899-12-30T12:30:00"/>
    <x v="59"/>
    <s v="Electrica"/>
    <s v="Se realizo cambio de termocupla tipo j de mordaza superior, quedo en operación"/>
    <x v="1"/>
    <s v="NA"/>
    <x v="9"/>
    <x v="0"/>
    <d v="1899-12-30T00:10:00"/>
    <d v="2026-01-02T12:20:00"/>
    <d v="2026-01-02T12:30:00"/>
    <d v="1899-12-30T00:10:00"/>
  </r>
  <r>
    <n v="473"/>
    <m/>
    <m/>
    <x v="3"/>
    <m/>
    <m/>
    <m/>
    <m/>
    <m/>
    <x v="3"/>
    <m/>
    <m/>
    <x v="4"/>
    <m/>
    <x v="4"/>
    <x v="1"/>
    <d v="1899-12-30T00:00:00"/>
    <d v="1899-12-30T00:00:00"/>
    <d v="1899-12-30T00:00:00"/>
    <d v="1899-12-30T00:00:00"/>
  </r>
  <r>
    <n v="474"/>
    <s v="H. TRIANA"/>
    <m/>
    <x v="76"/>
    <s v="Otro"/>
    <s v="Puntual"/>
    <s v="Falla bascula"/>
    <m/>
    <m/>
    <x v="3"/>
    <m/>
    <m/>
    <x v="4"/>
    <m/>
    <x v="4"/>
    <x v="2"/>
    <d v="1899-12-30T00:00:00"/>
    <d v="2026-01-02T00:00:00"/>
    <d v="1899-12-30T00:00:00"/>
    <n v="-46024"/>
  </r>
  <r>
    <n v="475"/>
    <s v="S. CARDENAL"/>
    <d v="1899-12-30T06:30:00"/>
    <x v="39"/>
    <s v="SELLADORA 2"/>
    <m/>
    <s v="Termocupla partida y rodillo pegando a las correas"/>
    <m/>
    <d v="1899-12-30T11:30:00"/>
    <x v="60"/>
    <s v="Mecánica"/>
    <s v="Ajustar altura del rodillo, cambio de termocupla, se hace nuevamente roscado, ajustE y pruebas"/>
    <x v="1"/>
    <s v="Termocupla y tornillos 5mmx 20mm"/>
    <x v="1"/>
    <x v="0"/>
    <d v="1899-12-30T11:30:00"/>
    <d v="2026-01-03T06:30:00"/>
    <d v="2026-01-03T11:30:00"/>
    <d v="1899-12-30T05:00:00"/>
  </r>
  <r>
    <n v="476"/>
    <s v="R. OLIVARES"/>
    <d v="1899-12-30T18:30:00"/>
    <x v="39"/>
    <s v="EXTRUSORA 3"/>
    <m/>
    <s v="Son 2 portamallas interior no sube temperatura"/>
    <d v="1899-12-30T18:30:00"/>
    <d v="1899-12-30T19:30:00"/>
    <x v="60"/>
    <s v="Eléctrica"/>
    <s v="Se cambia control temperatura, termocupla, relé estado solido, se toman consumos, esta sobre parametros de trabajo, se hace seguimiento. Se revisa circuito de control y de potencia, se ajustan conexiones, se parametriza controlador para operar con SSR y poder cerrar el circuito con el rele estado solido"/>
    <x v="4"/>
    <s v="Pinza amperimetrica, destornilladores"/>
    <x v="1"/>
    <x v="0"/>
    <d v="1899-12-30T01:00:00"/>
    <d v="2026-01-03T18:30:00"/>
    <d v="2026-01-03T19:30:00"/>
    <d v="1899-12-30T01:00:00"/>
  </r>
  <r>
    <n v="477"/>
    <s v="Y. BERNAL"/>
    <d v="1899-12-30T17:30:00"/>
    <x v="39"/>
    <s v="Otro"/>
    <s v="Repetitiva"/>
    <s v="Se reporta cambio de empaque y mantenimiento general de chumaseras, mezclador externo y revisar ruido fuerte al encender mezclador"/>
    <d v="1899-12-30T20:00:00"/>
    <d v="1899-12-30T21:00:00"/>
    <x v="60"/>
    <s v="Mecánica"/>
    <s v="Se realizo cambio de chumacera UCF 208-S7 , inferior , se fabrico empaque en papel humedo y se instalo, se tensionan correas de transmisión y se lubrica chumacera superio, se realizan pruebas"/>
    <x v="1"/>
    <s v="NA"/>
    <x v="2"/>
    <x v="0"/>
    <d v="1899-12-30T01:00:00"/>
    <d v="2026-01-03T17:30:00"/>
    <d v="2026-01-03T21:00:00"/>
    <d v="1899-12-30T03:30:00"/>
  </r>
  <r>
    <n v="478"/>
    <s v="S. CARDENAL"/>
    <d v="1899-12-30T07:40:00"/>
    <x v="77"/>
    <s v="SELLADORA 1"/>
    <m/>
    <s v="Racor dañado de un perforador"/>
    <d v="1899-12-30T08:35:00"/>
    <d v="1899-12-30T08:45:00"/>
    <x v="61"/>
    <s v="Mecánica"/>
    <s v="Racor M6 averiado, se realiza cambio por nuevo quedando OK, se atiende despues de la hora en TPM por intervención"/>
    <x v="66"/>
    <s v="NA"/>
    <x v="3"/>
    <x v="0"/>
    <d v="1899-12-30T00:10:00"/>
    <d v="2026-01-04T07:40:00"/>
    <d v="2026-01-04T08:45:00"/>
    <d v="1899-12-30T01:05:00"/>
  </r>
  <r>
    <n v="479"/>
    <s v="L. GALVIS"/>
    <d v="1899-12-30T07:30:00"/>
    <x v="77"/>
    <s v="Otro"/>
    <m/>
    <s v="Motor no arranca del tornillo con una falla en el variador"/>
    <d v="1899-12-30T07:30:00"/>
    <d v="1899-12-30T12:10:00"/>
    <x v="61"/>
    <s v="Eléctrica"/>
    <s v="Variador presenta fallas por corto, se inspecciona circuito encontrando ventilador, ventilación forzada motor tornillo, se desmonta y se colocan aspas que se tenian en stock del motor COEX5 quedando OK"/>
    <x v="67"/>
    <s v="NA"/>
    <x v="3"/>
    <x v="0"/>
    <d v="1899-12-30T04:40:00"/>
    <d v="2026-01-04T07:30:00"/>
    <d v="2026-01-04T12:10:00"/>
    <d v="1899-12-30T04:40:00"/>
  </r>
  <r>
    <n v="480"/>
    <s v="M. MARTINEZ"/>
    <d v="1899-12-30T20:45:00"/>
    <x v="77"/>
    <s v="SELLADORA 3"/>
    <m/>
    <s v="Rodillos y carretes no giran"/>
    <d v="1899-12-30T20:45:00"/>
    <d v="1899-12-30T21:15:00"/>
    <x v="61"/>
    <s v="Mecánica"/>
    <s v="Se ajustan piñones en ejes de carretes, quedan operativos"/>
    <x v="1"/>
    <s v="NA"/>
    <x v="1"/>
    <x v="0"/>
    <d v="1899-12-30T00:30:00"/>
    <d v="2026-01-04T20:45:00"/>
    <d v="2026-01-04T21:15:00"/>
    <d v="1899-12-30T00:30:00"/>
  </r>
  <r>
    <n v="481"/>
    <s v="O. VALENCIA"/>
    <m/>
    <x v="77"/>
    <s v="Otro"/>
    <s v="Puntual"/>
    <s v="Daño en agitador de tolva alimentación extrusora"/>
    <m/>
    <m/>
    <x v="3"/>
    <s v="Mecánica"/>
    <s v="Se revisa, se encuentra daño en caja reductora de agitador tolva alimentación"/>
    <x v="1"/>
    <s v="NA"/>
    <x v="4"/>
    <x v="2"/>
    <d v="1899-12-30T00:00:00"/>
    <d v="2026-01-04T00:00:00"/>
    <d v="1899-12-30T00:00:00"/>
    <n v="-46026"/>
  </r>
  <r>
    <n v="482"/>
    <s v="C. BARAJAS"/>
    <d v="1899-12-30T07:00:00"/>
    <x v="74"/>
    <s v="SELLADORA"/>
    <m/>
    <s v="Falla en termocupla"/>
    <d v="1899-12-30T07:00:00"/>
    <d v="1899-12-30T07:30:00"/>
    <x v="62"/>
    <s v="Eléctrica"/>
    <s v="Se realizo cambio de termocupla"/>
    <x v="1"/>
    <s v="Termocupla"/>
    <x v="11"/>
    <x v="0"/>
    <d v="1899-12-30T00:30:00"/>
    <d v="2026-01-05T07:00:00"/>
    <d v="2026-01-05T07:30:00"/>
    <d v="1899-12-30T00:30:00"/>
  </r>
  <r>
    <n v="483"/>
    <s v="H. TRIANA"/>
    <d v="1899-12-30T19:00:00"/>
    <x v="78"/>
    <s v="EXTRUSORA 2"/>
    <m/>
    <s v="Cable de conexión resistencia molde hizo corto"/>
    <d v="1899-12-30T19:00:00"/>
    <d v="1899-12-30T19:20:00"/>
    <x v="63"/>
    <s v="Eléctrica"/>
    <s v="Se encuentra cable de conexción de resistencia de molde desconectado y sin terminal, se instalo terminal de ojo y se coloco en operación"/>
    <x v="1"/>
    <s v="NA"/>
    <x v="11"/>
    <x v="0"/>
    <d v="1899-12-30T00:20:00"/>
    <d v="2026-01-06T19:00:00"/>
    <d v="2026-01-06T19:20:00"/>
    <d v="1899-12-30T00:20:00"/>
  </r>
  <r>
    <n v="484"/>
    <s v="R. MEJIA"/>
    <d v="1899-12-30T08:40:00"/>
    <x v="74"/>
    <s v="IMPRESORA 1"/>
    <s v="Puntual"/>
    <s v="Seguro del eje rebobinador se le partieron los tornillos"/>
    <d v="1899-12-30T08:50:00"/>
    <d v="1899-12-30T09:30:00"/>
    <x v="62"/>
    <s v="Mecánica"/>
    <s v="Se remplaza tornillo, se debe hacer roca ya que quedo una mitad adentro"/>
    <x v="68"/>
    <s v="Tornillo m10"/>
    <x v="10"/>
    <x v="0"/>
    <d v="1899-12-30T00:40:00"/>
    <d v="2026-01-05T08:40:00"/>
    <d v="2026-01-05T09:30:00"/>
    <d v="1899-12-30T00:50:00"/>
  </r>
  <r>
    <n v="485"/>
    <s v="S. CARDENAL"/>
    <d v="1899-12-30T14:55:00"/>
    <x v="74"/>
    <s v="SELLADORA 3"/>
    <m/>
    <s v="Servo no aprieta"/>
    <d v="1899-12-30T15:00:00"/>
    <d v="1899-12-30T15:30:00"/>
    <x v="62"/>
    <s v="Mecánica"/>
    <s v="Se instalo tornillo avellanado M10 x 20 mm, de resorte de ajuste de mordaza de servo, quedo en operación"/>
    <x v="69"/>
    <s v="NA"/>
    <x v="2"/>
    <x v="0"/>
    <d v="1899-12-30T00:30:00"/>
    <d v="2026-01-05T14:55:00"/>
    <d v="2026-01-05T15:30:00"/>
    <d v="1899-12-30T00:35:00"/>
  </r>
  <r>
    <n v="486"/>
    <m/>
    <m/>
    <x v="3"/>
    <m/>
    <m/>
    <m/>
    <m/>
    <m/>
    <x v="3"/>
    <m/>
    <m/>
    <x v="4"/>
    <m/>
    <x v="4"/>
    <x v="1"/>
    <d v="1899-12-30T00:00:00"/>
    <d v="1899-12-30T00:00:00"/>
    <d v="1899-12-30T00:00:00"/>
    <d v="1899-12-30T00:00:00"/>
  </r>
  <r>
    <n v="487"/>
    <s v="L. GARZON"/>
    <d v="1899-12-30T01:05:00"/>
    <x v="78"/>
    <s v="SELLADORA 2"/>
    <m/>
    <s v="Maquina se apaga constantemente"/>
    <d v="1899-12-30T01:05:00"/>
    <d v="1899-12-30T01:20:00"/>
    <x v="63"/>
    <s v="Eléctrica"/>
    <s v="Se realiza reset a la maquina y se hace ajuste a conectores de pantalla"/>
    <x v="1"/>
    <s v="NA"/>
    <x v="3"/>
    <x v="0"/>
    <d v="1899-12-30T00:15:00"/>
    <d v="2026-01-06T01:05:00"/>
    <d v="2026-01-06T01:20:00"/>
    <d v="1899-12-30T00:15:00"/>
  </r>
  <r>
    <n v="488"/>
    <s v="R. MEJIA"/>
    <d v="1899-12-30T11:25:00"/>
    <x v="78"/>
    <s v="IMPRESORA 1"/>
    <m/>
    <s v="Quedo inactiva la impresora, no funciona para arrancar e imprimir"/>
    <d v="1899-12-30T11:25:00"/>
    <m/>
    <x v="63"/>
    <s v="Eléctrica"/>
    <s v="Se verifica la falla encontrando dos conectores de potencia y 2 pulsadores de control averiados"/>
    <x v="70"/>
    <s v="NA"/>
    <x v="5"/>
    <x v="0"/>
    <n v="-0.47569444444444442"/>
    <d v="2026-01-06T11:25:00"/>
    <d v="2026-01-06T00:00:00"/>
    <n v="-0.47569444444525288"/>
  </r>
  <r>
    <n v="489"/>
    <m/>
    <m/>
    <x v="3"/>
    <m/>
    <m/>
    <m/>
    <m/>
    <m/>
    <x v="3"/>
    <m/>
    <m/>
    <x v="4"/>
    <m/>
    <x v="4"/>
    <x v="1"/>
    <d v="1899-12-30T00:00:00"/>
    <d v="1899-12-30T00:00:00"/>
    <d v="1899-12-30T00:00:00"/>
    <d v="1899-12-30T00:00:00"/>
  </r>
  <r>
    <n v="490"/>
    <s v="H. TRIANA"/>
    <d v="1899-12-30T18:20:00"/>
    <x v="78"/>
    <s v="EXTRUSORA 2"/>
    <m/>
    <s v="Se solicitan tornillos para molde, Tornillo de molde no suelta ya que no se cuenta con llave"/>
    <d v="1899-12-30T18:20:00"/>
    <d v="1899-12-30T20:00:00"/>
    <x v="63"/>
    <s v="Mecánica"/>
    <s v="Se entregan 5 tornillos M14 con fabricación de lo pinta para ajuste en molde. Se encuentra tornillo de molde con cuadrante rodado, tornillo 9/16 x 2´´, se solda cuadrante a tornillo ya que no contamos con stock de esta referencia, se requiere rectifica las roscas de este molde"/>
    <x v="1"/>
    <s v="NA"/>
    <x v="2"/>
    <x v="0"/>
    <d v="1899-12-30T01:40:00"/>
    <d v="2026-01-06T18:20:00"/>
    <d v="2026-01-06T20:00:00"/>
    <d v="1899-12-30T01:40:00"/>
  </r>
  <r>
    <n v="491"/>
    <s v="S. PATIÑO"/>
    <d v="1899-12-30T20:00:00"/>
    <x v="78"/>
    <s v="EXTRUSORA 5"/>
    <m/>
    <s v="Brazo de alimentación no retorna"/>
    <d v="1899-12-30T20:30:00"/>
    <d v="1899-12-30T21:00:00"/>
    <x v="63"/>
    <s v="Mecánica"/>
    <s v="Se realizo ajuste y lubricación de guia de brazo de alimentaciónya que no esta retornando, no generó para y quedó en operación"/>
    <x v="1"/>
    <s v="NA"/>
    <x v="2"/>
    <x v="0"/>
    <d v="1899-12-30T00:30:00"/>
    <d v="2026-01-06T20:00:00"/>
    <d v="2026-01-06T21:00:00"/>
    <d v="1899-12-30T01:00:00"/>
  </r>
  <r>
    <n v="492"/>
    <s v="H. TRIANA"/>
    <d v="1899-12-30T21:40:00"/>
    <x v="78"/>
    <s v="EXTRUSORA 2"/>
    <m/>
    <s v="Temperatura molde baja"/>
    <d v="1899-12-30T21:40:00"/>
    <d v="1899-12-30T22:00:00"/>
    <x v="63"/>
    <s v="Eléctrica"/>
    <s v="Se realiza cambió de relé estado solido ya que se encuentra dañado, abierto, se realizan pruebas y quedo en operación"/>
    <x v="1"/>
    <s v="NA"/>
    <x v="2"/>
    <x v="0"/>
    <d v="1899-12-30T00:20:00"/>
    <d v="2026-01-06T21:40:00"/>
    <d v="2026-01-06T22:00:00"/>
    <d v="1899-12-30T00:20:00"/>
  </r>
  <r>
    <n v="493"/>
    <s v="H. TRIANA"/>
    <d v="1899-12-30T05:00:00"/>
    <x v="79"/>
    <s v="EXTRUSORA 2"/>
    <s v="Puntual"/>
    <s v="Revisar rodillo banana, que presenta bote y arruga material"/>
    <m/>
    <m/>
    <x v="3"/>
    <m/>
    <m/>
    <x v="4"/>
    <m/>
    <x v="4"/>
    <x v="2"/>
    <d v="1899-12-30T00:00:00"/>
    <d v="2026-01-07T05:00:00"/>
    <d v="1899-12-30T00:00:00"/>
    <n v="-46029.208333333336"/>
  </r>
  <r>
    <n v="494"/>
    <s v="Y. BERNAL"/>
    <d v="1899-12-30T09:20:00"/>
    <x v="79"/>
    <s v="Otro"/>
    <s v="Repetitiva"/>
    <s v="Se reporta a mantenimiento por recalentamiento de amterial mezclador externo"/>
    <m/>
    <m/>
    <x v="3"/>
    <m/>
    <m/>
    <x v="4"/>
    <m/>
    <x v="4"/>
    <x v="2"/>
    <d v="1899-12-30T00:00:00"/>
    <d v="2026-01-07T09:20:00"/>
    <d v="1899-12-30T00:00:00"/>
    <n v="-46029.388888888891"/>
  </r>
  <r>
    <n v="495"/>
    <s v="K. RAMOS"/>
    <d v="1899-12-30T11:10:00"/>
    <x v="79"/>
    <s v="EXTRUSORA 5"/>
    <s v="Puntual"/>
    <s v="Falla en el corte de la pelicual"/>
    <m/>
    <m/>
    <x v="3"/>
    <m/>
    <m/>
    <x v="4"/>
    <m/>
    <x v="4"/>
    <x v="2"/>
    <d v="1899-12-30T00:00:00"/>
    <d v="2026-01-07T11:10:00"/>
    <d v="1899-12-30T00:00:00"/>
    <n v="-46029.465277777781"/>
  </r>
  <r>
    <n v="496"/>
    <s v="S. CARDENAL"/>
    <d v="1899-12-30T18:20:00"/>
    <x v="79"/>
    <s v="SELLADORA 2"/>
    <m/>
    <s v="Bse de perforadores desoldada y  tornilleria en mal estado"/>
    <d v="1899-12-30T18:20:00"/>
    <d v="1899-12-30T19:15:00"/>
    <x v="63"/>
    <s v="Mecánica"/>
    <s v="Se aplica soldadura, se refuerza con platinas, se extraen tornillos rotos y se cambia los que estan en mal estado"/>
    <x v="71"/>
    <s v="Soldadura "/>
    <x v="1"/>
    <x v="0"/>
    <d v="1899-12-30T00:55:00"/>
    <d v="2026-01-07T18:20:00"/>
    <d v="2026-01-06T19:15:00"/>
    <n v="-0.96180555555474712"/>
  </r>
  <r>
    <n v="497"/>
    <s v="H. TRIANA"/>
    <d v="1899-12-30T06:40:00"/>
    <x v="29"/>
    <s v="EXTRUSORA 2"/>
    <s v="Puntual"/>
    <s v="No enciende el tratador"/>
    <d v="1899-12-30T06:40:00"/>
    <d v="1899-12-30T08:30:00"/>
    <x v="64"/>
    <s v="Eléctrica"/>
    <s v="Se intercambia tratador coex 4 a coex 2, ya que no deja subir potencia, se reviso y no se encuentra la falla, quedo trabajando coex 02, con el tratador de coex 04, se entrega 8:05, se realizo acompañamiento en el arranque hasta 8:30"/>
    <x v="1"/>
    <s v="NA"/>
    <x v="2"/>
    <x v="0"/>
    <d v="1899-12-30T01:50:00"/>
    <d v="2026-01-08T06:40:00"/>
    <d v="2026-01-08T08:30:00"/>
    <d v="1899-12-30T01:50:00"/>
  </r>
  <r>
    <n v="498"/>
    <s v="R. OLIVARES"/>
    <d v="1899-12-30T08:30:00"/>
    <x v="29"/>
    <s v="EXTRUSORA 5"/>
    <s v="Puntual"/>
    <s v="Zona 10 tornillo A baja temperatura"/>
    <d v="1899-12-30T08:40:00"/>
    <d v="1899-12-30T09:00:00"/>
    <x v="64"/>
    <s v="Eléctrica"/>
    <s v="Se encuentra zona baja temperatura se inspecciona estado conectores resistencia y rele estado solido ya que breaker esta disparado, se reseteo y se realiza seguimiento"/>
    <x v="1"/>
    <s v="NA"/>
    <x v="2"/>
    <x v="0"/>
    <d v="1899-12-30T00:20:00"/>
    <d v="2026-01-08T08:30:00"/>
    <d v="2026-01-08T09:00:00"/>
    <d v="1899-12-30T00:30:00"/>
  </r>
  <r>
    <n v="499"/>
    <s v="C. BARAJAS"/>
    <d v="1899-12-30T11:25:00"/>
    <x v="29"/>
    <s v="SELLADORA 3"/>
    <s v="Puntual"/>
    <s v="Daño en la base de los perforadores"/>
    <d v="1899-12-30T11:25:00"/>
    <d v="1899-12-30T11:45:00"/>
    <x v="64"/>
    <s v="Mecánica"/>
    <s v="Se cambió tornillo M10 x 20mm"/>
    <x v="72"/>
    <s v="NA"/>
    <x v="2"/>
    <x v="0"/>
    <d v="1899-12-30T00:20:00"/>
    <d v="2026-01-08T11:25:00"/>
    <d v="2026-01-08T11:45:00"/>
    <d v="1899-12-30T00:20:00"/>
  </r>
  <r>
    <n v="500"/>
    <s v="L. GARZON"/>
    <d v="1899-12-30T23:40:00"/>
    <x v="29"/>
    <s v="SELLADORA 2"/>
    <s v="Puntual"/>
    <s v="Se solicita sacar filo a la cuchilla e instalar termocupla"/>
    <d v="1899-12-30T23:50:00"/>
    <d v="1899-12-30T00:10:00"/>
    <x v="65"/>
    <s v="Eléctrica"/>
    <s v="Se remplaza la termocupla ya que la otra estaba dañada y se afilo la cuhcilla"/>
    <x v="1"/>
    <s v="Termocupla"/>
    <x v="9"/>
    <x v="0"/>
    <n v="-0.98611111111111116"/>
    <d v="2026-01-08T23:40:00"/>
    <d v="2026-01-09T00:10:00"/>
    <d v="1899-12-30T00:30:00"/>
  </r>
  <r>
    <n v="501"/>
    <s v="H. TRIANA"/>
    <d v="1899-12-30T17:00:00"/>
    <x v="29"/>
    <s v="EXTRUSORA 2"/>
    <s v="Puntual"/>
    <s v="Falla en temperaturas"/>
    <d v="1899-12-30T17:00:00"/>
    <d v="1899-12-30T17:50:00"/>
    <x v="64"/>
    <s v="Eléctrica"/>
    <s v="Revisión de relé estado solido operativo, revisión resistencias operativas, revisión cableado, no se encuentra en mal estado. Contactor se evidencia que se pega y no se enclava bien, se despega, queda en seguimiento"/>
    <x v="1"/>
    <s v="NA"/>
    <x v="1"/>
    <x v="0"/>
    <d v="1899-12-30T00:50:00"/>
    <d v="2026-01-08T17:00:00"/>
    <d v="2026-01-08T17:50:00"/>
    <d v="1899-12-30T00:50:00"/>
  </r>
  <r>
    <n v="502"/>
    <s v="J. BRICEÑO"/>
    <d v="1899-12-30T21:52:00"/>
    <x v="29"/>
    <s v="IMPRESORA 1"/>
    <m/>
    <s v="Acople de bomba electrica roto"/>
    <d v="1899-12-30T21:53:00"/>
    <d v="1899-12-30T21:59:00"/>
    <x v="64"/>
    <s v="Mecánica"/>
    <s v="Se desvara con otro registro de una bomba deshabilitada, queda OK"/>
    <x v="1"/>
    <s v="NA"/>
    <x v="9"/>
    <x v="0"/>
    <d v="1899-12-30T00:06:00"/>
    <d v="2026-01-08T21:52:00"/>
    <d v="2026-01-08T21:59:00"/>
    <d v="1899-12-30T00:07:00"/>
  </r>
  <r>
    <n v="503"/>
    <s v="B. RODRIGUEZ"/>
    <d v="1899-12-30T22:30:00"/>
    <x v="79"/>
    <s v="Otro"/>
    <m/>
    <s v="La corona se traba al moverla"/>
    <d v="1899-12-30T22:30:00"/>
    <d v="1899-12-30T23:30:00"/>
    <x v="66"/>
    <s v="Mecánica"/>
    <s v="Se realiza pulido de tubo de soporte de corona para quitar defectos por mala manipulación al momento de ajustar"/>
    <x v="1"/>
    <s v="NA"/>
    <x v="9"/>
    <x v="0"/>
    <d v="1899-12-30T01:00:00"/>
    <d v="2026-01-07T22:30:00"/>
    <d v="2026-01-01T23:30:00"/>
    <n v="-5.9583333333357587"/>
  </r>
  <r>
    <n v="504"/>
    <s v="K. RAMOS"/>
    <d v="1899-12-30T00:10:00"/>
    <x v="80"/>
    <s v="EXTRUSORA 5"/>
    <m/>
    <s v="Molino atascado en codo de la tuberia"/>
    <d v="1899-12-30T00:11:00"/>
    <d v="1899-12-30T00:15:00"/>
    <x v="65"/>
    <s v="Mecánica"/>
    <s v="Se revisa molino, se destrava y se deja funcionando"/>
    <x v="1"/>
    <s v="NS"/>
    <x v="9"/>
    <x v="0"/>
    <d v="1899-12-30T00:04:00"/>
    <d v="2026-01-09T00:10:00"/>
    <d v="2026-01-09T00:15:00"/>
    <d v="1899-12-30T00:05:00"/>
  </r>
  <r>
    <n v="505"/>
    <m/>
    <d v="1899-12-30T03:12:00"/>
    <x v="80"/>
    <s v="IMPRESORA 1"/>
    <m/>
    <s v="Se salio rodillo lado bobinador"/>
    <d v="1899-12-30T03:15:00"/>
    <d v="1899-12-30T03:30:00"/>
    <x v="65"/>
    <s v="Mecánica"/>
    <s v="Encajar el rodillo en el soporte y darle ajuste para que no se salga"/>
    <x v="1"/>
    <s v="NA"/>
    <x v="9"/>
    <x v="0"/>
    <d v="1899-12-30T00:15:00"/>
    <d v="2026-01-09T03:12:00"/>
    <d v="2026-01-09T03:30:00"/>
    <d v="1899-12-30T00:18:00"/>
  </r>
  <r>
    <n v="506"/>
    <s v="R. MEJIA"/>
    <d v="1899-12-30T04:20:00"/>
    <x v="80"/>
    <s v="IMPRESORA 1"/>
    <m/>
    <s v="Se desliza rodillo loco seguido al eje neumatico de bobinador"/>
    <d v="1899-12-30T04:20:00"/>
    <d v="1899-12-30T04:50:00"/>
    <x v="65"/>
    <s v="Mecánica"/>
    <s v="Se revisa, se encuentra que este con vaiven por falta de tornillos"/>
    <x v="73"/>
    <s v="NA"/>
    <x v="4"/>
    <x v="0"/>
    <d v="1899-12-30T00:30:00"/>
    <d v="2026-01-09T04:20:00"/>
    <d v="2026-01-09T04:50:00"/>
    <d v="1899-12-30T00:30:00"/>
  </r>
  <r>
    <n v="507"/>
    <s v="E. REYES"/>
    <d v="1899-12-30T06:40:00"/>
    <x v="80"/>
    <s v="SELLADORA 1"/>
    <m/>
    <s v="El material se enreda en las uñas y daño en la termocupla"/>
    <d v="1899-12-30T06:40:00"/>
    <d v="1899-12-30T08:40:00"/>
    <x v="65"/>
    <s v="Mecánica, Eléctrica"/>
    <s v="Cambio de conector termocupla, cambio de termopaso termocupla, Ajuste de flautas caidas se realiza torque a tornillos, se realiza reset variador mordaza"/>
    <x v="74"/>
    <s v="NA"/>
    <x v="3"/>
    <x v="0"/>
    <d v="1899-12-30T02:00:00"/>
    <d v="2026-01-09T06:40:00"/>
    <d v="2026-01-09T08:40:00"/>
    <d v="1899-12-30T02:00:00"/>
  </r>
  <r>
    <n v="508"/>
    <s v="E. REYES"/>
    <d v="1899-12-30T11:10:00"/>
    <x v="80"/>
    <s v="SELLADORA 2"/>
    <m/>
    <s v="Cilindro suelto"/>
    <d v="1899-12-30T11:10:00"/>
    <d v="1899-12-30T11:40:00"/>
    <x v="65"/>
    <s v="Mecánica"/>
    <s v="Cilindro mal armado, tornillos faltantes, se remplaza quedando OK"/>
    <x v="75"/>
    <s v="NA"/>
    <x v="3"/>
    <x v="0"/>
    <d v="1899-12-30T00:30:00"/>
    <d v="2026-01-09T11:10:00"/>
    <d v="2026-01-09T11:40:00"/>
    <d v="1899-12-30T00:30:00"/>
  </r>
  <r>
    <n v="509"/>
    <s v="J. PARDO"/>
    <d v="1899-12-30T07:35:00"/>
    <x v="80"/>
    <s v="IMPRESORA 1"/>
    <s v="Puntual"/>
    <s v="Se cae rodillo metalico (1) _x000a_Desgaste 18-03-2026"/>
    <d v="1899-12-30T07:35:00"/>
    <d v="1899-12-30T08:35:00"/>
    <x v="67"/>
    <s v="Mecánica"/>
    <s v="Se arregla soporte de rodillo ya que se encuentra con zuncho sujetando mal, se le instala unas abrazaderas metalicas y queda OK"/>
    <x v="76"/>
    <s v="NA"/>
    <x v="9"/>
    <x v="0"/>
    <d v="1899-12-30T01:00:00"/>
    <d v="2026-01-09T07:35:00"/>
    <d v="2026-03-27T08:35:00"/>
    <d v="1900-03-17T01:00:00"/>
  </r>
  <r>
    <n v="510"/>
    <m/>
    <m/>
    <x v="3"/>
    <m/>
    <m/>
    <m/>
    <m/>
    <m/>
    <x v="3"/>
    <m/>
    <m/>
    <x v="4"/>
    <m/>
    <x v="4"/>
    <x v="1"/>
    <d v="1899-12-30T00:00:00"/>
    <d v="1899-12-30T00:00:00"/>
    <d v="1899-12-30T00:00:00"/>
    <d v="1899-12-30T00:00:00"/>
  </r>
  <r>
    <n v="511"/>
    <m/>
    <m/>
    <x v="3"/>
    <m/>
    <m/>
    <m/>
    <m/>
    <m/>
    <x v="3"/>
    <m/>
    <m/>
    <x v="4"/>
    <m/>
    <x v="4"/>
    <x v="1"/>
    <d v="1899-12-30T00:00:00"/>
    <d v="1899-12-30T00:00:00"/>
    <d v="1899-12-30T00:00:00"/>
    <d v="1899-12-30T00:00:00"/>
  </r>
  <r>
    <n v="512"/>
    <s v="S. CARDENAL"/>
    <d v="1899-12-30T19:10:00"/>
    <x v="80"/>
    <s v="SELLADORA 3"/>
    <m/>
    <s v="Correa alimentadora del servo destencionada"/>
    <d v="1899-12-30T19:10:00"/>
    <d v="1899-12-30T19:25:00"/>
    <x v="65"/>
    <s v="Mecánica"/>
    <s v="Se revisa correa del servo, se encuentra destensionada , se corrige quedando operativa"/>
    <x v="1"/>
    <s v="NA"/>
    <x v="1"/>
    <x v="0"/>
    <d v="1899-12-30T00:15:00"/>
    <d v="2026-01-09T19:10:00"/>
    <d v="2026-01-09T19:25:00"/>
    <d v="1899-12-30T00:15:00"/>
  </r>
  <r>
    <n v="513"/>
    <s v="W. SANDOVAL"/>
    <d v="1899-12-30T19:30:00"/>
    <x v="80"/>
    <s v="REFILADORA 2"/>
    <m/>
    <s v="Daño en el tensor de eje embobinador superior"/>
    <d v="1899-12-30T19:40:00"/>
    <d v="1899-12-30T01:10:00"/>
    <x v="68"/>
    <s v="Mecánica"/>
    <s v="Se hace cambio de discos de corte y se cambia tornillo en eje de embobinado, se debe hacer seguimiento ya que tiende a botar el eje"/>
    <x v="77"/>
    <s v="NA"/>
    <x v="9"/>
    <x v="0"/>
    <n v="-0.77083333333333326"/>
    <d v="2026-01-09T19:30:00"/>
    <d v="2026-01-10T01:10:00"/>
    <d v="1899-12-30T05:40:00"/>
  </r>
  <r>
    <n v="514"/>
    <s v="R. MEJIA"/>
    <d v="1899-12-30T20:35:00"/>
    <x v="80"/>
    <s v="IMPRESORA 1"/>
    <s v="Puntual"/>
    <s v="Se daño guia que engrana con el piñon del eje neumatico del debobinador"/>
    <d v="1899-12-30T20:35:00"/>
    <d v="1899-12-30T21:26:00"/>
    <x v="68"/>
    <s v="Mecánica"/>
    <s v="Se hace cambio de rodamiento por desgaste"/>
    <x v="78"/>
    <s v="NA"/>
    <x v="1"/>
    <x v="0"/>
    <d v="1899-12-30T00:51:00"/>
    <d v="2026-01-09T20:35:00"/>
    <d v="2026-01-10T21:26:00"/>
    <d v="1899-12-31T00:51:00"/>
  </r>
  <r>
    <n v="515"/>
    <s v="L. GARZON"/>
    <d v="1899-12-30T22:03:00"/>
    <x v="80"/>
    <s v="SELLADORA 3"/>
    <m/>
    <s v="Daño en la rosca de cilindro"/>
    <d v="1899-12-30T22:10:00"/>
    <d v="1899-12-30T22:20:00"/>
    <x v="65"/>
    <s v="Mecánica"/>
    <s v="Rectificación de rosca ya que el tornillo no apretaba"/>
    <x v="79"/>
    <s v="NA"/>
    <x v="9"/>
    <x v="0"/>
    <d v="1899-12-30T00:10:00"/>
    <d v="2026-01-09T22:03:00"/>
    <d v="2026-01-09T22:20:00"/>
    <d v="1899-12-30T00:17:00"/>
  </r>
  <r>
    <n v="516"/>
    <s v="L. GARZON"/>
    <d v="1899-12-30T03:15:00"/>
    <x v="81"/>
    <s v="SELLADORA 3"/>
    <m/>
    <s v="Bloqueo en servomotor desajuste cilindro tensor"/>
    <d v="1899-12-30T03:20:00"/>
    <d v="1899-12-30T05:07:00"/>
    <x v="68"/>
    <s v="Mecánica, Eléctrica"/>
    <s v="Se reinicia la maquina para reset el servomotor, se ajusta el cilindro, la maquina vuelve a presentar falla y se interviene a las 4:22 y molesta nuevamente 4:55"/>
    <x v="1"/>
    <s v="NA"/>
    <x v="9"/>
    <x v="0"/>
    <d v="1899-12-30T01:47:00"/>
    <d v="2026-01-10T03:15:00"/>
    <d v="2026-01-10T05:07:00"/>
    <d v="1899-12-30T01:52:00"/>
  </r>
  <r>
    <n v="517"/>
    <s v="R. MEJIA"/>
    <d v="1899-12-30T04:36:00"/>
    <x v="81"/>
    <s v="IMPRESORA 1"/>
    <m/>
    <s v="Bomba neumatica no succiona tinta, unidad #3"/>
    <d v="1899-12-30T04:42:00"/>
    <d v="1899-12-30T05:15:00"/>
    <x v="68"/>
    <s v="Mecánica"/>
    <s v="Se revisa el filtro y el balin se limpia, se coloca en su sitio y queda funcionando OK"/>
    <x v="1"/>
    <s v="NA"/>
    <x v="9"/>
    <x v="0"/>
    <d v="1899-12-30T00:33:00"/>
    <d v="2026-01-10T04:36:00"/>
    <d v="2026-01-10T05:15:00"/>
    <d v="1899-12-30T00:39:00"/>
  </r>
  <r>
    <n v="518"/>
    <m/>
    <m/>
    <x v="3"/>
    <m/>
    <m/>
    <m/>
    <m/>
    <m/>
    <x v="3"/>
    <m/>
    <m/>
    <x v="4"/>
    <m/>
    <x v="4"/>
    <x v="1"/>
    <d v="1899-12-30T00:00:00"/>
    <d v="1899-12-30T00:00:00"/>
    <d v="1899-12-30T00:00:00"/>
    <d v="1899-12-30T00:00:00"/>
  </r>
  <r>
    <n v="519"/>
    <s v="D. ZAMORA"/>
    <d v="1899-12-30T08:20:00"/>
    <x v="81"/>
    <s v="REFILADORA 3"/>
    <m/>
    <s v="Cambio de piston"/>
    <d v="1899-12-30T08:20:00"/>
    <d v="1899-12-30T08:30:00"/>
    <x v="68"/>
    <s v="Mecánica"/>
    <s v="Se realiza cambio de pisador inferior para trabajar lamina"/>
    <x v="1"/>
    <s v="NA"/>
    <x v="2"/>
    <x v="0"/>
    <d v="1899-12-30T00:10:00"/>
    <d v="2026-01-10T08:20:00"/>
    <d v="2026-01-10T08:30:00"/>
    <d v="1899-12-30T00:10:00"/>
  </r>
  <r>
    <n v="520"/>
    <s v="J. PARDO"/>
    <d v="1899-12-30T08:45:00"/>
    <x v="81"/>
    <s v="IMPRESORA 1"/>
    <m/>
    <s v="Ajuste de mordaza"/>
    <d v="1899-12-30T08:45:00"/>
    <d v="1899-12-30T09:15:00"/>
    <x v="68"/>
    <s v="Mecánica"/>
    <s v="Se realiza desmonte de pieza, se cambia tornillo M6x 20 mm, se instala helicoidal m10 para el ajuste, cambio tornillo M10x80 mm"/>
    <x v="80"/>
    <s v="NA"/>
    <x v="2"/>
    <x v="0"/>
    <d v="1899-12-30T00:30:00"/>
    <d v="2026-01-10T08:45:00"/>
    <d v="2026-01-10T09:15:00"/>
    <d v="1899-12-30T00:30:00"/>
  </r>
  <r>
    <n v="521"/>
    <s v="R. MEJIA"/>
    <d v="1899-12-30T21:35:00"/>
    <x v="81"/>
    <s v="IMPRESORA 1"/>
    <m/>
    <s v="Dejo de funcionar la bomba automatica unidad #2"/>
    <d v="1899-12-30T22:15:00"/>
    <d v="1899-12-30T22:30:00"/>
    <x v="68"/>
    <s v="Neúmatica"/>
    <s v="Se recibe bomba unidad #2 con falla de arranque, se verifican presiones, se revisan mangueras encontrando la de alimentación entorchada o partida evitando el paso o ingreso de pintura, se organiza manguera quedando operacional"/>
    <x v="1"/>
    <s v="NA"/>
    <x v="3"/>
    <x v="0"/>
    <d v="1899-12-30T00:15:00"/>
    <d v="2026-01-10T21:35:00"/>
    <d v="2026-01-10T22:30:00"/>
    <d v="1899-12-30T00:55:00"/>
  </r>
  <r>
    <n v="522"/>
    <s v="R. MEJIA"/>
    <d v="1899-12-30T02:56:00"/>
    <x v="82"/>
    <s v="IMPRESORA 1"/>
    <s v="Puntual"/>
    <s v="Brazo de seguridad del eje neumatico en el bobinador, botó los tornillos"/>
    <d v="1899-12-30T02:56:00"/>
    <d v="1899-12-30T03:10:00"/>
    <x v="69"/>
    <s v="Mecánica"/>
    <s v="Tornillos averiados por bote en espigo del eje embobinador, se realiza cambio quedando OK"/>
    <x v="81"/>
    <s v="NA"/>
    <x v="3"/>
    <x v="0"/>
    <d v="1899-12-30T00:14:00"/>
    <d v="2026-01-11T02:56:00"/>
    <d v="2026-01-11T03:10:00"/>
    <d v="1899-12-30T00:14:00"/>
  </r>
  <r>
    <n v="523"/>
    <s v="H. TRIANA"/>
    <d v="1899-12-30T08:24:00"/>
    <x v="82"/>
    <s v="EXTRUSORA 2"/>
    <s v="Repetitiva"/>
    <s v="Mangueras del ventilador hacia la corona rotas"/>
    <d v="1899-12-30T09:00:00"/>
    <d v="1899-12-30T09:23:00"/>
    <x v="69"/>
    <s v="Mecánica"/>
    <s v="Cambio (remplazo) de mangueras de 2´´"/>
    <x v="82"/>
    <s v="NA"/>
    <x v="9"/>
    <x v="0"/>
    <d v="1899-12-30T00:23:00"/>
    <d v="2026-01-11T08:24:00"/>
    <d v="2026-01-11T09:23:00"/>
    <d v="1899-12-30T00:59:00"/>
  </r>
  <r>
    <n v="524"/>
    <s v="H. TRIANA"/>
    <d v="1899-12-30T11:45:00"/>
    <x v="82"/>
    <s v="EXTRUSORA 2"/>
    <s v="Puntual"/>
    <s v="Cambio tornillos bristol de las coronas de los embobinadores"/>
    <m/>
    <m/>
    <x v="3"/>
    <m/>
    <m/>
    <x v="4"/>
    <m/>
    <x v="4"/>
    <x v="2"/>
    <d v="1899-12-30T00:00:00"/>
    <d v="2026-01-11T11:45:00"/>
    <d v="1899-12-30T00:00:00"/>
    <n v="-46033.489583333336"/>
  </r>
  <r>
    <n v="525"/>
    <s v="W. SANDOVAL"/>
    <d v="1899-12-30T12:45:00"/>
    <x v="82"/>
    <s v="REFILADORA 3"/>
    <m/>
    <s v="Falla en el sistema de refrigeración del eje desbobinador"/>
    <d v="1899-12-30T12:49:00"/>
    <d v="1899-12-30T13:45:00"/>
    <x v="69"/>
    <s v="Eléctrica"/>
    <s v="Se revisa conexión eléctrica una fase abierta"/>
    <x v="1"/>
    <s v="NA"/>
    <x v="9"/>
    <x v="0"/>
    <d v="1899-12-30T00:56:00"/>
    <d v="2026-01-11T12:45:00"/>
    <d v="2026-01-11T13:45:00"/>
    <d v="1899-12-30T01:00:00"/>
  </r>
  <r>
    <n v="526"/>
    <s v="H. TRIANA"/>
    <d v="1899-12-30T12:40:00"/>
    <x v="82"/>
    <s v="EXTRUSORA 2"/>
    <s v="Puntual"/>
    <s v="Falla en zona del codo"/>
    <d v="1899-12-30T14:30:00"/>
    <d v="1899-12-30T15:00:00"/>
    <x v="69"/>
    <s v="Eléctrica"/>
    <s v="Se encuentra relé de estado solido directo y por ello la temperatura esta elevada, se realizo el cambio, no genero parada"/>
    <x v="83"/>
    <s v="NA"/>
    <x v="2"/>
    <x v="0"/>
    <d v="1899-12-30T00:30:00"/>
    <d v="2026-01-11T12:40:00"/>
    <d v="2026-01-11T15:00:00"/>
    <d v="1899-12-30T02:20:00"/>
  </r>
  <r>
    <n v="527"/>
    <s v="H. TRIANA"/>
    <d v="1899-12-30T15:35:00"/>
    <x v="82"/>
    <s v="EXTRUSORA 2"/>
    <s v="Puntual"/>
    <s v="Mnaga inferior no enciende"/>
    <d v="1899-12-30T15:43:00"/>
    <d v="1899-12-30T16:00:00"/>
    <x v="69"/>
    <s v="Eléctrica"/>
    <s v="Se realizó conexión de manga inferior (presenta desgaste, la manga requiere cambio)"/>
    <x v="1"/>
    <s v="NA"/>
    <x v="2"/>
    <x v="0"/>
    <d v="1899-12-30T00:17:00"/>
    <d v="2026-01-11T15:35:00"/>
    <d v="2026-01-11T16:00:00"/>
    <d v="1899-12-30T00:25:00"/>
  </r>
  <r>
    <n v="528"/>
    <s v="J. PARDO"/>
    <d v="1899-12-30T15:30:00"/>
    <x v="82"/>
    <s v="IMPRESORA 1"/>
    <m/>
    <s v="Control se desconecta (de polipasto)"/>
    <d v="1899-12-30T15:30:00"/>
    <d v="1899-12-30T16:00:00"/>
    <x v="69"/>
    <s v="Eléctrica"/>
    <s v="Se encuentra cableado partido del control de funcionamiento del polipasto derecho (desconectado el cableado) se realiza reconexión de cableado o control de funcionamiento, se realizan pruebas y queda operatico"/>
    <x v="1"/>
    <s v="NA"/>
    <x v="2"/>
    <x v="0"/>
    <d v="1899-12-30T00:30:00"/>
    <d v="2026-01-11T15:30:00"/>
    <d v="2026-01-11T16:00:00"/>
    <d v="1899-12-30T00:30:00"/>
  </r>
  <r>
    <n v="529"/>
    <s v="K. RAMOS"/>
    <d v="1899-12-30T03:00:00"/>
    <x v="83"/>
    <s v="EXTRUSORA 5"/>
    <s v="Puntual"/>
    <s v="Ruido anormal en eje embobinador"/>
    <d v="1899-12-30T03:00:00"/>
    <d v="1899-12-30T03:30:00"/>
    <x v="70"/>
    <s v="Mecánica"/>
    <s v="Se desmonta ese embobinador para inspección encontrando rodamiento en mal estado, se realiza cambió"/>
    <x v="84"/>
    <s v="NA"/>
    <x v="3"/>
    <x v="0"/>
    <d v="1899-12-30T00:30:00"/>
    <d v="2026-01-12T03:00:00"/>
    <d v="2026-01-12T03:30:00"/>
    <d v="1899-12-30T00:30:00"/>
  </r>
  <r>
    <n v="530"/>
    <s v="R. OLIVARES"/>
    <d v="1899-12-30T10:30:00"/>
    <x v="83"/>
    <s v="EXTRUSORA 5"/>
    <m/>
    <s v="Falla en el tratador"/>
    <d v="1899-12-30T10:30:00"/>
    <d v="1899-12-30T10:30:00"/>
    <x v="70"/>
    <s v="Eléctrica"/>
    <s v="Se realizo cambio de cable de potencia de manga (cuchillos) superior ya que se encuentra el otro cable partido, no se genero parada, quedo operativo"/>
    <x v="1"/>
    <s v="NA"/>
    <x v="2"/>
    <x v="0"/>
    <d v="1899-12-30T00:00:00"/>
    <d v="2026-01-12T10:30:00"/>
    <d v="2026-01-12T10:30:00"/>
    <d v="1899-12-30T00:00:00"/>
  </r>
  <r>
    <n v="531"/>
    <s v="R. OLIVARES"/>
    <d v="1899-12-30T09:00:00"/>
    <x v="83"/>
    <s v="EXTRUSORA 5"/>
    <s v="Puntual"/>
    <s v="ANTIESTATICA CON DAÑO"/>
    <m/>
    <m/>
    <x v="3"/>
    <m/>
    <m/>
    <x v="4"/>
    <m/>
    <x v="4"/>
    <x v="1"/>
    <d v="1899-12-30T00:00:00"/>
    <d v="2026-01-12T09:00:00"/>
    <d v="1899-12-30T00:00:00"/>
    <n v="-46034.375"/>
  </r>
  <r>
    <n v="532"/>
    <s v="R. MEJIA"/>
    <d v="1899-12-30T00:50:00"/>
    <x v="84"/>
    <s v="IMPRESORA 1"/>
    <s v="Puntual"/>
    <s v="Bobinador no funciona"/>
    <d v="1899-12-30T07:20:00"/>
    <d v="1899-12-30T11:50:00"/>
    <x v="71"/>
    <s v="Mecánica, Eléctrica"/>
    <s v="Inspección a circuito y partes mecanicas embobinador encontrando piñon de potenciometro balancin averiado, potenciomentro averiado y tarjeta, se rectifican con lima dientes de piñon, cambio de potenciometro y resistencia en tarjeta de control variador quedando operacional"/>
    <x v="85"/>
    <s v="NA"/>
    <x v="3"/>
    <x v="0"/>
    <d v="1899-12-30T04:30:00"/>
    <d v="2026-01-13T00:50:00"/>
    <d v="2026-01-13T11:50:00"/>
    <d v="1899-12-30T11:00:00"/>
  </r>
  <r>
    <n v="533"/>
    <s v="S. PATIÑO"/>
    <d v="1899-12-30T07:00:00"/>
    <x v="84"/>
    <s v="EXTRUSORA 5"/>
    <s v="Puntual"/>
    <s v="Flautas de la rotaci'on descuadradas, pelicula no alinea"/>
    <d v="1899-12-30T07:00:00"/>
    <d v="1899-12-30T08:50:00"/>
    <x v="71"/>
    <s v="Mecánica"/>
    <s v="Se calibra flauta superior, se desmontan tensores correa de transimisión halador, se coloca suplemento fijado con soldadura para centrar, quedando OK"/>
    <x v="1"/>
    <s v="Soldadura"/>
    <x v="3"/>
    <x v="0"/>
    <d v="1899-12-30T01:50:00"/>
    <d v="2026-01-13T07:00:00"/>
    <d v="2026-01-13T08:50:00"/>
    <d v="1899-12-30T01:50:00"/>
  </r>
  <r>
    <n v="534"/>
    <s v="S. CARDENAL"/>
    <d v="1899-12-30T11:30:00"/>
    <x v="84"/>
    <s v="SELLADORA 2"/>
    <m/>
    <s v="Racor de los perforadores dañado"/>
    <d v="1899-12-30T11:50:00"/>
    <d v="1899-12-30T12:30:00"/>
    <x v="71"/>
    <s v="Neúmatica"/>
    <s v="Se rotaba haciendo intervensión en impresora, Racor averiado, se desmontan perforadores para cambio, quedando OK"/>
    <x v="86"/>
    <s v="NA"/>
    <x v="3"/>
    <x v="0"/>
    <d v="1899-12-30T00:40:00"/>
    <d v="2026-01-13T11:30:00"/>
    <d v="2026-01-13T12:30:00"/>
    <d v="1899-12-30T01:00:00"/>
  </r>
  <r>
    <n v="535"/>
    <s v="E. REYES"/>
    <d v="1899-12-30T07:50:00"/>
    <x v="84"/>
    <s v="SELLADORA 2"/>
    <m/>
    <s v="Temperatura se baja, afilada de cuchilla"/>
    <d v="1899-12-30T19:30:00"/>
    <d v="1899-12-30T20:30:00"/>
    <x v="71"/>
    <s v="Eléctrica"/>
    <s v="Se realiza proceso de afilado de cuchilla y se apoya en el montaje, se revisa temperatura de mordaza superior ya que se encuentra baja, se encuentra breaker disparado por aparente corto, se resetea y se realizan pruebas, se espera que al setpoint y se entrega operativa"/>
    <x v="1"/>
    <s v="NA"/>
    <x v="2"/>
    <x v="0"/>
    <d v="1899-12-30T01:00:00"/>
    <d v="2026-01-13T07:50:00"/>
    <d v="2026-01-13T20:30:00"/>
    <d v="1899-12-30T12:40:00"/>
  </r>
  <r>
    <n v="536"/>
    <s v="E. REYES"/>
    <d v="1899-12-30T06:50:00"/>
    <x v="84"/>
    <s v="SELLADORA 1"/>
    <m/>
    <s v="Uñas enrredan material"/>
    <d v="1899-12-30T18:50:00"/>
    <d v="1899-12-30T19:00:00"/>
    <x v="71"/>
    <s v="Mecánica"/>
    <s v="Se calibra posición de uñas de las flautas, se realizan pruebas y quedo operativo"/>
    <x v="1"/>
    <s v="NA"/>
    <x v="2"/>
    <x v="0"/>
    <d v="1899-12-30T00:10:00"/>
    <d v="2026-01-13T06:50:00"/>
    <d v="2026-01-13T19:00:00"/>
    <d v="1899-12-30T12:10:00"/>
  </r>
  <r>
    <n v="537"/>
    <s v="J. MIRANDA"/>
    <d v="1899-12-30T19:00:00"/>
    <x v="84"/>
    <s v="EXTRUSORA 2"/>
    <m/>
    <s v="Fabricación de soporte de plato"/>
    <d v="1899-12-30T19:00:00"/>
    <d v="1899-12-30T19:50:00"/>
    <x v="71"/>
    <s v="Mecánica"/>
    <s v="Se fabrica soporte de ajuste de plato a la corona y se realiza la instalación, se entrega al operario"/>
    <x v="1"/>
    <s v="NA"/>
    <x v="2"/>
    <x v="0"/>
    <d v="1899-12-30T00:50:00"/>
    <d v="2026-01-13T19:00:00"/>
    <d v="2026-01-13T19:50:00"/>
    <d v="1899-12-30T00:50:00"/>
  </r>
  <r>
    <n v="538"/>
    <s v="S. CARDENAL"/>
    <d v="1899-12-30T06:15:00"/>
    <x v="85"/>
    <m/>
    <m/>
    <s v="Temperatura de la mordaza inferior no sube"/>
    <d v="1899-12-30T06:15:00"/>
    <d v="1899-12-30T06:45:00"/>
    <x v="72"/>
    <s v="Eléctrica"/>
    <s v="Se realiza inspección en circuito resistencia inferior mordaza longitudinal encontrando cable abierto, se realiza cambio quedando OK"/>
    <x v="87"/>
    <s v="NA"/>
    <x v="3"/>
    <x v="0"/>
    <d v="1899-12-30T00:30:00"/>
    <d v="2026-01-14T06:15:00"/>
    <d v="2026-01-14T06:45:00"/>
    <d v="1899-12-30T00:30:00"/>
  </r>
  <r>
    <n v="539"/>
    <m/>
    <m/>
    <x v="3"/>
    <m/>
    <m/>
    <m/>
    <m/>
    <m/>
    <x v="3"/>
    <m/>
    <m/>
    <x v="4"/>
    <m/>
    <x v="4"/>
    <x v="1"/>
    <d v="1899-12-30T00:00:00"/>
    <d v="1899-12-30T00:00:00"/>
    <d v="1899-12-30T00:00:00"/>
    <d v="1899-12-30T00:00:00"/>
  </r>
  <r>
    <n v="540"/>
    <s v="H. TRIANA"/>
    <d v="1899-12-30T16:16:00"/>
    <x v="85"/>
    <s v="EXTRUSORA 3"/>
    <s v="Repetitiva"/>
    <s v="Tornillos bristol para las manzanas de las varillas de embobinador"/>
    <d v="1899-12-30T17:00:00"/>
    <d v="1899-12-30T17:40:00"/>
    <x v="72"/>
    <s v="Mecánica"/>
    <s v="Se instalan 3 prisioneros 3/8 x 1/2 y 5 prisioneros M10 x 20mm para manzanas de los ejes bobinadores"/>
    <x v="88"/>
    <s v="NA"/>
    <x v="2"/>
    <x v="0"/>
    <d v="1899-12-30T00:40:00"/>
    <d v="2026-01-14T16:16:00"/>
    <d v="2026-01-14T17:40:00"/>
    <d v="1899-12-30T01:24:00"/>
  </r>
  <r>
    <n v="541"/>
    <s v="J. MIRANDA"/>
    <d v="1899-12-30T19:45:00"/>
    <x v="85"/>
    <s v="EXTRUSORA 3"/>
    <m/>
    <s v="Desajuste en el tratador y cables desajustados, Variador de la prensa no prende"/>
    <d v="1899-12-30T19:45:00"/>
    <d v="1899-12-30T20:30:00"/>
    <x v="72"/>
    <s v="Mecánica, Eléctrica"/>
    <s v="Puerta de tratador sin pasadores, se fabricam y se instalan, se apoya a cuadre, Se encuentra variador de prensa sin tensión, se inspecciona y se corrige fallo, se realiza acompañamiento en el arranque, se entrega para arranque "/>
    <x v="1"/>
    <s v="NA"/>
    <x v="2"/>
    <x v="0"/>
    <d v="1899-12-30T00:45:00"/>
    <d v="2026-01-14T19:45:00"/>
    <d v="2026-01-14T20:30:00"/>
    <d v="1899-12-30T00:45:00"/>
  </r>
  <r>
    <n v="542"/>
    <s v="R. MEJIA"/>
    <d v="1899-12-30T04:00:00"/>
    <x v="85"/>
    <s v="IMPRESORA 1"/>
    <s v="Puntual"/>
    <s v="Se salió balancin del desbobinador"/>
    <d v="1899-12-30T04:10:00"/>
    <d v="1899-12-30T04:40:00"/>
    <x v="72"/>
    <s v="Mecánica"/>
    <s v="Se sale el pin de la cadenilla, se le vuelve a instalar y nivelar para que no se tuersa la bolsa"/>
    <x v="1"/>
    <s v="NA"/>
    <x v="9"/>
    <x v="0"/>
    <d v="1899-12-30T00:30:00"/>
    <d v="2026-01-14T04:00:00"/>
    <d v="2026-01-14T04:40:00"/>
    <d v="1899-12-30T00:40:00"/>
  </r>
  <r>
    <n v="543"/>
    <s v="S. CARDENAL"/>
    <d v="1899-12-30T08:20:00"/>
    <x v="86"/>
    <s v="EXTRUSORA 5"/>
    <m/>
    <s v="Se rompio correa"/>
    <d v="1899-12-30T09:10:00"/>
    <d v="1899-12-30T09:45:00"/>
    <x v="73"/>
    <s v="Mecánica"/>
    <s v="Cambio de correa de mordaza inferior rotativa quedando OK"/>
    <x v="89"/>
    <s v="NA"/>
    <x v="3"/>
    <x v="0"/>
    <d v="1899-12-30T00:35:00"/>
    <d v="2026-01-15T08:20:00"/>
    <d v="2026-01-15T09:45:00"/>
    <d v="1899-12-30T01:25:00"/>
  </r>
  <r>
    <n v="544"/>
    <s v="S. CARDENAL"/>
    <d v="1899-12-30T10:30:00"/>
    <x v="86"/>
    <s v="SELLADORA 2"/>
    <m/>
    <s v="Asegurar base de la cinta de seguridad y hacer guia para esta misma"/>
    <d v="1899-12-30T10:30:00"/>
    <d v="1899-12-30T12:45:00"/>
    <x v="73"/>
    <s v="Mecánica"/>
    <s v="Se realiza base para rodillo de cinta y guia para correr cinta"/>
    <x v="1"/>
    <s v="NA"/>
    <x v="3"/>
    <x v="0"/>
    <d v="1899-12-30T02:15:00"/>
    <d v="2026-01-15T10:30:00"/>
    <d v="2026-01-15T12:45:00"/>
    <d v="1899-12-30T02:15:00"/>
  </r>
  <r>
    <n v="545"/>
    <s v="F. SANCHEZ"/>
    <d v="1899-12-30T09:00:00"/>
    <x v="86"/>
    <s v="EXTRUSORA 5"/>
    <s v="Puntual"/>
    <s v="Porta cuchillas de corte de refile en mal estado y cuchilla no corta, por favor revisar por mantenimiento"/>
    <m/>
    <m/>
    <x v="3"/>
    <m/>
    <s v="Pendientes por programación para montaje de cuchillas"/>
    <x v="4"/>
    <m/>
    <x v="4"/>
    <x v="2"/>
    <d v="1899-12-30T00:00:00"/>
    <d v="2026-01-15T09:00:00"/>
    <d v="1899-12-30T00:00:00"/>
    <n v="-46037.375"/>
  </r>
  <r>
    <n v="546"/>
    <s v="F. SANCHEZ"/>
    <d v="1899-12-30T05:00:00"/>
    <x v="86"/>
    <s v="EXTRUSORA 5"/>
    <m/>
    <s v="Se recibe maquina parada, tratador prendido- FAJ en posición de trabajo, rotación freanda, enhebrado mal, paletas no funcionaban"/>
    <d v="1899-12-30T08:00:00"/>
    <d v="1899-12-30T09:20:00"/>
    <x v="73"/>
    <s v="Mecánica"/>
    <s v="Se verifica la falla encontrando la rotación frenada, las cunetas torcidas, los sin fin torcidos, se interviene todo y se entrega la maquina"/>
    <x v="1"/>
    <s v="NA"/>
    <x v="12"/>
    <x v="0"/>
    <d v="1899-12-30T01:20:00"/>
    <d v="2026-01-15T05:00:00"/>
    <d v="2026-01-15T09:20:00"/>
    <d v="1899-12-30T04:20:00"/>
  </r>
  <r>
    <n v="547"/>
    <s v="S. CARDENAL"/>
    <d v="1899-12-30T12:45:00"/>
    <x v="86"/>
    <s v="SELLADORA 2"/>
    <m/>
    <s v="Falta de rodillo, Material se enreda en la uñas"/>
    <d v="1899-12-30T13:00:00"/>
    <d v="1899-12-30T15:03:00"/>
    <x v="73"/>
    <s v="Mecánica"/>
    <s v="Se fabrican soportes para el rodillo, eso permiete que la bolsa se tensione"/>
    <x v="90"/>
    <s v="NA"/>
    <x v="9"/>
    <x v="0"/>
    <d v="1899-12-30T02:03:00"/>
    <d v="2026-01-15T12:45:00"/>
    <d v="2026-01-15T15:03:00"/>
    <d v="1899-12-30T02:18:00"/>
  </r>
  <r>
    <n v="548"/>
    <s v="D. ARRIETA"/>
    <d v="1899-12-30T15:25:00"/>
    <x v="86"/>
    <s v="IMPRESORA 1"/>
    <s v="Puntual"/>
    <s v="Cilindro para clichet y el piñon del anilox"/>
    <m/>
    <m/>
    <x v="3"/>
    <m/>
    <m/>
    <x v="4"/>
    <m/>
    <x v="4"/>
    <x v="2"/>
    <d v="1899-12-30T00:00:00"/>
    <d v="2026-01-15T15:25:00"/>
    <d v="1899-12-30T00:00:00"/>
    <n v="-46037.642361111109"/>
  </r>
  <r>
    <n v="549"/>
    <s v="H. TRIANA"/>
    <d v="1899-12-30T12:00:00"/>
    <x v="86"/>
    <s v="EXTRUSORA 3"/>
    <s v="Puntual"/>
    <s v="Manzana no sale de la varilla de embobinador"/>
    <d v="1899-12-30T18:30:00"/>
    <d v="1899-12-30T18:57:00"/>
    <x v="73"/>
    <s v="Mecánica"/>
    <s v="Pulir el eje para que asi la manzana gire libremente para su posicionamiento"/>
    <x v="1"/>
    <s v="NA"/>
    <x v="9"/>
    <x v="0"/>
    <d v="1899-12-30T00:27:00"/>
    <d v="2026-01-15T12:00:00"/>
    <d v="2026-01-15T18:57:00"/>
    <d v="1899-12-30T06:57:00"/>
  </r>
  <r>
    <n v="550"/>
    <s v="E. REYES"/>
    <d v="1899-12-30T18:40:00"/>
    <x v="86"/>
    <s v="SELLADORA 2"/>
    <m/>
    <s v="Daño en termocupla"/>
    <d v="1899-12-30T18:59:00"/>
    <d v="1899-12-30T20:55:00"/>
    <x v="73"/>
    <s v="Eléctrica"/>
    <s v="Termocupla dañada, pirometro presentando fallas, se modifica parametro y se cambia termocupla"/>
    <x v="74"/>
    <s v="NA"/>
    <x v="9"/>
    <x v="0"/>
    <d v="1899-12-30T01:56:00"/>
    <d v="2026-01-15T18:40:00"/>
    <d v="2026-01-15T20:55:00"/>
    <d v="1899-12-30T02:15:00"/>
  </r>
  <r>
    <n v="551"/>
    <s v="E. REYES"/>
    <d v="1899-12-30T16:25:00"/>
    <x v="86"/>
    <s v="SELLADORA 2"/>
    <m/>
    <s v="Daño en la correa, Daño por tornillos en el rodillo, Fotocelda"/>
    <d v="1899-12-30T16:40:00"/>
    <d v="1899-12-30T18:10:00"/>
    <x v="73"/>
    <s v="Mecánica, Eléctrica"/>
    <s v="Se verifica correa esta por fuera de la linea de trabajo, se ajusta, se tensiona, se cambian tornillos por daño en rosca, se fabrica soporte fotocelda 18;10"/>
    <x v="91"/>
    <s v="NA"/>
    <x v="9"/>
    <x v="0"/>
    <d v="1899-12-30T01:30:00"/>
    <d v="2026-01-15T16:25:00"/>
    <d v="2026-01-15T18:10:00"/>
    <d v="1899-12-30T01:45:00"/>
  </r>
  <r>
    <n v="552"/>
    <m/>
    <m/>
    <x v="3"/>
    <m/>
    <m/>
    <m/>
    <m/>
    <m/>
    <x v="3"/>
    <m/>
    <m/>
    <x v="4"/>
    <m/>
    <x v="4"/>
    <x v="1"/>
    <d v="1899-12-30T00:00:00"/>
    <d v="1899-12-30T00:00:00"/>
    <d v="1899-12-30T00:00:00"/>
    <d v="1899-12-30T00:00:00"/>
  </r>
  <r>
    <n v="553"/>
    <s v="S. CARDENAL"/>
    <d v="1899-12-30T07:00:00"/>
    <x v="87"/>
    <s v="SELLADORA 3"/>
    <m/>
    <s v="Las flautas se doblaron"/>
    <d v="1899-12-30T07:00:00"/>
    <d v="1899-12-30T07:30:00"/>
    <x v="74"/>
    <s v="Mecánica, Electrica"/>
    <s v="Uñas flautas superior averiadas por bolsa enredada, se desmonta para corregir falla y se realiza montaje, Encoder presenta falla, se realiza ajuste a conectores y se realiza reset quedando OK"/>
    <x v="1"/>
    <s v="NA"/>
    <x v="3"/>
    <x v="0"/>
    <d v="1899-12-30T00:30:00"/>
    <d v="2026-01-16T07:00:00"/>
    <d v="2026-01-16T07:30:00"/>
    <d v="1899-12-30T00:30:00"/>
  </r>
  <r>
    <n v="554"/>
    <s v="S. CARDENAL"/>
    <d v="1899-12-30T09:00:00"/>
    <x v="87"/>
    <s v="IMPRESORA 1"/>
    <m/>
    <s v="Maquina se apaga sola, no cuenta las bolsas"/>
    <d v="1899-12-30T09:10:00"/>
    <d v="1899-12-30T09:30:00"/>
    <x v="74"/>
    <s v="Eléctrica"/>
    <s v="Se realiza ajuste a conectores y se realiza reset"/>
    <x v="1"/>
    <s v="NA"/>
    <x v="3"/>
    <x v="0"/>
    <d v="1899-12-30T00:20:00"/>
    <d v="2026-01-16T09:00:00"/>
    <d v="2026-01-16T09:30:00"/>
    <d v="1899-12-30T00:30:00"/>
  </r>
  <r>
    <n v="555"/>
    <s v="R. MEJIA"/>
    <d v="1899-12-30T11:13:00"/>
    <x v="87"/>
    <s v="IMPRESORA 1"/>
    <s v="Puntual"/>
    <s v="Daño en pista de los rodamientos unidad #5"/>
    <d v="1899-12-30T11:15:00"/>
    <d v="1899-12-30T11:30:00"/>
    <x v="74"/>
    <s v="Mecánica"/>
    <s v="Pista del rodamiento del espigo con desajuste, se realiza grafilado y se aplica trabarrosca dando el ajuste, queda operacional"/>
    <x v="1"/>
    <s v="Trabarosca"/>
    <x v="3"/>
    <x v="0"/>
    <d v="1899-12-30T00:15:00"/>
    <d v="2026-01-16T11:13:00"/>
    <d v="2026-01-16T11:30:00"/>
    <d v="1899-12-30T00:17:00"/>
  </r>
  <r>
    <n v="556"/>
    <s v="S. CARDENAL"/>
    <d v="1899-12-30T12:35:00"/>
    <x v="87"/>
    <s v="SELLADORA 2"/>
    <m/>
    <s v="Se doblan las flautas"/>
    <d v="1899-12-30T12:35:00"/>
    <d v="1899-12-30T13:00:00"/>
    <x v="74"/>
    <s v="Mecánica"/>
    <s v="Se desmontan flautas por averiadas, se rectifican uñas, quedando OK"/>
    <x v="1"/>
    <s v="NA"/>
    <x v="3"/>
    <x v="0"/>
    <d v="1899-12-30T00:25:00"/>
    <d v="2026-01-16T12:35:00"/>
    <d v="2026-01-16T13:00:00"/>
    <d v="1899-12-30T00:25:00"/>
  </r>
  <r>
    <n v="557"/>
    <s v="D. BUESACO"/>
    <d v="1899-12-30T14:00:00"/>
    <x v="87"/>
    <s v="SELLADORA 1"/>
    <m/>
    <s v="No sella nolsa por un lado"/>
    <d v="1899-12-30T14:01:00"/>
    <d v="1899-12-30T14:20:00"/>
    <x v="74"/>
    <s v="Mecánica"/>
    <s v="Se calibra presión de la sellada"/>
    <x v="1"/>
    <s v="NA"/>
    <x v="9"/>
    <x v="0"/>
    <d v="1899-12-30T00:19:00"/>
    <d v="2026-01-16T14:00:00"/>
    <d v="2026-01-16T14:20:00"/>
    <d v="1899-12-30T00:20:00"/>
  </r>
  <r>
    <n v="558"/>
    <s v="E. REYES"/>
    <d v="1899-12-30T16:20:00"/>
    <x v="87"/>
    <s v="SELLADORA 3"/>
    <m/>
    <s v="Las uñas se enredan y bloquean la maquina"/>
    <d v="1899-12-30T16:22:00"/>
    <d v="1899-12-30T17:05:00"/>
    <x v="74"/>
    <s v="Mecánica"/>
    <s v="Bajar sistema de uñas para enderezar, montar y calibrar para evitar daño en bolsa"/>
    <x v="1"/>
    <s v="NA"/>
    <x v="9"/>
    <x v="0"/>
    <d v="1899-12-30T00:43:00"/>
    <d v="2026-01-16T16:20:00"/>
    <d v="2026-01-16T17:05:00"/>
    <d v="1899-12-30T00:45:00"/>
  </r>
  <r>
    <n v="559"/>
    <m/>
    <m/>
    <x v="3"/>
    <m/>
    <m/>
    <m/>
    <m/>
    <m/>
    <x v="3"/>
    <m/>
    <m/>
    <x v="4"/>
    <m/>
    <x v="4"/>
    <x v="1"/>
    <d v="1899-12-30T00:00:00"/>
    <d v="1899-12-30T00:00:00"/>
    <d v="1899-12-30T00:00:00"/>
    <d v="1899-12-30T00:00:00"/>
  </r>
  <r>
    <n v="560"/>
    <s v="D. ARRIETA"/>
    <d v="1899-12-30T20:30:00"/>
    <x v="87"/>
    <s v="IMPRESORA 1"/>
    <m/>
    <s v="Bomba neúmatica, la bomba no subia tinta y el anillox se quedaba seco"/>
    <d v="1899-12-30T20:35:00"/>
    <d v="1899-12-30T20:50:00"/>
    <x v="74"/>
    <s v="Mecánica"/>
    <s v="Se destapa y se observa balin fuera de su lugar de trabajo, se reubica quedando succión OK"/>
    <x v="1"/>
    <s v="NA"/>
    <x v="9"/>
    <x v="0"/>
    <d v="1899-12-30T00:15:00"/>
    <d v="2026-01-16T20:30:00"/>
    <d v="2026-01-16T20:50:00"/>
    <d v="1899-12-30T00:20:00"/>
  </r>
  <r>
    <n v="561"/>
    <s v="E. REYES"/>
    <d v="1899-12-30T20:50:00"/>
    <x v="87"/>
    <s v="SELLADORA 3"/>
    <m/>
    <s v="Daño en termocupla"/>
    <d v="1899-12-30T20:55:00"/>
    <d v="1899-12-30T21:30:00"/>
    <x v="74"/>
    <s v="Eléctrica"/>
    <s v="Se cambia termocupla ya que no estaba sensando"/>
    <x v="74"/>
    <s v="NA"/>
    <x v="9"/>
    <x v="0"/>
    <d v="1899-12-30T00:35:00"/>
    <d v="2026-01-16T20:50:00"/>
    <d v="2026-01-16T21:30:00"/>
    <d v="1899-12-30T00:40:00"/>
  </r>
  <r>
    <n v="562"/>
    <s v="H. TRIANA"/>
    <d v="1899-12-30T05:50:00"/>
    <x v="88"/>
    <s v="EXTRUSORA 3"/>
    <s v="Puntual"/>
    <s v="Falla en zona #1 del molde"/>
    <d v="1899-12-30T14:00:00"/>
    <d v="1899-12-30T14:30:00"/>
    <x v="75"/>
    <s v="Eléctrica"/>
    <s v="Se realizo el cambio de relé de estado solido de la zona #1 del molde"/>
    <x v="83"/>
    <s v="NA"/>
    <x v="2"/>
    <x v="0"/>
    <d v="1899-12-30T00:30:00"/>
    <d v="2026-01-17T05:50:00"/>
    <d v="2026-01-17T14:30:00"/>
    <d v="1899-12-30T08:40:00"/>
  </r>
  <r>
    <n v="563"/>
    <s v="D. ARRIETA"/>
    <d v="1899-12-30T05:25:00"/>
    <x v="88"/>
    <s v="IMPRESORA 1"/>
    <s v="Puntual"/>
    <s v="La diferencia del lado derecho no esta subiendo"/>
    <d v="1899-12-30T06:00:00"/>
    <d v="1899-12-30T07:30:00"/>
    <x v="75"/>
    <s v="Eléctrica"/>
    <s v="Se recibe turno con la novedad, diferencial se evidencio con temperatura alta, se aplico aire forzado, se revisan conexiones eléctricas las cuales se observan en buen estado, se deja reposo pero continuo la falla"/>
    <x v="1"/>
    <s v="NA"/>
    <x v="2"/>
    <x v="2"/>
    <d v="1899-12-30T01:30:00"/>
    <d v="2026-01-17T05:25:00"/>
    <d v="2026-01-17T07:30:00"/>
    <d v="1899-12-30T02:05:00"/>
  </r>
  <r>
    <n v="564"/>
    <s v="S. CARDENAL"/>
    <d v="1899-12-30T06:20:00"/>
    <x v="88"/>
    <s v="SELLADORA"/>
    <m/>
    <s v="Maquina molesta el selle"/>
    <d v="1899-12-30T08:40:00"/>
    <d v="1899-12-30T09:30:00"/>
    <x v="75"/>
    <s v="Mecánica"/>
    <s v="Se calibra posición de cuchilla, se revisan parametros, se realiza ajuste de teflón de mordaza, se dan ajustes y se realizan pruebas de funcionamiento"/>
    <x v="1"/>
    <s v="NA"/>
    <x v="2"/>
    <x v="0"/>
    <d v="1899-12-30T00:50:00"/>
    <d v="2026-01-17T06:20:00"/>
    <d v="2026-01-17T09:30:00"/>
    <d v="1899-12-30T03:10:00"/>
  </r>
  <r>
    <n v="565"/>
    <s v="A. MIRANDA"/>
    <d v="1899-12-30T13:00:00"/>
    <x v="89"/>
    <s v="EXTRUSORA 5"/>
    <s v="Puntual"/>
    <s v="Daño en barra"/>
    <d v="1899-12-30T13:00:00"/>
    <d v="1899-12-30T06:35:00"/>
    <x v="76"/>
    <s v="Mecánica"/>
    <s v="Se realizo cambio de punto por daño en pista de la guia del magacin_x000a_D. BAUTISTA 12/3/26 -&gt; 13:00 - 13:30_x000a_D. BAUTISTA 13/3/26 -&gt; 6:20 - 6:35"/>
    <x v="1"/>
    <s v="Soldadura"/>
    <x v="2"/>
    <x v="0"/>
    <n v="-0.26736111111111105"/>
    <d v="2026-03-12T13:00:00"/>
    <d v="2026-03-13T06:35:00"/>
    <d v="1899-12-30T17:35:00"/>
  </r>
  <r>
    <n v="566"/>
    <s v="S. CARDENAL"/>
    <d v="1899-12-30T12:40:00"/>
    <x v="88"/>
    <s v="SELLADORA 2"/>
    <m/>
    <s v="Correas pegan a la mordaza inferior dañando el teflon del rodillo"/>
    <d v="1899-12-30T12:40:00"/>
    <d v="1899-12-30T13:10:00"/>
    <x v="75"/>
    <s v="Mecánica"/>
    <s v="Se apoya a operario a desmonte de rodillo de selle lateral para cambio de teflon y nuevamente montaje quedando operativo"/>
    <x v="1"/>
    <s v="NA"/>
    <x v="2"/>
    <x v="0"/>
    <d v="1899-12-30T00:30:00"/>
    <d v="2026-01-17T12:40:00"/>
    <d v="2026-01-17T13:10:00"/>
    <d v="1899-12-30T00:30:00"/>
  </r>
  <r>
    <n v="567"/>
    <s v="S. CARDENAL"/>
    <d v="1899-12-30T12:20:00"/>
    <x v="88"/>
    <s v="SELLADORA 3"/>
    <m/>
    <s v="Maquina se apaga sola"/>
    <d v="1899-12-30T12:20:00"/>
    <d v="1899-12-30T12:40:00"/>
    <x v="75"/>
    <s v="Eléctrica"/>
    <s v="Se interviene maquina ya que se reinicio, se da ajuste a conectores de pantalla, drive y tarjeta, se reinicia y se entrefa operativa"/>
    <x v="1"/>
    <s v="NA"/>
    <x v="2"/>
    <x v="0"/>
    <d v="1899-12-30T00:20:00"/>
    <d v="2026-01-17T12:20:00"/>
    <d v="2026-01-17T12:40:00"/>
    <d v="1899-12-30T00:20:00"/>
  </r>
  <r>
    <n v="568"/>
    <s v="F. SANCHEZ"/>
    <d v="1899-12-30T15:10:00"/>
    <x v="88"/>
    <s v="EXTRUSORA 5"/>
    <m/>
    <s v="Rotación se para por varias veces, no se genero parada"/>
    <d v="1899-12-30T15:10:00"/>
    <d v="1899-12-30T17:00:00"/>
    <x v="75"/>
    <s v="Mecánica"/>
    <s v="Se realizo inspección econtrandose rodamiento con juego, se tiene en observación, se requiere RQ de rodamiento MCFR52AS"/>
    <x v="1"/>
    <s v="NA"/>
    <x v="2"/>
    <x v="0"/>
    <d v="1899-12-30T01:50:00"/>
    <d v="2026-01-17T15:10:00"/>
    <d v="2026-01-17T17:00:00"/>
    <d v="1899-12-30T01:50:00"/>
  </r>
  <r>
    <n v="569"/>
    <s v="K. RAMOS"/>
    <d v="1899-12-30T07:30:00"/>
    <x v="88"/>
    <s v="EXTRUSORA 4"/>
    <m/>
    <s v="Falla en el tratador"/>
    <d v="1899-12-30T07:40:00"/>
    <d v="1899-12-30T08:20:00"/>
    <x v="75"/>
    <s v="Eléctrica"/>
    <s v="Se encuentra fallo f6 entratador, se realiza inspección y se logró resetear, se instercambia tratador de coex 3 para terminar la orden"/>
    <x v="1"/>
    <s v="NA"/>
    <x v="2"/>
    <x v="0"/>
    <d v="1899-12-30T00:40:00"/>
    <d v="2026-01-17T07:30:00"/>
    <d v="2026-01-17T08:20:00"/>
    <d v="1899-12-30T00:50:00"/>
  </r>
  <r>
    <n v="570"/>
    <s v="E. REYES"/>
    <d v="1899-12-30T14:00:00"/>
    <x v="88"/>
    <s v="SELLADORA 1"/>
    <s v="Repetitiva"/>
    <s v="Selladora no sella"/>
    <d v="1899-12-30T15:00:00"/>
    <d v="1899-12-30T15:20:00"/>
    <x v="75"/>
    <s v="Mecánica"/>
    <s v="Se da ajuste a mordaza superior y se realizan pruebas de funcionamiento"/>
    <x v="1"/>
    <s v="NA"/>
    <x v="2"/>
    <x v="0"/>
    <d v="1899-12-30T00:20:00"/>
    <d v="2026-01-17T14:00:00"/>
    <d v="2026-01-17T15:20:00"/>
    <d v="1899-12-30T01:20:00"/>
  </r>
  <r>
    <n v="571"/>
    <s v="J. PARDO"/>
    <d v="1899-12-30T10:00:00"/>
    <x v="88"/>
    <s v="IMPRESORA 1"/>
    <m/>
    <s v="Corto en el tablero"/>
    <d v="1899-12-30T10:00:00"/>
    <d v="1899-12-30T10:20:00"/>
    <x v="75"/>
    <s v="Eléctrica"/>
    <s v="Se encuentra coable en corto, se realizo el ajuste y se resetea breaker, queda operativo"/>
    <x v="1"/>
    <s v="NA"/>
    <x v="2"/>
    <x v="0"/>
    <d v="1899-12-30T00:20:00"/>
    <d v="2026-01-17T10:00:00"/>
    <d v="2026-01-17T10:20:00"/>
    <d v="1899-12-30T00:20:00"/>
  </r>
  <r>
    <n v="572"/>
    <s v="D. BUESACO"/>
    <d v="1899-12-30T17:20:00"/>
    <x v="88"/>
    <s v="SELLADORA 2"/>
    <m/>
    <s v="Correa suelta"/>
    <d v="1899-12-30T17:20:00"/>
    <d v="1899-12-30T17:50:00"/>
    <x v="75"/>
    <s v="Mecánica"/>
    <s v="Ajuste de correa"/>
    <x v="1"/>
    <s v="NA"/>
    <x v="2"/>
    <x v="0"/>
    <d v="1899-12-30T00:30:00"/>
    <d v="2026-01-17T17:20:00"/>
    <d v="2026-01-17T17:50:00"/>
    <d v="1899-12-30T00:30:00"/>
  </r>
  <r>
    <n v="573"/>
    <s v="R. MEJIA"/>
    <d v="1899-12-30T18:40:00"/>
    <x v="88"/>
    <s v="IMPRESORA 1"/>
    <m/>
    <s v="Diferencial decha no funciona"/>
    <d v="1899-12-30T18:40:00"/>
    <d v="1899-12-30T19:15:00"/>
    <x v="75"/>
    <s v="Mecánica"/>
    <s v="Se realiza calibración freno polipasto, se se grafila espiga porta chicle y se aplica trabarrosca para dar ajuste a pista quedando OK"/>
    <x v="1"/>
    <s v="Trabarosca"/>
    <x v="3"/>
    <x v="0"/>
    <d v="1899-12-30T00:35:00"/>
    <d v="2026-01-17T18:40:00"/>
    <d v="2026-01-17T19:15:00"/>
    <d v="1899-12-30T00:35:00"/>
  </r>
  <r>
    <n v="574"/>
    <s v="E. REYES"/>
    <d v="1899-12-30T06:40:00"/>
    <x v="88"/>
    <s v="SELLADORA 1"/>
    <s v="Repetitiva"/>
    <s v="No sella"/>
    <d v="1899-12-30T00:00:00"/>
    <d v="1899-12-30T03:00:00"/>
    <x v="75"/>
    <s v="Mecánica"/>
    <s v="Se le coloca presión, se calibra mordaza inferior, calibra teflon y se sube temperatura a 190 °C, no se genero parada de maquina"/>
    <x v="1"/>
    <s v="NA"/>
    <x v="3"/>
    <x v="0"/>
    <d v="1899-12-30T03:00:00"/>
    <d v="2026-01-17T06:40:00"/>
    <d v="2026-01-17T03:00:00"/>
    <n v="-0.15277777778101154"/>
  </r>
  <r>
    <n v="575"/>
    <m/>
    <m/>
    <x v="3"/>
    <m/>
    <m/>
    <m/>
    <m/>
    <m/>
    <x v="3"/>
    <m/>
    <m/>
    <x v="4"/>
    <m/>
    <x v="4"/>
    <x v="1"/>
    <d v="1899-12-30T00:00:00"/>
    <d v="1899-12-30T00:00:00"/>
    <d v="1899-12-30T00:00:00"/>
    <d v="1899-12-30T00:00:00"/>
  </r>
  <r>
    <n v="576"/>
    <s v="B. VELASQUEZ"/>
    <d v="1899-12-30T11:17:00"/>
    <x v="90"/>
    <s v="Otro"/>
    <m/>
    <s v="Manzana corta cores presenta desgaste en las uñas"/>
    <d v="1899-12-30T11:20:00"/>
    <d v="1899-12-30T01:18:00"/>
    <x v="77"/>
    <s v="Mecánica"/>
    <s v="Se le fabrican pestañas para que el core no se gire al momento del corte"/>
    <x v="1"/>
    <s v="Soldadura 6013 platina"/>
    <x v="9"/>
    <x v="0"/>
    <n v="-0.41805555555555551"/>
    <d v="2026-01-18T11:17:00"/>
    <d v="2026-01-18T01:18:00"/>
    <n v="-0.41597222221753327"/>
  </r>
  <r>
    <n v="577"/>
    <s v="R. MEJIA"/>
    <d v="1899-12-30T02:08:00"/>
    <x v="91"/>
    <s v="IMPRESORA 1"/>
    <m/>
    <s v="Eje embobinador pinchado"/>
    <d v="1899-12-30T02:15:00"/>
    <d v="1899-12-30T02:45:00"/>
    <x v="78"/>
    <s v="Mecánica"/>
    <s v="Se despincha por el lado de la valvula de llenado queda OK"/>
    <x v="1"/>
    <s v="NA"/>
    <x v="9"/>
    <x v="0"/>
    <d v="1899-12-30T00:30:00"/>
    <d v="2026-01-19T02:08:00"/>
    <d v="2026-01-19T02:45:00"/>
    <d v="1899-12-30T00:37:00"/>
  </r>
  <r>
    <n v="578"/>
    <s v="F. SANCHEZ"/>
    <d v="1899-12-30T06:10:00"/>
    <x v="91"/>
    <s v="EXTRUSORA 5"/>
    <s v="Puntual"/>
    <s v="Problemas con la velocidad 420 y llega 380 RPM, de la B 220 esa velocidad esta marcando mas como 65% de lo normal, Toca que manipular mezclada para que el calibre este al nivel"/>
    <d v="1899-12-30T07:00:00"/>
    <d v="1899-12-30T08:30:00"/>
    <x v="78"/>
    <s v="Mecánica"/>
    <s v="Se realiza desmonte y limpieza del ducto de refile, limpieza de malla filtro, se adiciono material al tornillo oara descartar empaste de material en el ducto y el tornillo, se realiza limpieza de doteco del tornillo B, se realiza calibración, se realiza montaje nuevamente de las piezas y se entrega a producción para el arranque 8:30, se tiene en seguimiento durante el arranque"/>
    <x v="1"/>
    <s v="NA"/>
    <x v="13"/>
    <x v="0"/>
    <d v="1899-12-30T01:30:00"/>
    <d v="2026-01-19T06:10:00"/>
    <d v="2026-01-19T08:30:00"/>
    <d v="1899-12-30T02:20:00"/>
  </r>
  <r>
    <n v="579"/>
    <s v="F. SANCHEZ"/>
    <d v="1899-12-30T08:00:00"/>
    <x v="91"/>
    <s v="EXTRUSORA 5"/>
    <s v="Puntual"/>
    <s v="Rodillo donde hasiento los clavos para sacar PVC y particuls rusticas por los clavos y los clavos no tienen punta para hacer un trabajo de nuevis bien por falta de punta"/>
    <m/>
    <m/>
    <x v="3"/>
    <m/>
    <m/>
    <x v="4"/>
    <m/>
    <x v="4"/>
    <x v="2"/>
    <d v="1899-12-30T00:00:00"/>
    <d v="2026-01-19T08:00:00"/>
    <d v="1899-12-30T00:00:00"/>
    <n v="-46041.333333333336"/>
  </r>
  <r>
    <n v="580"/>
    <m/>
    <m/>
    <x v="3"/>
    <m/>
    <m/>
    <m/>
    <m/>
    <m/>
    <x v="3"/>
    <m/>
    <m/>
    <x v="4"/>
    <m/>
    <x v="4"/>
    <x v="1"/>
    <d v="1899-12-30T00:00:00"/>
    <d v="1899-12-30T00:00:00"/>
    <d v="1899-12-30T00:00:00"/>
    <d v="1899-12-30T00:00:00"/>
  </r>
  <r>
    <n v="581"/>
    <m/>
    <m/>
    <x v="3"/>
    <m/>
    <m/>
    <m/>
    <m/>
    <m/>
    <x v="3"/>
    <m/>
    <m/>
    <x v="4"/>
    <m/>
    <x v="4"/>
    <x v="1"/>
    <d v="1899-12-30T00:00:00"/>
    <d v="1899-12-30T00:00:00"/>
    <d v="1899-12-30T00:00:00"/>
    <d v="1899-12-30T00:00:00"/>
  </r>
  <r>
    <n v="582"/>
    <s v="H. TRIANA"/>
    <d v="1899-12-30T09:10:00"/>
    <x v="91"/>
    <s v="EXTRUSORA 3"/>
    <s v="Puntual"/>
    <s v="Cuchillas del tratador sueltas "/>
    <d v="1899-12-30T09:15:00"/>
    <d v="1899-12-30T09:28:00"/>
    <x v="78"/>
    <s v="Mecánica"/>
    <s v="Resorte suelto se sujeta para que no queden libres"/>
    <x v="1"/>
    <s v="NA"/>
    <x v="9"/>
    <x v="0"/>
    <d v="1899-12-30T00:13:00"/>
    <d v="2026-01-19T09:10:00"/>
    <d v="2026-01-19T09:28:00"/>
    <d v="1899-12-30T00:18:00"/>
  </r>
  <r>
    <n v="583"/>
    <s v="E. REYES"/>
    <d v="1899-12-30T06:08:00"/>
    <x v="36"/>
    <s v="SELLADORA 1"/>
    <s v="Repetitiva"/>
    <s v="No arranca la maquina, no sella la maquina"/>
    <d v="1899-12-30T06:15:00"/>
    <d v="1899-12-30T09:30:00"/>
    <x v="79"/>
    <s v="Mecánica"/>
    <s v="Final de carrera se suelta, se hace ajuste quedando OK, se realiza ajuste en cuchilla y mordaza, no corrige falla, se solicita a producción un cambio de referencia para descartar que la falla sea por parte de la maquina, se trabaja con nueva referencia y trabaja sin anomalia"/>
    <x v="1"/>
    <s v="NA"/>
    <x v="3"/>
    <x v="0"/>
    <d v="1899-12-30T03:15:00"/>
    <d v="2026-01-20T06:08:00"/>
    <d v="2026-01-20T09:30:00"/>
    <d v="1899-12-30T03:22:00"/>
  </r>
  <r>
    <n v="584"/>
    <s v="R. INFANTE"/>
    <d v="1899-12-30T08:15:00"/>
    <x v="36"/>
    <s v="Otro"/>
    <m/>
    <s v="Bascula de compactado se mueve la plataforma como si se hubiera soltado"/>
    <d v="1899-12-30T08:15:00"/>
    <d v="1899-12-30T08:25:00"/>
    <x v="79"/>
    <s v="Mecánica"/>
    <s v="Tornillos base bascula suelto, se realiza torque para dar ajuste quedando OK"/>
    <x v="1"/>
    <s v="NA"/>
    <x v="3"/>
    <x v="0"/>
    <d v="1899-12-30T00:10:00"/>
    <d v="2026-01-20T08:15:00"/>
    <d v="2026-01-20T08:25:00"/>
    <d v="1899-12-30T00:10:00"/>
  </r>
  <r>
    <n v="585"/>
    <s v="E. REYES"/>
    <d v="1899-12-30T13:10:00"/>
    <x v="36"/>
    <s v="SELLADORA 1"/>
    <m/>
    <s v="No prende maquina"/>
    <d v="1899-12-30T13:10:00"/>
    <d v="1899-12-30T13:20:00"/>
    <x v="79"/>
    <s v="Eléctrica"/>
    <s v="Se realiza reset para todos los auxiliares para que permita el encendido"/>
    <x v="1"/>
    <s v="NA"/>
    <x v="3"/>
    <x v="0"/>
    <d v="1899-12-30T00:10:00"/>
    <d v="2026-01-20T13:10:00"/>
    <d v="2026-01-20T13:20:00"/>
    <d v="1899-12-30T00:10:00"/>
  </r>
  <r>
    <n v="586"/>
    <s v="S. CARDENAL"/>
    <d v="1899-12-30T14:30:00"/>
    <x v="36"/>
    <s v="SELLADORA 1"/>
    <m/>
    <s v="Variación de medida"/>
    <d v="1899-12-30T15:00:00"/>
    <m/>
    <x v="79"/>
    <m/>
    <s v="Se realiza ajuste, inspección de parametros, ajuste de presiones, fotocelda, prensas, pruebas de funcionamiento, maquina saca 2 o 3 paquetes y nuevamente varia medida, se realizan ajustes  pruebas pero no se logra poner a trabajar correctamente 18:00, se entrega operativa pero nuevamente falla"/>
    <x v="1"/>
    <s v="NA"/>
    <x v="2"/>
    <x v="1"/>
    <n v="-0.625"/>
    <d v="2026-01-20T14:30:00"/>
    <d v="2026-01-20T00:00:00"/>
    <n v="-0.60416666666424135"/>
  </r>
  <r>
    <n v="587"/>
    <s v="S. CARDENAL"/>
    <d v="1899-12-30T16:00:00"/>
    <x v="36"/>
    <s v="SELLADORA 2"/>
    <m/>
    <s v="Mordaza inferior presenta el cable desconectado"/>
    <d v="1899-12-30T16:00:00"/>
    <d v="1899-12-30T16:20:00"/>
    <x v="79"/>
    <s v="Eléctrica"/>
    <s v="Se conecta terminal de mordaza inferior ya que no cuenta con terminal de conexión"/>
    <x v="1"/>
    <s v="NS"/>
    <x v="2"/>
    <x v="0"/>
    <d v="1899-12-30T00:20:00"/>
    <d v="2026-01-20T16:00:00"/>
    <d v="2026-01-20T16:20:00"/>
    <d v="1899-12-30T00:20:00"/>
  </r>
  <r>
    <n v="588"/>
    <s v="S. CARDENAL"/>
    <d v="1899-12-30T16:10:00"/>
    <x v="36"/>
    <s v="SELLADORA 3"/>
    <s v="Repetitiva"/>
    <s v="Flautas dobladas"/>
    <d v="1899-12-30T17:00:00"/>
    <d v="1899-12-30T17:30:00"/>
    <x v="79"/>
    <s v="Mecánica"/>
    <s v="Se encuentra material atascado en la prensa, se extrae material, se desmontan flautas, se enderezan uñas de las flautas, se montan nuevamente y se entrega operativo, la intervención se realizo en cambio de referencia"/>
    <x v="1"/>
    <s v="NA"/>
    <x v="2"/>
    <x v="0"/>
    <d v="1899-12-30T00:30:00"/>
    <d v="2026-01-20T16:10:00"/>
    <d v="2026-01-20T17:30:00"/>
    <d v="1899-12-30T01:20:00"/>
  </r>
  <r>
    <n v="589"/>
    <s v="S. CARDENAL"/>
    <d v="1899-12-30T17:20:00"/>
    <x v="36"/>
    <s v="SELLADORA 2"/>
    <m/>
    <s v="Correas sueltas"/>
    <d v="1899-12-30T17:30:00"/>
    <d v="1899-12-30T17:45:00"/>
    <x v="79"/>
    <s v="Mecánica"/>
    <s v="Se tensionan correas del transportador, se instalo arandela de presión para tornillo M6, queda operativa"/>
    <x v="92"/>
    <s v="NA"/>
    <x v="2"/>
    <x v="0"/>
    <d v="1899-12-30T00:15:00"/>
    <d v="2026-01-20T17:20:00"/>
    <d v="2026-01-20T17:45:00"/>
    <d v="1899-12-30T00:25:00"/>
  </r>
  <r>
    <n v="590"/>
    <s v="S. CARDENAL"/>
    <d v="1899-12-30T20:20:00"/>
    <x v="36"/>
    <s v="SELLADORA 3"/>
    <m/>
    <s v="Temperatura superior no sube"/>
    <d v="1899-12-30T20:30:00"/>
    <d v="1899-12-30T21:00:00"/>
    <x v="79"/>
    <s v="Eléctrica"/>
    <s v="Se encuentra breaker de conexión en corto, se aisla cable, se da ajuste a conexiones, terminales y borneras, se coloca a calentar y se entrga con la temperatura en setpoint"/>
    <x v="1"/>
    <s v="NA"/>
    <x v="2"/>
    <x v="0"/>
    <d v="1899-12-30T00:30:00"/>
    <d v="2026-01-20T20:20:00"/>
    <d v="2026-01-20T21:00:00"/>
    <d v="1899-12-30T00:40:00"/>
  </r>
  <r>
    <n v="591"/>
    <s v="Z. NOVOA"/>
    <d v="1899-12-30T23:30:00"/>
    <x v="36"/>
    <s v="IMPRESORA 1"/>
    <m/>
    <s v="Cambio de mangueras por cortos y se bota la tinta"/>
    <d v="1899-12-30T23:30:00"/>
    <d v="1899-12-30T23:51:00"/>
    <x v="79"/>
    <m/>
    <s v="Se hace cambio de mangueras por transmisión muy cortos"/>
    <x v="93"/>
    <s v="NA"/>
    <x v="1"/>
    <x v="0"/>
    <d v="1899-12-30T00:21:00"/>
    <d v="2026-01-20T23:30:00"/>
    <d v="2026-01-20T23:51:00"/>
    <d v="1899-12-30T00:21:00"/>
  </r>
  <r>
    <n v="592"/>
    <s v="K. RAMOS"/>
    <d v="1899-12-30T22:00:00"/>
    <x v="36"/>
    <m/>
    <m/>
    <s v="Prisionero de la manzana dañado"/>
    <d v="1899-12-30T22:00:00"/>
    <d v="1899-12-30T21:40:00"/>
    <x v="79"/>
    <s v="Mecánica"/>
    <s v="Se realiza extracción prisioneros dañados, cambios por unos nuevos"/>
    <x v="94"/>
    <s v="NA"/>
    <x v="1"/>
    <x v="0"/>
    <n v="-1.388888888888884E-2"/>
    <d v="2026-01-20T22:00:00"/>
    <d v="2026-01-20T21:40:00"/>
    <n v="-1.3888888883229811E-2"/>
  </r>
  <r>
    <n v="593"/>
    <s v="M. NIVIA"/>
    <d v="1899-12-30T02:50:00"/>
    <x v="92"/>
    <s v="EXTRUSORA 2"/>
    <m/>
    <s v="Falla botón corta cores"/>
    <d v="1899-12-30T02:50:00"/>
    <d v="1899-12-30T03:00:00"/>
    <x v="80"/>
    <s v="Mecánica"/>
    <s v="Botón dañado, se presenta en tornillo externo, se da ajuste y se posiciona "/>
    <x v="1"/>
    <s v="NA"/>
    <x v="1"/>
    <x v="0"/>
    <d v="1899-12-30T00:10:00"/>
    <d v="2026-01-21T02:50:00"/>
    <d v="2026-01-21T03:00:00"/>
    <d v="1899-12-30T00:10:00"/>
  </r>
  <r>
    <n v="594"/>
    <s v="K. RAMOS"/>
    <d v="1899-12-30T03:10:00"/>
    <x v="92"/>
    <s v="EXTRUSORA 2"/>
    <s v="Puntual"/>
    <s v="Variador de rotación no operativo"/>
    <d v="1899-12-30T03:10:00"/>
    <d v="1899-12-30T03:30:00"/>
    <x v="80"/>
    <s v="Eléctrica"/>
    <s v="Se realiza reset en variador rotación queda operativo"/>
    <x v="1"/>
    <s v="NA"/>
    <x v="1"/>
    <x v="0"/>
    <d v="1899-12-30T00:20:00"/>
    <d v="2026-01-21T03:10:00"/>
    <d v="2026-01-21T03:30:00"/>
    <d v="1899-12-30T00:20:00"/>
  </r>
  <r>
    <n v="595"/>
    <s v="W. SANDOVAL"/>
    <d v="1899-12-30T03:00:00"/>
    <x v="92"/>
    <s v="REFILADORA 1"/>
    <m/>
    <s v="Ajuste intercambio de manguera del hidraulico"/>
    <d v="1899-12-30T03:00:00"/>
    <d v="1899-12-30T03:15:00"/>
    <x v="80"/>
    <m/>
    <s v="Se realiza intercambio de mangueras en dispositivo hidraulico del equipo, se da ajuste queda operativo"/>
    <x v="95"/>
    <s v="NA"/>
    <x v="1"/>
    <x v="0"/>
    <d v="1899-12-30T00:15:00"/>
    <d v="2026-01-21T03:00:00"/>
    <d v="2026-01-21T03:15:00"/>
    <d v="1899-12-30T00:15:00"/>
  </r>
  <r>
    <n v="596"/>
    <s v="L. GARZON"/>
    <d v="1899-12-30T06:30:00"/>
    <x v="92"/>
    <s v="SELLADORA 3"/>
    <s v="Puntual"/>
    <s v="La maquina se apaga constantemente (y no)"/>
    <d v="1899-12-30T06:35:00"/>
    <d v="1899-12-30T07:00:00"/>
    <x v="80"/>
    <s v="Eléctrica"/>
    <s v="Se realiza reseteo maquina y ajuste en borneras, ajuste transportador"/>
    <x v="1"/>
    <s v="NA"/>
    <x v="3"/>
    <x v="0"/>
    <d v="1899-12-30T00:25:00"/>
    <d v="2026-01-21T06:30:00"/>
    <d v="2026-01-21T07:00:00"/>
    <d v="1899-12-30T00:30:00"/>
  </r>
  <r>
    <n v="597"/>
    <s v="L. GARZON"/>
    <d v="1899-12-30T07:00:00"/>
    <x v="92"/>
    <m/>
    <s v="Puntual"/>
    <s v="Afilar cuchilla"/>
    <d v="1899-12-30T07:00:00"/>
    <d v="1899-12-30T07:15:00"/>
    <x v="80"/>
    <s v="Mecánica"/>
    <s v="Se presta apoyo para afilado de cuchilla quedando operaciona"/>
    <x v="1"/>
    <s v="NA"/>
    <x v="3"/>
    <x v="0"/>
    <d v="1899-12-30T00:15:00"/>
    <d v="2026-01-21T07:00:00"/>
    <d v="2026-01-21T07:15:00"/>
    <d v="1899-12-30T00:15:00"/>
  </r>
  <r>
    <n v="598"/>
    <s v="L. GARZON"/>
    <d v="1899-12-30T08:15:00"/>
    <x v="92"/>
    <s v="SELLADORA 2"/>
    <s v="Puntual"/>
    <s v="Soporte de cuchilla suelto"/>
    <d v="1899-12-30T08:15:00"/>
    <d v="1899-12-30T08:30:00"/>
    <x v="80"/>
    <s v="Mecánica"/>
    <s v="Soporte porta cuchilla sin tornillos, se remplazan quedando OK"/>
    <x v="96"/>
    <s v="NA"/>
    <x v="3"/>
    <x v="0"/>
    <d v="1899-12-30T00:15:00"/>
    <d v="2026-01-21T08:15:00"/>
    <d v="2026-01-21T08:30:00"/>
    <d v="1899-12-30T00:15:00"/>
  </r>
  <r>
    <n v="599"/>
    <s v="L. GARZON"/>
    <d v="1899-12-30T06:20:00"/>
    <x v="92"/>
    <s v="SELLADORA 1"/>
    <m/>
    <s v="Se reporta maquina por variación de medida"/>
    <d v="1899-12-30T06:20:00"/>
    <d v="1899-12-30T09:05:00"/>
    <x v="80"/>
    <s v="Mecánica, Eléctrica"/>
    <s v="Se realizan ajustes en fotocelda, tensiones balancin superior e inferior a freno hasta corregir."/>
    <x v="1"/>
    <s v="NA"/>
    <x v="3"/>
    <x v="0"/>
    <d v="1899-12-30T02:45:00"/>
    <d v="2026-01-21T06:20:00"/>
    <d v="2026-01-21T09:05:00"/>
    <d v="1899-12-30T02:45:00"/>
  </r>
  <r>
    <n v="600"/>
    <s v="L. GARZON"/>
    <d v="1899-12-30T10:20:00"/>
    <x v="92"/>
    <m/>
    <m/>
    <s v="Fotocelda no lee"/>
    <d v="1899-12-30T10:20:00"/>
    <d v="1899-12-30T10:50:00"/>
    <x v="80"/>
    <s v="Eléctrica"/>
    <s v="Se presta apoyo a operario para calibrar fotocelda y se cambia enhebrado quedando OK"/>
    <x v="1"/>
    <s v="NA"/>
    <x v="3"/>
    <x v="0"/>
    <d v="1899-12-30T00:30:00"/>
    <d v="2026-01-21T10:20:00"/>
    <d v="2026-01-21T10:50:00"/>
    <d v="1899-12-30T00:30:00"/>
  </r>
  <r>
    <n v="601"/>
    <s v="R. OLIVARES"/>
    <d v="1899-12-30T10:00:00"/>
    <x v="92"/>
    <s v="EXTRUSORA 5"/>
    <m/>
    <s v="Falla octagon"/>
    <d v="1899-12-30T10:00:00"/>
    <d v="1899-12-30T10:05:00"/>
    <x v="80"/>
    <s v="Eléctrica"/>
    <s v="Se reinicia sistema completo, al no encontrar solución se ubican en modo mover los dumper y al volver a auto queda funcionando sin novedad"/>
    <x v="1"/>
    <s v="NA"/>
    <x v="5"/>
    <x v="0"/>
    <d v="1899-12-30T00:05:00"/>
    <d v="2026-01-21T10:00:00"/>
    <d v="2026-01-21T10:05:00"/>
    <d v="1899-12-30T00:05:00"/>
  </r>
  <r>
    <n v="602"/>
    <s v="R. OLIVARES"/>
    <d v="1899-12-30T14:10:00"/>
    <x v="92"/>
    <s v="EXTRUSORA 5"/>
    <m/>
    <s v="Instalación de rodillos tratador"/>
    <d v="1899-12-30T14:10:00"/>
    <d v="1899-12-30T15:20:00"/>
    <x v="80"/>
    <s v="Mecánica, Eléctrica"/>
    <s v="Se realizo la instalación de los rodillos del tratador coex 5 y se realizan pruebas de operación, se entrega para arranque"/>
    <x v="1"/>
    <s v="NA"/>
    <x v="2"/>
    <x v="0"/>
    <d v="1899-12-30T01:10:00"/>
    <d v="2026-01-21T14:10:00"/>
    <d v="2026-01-21T15:20:00"/>
    <d v="1899-12-30T01:10:00"/>
  </r>
  <r>
    <n v="603"/>
    <s v="D. CUESTA"/>
    <d v="1899-12-30T18:30:00"/>
    <x v="92"/>
    <s v="REFILADORA 2"/>
    <m/>
    <s v="Ajuste cuchilla para sacar solapa"/>
    <d v="1899-12-30T18:30:00"/>
    <d v="1899-12-30T19:00:00"/>
    <x v="80"/>
    <s v="Mecánica"/>
    <s v="Se acondiciona cuchilla en refiladora 2 para sacar solapa en material ya doblada con apoyo del operario"/>
    <x v="1"/>
    <s v="NA"/>
    <x v="2"/>
    <x v="0"/>
    <d v="1899-12-30T00:30:00"/>
    <d v="2026-01-21T18:30:00"/>
    <d v="2026-01-21T19:00:00"/>
    <d v="1899-12-30T00:30:00"/>
  </r>
  <r>
    <n v="604"/>
    <s v="C. CASTRO"/>
    <d v="1899-12-30T02:20:00"/>
    <x v="93"/>
    <s v="REFILADORA 3"/>
    <s v="Puntual"/>
    <s v="Falla en la calandra, el eje superior quedo la presión activada y no patinaba"/>
    <d v="1899-12-30T02:20:00"/>
    <d v="1899-12-30T03:30:00"/>
    <x v="80"/>
    <s v="Mecánica"/>
    <s v="Se hace desmonte de castañas eje superior se acomoda felpa y manguea, se da ajuste de nuevamente se hace seguimiento"/>
    <x v="1"/>
    <s v="NA"/>
    <x v="1"/>
    <x v="0"/>
    <d v="1899-12-30T01:10:00"/>
    <d v="2026-01-22T02:20:00"/>
    <d v="2026-01-21T03:30:00"/>
    <n v="-0.95138888888322981"/>
  </r>
  <r>
    <n v="605"/>
    <s v="W. SANDOVAL"/>
    <m/>
    <x v="93"/>
    <s v="Otro"/>
    <s v="Repetitiva"/>
    <s v="Afilada de cuhcilla corta cores"/>
    <m/>
    <d v="1899-12-30T02:25:00"/>
    <x v="81"/>
    <s v="Mecánica"/>
    <s v="Se realiza afilado de disco corta cores"/>
    <x v="97"/>
    <s v="NA"/>
    <x v="1"/>
    <x v="0"/>
    <d v="1899-12-30T02:25:00"/>
    <d v="2026-01-22T00:00:00"/>
    <d v="2026-01-22T02:25:00"/>
    <d v="1899-12-30T02:25:00"/>
  </r>
  <r>
    <n v="606"/>
    <s v="L. GARZON"/>
    <d v="1899-12-30T07:00:00"/>
    <x v="93"/>
    <s v="SELLADORA 2"/>
    <s v="Puntual"/>
    <s v="Se solicita correas para transportador ya que se encuentra trabajando con 5 en la parte superior"/>
    <m/>
    <m/>
    <x v="3"/>
    <m/>
    <m/>
    <x v="4"/>
    <m/>
    <x v="4"/>
    <x v="2"/>
    <d v="1899-12-30T00:00:00"/>
    <d v="2026-01-22T07:00:00"/>
    <d v="1899-12-30T00:00:00"/>
    <n v="-46044.291666666664"/>
  </r>
  <r>
    <n v="607"/>
    <s v="L. GARZON"/>
    <d v="1899-12-30T07:00:00"/>
    <x v="93"/>
    <s v="SELLADORA 2"/>
    <s v="Puntual"/>
    <s v="Se solicita revisión de las uñas ya que estas estan torcidas y adicional faltan muchas de estas"/>
    <m/>
    <m/>
    <x v="3"/>
    <m/>
    <m/>
    <x v="4"/>
    <m/>
    <x v="4"/>
    <x v="2"/>
    <d v="1899-12-30T00:00:00"/>
    <d v="2026-01-22T07:00:00"/>
    <d v="1899-12-30T00:00:00"/>
    <n v="-46044.291666666664"/>
  </r>
  <r>
    <n v="608"/>
    <s v="L. GARZON"/>
    <d v="1899-12-30T11:25:00"/>
    <x v="93"/>
    <s v="SELLADORA 2"/>
    <m/>
    <s v="Temperatura varia se esta bajando y no sensa bien"/>
    <d v="1899-12-30T11:30:00"/>
    <d v="1899-12-30T12:10:00"/>
    <x v="81"/>
    <s v="Eléctrica"/>
    <s v="Se revisa controlador (pirometro) se encuentra bien, daño en la termocupla"/>
    <x v="74"/>
    <s v="NA"/>
    <x v="9"/>
    <x v="0"/>
    <d v="1899-12-30T00:40:00"/>
    <d v="2026-01-22T11:25:00"/>
    <d v="2026-01-22T12:10:00"/>
    <d v="1899-12-30T00:45:00"/>
  </r>
  <r>
    <n v="609"/>
    <s v="L. GARZON"/>
    <d v="1899-12-30T12:30:00"/>
    <x v="93"/>
    <s v="SELLADORA 1"/>
    <m/>
    <s v="Se solicita revisión de presión de cuchilla por que la bolsa se abre"/>
    <d v="1899-12-30T12:32:00"/>
    <d v="1899-12-30T13:15:00"/>
    <x v="81"/>
    <s v="Eléctrica"/>
    <s v="Se ajusta presión de la parte izquierda, quedo sellando OK"/>
    <x v="1"/>
    <s v="NA"/>
    <x v="9"/>
    <x v="0"/>
    <d v="1899-12-30T00:43:00"/>
    <d v="2026-01-22T12:30:00"/>
    <d v="2026-01-22T13:15:00"/>
    <d v="1899-12-30T00:45:00"/>
  </r>
  <r>
    <n v="610"/>
    <s v="S. CARDENAL"/>
    <d v="1899-12-30T14:00:00"/>
    <x v="93"/>
    <s v="SELLADORA 1"/>
    <m/>
    <s v="Molesta el selle"/>
    <d v="1899-12-30T14:15:00"/>
    <d v="1899-12-30T14:45:00"/>
    <x v="81"/>
    <s v="Mecánica"/>
    <s v="Se presta apoyo para calibración de mordaza y calibración por fallas en el sello quedando OK"/>
    <x v="1"/>
    <s v="NA"/>
    <x v="3"/>
    <x v="0"/>
    <d v="1899-12-30T00:30:00"/>
    <d v="2026-01-22T14:00:00"/>
    <d v="2026-01-22T14:45:00"/>
    <d v="1899-12-30T00:45:00"/>
  </r>
  <r>
    <n v="611"/>
    <s v="D. ARRIETA"/>
    <d v="1899-12-30T03:40:00"/>
    <x v="94"/>
    <s v="IMPRESORA 1"/>
    <m/>
    <s v="Bomba no arranca"/>
    <d v="1899-12-30T03:40:00"/>
    <d v="1899-12-30T04:00:00"/>
    <x v="82"/>
    <s v="Mecánica, Neúmatica"/>
    <s v="Bomba neúmatica no arranca, se revisa conexión neúmatica, estado de mangueras de succión y descarga, se da ajuste a mangueras y se realizan pruebas de funcionamiento, no se genera paro de maquina"/>
    <x v="1"/>
    <s v="NA"/>
    <x v="2"/>
    <x v="0"/>
    <d v="1899-12-30T00:20:00"/>
    <d v="2026-01-23T03:40:00"/>
    <d v="2026-01-23T04:00:00"/>
    <d v="1899-12-30T00:20:00"/>
  </r>
  <r>
    <n v="612"/>
    <s v="B. RODRIGUEZ"/>
    <d v="1899-12-30T04:00:00"/>
    <x v="94"/>
    <m/>
    <m/>
    <s v="Rosca rodada del corta cores"/>
    <d v="1899-12-30T04:00:00"/>
    <d v="1899-12-30T04:30:00"/>
    <x v="82"/>
    <s v="Mecánica"/>
    <s v="Se encuentra rosca de ajuste de mordaza rodada, se realizo el cambio de un tornillo M12 x 60mm y se instalo con soldadura tuerca ya queno se pudo reconstruir la rosca, quedo operativo"/>
    <x v="98"/>
    <s v="Soldadura"/>
    <x v="2"/>
    <x v="0"/>
    <d v="1899-12-30T00:30:00"/>
    <d v="2026-01-23T04:00:00"/>
    <d v="2026-01-23T04:30:00"/>
    <d v="1899-12-30T00:30:00"/>
  </r>
  <r>
    <n v="613"/>
    <s v="D. CUESTA"/>
    <d v="1899-12-30T06:45:00"/>
    <x v="94"/>
    <s v="EXTRUSORA 3"/>
    <s v="Puntual"/>
    <s v="Tornillo de la pinola de la COEX 3 no ajusta rosca mala o el tornillo"/>
    <d v="1899-12-30T07:00:00"/>
    <d v="1899-12-30T08:10:00"/>
    <x v="82"/>
    <s v="Mecánica"/>
    <s v="Se cambia tornillo por rosca defectuosa"/>
    <x v="99"/>
    <s v="NA"/>
    <x v="9"/>
    <x v="0"/>
    <d v="1899-12-30T01:10:00"/>
    <d v="2026-01-23T06:45:00"/>
    <d v="2026-01-23T08:10:00"/>
    <d v="1899-12-30T01:25:00"/>
  </r>
  <r>
    <n v="614"/>
    <m/>
    <m/>
    <x v="3"/>
    <m/>
    <m/>
    <m/>
    <m/>
    <m/>
    <x v="3"/>
    <m/>
    <m/>
    <x v="4"/>
    <m/>
    <x v="4"/>
    <x v="1"/>
    <d v="1899-12-30T00:00:00"/>
    <d v="1899-12-30T00:00:00"/>
    <d v="1899-12-30T00:00:00"/>
    <d v="1899-12-30T00:00:00"/>
  </r>
  <r>
    <n v="615"/>
    <s v="C. CASTRO"/>
    <d v="1899-12-30T00:30:00"/>
    <x v="95"/>
    <s v="REFILADORA 3"/>
    <m/>
    <s v="Ventilador del desbobinador frenado"/>
    <d v="1899-12-30T00:30:00"/>
    <d v="1899-12-30T01:00:00"/>
    <x v="83"/>
    <s v="Mecánica"/>
    <s v="Se desmonta ventilador, se procede al desarme y limpieza de material atascado, se realiza montaje y queda operativo"/>
    <x v="1"/>
    <s v="NA"/>
    <x v="2"/>
    <x v="0"/>
    <d v="1899-12-30T00:30:00"/>
    <d v="2026-01-24T00:30:00"/>
    <d v="2026-01-24T01:00:00"/>
    <d v="1899-12-30T00:30:00"/>
  </r>
  <r>
    <n v="616"/>
    <s v="H. TRIANA"/>
    <d v="1899-12-30T17:50:00"/>
    <x v="95"/>
    <s v="EXTRUSORA 2"/>
    <s v="Repetitiva"/>
    <s v="Falla en el contactor del barril, se queda pegado"/>
    <d v="1899-12-30T17:50:00"/>
    <d v="1899-12-30T18:00:00"/>
    <x v="83"/>
    <s v="Eléctrica"/>
    <s v="Se evidencia contactor pegado, se da ajuste y queda operativo"/>
    <x v="1"/>
    <s v="NA"/>
    <x v="1"/>
    <x v="0"/>
    <d v="1899-12-30T00:10:00"/>
    <d v="2026-01-24T17:50:00"/>
    <d v="2026-01-24T18:00:00"/>
    <d v="1899-12-30T00:10:00"/>
  </r>
  <r>
    <n v="617"/>
    <m/>
    <m/>
    <x v="3"/>
    <m/>
    <m/>
    <m/>
    <m/>
    <m/>
    <x v="3"/>
    <m/>
    <m/>
    <x v="4"/>
    <m/>
    <x v="4"/>
    <x v="1"/>
    <d v="1899-12-30T00:00:00"/>
    <d v="1899-12-30T00:00:00"/>
    <d v="1899-12-30T00:00:00"/>
    <d v="1899-12-30T00:00:00"/>
  </r>
  <r>
    <n v="618"/>
    <s v="R. OLIVARES"/>
    <d v="1899-12-30T14:30:00"/>
    <x v="95"/>
    <s v="EXTRUSORA 5"/>
    <m/>
    <s v="El octagon no corrige el calibre"/>
    <d v="1899-12-30T14:30:00"/>
    <d v="1899-12-30T16:50:00"/>
    <x v="83"/>
    <s v="Eléctrica"/>
    <s v="Se reinicia en su totalidad el equipo, se espera el arranque, queda operativo se hace seguimiento"/>
    <x v="1"/>
    <s v="NA"/>
    <x v="1"/>
    <x v="0"/>
    <d v="1899-12-30T02:20:00"/>
    <d v="2026-01-24T14:30:00"/>
    <d v="2026-01-24T16:50:00"/>
    <d v="1899-12-30T02:20:00"/>
  </r>
  <r>
    <n v="619"/>
    <s v="H. TRIANA"/>
    <d v="1899-12-30T16:30:00"/>
    <x v="95"/>
    <s v="EXTRUSORA"/>
    <m/>
    <s v="Rotación parada error en variador "/>
    <d v="1899-12-30T16:30:00"/>
    <d v="1899-12-30T17:15:00"/>
    <x v="83"/>
    <s v="Eléctrica"/>
    <s v="Se evidencia rotación en falla se hace reset, se restablece operación de trabajo, seguimiento en el turno"/>
    <x v="1"/>
    <s v="NA"/>
    <x v="1"/>
    <x v="0"/>
    <d v="1899-12-30T00:45:00"/>
    <d v="2026-01-24T16:30:00"/>
    <d v="2026-01-24T17:15:00"/>
    <d v="1899-12-30T00:45:00"/>
  </r>
  <r>
    <n v="620"/>
    <s v="R. OLIVARES"/>
    <d v="1899-12-30T17:20:00"/>
    <x v="95"/>
    <m/>
    <m/>
    <s v="Daño en el brazo alimentador"/>
    <d v="1899-12-30T17:20:00"/>
    <d v="1899-12-30T17:40:00"/>
    <x v="83"/>
    <s v="Neúmatica"/>
    <s v="Se revisa brazo alimentador piston neúmatico, se desajusta, se posiciona y se ajusta nuevamente, queda operativo"/>
    <x v="1"/>
    <s v="NA"/>
    <x v="1"/>
    <x v="0"/>
    <d v="1899-12-30T00:20:00"/>
    <d v="2026-01-24T17:20:00"/>
    <d v="2026-01-24T17:40:00"/>
    <d v="1899-12-30T00:20:00"/>
  </r>
  <r>
    <n v="621"/>
    <m/>
    <m/>
    <x v="3"/>
    <m/>
    <m/>
    <s v="Anular"/>
    <m/>
    <m/>
    <x v="3"/>
    <m/>
    <m/>
    <x v="4"/>
    <m/>
    <x v="4"/>
    <x v="1"/>
    <d v="1899-12-30T00:00:00"/>
    <d v="1899-12-30T00:00:00"/>
    <d v="1899-12-30T00:00:00"/>
    <d v="1899-12-30T00:00:00"/>
  </r>
  <r>
    <n v="622"/>
    <m/>
    <m/>
    <x v="3"/>
    <m/>
    <m/>
    <m/>
    <m/>
    <m/>
    <x v="3"/>
    <m/>
    <m/>
    <x v="4"/>
    <m/>
    <x v="4"/>
    <x v="1"/>
    <d v="1899-12-30T00:00:00"/>
    <d v="1899-12-30T00:00:00"/>
    <d v="1899-12-30T00:00:00"/>
    <d v="1899-12-30T00:00:00"/>
  </r>
  <r>
    <n v="623"/>
    <s v="K. RAMOS"/>
    <d v="1899-12-30T05:30:00"/>
    <x v="96"/>
    <s v="EXTRUSORA 2"/>
    <m/>
    <s v="Piedra deja rotación de la escobilla se brinca y se corto y pago la maquina toda completa"/>
    <d v="1899-12-30T05:30:00"/>
    <d v="1899-12-30T05:40:00"/>
    <x v="84"/>
    <s v="Eléctrica"/>
    <s v="Se realiza cambio de escobilla de rotación por desgaste"/>
    <x v="1"/>
    <s v="NA"/>
    <x v="3"/>
    <x v="0"/>
    <d v="1899-12-30T00:10:00"/>
    <d v="2026-01-25T05:30:00"/>
    <d v="2026-01-25T05:40:00"/>
    <d v="1899-12-30T00:10:00"/>
  </r>
  <r>
    <n v="624"/>
    <s v="D. CUESTA"/>
    <d v="1899-12-30T05:48:00"/>
    <x v="96"/>
    <s v="EXTRUSORA 2"/>
    <m/>
    <s v="Temperatura del barril se descontroló subiendose 40° mas por encima"/>
    <d v="1899-12-30T06:00:00"/>
    <d v="1899-12-30T06:50:00"/>
    <x v="84"/>
    <s v="Eléctrica"/>
    <s v="Se encuentra contactor pegado en el momento del enclavamiento, se realiza el cambio del contactor y se deja bajar la temperatura que se encuentra por encima de 200 ° C"/>
    <x v="1"/>
    <s v="NA"/>
    <x v="2"/>
    <x v="0"/>
    <d v="1899-12-30T00:50:00"/>
    <d v="2026-01-25T05:48:00"/>
    <d v="2026-01-25T06:50:00"/>
    <d v="1899-12-30T01:02:00"/>
  </r>
  <r>
    <n v="625"/>
    <s v="S. PERALTA"/>
    <d v="1899-12-30T18:55:00"/>
    <x v="96"/>
    <s v="Otro"/>
    <m/>
    <s v="Manzana corta cores no enrosca"/>
    <d v="1899-12-30T18:55:00"/>
    <d v="1899-12-30T19:30:00"/>
    <x v="84"/>
    <s v="Mecánica"/>
    <s v="Se realiza extracción del tronillo rectificado de rosca cambio tornillo por un M12"/>
    <x v="100"/>
    <s v="NA"/>
    <x v="1"/>
    <x v="0"/>
    <d v="1899-12-30T00:35:00"/>
    <d v="2026-01-25T18:55:00"/>
    <d v="2026-01-25T19:30:00"/>
    <d v="1899-12-30T00:35:00"/>
  </r>
  <r>
    <n v="626"/>
    <s v="H. TRIANA"/>
    <m/>
    <x v="96"/>
    <s v="EXTRUSORA 3"/>
    <s v="Repetitiva"/>
    <s v="Cuchilla de tratado estan muy duras para cuadrar planos de tratado"/>
    <m/>
    <m/>
    <x v="84"/>
    <s v="Eléctrica"/>
    <s v="Se revisa, se da ajuste pero queda en seguimiento para hacer cambio y que opere mas suave"/>
    <x v="1"/>
    <s v="NA"/>
    <x v="1"/>
    <x v="0"/>
    <d v="1899-12-30T00:00:00"/>
    <d v="2026-01-25T00:00:00"/>
    <d v="2026-01-25T00:00:00"/>
    <d v="1899-12-30T00:00:00"/>
  </r>
  <r>
    <n v="627"/>
    <s v="S. PERALTA"/>
    <d v="1899-12-30T20:00:00"/>
    <x v="96"/>
    <s v="Otro"/>
    <m/>
    <s v="Tornillo que sujeta la cuchilla se parte"/>
    <d v="1899-12-30T20:00:00"/>
    <m/>
    <x v="84"/>
    <s v="Mecánica"/>
    <s v="Se corta tuerca y se cambia tornillo, se aplica soldadura, se afila cuchilla de corta cores"/>
    <x v="101"/>
    <s v="Soldadura"/>
    <x v="1"/>
    <x v="0"/>
    <n v="-0.83333333333333337"/>
    <d v="2026-01-25T20:00:00"/>
    <d v="2026-01-25T00:00:00"/>
    <n v="-0.83333333333575865"/>
  </r>
  <r>
    <n v="628"/>
    <s v="H. TRIANA"/>
    <d v="1899-12-30T01:00:00"/>
    <x v="97"/>
    <s v="EXTRUSORA 3"/>
    <s v="Repetitiva"/>
    <s v="Tornillo bristol se le daña la cabeza y no sale la manzana del eje"/>
    <d v="1899-12-30T01:00:00"/>
    <d v="1899-12-30T01:25:00"/>
    <x v="85"/>
    <s v="Mecánica"/>
    <s v="Se realiza cambio de tornillo"/>
    <x v="99"/>
    <s v="NA"/>
    <x v="1"/>
    <x v="0"/>
    <d v="1899-12-30T00:25:00"/>
    <d v="2026-01-26T01:00:00"/>
    <d v="2026-01-26T01:25:00"/>
    <d v="1899-12-30T00:25:00"/>
  </r>
  <r>
    <n v="629"/>
    <s v="D. MARIN"/>
    <d v="1899-12-30T11:00:00"/>
    <x v="94"/>
    <m/>
    <m/>
    <s v="Rosca de ajuste de manzana rodada"/>
    <d v="1899-12-30T11:00:00"/>
    <d v="1899-12-30T11:40:00"/>
    <x v="85"/>
    <s v="Mecánica"/>
    <s v="Se soldo tuerca de mordaza de ajuste de cortacores"/>
    <x v="1"/>
    <s v="Soldadura"/>
    <x v="2"/>
    <x v="0"/>
    <d v="1899-12-30T00:40:00"/>
    <d v="2026-01-23T11:00:00"/>
    <d v="2026-01-26T11:40:00"/>
    <d v="1900-01-02T00:40:00"/>
  </r>
  <r>
    <n v="630"/>
    <s v="J. BRICEÑO"/>
    <d v="1899-12-30T16:15:00"/>
    <x v="97"/>
    <s v="IMPRESORA 1"/>
    <m/>
    <s v="Falla en la bomba neúmatica"/>
    <d v="1899-12-30T16:30:00"/>
    <d v="1899-12-30T16:50:00"/>
    <x v="85"/>
    <s v="Neúmatica"/>
    <s v="Se revisa bomba, se saca los balines, se limpia, se purga y se hace montaje, queda operativa, en seguimiento"/>
    <x v="1"/>
    <s v="NA"/>
    <x v="1"/>
    <x v="0"/>
    <d v="1899-12-30T00:20:00"/>
    <d v="2026-01-26T16:15:00"/>
    <d v="2026-01-26T16:50:00"/>
    <d v="1899-12-30T00:35:00"/>
  </r>
  <r>
    <n v="631"/>
    <s v="R. MEJIA"/>
    <d v="1899-12-30T17:25:00"/>
    <x v="97"/>
    <s v="IMPRESORA 1"/>
    <s v="Repetitiva"/>
    <s v="Falla bomba neúmatica repetidamente unidad #2"/>
    <d v="1899-12-30T17:25:00"/>
    <d v="1899-12-30T18:00:00"/>
    <x v="85"/>
    <s v="Eléctrica"/>
    <s v="Persiste falla en bomba, se desarma, se saca balin y se toman medidas, se limpia y queda operativo, se hace seguimiento"/>
    <x v="1"/>
    <s v="NA"/>
    <x v="1"/>
    <x v="0"/>
    <d v="1899-12-30T00:35:00"/>
    <d v="2026-01-26T17:25:00"/>
    <d v="2026-01-26T18:00:00"/>
    <d v="1899-12-30T00:35:00"/>
  </r>
  <r>
    <n v="632"/>
    <s v="D. ARRIETA"/>
    <d v="1899-12-30T19:39:00"/>
    <x v="97"/>
    <s v="IMPRESORA 1"/>
    <s v="Repetitiva"/>
    <s v="Bomba neúmatica, la bomba 2, 5 comienza funcionando y en el transcurso de 3 minutos deja de subir tinta al Anilox y eso puede afectar al fotopolimero (Dañarlo)"/>
    <d v="1899-12-30T19:39:00"/>
    <d v="1899-12-30T20:00:00"/>
    <x v="85"/>
    <s v="Neúmatica"/>
    <s v="Se revisan bomba, se limpia esferas, persiste falla, acción tomada cambio a bombas antiguas en canecas sumergibles"/>
    <x v="1"/>
    <s v="NA"/>
    <x v="1"/>
    <x v="0"/>
    <d v="1899-12-30T00:21:00"/>
    <d v="2026-01-26T19:39:00"/>
    <d v="2026-01-26T20:00:00"/>
    <d v="1899-12-30T00:21:00"/>
  </r>
  <r>
    <n v="633"/>
    <s v="J. PARDO"/>
    <d v="1899-12-30T06:55:00"/>
    <x v="98"/>
    <s v="IMPRESORA 1"/>
    <s v="Repetitiva"/>
    <s v="Daño en bombas de tinta daño palanca hidraulica unidad 4"/>
    <d v="1899-12-30T06:55:00"/>
    <d v="1899-12-30T09:05:00"/>
    <x v="86"/>
    <s v="Neúmatica"/>
    <s v="Se realiza revisión a bombas y mangueras encontrando presión baja en el suministro del aire comprimido, se coloca mangueras M12 desde impresora #2, corrigiendo así la falla, se hace seguimiento"/>
    <x v="102"/>
    <s v="NA"/>
    <x v="3"/>
    <x v="0"/>
    <d v="1899-12-30T02:10:00"/>
    <d v="2026-01-27T06:55:00"/>
    <d v="2026-01-27T09:05:00"/>
    <d v="1899-12-30T02:10:00"/>
  </r>
  <r>
    <n v="634"/>
    <s v="J. CARRILLO"/>
    <d v="1899-12-30T09:15:00"/>
    <x v="98"/>
    <s v="Otro"/>
    <s v="Puntual"/>
    <s v="Se genera corto en el molino"/>
    <d v="1899-12-30T09:15:00"/>
    <d v="1899-12-30T10:20:00"/>
    <x v="86"/>
    <s v="Eléctrica"/>
    <s v="Se encuentra protecciones disparadas por alto esfuerzo, se entrega maquina habilitada para trabajar"/>
    <x v="1"/>
    <s v="NA"/>
    <x v="5"/>
    <x v="0"/>
    <d v="1899-12-30T01:05:00"/>
    <d v="2026-01-27T09:15:00"/>
    <d v="2026-01-27T10:20:00"/>
    <d v="1899-12-30T01:05:00"/>
  </r>
  <r>
    <n v="635"/>
    <s v="H. TRIANA"/>
    <d v="1899-12-30T11:12:00"/>
    <x v="98"/>
    <s v="EXTRUSORA 2"/>
    <s v="Puntual"/>
    <s v="Perilla de encender y apagar motor externo se cae"/>
    <m/>
    <d v="1899-12-30T20:15:00"/>
    <x v="27"/>
    <s v="Eléctrica"/>
    <s v="Se cambio collarin de fijación de perilla, se aprovecha que el equipo esta apagado"/>
    <x v="1"/>
    <s v="NA"/>
    <x v="1"/>
    <x v="0"/>
    <d v="1899-12-30T20:15:00"/>
    <d v="2026-01-27T11:12:00"/>
    <d v="2026-02-01T20:15:00"/>
    <d v="1900-01-04T09:03:00"/>
  </r>
  <r>
    <n v="636"/>
    <s v="F. SANCHEZ"/>
    <d v="1899-12-30T14:00:00"/>
    <x v="98"/>
    <s v="EXTRUSORA 5"/>
    <s v="Puntual"/>
    <s v="Problemas con la velocidad de la extruder B, se sube y se baja la velocidad, ya lleva tiempo en eso"/>
    <m/>
    <m/>
    <x v="3"/>
    <m/>
    <m/>
    <x v="4"/>
    <m/>
    <x v="4"/>
    <x v="2"/>
    <d v="1899-12-30T00:00:00"/>
    <d v="2026-01-27T14:00:00"/>
    <d v="1899-12-30T00:00:00"/>
    <n v="-46049.583333333336"/>
  </r>
  <r>
    <n v="637"/>
    <s v="H. TRIANA"/>
    <d v="1899-12-30T15:50:00"/>
    <x v="31"/>
    <s v="EXTRUSORA 2"/>
    <s v="Repetitiva"/>
    <s v="Temperaturas se suben 60 grados de lo normal"/>
    <m/>
    <m/>
    <x v="3"/>
    <m/>
    <m/>
    <x v="4"/>
    <m/>
    <x v="4"/>
    <x v="2"/>
    <d v="1899-12-30T00:00:00"/>
    <d v="2026-02-27T15:50:00"/>
    <d v="1899-12-30T00:00:00"/>
    <n v="-46080.659722222219"/>
  </r>
  <r>
    <n v="638"/>
    <s v="Y. BERNAL"/>
    <d v="1899-12-30T17:00:00"/>
    <x v="98"/>
    <s v="Otro"/>
    <s v="Puntual"/>
    <s v="Se le reporta a mantenimiento por que el tornillo de la cortadora no aprieta ni suelta y se lleva a cuato de mantenimiento para suarreglo"/>
    <d v="1899-12-30T17:00:00"/>
    <d v="1899-12-30T17:17:00"/>
    <x v="86"/>
    <s v="Mecánica"/>
    <s v="Se desolda tuerca y tornillo, se hace cambio, se aplica soldadura, queda nuevamente en servicio"/>
    <x v="103"/>
    <s v="NA"/>
    <x v="1"/>
    <x v="0"/>
    <d v="1899-12-30T00:17:00"/>
    <d v="2026-01-27T17:00:00"/>
    <d v="2026-01-27T17:17:00"/>
    <d v="1899-12-30T00:17:00"/>
  </r>
  <r>
    <n v="639"/>
    <s v="L. GARZON"/>
    <d v="1899-12-30T14:30:00"/>
    <x v="98"/>
    <s v="SELLADORA 2"/>
    <m/>
    <s v="Fotocelda se apaga y no registra"/>
    <d v="1899-12-30T14:30:00"/>
    <d v="1899-12-30T17:00:00"/>
    <x v="86"/>
    <s v="Eléctrica"/>
    <s v="Se revisa fotocelda lectura intermitente, se hace cambio por la de la selladora y se hace seguimiento, cambio de cable para descartar, lectura queda operativa"/>
    <x v="1"/>
    <s v="NA"/>
    <x v="1"/>
    <x v="0"/>
    <d v="1899-12-30T02:30:00"/>
    <d v="2026-01-27T14:30:00"/>
    <d v="2026-01-27T17:00:00"/>
    <d v="1899-12-30T02:30:00"/>
  </r>
  <r>
    <n v="640"/>
    <s v="H. TRIANA"/>
    <d v="1899-12-30T17:50:00"/>
    <x v="98"/>
    <s v="EXTRUSORA 2"/>
    <s v="Puntual"/>
    <s v="Tratador con potencia intermitente"/>
    <m/>
    <m/>
    <x v="3"/>
    <m/>
    <m/>
    <x v="4"/>
    <m/>
    <x v="4"/>
    <x v="2"/>
    <d v="1899-12-30T00:00:00"/>
    <d v="2026-01-27T17:50:00"/>
    <d v="1899-12-30T00:00:00"/>
    <n v="-46049.743055555555"/>
  </r>
  <r>
    <n v="641"/>
    <s v="L. GARZON"/>
    <d v="1899-12-30T21:00:00"/>
    <x v="98"/>
    <s v="SELLADORA 2"/>
    <s v="Repetitiva"/>
    <s v="Se solicita revisión de termocupla por que no sube temperatura"/>
    <d v="1899-12-30T21:00:00"/>
    <d v="1899-12-30T21:15:00"/>
    <x v="86"/>
    <s v="Eléctrica"/>
    <s v="Se revisa termocupla, se encuentra defectuosa, se remplaza por una nueva, se hace seguimiento, queda operativa"/>
    <x v="104"/>
    <s v="NA"/>
    <x v="1"/>
    <x v="0"/>
    <d v="1899-12-30T00:15:00"/>
    <d v="2026-01-27T21:00:00"/>
    <d v="2026-01-27T21:15:00"/>
    <d v="1899-12-30T00:15:00"/>
  </r>
  <r>
    <n v="642"/>
    <s v="J. MIRANDA"/>
    <d v="1899-12-30T06:30:00"/>
    <x v="99"/>
    <s v="Otro"/>
    <s v="Puntual"/>
    <s v="Daño en la rosca del tornillo de ajustador"/>
    <d v="1899-12-30T06:30:00"/>
    <d v="1899-12-30T07:20:00"/>
    <x v="86"/>
    <s v="Mecánica"/>
    <s v="Rosca averiada, se realiza perforación para pasar macho 1/2 para rosca quedando OK"/>
    <x v="105"/>
    <s v="NA"/>
    <x v="3"/>
    <x v="0"/>
    <d v="1899-12-30T00:50:00"/>
    <d v="2026-01-28T06:30:00"/>
    <d v="2026-01-27T07:20:00"/>
    <n v="-0.96527777778101154"/>
  </r>
  <r>
    <n v="643"/>
    <s v="J. PARDO"/>
    <d v="1899-12-30T15:00:00"/>
    <x v="99"/>
    <s v="IMPRESORA 1"/>
    <s v="Repetitiva"/>
    <s v="Hidraulica unidad 4 no sube"/>
    <d v="1899-12-30T15:00:00"/>
    <d v="1899-12-30T15:19:00"/>
    <x v="87"/>
    <s v="Neúmatica"/>
    <s v="Se cambia accionador de palanca unidad #3 a unidad #4, se entrega en normal funcionamiento"/>
    <x v="1"/>
    <s v="NA"/>
    <x v="5"/>
    <x v="0"/>
    <d v="1899-12-30T00:19:00"/>
    <d v="2026-01-28T15:00:00"/>
    <d v="2026-01-28T15:19:00"/>
    <d v="1899-12-30T00:19:00"/>
  </r>
  <r>
    <n v="644"/>
    <s v="B. VELASQUEZ"/>
    <d v="1899-12-30T14:30:00"/>
    <x v="99"/>
    <s v="Otro"/>
    <s v="Puntual"/>
    <s v="Chiller no enfria, el compresor no enciende"/>
    <d v="1899-12-30T14:40:00"/>
    <d v="1899-12-30T18:20:00"/>
    <x v="87"/>
    <s v="Eléctrica"/>
    <s v="Se revisa y se encuentra contador mal estado, no abre los contactos y el controlador se esta quedando pegado, no envia orden de encendido"/>
    <x v="106"/>
    <s v="NA"/>
    <x v="9"/>
    <x v="0"/>
    <d v="1899-12-30T03:40:00"/>
    <d v="2026-01-28T14:30:00"/>
    <d v="2026-01-28T18:20:00"/>
    <d v="1899-12-30T03:50:00"/>
  </r>
  <r>
    <n v="645"/>
    <s v="F. SANCHEZ"/>
    <d v="1899-12-30T18:55:00"/>
    <x v="99"/>
    <s v="EXTRUSORA 5"/>
    <s v="Puntual"/>
    <s v="Se paro la maquina por falla eléctrica, se baja el breaker y se reinicia"/>
    <d v="1899-12-30T18:57:00"/>
    <d v="1899-12-30T19:20:00"/>
    <x v="87"/>
    <s v="Eléctrica"/>
    <s v="Hubo bajon de energia electrica, se baja el breaker y se reinicia"/>
    <x v="1"/>
    <s v="NA"/>
    <x v="9"/>
    <x v="0"/>
    <d v="1899-12-30T00:23:00"/>
    <d v="2026-01-28T18:55:00"/>
    <d v="2026-01-28T19:20:00"/>
    <d v="1899-12-30T00:25:00"/>
  </r>
  <r>
    <n v="646"/>
    <s v="F. SANCHEZ"/>
    <d v="1899-12-30T20:50:00"/>
    <x v="99"/>
    <s v="EXTRUSORA 5"/>
    <s v="Puntual"/>
    <s v="Problema con el octagon, no funcionaba"/>
    <d v="1899-12-30T20:55:00"/>
    <d v="1899-12-30T21:30:00"/>
    <x v="87"/>
    <s v="Eléctrica"/>
    <s v="Se revisa y el router apagado, se reinica y queda OK"/>
    <x v="1"/>
    <s v="NA"/>
    <x v="9"/>
    <x v="0"/>
    <d v="1899-12-30T00:35:00"/>
    <d v="2026-01-28T20:50:00"/>
    <d v="2026-01-28T21:30:00"/>
    <d v="1899-12-30T00:40:00"/>
  </r>
  <r>
    <n v="647"/>
    <s v="H. TRIANA"/>
    <d v="1899-12-30T04:30:00"/>
    <x v="37"/>
    <s v="EXTRUSORA 3"/>
    <s v="Puntual"/>
    <s v="Se parte cadenilla del piñon del eje embobinador"/>
    <d v="1899-12-30T04:30:00"/>
    <d v="1899-12-30T05:20:00"/>
    <x v="88"/>
    <s v="Mecánica"/>
    <s v="Se hace cambio por cadenilla, se corta y para nuevamente, se instala en el equipo, queda operativa"/>
    <x v="107"/>
    <s v="NA"/>
    <x v="1"/>
    <x v="0"/>
    <d v="1899-12-30T00:50:00"/>
    <d v="2026-01-29T04:30:00"/>
    <d v="2026-01-29T05:20:00"/>
    <d v="1899-12-30T00:50:00"/>
  </r>
  <r>
    <n v="648"/>
    <s v="H. TRIANA"/>
    <d v="1899-12-30T04:33:00"/>
    <x v="37"/>
    <s v="EXTRUSORA 3"/>
    <s v="Repetitiva"/>
    <s v="Cuchilla de tratado estan muy duras para cuadrar planos de tratado"/>
    <d v="1899-12-30T04:33:00"/>
    <d v="1899-12-30T05:20:00"/>
    <x v="88"/>
    <s v="Eléctrica"/>
    <s v="Se hace reporte para compra lubricante dielectrico para evitar corto"/>
    <x v="4"/>
    <m/>
    <x v="1"/>
    <x v="2"/>
    <d v="1899-12-30T00:47:00"/>
    <d v="2026-01-29T04:33:00"/>
    <d v="2026-01-29T05:20:00"/>
    <d v="1899-12-30T00:47:00"/>
  </r>
  <r>
    <n v="649"/>
    <s v="H. TRIANA"/>
    <d v="1899-12-30T04:35:00"/>
    <x v="37"/>
    <s v="EXTRUSORA 2"/>
    <s v="Repetitiva"/>
    <s v="Temperaturas de tornillos interno y externo elevadas, hasta 60°C fuera de parametros"/>
    <d v="1899-12-30T04:35:00"/>
    <d v="1899-12-30T05:40:00"/>
    <x v="88"/>
    <s v="Eléctrica"/>
    <s v="Se toma consumos, pinza falta baterias para lectura real"/>
    <x v="4"/>
    <m/>
    <x v="4"/>
    <x v="2"/>
    <d v="1899-12-30T01:05:00"/>
    <d v="2026-01-29T04:35:00"/>
    <d v="2026-01-29T05:40:00"/>
    <d v="1899-12-30T01:05:00"/>
  </r>
  <r>
    <n v="650"/>
    <s v="S. PATIÑO"/>
    <m/>
    <x v="37"/>
    <s v="EXTRUSORA 4"/>
    <s v="Puntual"/>
    <s v="Tratador no enciende"/>
    <m/>
    <m/>
    <x v="3"/>
    <m/>
    <m/>
    <x v="4"/>
    <m/>
    <x v="4"/>
    <x v="2"/>
    <d v="1899-12-30T00:00:00"/>
    <d v="2026-01-29T00:00:00"/>
    <d v="1899-12-30T00:00:00"/>
    <n v="-46051"/>
  </r>
  <r>
    <n v="651"/>
    <s v="S. CARDENAL"/>
    <d v="1899-12-30T10:20:00"/>
    <x v="37"/>
    <s v="Otro"/>
    <s v="Puntual"/>
    <s v="Selladora manual no calienta"/>
    <d v="1899-12-30T10:20:00"/>
    <d v="1899-12-30T10:40:00"/>
    <x v="88"/>
    <s v="Eléctrica"/>
    <s v="Cable de conexión de resistencia desconectado, se realizo instalación de termicol y se realiza conexión, quedo operativo"/>
    <x v="1"/>
    <s v="Termicol"/>
    <x v="2"/>
    <x v="0"/>
    <d v="1899-12-30T00:20:00"/>
    <d v="2026-01-29T10:20:00"/>
    <d v="2026-01-29T10:40:00"/>
    <d v="1899-12-30T00:20:00"/>
  </r>
  <r>
    <n v="652"/>
    <s v="S. CARDENAL"/>
    <d v="1899-12-30T09:30:00"/>
    <x v="37"/>
    <s v="SELLADORA 3"/>
    <m/>
    <s v="Temperatura superior no se mantiene"/>
    <d v="1899-12-30T09:30:00"/>
    <d v="1899-12-30T10:00:00"/>
    <x v="88"/>
    <s v="Eléctrica"/>
    <s v="Breaker disparado, se revisan conexiones y se encuentra en buen estado, se realiza seguimiento"/>
    <x v="1"/>
    <s v="NA"/>
    <x v="2"/>
    <x v="0"/>
    <d v="1899-12-30T00:30:00"/>
    <d v="2026-01-29T09:30:00"/>
    <d v="2026-01-29T10:00:00"/>
    <d v="1899-12-30T00:30:00"/>
  </r>
  <r>
    <n v="653"/>
    <m/>
    <m/>
    <x v="3"/>
    <m/>
    <m/>
    <m/>
    <m/>
    <m/>
    <x v="3"/>
    <m/>
    <m/>
    <x v="4"/>
    <m/>
    <x v="4"/>
    <x v="1"/>
    <d v="1899-12-30T00:00:00"/>
    <d v="1899-12-30T00:00:00"/>
    <d v="1899-12-30T00:00:00"/>
    <d v="1899-12-30T00:00:00"/>
  </r>
  <r>
    <n v="654"/>
    <s v="L. GARZON"/>
    <d v="1899-12-30T16:30:00"/>
    <x v="37"/>
    <s v="SELLADORA 2"/>
    <s v="Repetitiva"/>
    <s v="Se solicita afilar cuchilla"/>
    <d v="1899-12-30T16:32:00"/>
    <d v="1899-12-30T16:50:00"/>
    <x v="88"/>
    <s v="Mecánica"/>
    <s v="Se afila cuchilla"/>
    <x v="1"/>
    <s v="NA"/>
    <x v="9"/>
    <x v="0"/>
    <d v="1899-12-30T00:18:00"/>
    <d v="2026-01-29T16:30:00"/>
    <d v="2026-01-29T16:50:00"/>
    <d v="1899-12-30T00:20:00"/>
  </r>
  <r>
    <n v="655"/>
    <s v="L. GARZON"/>
    <d v="1899-12-30T20:50:00"/>
    <x v="37"/>
    <s v="SELLADORA 1"/>
    <m/>
    <s v="Piñon en los rodillos delanteros"/>
    <d v="1899-12-30T21:55:00"/>
    <d v="1899-12-30T07:15:00"/>
    <x v="89"/>
    <s v="Mecánica"/>
    <s v="Se cambia piñon por rompimiento, se entrega maquina funcionando"/>
    <x v="108"/>
    <s v="NA"/>
    <x v="9"/>
    <x v="0"/>
    <n v="-0.61111111111111116"/>
    <d v="2026-01-29T20:50:00"/>
    <d v="2026-01-30T07:15:00"/>
    <d v="1899-12-30T10:25:00"/>
  </r>
  <r>
    <n v="656"/>
    <s v="E. BELLO"/>
    <d v="1899-12-30T21:25:00"/>
    <x v="37"/>
    <s v="Otro"/>
    <m/>
    <s v="La malla del cilo se levanta por presión de aire"/>
    <d v="1899-12-30T23:20:00"/>
    <d v="1899-12-30T23:48:00"/>
    <x v="88"/>
    <s v="Mecánica"/>
    <s v="Se hace arreglo provicional con suncho mientras se cambia malla y fija mejor"/>
    <x v="1"/>
    <s v="Suncho"/>
    <x v="1"/>
    <x v="0"/>
    <d v="1899-12-30T00:28:00"/>
    <d v="2026-01-29T21:25:00"/>
    <d v="2026-01-29T23:48:00"/>
    <d v="1899-12-30T02:23:00"/>
  </r>
  <r>
    <n v="657"/>
    <s v="A. ROVINA"/>
    <d v="1899-12-30T03:15:00"/>
    <x v="38"/>
    <s v="REFILADORA 3"/>
    <m/>
    <s v="Se presenta calentamiento del freno del sujetador del rollo molde"/>
    <d v="1899-12-30T04:20:00"/>
    <d v="1899-12-30T08:20:00"/>
    <x v="89"/>
    <s v="Mecánica, Eléctrica"/>
    <s v="Se verifica motor no arranca, tiene tensión, al parecer es el capacitor de arranque, se coloca provisional otro ventilador quedando OK"/>
    <x v="109"/>
    <s v="NA"/>
    <x v="9"/>
    <x v="0"/>
    <d v="1899-12-30T04:00:00"/>
    <d v="2026-01-30T03:15:00"/>
    <d v="2026-01-30T08:20:00"/>
    <d v="1899-12-30T05:05:00"/>
  </r>
  <r>
    <n v="658"/>
    <s v="H. TRIANA"/>
    <d v="1899-12-30T10:55:00"/>
    <x v="38"/>
    <s v="EXTRUSORA 1"/>
    <s v="Puntual"/>
    <s v="Tapa de motor interno esta suelta y se choca contra las poleas del motor"/>
    <m/>
    <m/>
    <x v="3"/>
    <m/>
    <m/>
    <x v="4"/>
    <m/>
    <x v="4"/>
    <x v="2"/>
    <d v="1899-12-30T00:00:00"/>
    <d v="2026-01-30T10:55:00"/>
    <d v="1899-12-30T00:00:00"/>
    <n v="-46052.454861111109"/>
  </r>
  <r>
    <n v="659"/>
    <s v="H. TRIANA"/>
    <d v="1899-12-30T10:53:00"/>
    <x v="38"/>
    <s v="EXTRUSORA 4"/>
    <s v="Repetitiva"/>
    <s v="Rodillo embobinador se detiene"/>
    <m/>
    <m/>
    <x v="3"/>
    <m/>
    <m/>
    <x v="4"/>
    <m/>
    <x v="4"/>
    <x v="2"/>
    <d v="1899-12-30T00:00:00"/>
    <d v="2026-01-30T10:53:00"/>
    <d v="1899-12-30T00:00:00"/>
    <n v="-46052.453472222223"/>
  </r>
  <r>
    <n v="660"/>
    <s v="A."/>
    <d v="1899-12-30T19:00:00"/>
    <x v="38"/>
    <s v="REFILADORA 2"/>
    <s v="Puntual"/>
    <s v="Maquina bloqueada no funciona"/>
    <d v="1899-12-30T19:45:00"/>
    <d v="1899-12-30T20:30:00"/>
    <x v="89"/>
    <s v="Eléctrica"/>
    <s v="celda descalibrada no sensa con fondo blanco, se coloca negro, variador en falla de la prensa haladora, se realiza reset corrigiendo falla"/>
    <x v="1"/>
    <s v="NA"/>
    <x v="3"/>
    <x v="2"/>
    <d v="1899-12-30T00:45:00"/>
    <d v="2026-01-30T19:00:00"/>
    <d v="2026-01-30T20:30:00"/>
    <d v="1899-12-30T01:30:00"/>
  </r>
  <r>
    <n v="661"/>
    <s v="H. TRIANA"/>
    <d v="1899-12-30T07:25:00"/>
    <x v="100"/>
    <s v="EXTRUSORA 3"/>
    <s v="Repetitiva"/>
    <s v="Cuchillas del tratador duras para hacer planos de tratado"/>
    <m/>
    <m/>
    <x v="3"/>
    <m/>
    <m/>
    <x v="4"/>
    <m/>
    <x v="4"/>
    <x v="2"/>
    <d v="1899-12-30T00:00:00"/>
    <d v="2026-01-31T07:25:00"/>
    <d v="1899-12-30T00:00:00"/>
    <n v="-46053.309027777781"/>
  </r>
  <r>
    <n v="662"/>
    <s v="H. TRIANA"/>
    <d v="1899-12-30T07:25:00"/>
    <x v="100"/>
    <s v="EXTRUSORA 4"/>
    <s v="Puntual"/>
    <s v="Extrusora sin tratador"/>
    <m/>
    <m/>
    <x v="3"/>
    <m/>
    <m/>
    <x v="4"/>
    <m/>
    <x v="4"/>
    <x v="2"/>
    <d v="1899-12-30T00:00:00"/>
    <d v="2026-01-31T07:25:00"/>
    <d v="1899-12-30T00:00:00"/>
    <n v="-46053.309027777781"/>
  </r>
  <r>
    <n v="663"/>
    <s v="H. TRIANA"/>
    <m/>
    <x v="100"/>
    <s v="EXTRUSORA 2"/>
    <s v="Repetitiva"/>
    <s v="Rodillo banana delantero tiene un bote y hace arrugar la pelicula"/>
    <m/>
    <m/>
    <x v="3"/>
    <m/>
    <m/>
    <x v="4"/>
    <m/>
    <x v="4"/>
    <x v="2"/>
    <d v="1899-12-30T00:00:00"/>
    <d v="2026-01-31T00:00:00"/>
    <d v="1899-12-30T00:00:00"/>
    <n v="-46053"/>
  </r>
  <r>
    <n v="664"/>
    <s v="H. TRIANA"/>
    <m/>
    <x v="100"/>
    <s v="EXTRUSORA 2"/>
    <s v="Repetitiva"/>
    <s v="Temperaturas elevadas de los tornillos"/>
    <m/>
    <m/>
    <x v="3"/>
    <m/>
    <m/>
    <x v="4"/>
    <m/>
    <x v="4"/>
    <x v="2"/>
    <d v="1899-12-30T00:00:00"/>
    <d v="2026-01-31T00:00:00"/>
    <d v="1899-12-30T00:00:00"/>
    <n v="-46053"/>
  </r>
  <r>
    <n v="665"/>
    <s v="H. TRIANA"/>
    <m/>
    <x v="100"/>
    <s v="EXTRUSORA 3 Y EXTRUSORA 4"/>
    <s v="Puntual"/>
    <s v="Se necesitan mangueras de aire #10 para las coextrusoras 3 y 4"/>
    <m/>
    <m/>
    <x v="3"/>
    <m/>
    <m/>
    <x v="4"/>
    <m/>
    <x v="4"/>
    <x v="2"/>
    <d v="1899-12-30T00:00:00"/>
    <d v="2026-01-31T00:00:00"/>
    <d v="1899-12-30T00:00:00"/>
    <n v="-46053"/>
  </r>
  <r>
    <n v="666"/>
    <s v="S. PATIÑO"/>
    <d v="1899-12-30T07:40:00"/>
    <x v="100"/>
    <s v="EXTRUSORA 5"/>
    <s v="Repetitiva"/>
    <s v="Eje de embobinado con un gran desbalance"/>
    <m/>
    <m/>
    <x v="3"/>
    <m/>
    <m/>
    <x v="4"/>
    <m/>
    <x v="4"/>
    <x v="2"/>
    <d v="1899-12-30T00:00:00"/>
    <d v="2026-01-31T07:40:00"/>
    <d v="1899-12-30T00:00:00"/>
    <n v="-46053.319444444445"/>
  </r>
  <r>
    <n v="667"/>
    <s v="R. MEJIA"/>
    <d v="1899-12-30T12:07:00"/>
    <x v="100"/>
    <s v="IMPRESORA 1"/>
    <s v="Puntual"/>
    <s v="Tornillo que asegura la tapa del eje del bobinador se partio"/>
    <d v="1899-12-30T12:30:00"/>
    <d v="1899-12-30T13:40:00"/>
    <x v="90"/>
    <s v="Mecánica"/>
    <s v="Se fabrica el tornillo prisionero para el seguro"/>
    <x v="110"/>
    <s v="Soldadura"/>
    <x v="14"/>
    <x v="0"/>
    <d v="1899-12-30T01:10:00"/>
    <d v="2026-01-31T12:07:00"/>
    <d v="2026-01-31T13:40:00"/>
    <d v="1899-12-30T01:33:00"/>
  </r>
  <r>
    <n v="668"/>
    <s v="J. MIRANDA"/>
    <d v="1899-12-30T12:36:00"/>
    <x v="100"/>
    <s v="REFILADORA 2"/>
    <s v="Puntual"/>
    <s v="Motor de la prensa de velocidad no esta funcionando"/>
    <m/>
    <m/>
    <x v="3"/>
    <m/>
    <s v="Se revisa, no se encuentra recalentamiento ni esta frenado, esta funcionando OK, revisión"/>
    <x v="1"/>
    <s v="NA"/>
    <x v="14"/>
    <x v="2"/>
    <d v="1899-12-30T00:00:00"/>
    <d v="2026-01-31T12:36:00"/>
    <d v="1899-12-30T00:00:00"/>
    <n v="-46053.525000000001"/>
  </r>
  <r>
    <n v="669"/>
    <s v="H. TRIANA"/>
    <d v="1899-12-30T13:20:00"/>
    <x v="100"/>
    <s v="EXTRUSORA 1"/>
    <s v="Puntual"/>
    <s v="Rodillos mangas de tratado estan sucios y aisla la corriente y salen pedazos sin tratar"/>
    <m/>
    <m/>
    <x v="3"/>
    <m/>
    <m/>
    <x v="4"/>
    <m/>
    <x v="4"/>
    <x v="2"/>
    <d v="1899-12-30T00:00:00"/>
    <d v="2026-01-31T13:20:00"/>
    <d v="1899-12-30T00:00:00"/>
    <n v="-46053.555555555555"/>
  </r>
  <r>
    <n v="670"/>
    <s v="J. MIRANDA"/>
    <d v="1899-12-30T16:27:00"/>
    <x v="100"/>
    <s v="REFILADORA 2"/>
    <m/>
    <s v="Falla en el motor de la prensa de velocidad, durante el proceso se frena y la maquina queda trabajando con la tensión"/>
    <d v="1899-12-30T16:27:00"/>
    <d v="1899-12-30T16:57:00"/>
    <x v="90"/>
    <s v="Mecánica, Eléctrica"/>
    <s v="Se inspecciona tablero y motor encontrando un cable del amperimetro suelto y correas del motor destensionadas, se corrige terminal amperimetro y se tensionan correas quedando OK"/>
    <x v="1"/>
    <s v="NA"/>
    <x v="3"/>
    <x v="0"/>
    <d v="1899-12-30T00:30:00"/>
    <d v="2026-01-31T16:27:00"/>
    <d v="2026-01-31T16:57:00"/>
    <d v="1899-12-30T00:30:00"/>
  </r>
  <r>
    <n v="671"/>
    <s v="C. CASTRO"/>
    <d v="1899-12-30T19:00:00"/>
    <x v="100"/>
    <s v="REFILADORA 3"/>
    <m/>
    <s v="Cmabio de rodillos y cuadre de castañas"/>
    <d v="1899-12-30T19:00:00"/>
    <d v="1899-12-30T19:30:00"/>
    <x v="90"/>
    <s v="Mecánica"/>
    <s v="Cambio de castañas, rodillos pisadores superiores e inferiores"/>
    <x v="1"/>
    <s v="NA"/>
    <x v="3"/>
    <x v="0"/>
    <d v="1899-12-30T00:30:00"/>
    <d v="2026-01-31T19:00:00"/>
    <d v="2026-01-31T19:30:00"/>
    <d v="1899-12-30T00:30:00"/>
  </r>
  <r>
    <n v="672"/>
    <s v="J. MARTINEZ"/>
    <d v="1899-12-30T21:00:00"/>
    <x v="100"/>
    <s v="SELLADORA 3"/>
    <s v="Puntual"/>
    <s v="Se cae constantemente, se avisa a mantenimiento"/>
    <d v="1899-12-30T21:10:00"/>
    <d v="1899-12-30T21:30:00"/>
    <x v="90"/>
    <s v="Mecánica"/>
    <s v="Se calibra freno quedando OK"/>
    <x v="1"/>
    <s v="NA"/>
    <x v="3"/>
    <x v="0"/>
    <d v="1899-12-30T00:20:00"/>
    <d v="2026-01-31T21:00:00"/>
    <d v="2026-01-31T21:30:00"/>
    <d v="1899-12-30T00:30:00"/>
  </r>
  <r>
    <n v="673"/>
    <m/>
    <m/>
    <x v="3"/>
    <m/>
    <m/>
    <m/>
    <m/>
    <m/>
    <x v="3"/>
    <m/>
    <m/>
    <x v="4"/>
    <m/>
    <x v="4"/>
    <x v="1"/>
    <d v="1899-12-30T00:00:00"/>
    <d v="1899-12-30T00:00:00"/>
    <d v="1899-12-30T00:00:00"/>
    <d v="1899-12-30T00:00:00"/>
  </r>
  <r>
    <n v="674"/>
    <s v="C. CASTRO"/>
    <d v="1899-12-30T00:30:00"/>
    <x v="30"/>
    <s v="REFILADORA 3"/>
    <m/>
    <s v="Motor freno se esta calentando por falta de refrigeración"/>
    <d v="1899-12-30T03:30:00"/>
    <d v="1899-12-30T04:00:00"/>
    <x v="27"/>
    <s v="Eléctrica"/>
    <s v="Se encuentra ventilador de freno desconectado, se conecta nuevamente 220 VAC, este ventilador se envidencia de menor capacidad al original y temperatura se observa con temperatura mas alta de lo norma, se espera a que el freno baje temperatura para arrancar"/>
    <x v="111"/>
    <s v="NA"/>
    <x v="2"/>
    <x v="0"/>
    <d v="1899-12-30T00:30:00"/>
    <d v="2026-02-01T00:30:00"/>
    <d v="2026-02-01T04:00:00"/>
    <d v="1899-12-30T03:30:00"/>
  </r>
  <r>
    <n v="675"/>
    <s v="F. SANCHEZ"/>
    <d v="1899-12-30T22:00:00"/>
    <x v="100"/>
    <s v="EXTRUSORA 5"/>
    <m/>
    <s v="Fallo en bomba de vacio"/>
    <d v="1899-12-30T22:00:00"/>
    <d v="1899-12-30T03:00:00"/>
    <x v="27"/>
    <s v="Mecánica"/>
    <s v="Se encuentra protección de bomba de vacio disparada, se revisa y se encuentra blower frenado, se realiza el desmonte, limpieza de los dos impulsores, recamaras de la carcaza, solidos de succión, aplicandole color ya que el material se encuentra compactado y se requiere derretir para extraer, se realiza armado, cambio de dos tornillos M4 x 50mm, se realizan pruebas en vacio y se entrega maquina para arranque "/>
    <x v="112"/>
    <s v="NA"/>
    <x v="2"/>
    <x v="0"/>
    <n v="-0.79166666666666663"/>
    <d v="2026-01-31T22:00:00"/>
    <d v="2026-02-01T03:00:00"/>
    <d v="1899-12-30T05:00:00"/>
  </r>
  <r>
    <n v="676"/>
    <s v="R. MEJIA"/>
    <d v="1899-12-30T05:20:00"/>
    <x v="30"/>
    <s v="IMPRESORA 1"/>
    <s v="Puntual"/>
    <s v="Falla bomba neúmatica no suficiente en la rasqueta"/>
    <d v="1899-12-30T08:20:00"/>
    <d v="1899-12-30T09:10:00"/>
    <x v="27"/>
    <s v="Neúmatica"/>
    <s v="4 de las 6 bombas neúmaticas no se dejan trabajar, encienden pero no chupan, se limpia esferas pero no se corrige falla, se colocan de las electricas y quedan trabajando OK"/>
    <x v="1"/>
    <s v="NA"/>
    <x v="3"/>
    <x v="0"/>
    <d v="1899-12-30T00:50:00"/>
    <d v="2026-02-01T05:20:00"/>
    <d v="2026-02-01T09:10:00"/>
    <d v="1899-12-30T03:50:00"/>
  </r>
  <r>
    <n v="677"/>
    <s v="D. ARRIETA"/>
    <d v="1899-12-30T00:00:00"/>
    <x v="101"/>
    <s v="IMPRESORA 1"/>
    <s v="Repetitiva"/>
    <s v="Eje de embobinador se le sale "/>
    <d v="1899-12-30T00:00:00"/>
    <d v="1899-12-30T00:10:00"/>
    <x v="91"/>
    <s v="Neúmatica"/>
    <s v="Se evidencia fuga de aire en los extremos por falta de ajuste en el tornillo del pisador de la manguera, se hace seguimiento"/>
    <x v="1"/>
    <s v="NA"/>
    <x v="1"/>
    <x v="0"/>
    <d v="1899-12-30T00:10:00"/>
    <d v="2026-02-02T00:00:00"/>
    <d v="2026-02-02T00:10:00"/>
    <d v="1899-12-30T00:10:00"/>
  </r>
  <r>
    <n v="678"/>
    <m/>
    <m/>
    <x v="3"/>
    <m/>
    <m/>
    <m/>
    <m/>
    <m/>
    <x v="3"/>
    <m/>
    <m/>
    <x v="4"/>
    <m/>
    <x v="4"/>
    <x v="1"/>
    <d v="1899-12-30T00:00:00"/>
    <d v="1899-12-30T00:00:00"/>
    <d v="1899-12-30T00:00:00"/>
    <d v="1899-12-30T00:00:00"/>
  </r>
  <r>
    <n v="679"/>
    <s v="H. TRIANA"/>
    <d v="1899-12-30T09:51:00"/>
    <x v="101"/>
    <s v="EXTRUSORA 2"/>
    <s v="Repetitiva"/>
    <s v="Rotación no enciende"/>
    <d v="1899-12-30T10:00:00"/>
    <d v="1899-12-30T11:00:00"/>
    <x v="91"/>
    <s v="Eléctrica"/>
    <s v="Se verifica, se encuentra una señal del variador suelta, se ajusta y queda OK"/>
    <x v="1"/>
    <s v="NA"/>
    <x v="9"/>
    <x v="0"/>
    <d v="1899-12-30T01:00:00"/>
    <d v="2026-02-02T09:51:00"/>
    <d v="2026-02-02T11:00:00"/>
    <d v="1899-12-30T01:09:00"/>
  </r>
  <r>
    <n v="680"/>
    <s v="H. TRIANA"/>
    <d v="1899-12-30T09:15:00"/>
    <x v="101"/>
    <s v="EXTRUSORA 3"/>
    <s v="Puntual"/>
    <s v="Falla en motor capa externa"/>
    <m/>
    <d v="1899-12-30T19:00:00"/>
    <x v="92"/>
    <m/>
    <s v="Se desmonta motor y se envia a taller externo, se instala y se tiene en seguimiento en el arranque"/>
    <x v="1"/>
    <s v="NA"/>
    <x v="2"/>
    <x v="0"/>
    <d v="1899-12-30T19:00:00"/>
    <d v="2026-02-02T09:15:00"/>
    <d v="2026-02-06T19:00:00"/>
    <d v="1900-01-03T09:45:00"/>
  </r>
  <r>
    <n v="681"/>
    <s v="H. TRIANA"/>
    <d v="1899-12-30T17:20:00"/>
    <x v="101"/>
    <s v="EXTRUSORA 2"/>
    <s v="Puntual"/>
    <s v="Tornillo de pirinola del molde se parte"/>
    <m/>
    <m/>
    <x v="3"/>
    <m/>
    <m/>
    <x v="4"/>
    <m/>
    <x v="4"/>
    <x v="2"/>
    <d v="1899-12-30T00:00:00"/>
    <d v="2026-02-02T17:20:00"/>
    <d v="1899-12-30T00:00:00"/>
    <n v="-46055.722222222219"/>
  </r>
  <r>
    <n v="682"/>
    <s v="K. RAMOS"/>
    <d v="1899-12-30T20:30:00"/>
    <x v="101"/>
    <s v="EXTRUSORA 5"/>
    <s v="Puntual"/>
    <s v="Paleta izquierda no abre, la del lado inferior"/>
    <d v="1899-12-30T20:30:00"/>
    <d v="1899-12-30T01:20:00"/>
    <x v="93"/>
    <s v="Mecánica y eléctrica"/>
    <s v="Se evidencia caja reductora no avanza tornillos sin fin no giran, se hace manualmente, abren paletas queda en observación, seguimiento, se debe revisar cuanto antes es intermitente la falla"/>
    <x v="1"/>
    <s v="NA"/>
    <x v="1"/>
    <x v="0"/>
    <n v="-0.79861111111111105"/>
    <d v="2026-02-02T20:30:00"/>
    <d v="2026-02-03T01:20:00"/>
    <d v="1899-12-30T04:50:00"/>
  </r>
  <r>
    <n v="683"/>
    <s v="S. PATIÑO"/>
    <d v="1899-12-30T02:45:00"/>
    <x v="102"/>
    <s v="EXTRUSORA 2"/>
    <s v="Puntual"/>
    <s v="Molde con huecos en donde se apoyan los tornillos para calibrar, esto impide calibrar correctamente la maquina"/>
    <d v="1899-12-30T02:45:00"/>
    <d v="1899-12-30T03:20:00"/>
    <x v="93"/>
    <s v="Mecánica"/>
    <s v="Se realiza relleno de huecos en el molde para que tornillos de calibración puedan dar el ajuste que requiere se instalan tuercas"/>
    <x v="113"/>
    <s v="NA"/>
    <x v="1"/>
    <x v="0"/>
    <d v="1899-12-30T00:35:00"/>
    <d v="2026-02-03T02:45:00"/>
    <d v="2026-02-03T03:20:00"/>
    <d v="1899-12-30T00:35:00"/>
  </r>
  <r>
    <n v="684"/>
    <s v="S. PATIÑO"/>
    <d v="1899-12-30T04:30:00"/>
    <x v="102"/>
    <s v="EXTRUSORA 2"/>
    <s v="Puntual"/>
    <s v="Contactor de la zona de la boquilla del molde dañado, provocando recalentamiento de la zona"/>
    <d v="1899-12-30T04:30:00"/>
    <d v="1899-12-30T05:00:00"/>
    <x v="93"/>
    <s v="Eléctrica"/>
    <s v="Se realiza cambio de relé termico, se evidencia que la temperatura baja, en seguimiento"/>
    <x v="114"/>
    <s v="NA"/>
    <x v="1"/>
    <x v="0"/>
    <d v="1899-12-30T00:30:00"/>
    <d v="2026-02-03T04:30:00"/>
    <d v="2026-02-03T05:00:00"/>
    <d v="1899-12-30T00:30:00"/>
  </r>
  <r>
    <n v="685"/>
    <s v="K. RAMOS"/>
    <d v="1899-12-30T05:00:00"/>
    <x v="102"/>
    <s v="EXTRUSORA 5"/>
    <s v="Puntual"/>
    <s v="Falla en el tratado se apaga"/>
    <m/>
    <m/>
    <x v="3"/>
    <m/>
    <m/>
    <x v="4"/>
    <m/>
    <x v="4"/>
    <x v="2"/>
    <d v="1899-12-30T00:00:00"/>
    <d v="2026-02-03T05:00:00"/>
    <d v="1899-12-30T00:00:00"/>
    <n v="-46056.208333333336"/>
  </r>
  <r>
    <n v="686"/>
    <s v="K. RAMOS"/>
    <m/>
    <x v="102"/>
    <s v="EXTRUSORA 5"/>
    <s v="Puntual"/>
    <s v="Tratador se apaga"/>
    <m/>
    <m/>
    <x v="3"/>
    <m/>
    <m/>
    <x v="4"/>
    <m/>
    <x v="4"/>
    <x v="2"/>
    <d v="1899-12-30T00:00:00"/>
    <d v="2026-02-03T00:00:00"/>
    <d v="1899-12-30T00:00:00"/>
    <n v="-46056"/>
  </r>
  <r>
    <n v="687"/>
    <m/>
    <m/>
    <x v="3"/>
    <m/>
    <m/>
    <m/>
    <m/>
    <m/>
    <x v="3"/>
    <m/>
    <m/>
    <x v="4"/>
    <m/>
    <x v="4"/>
    <x v="1"/>
    <d v="1899-12-30T00:00:00"/>
    <d v="1899-12-30T00:00:00"/>
    <d v="1899-12-30T00:00:00"/>
    <d v="1899-12-30T00:00:00"/>
  </r>
  <r>
    <n v="688"/>
    <s v="D. CUESTA"/>
    <d v="1899-12-30T09:10:00"/>
    <x v="102"/>
    <s v="EXTRUSORA 2"/>
    <s v="Puntual"/>
    <s v="Temperatura porta mallas fallando en alarlma y no sube temperatura"/>
    <m/>
    <m/>
    <x v="3"/>
    <m/>
    <m/>
    <x v="4"/>
    <m/>
    <x v="4"/>
    <x v="2"/>
    <d v="1899-12-30T00:00:00"/>
    <d v="2026-02-03T09:10:00"/>
    <d v="1899-12-30T00:00:00"/>
    <n v="-46056.381944444445"/>
  </r>
  <r>
    <n v="689"/>
    <s v="D. CUESTA"/>
    <m/>
    <x v="102"/>
    <s v="EXTRUSORA 2"/>
    <s v="Puntual"/>
    <s v="Tornillos del plato de la corona de la coex 2, no ajustan"/>
    <m/>
    <m/>
    <x v="3"/>
    <m/>
    <m/>
    <x v="4"/>
    <m/>
    <x v="4"/>
    <x v="2"/>
    <d v="1899-12-30T00:00:00"/>
    <d v="2026-02-03T00:00:00"/>
    <d v="1899-12-30T00:00:00"/>
    <n v="-46056"/>
  </r>
  <r>
    <n v="690"/>
    <s v="L. GARZON"/>
    <d v="1899-12-30T11:40:00"/>
    <x v="102"/>
    <s v="SELLADORA 1"/>
    <s v="Puntual"/>
    <s v="Se sueltan los tornillos laterales del piñon plastico de los rodillos"/>
    <d v="1899-12-30T06:00:00"/>
    <d v="1899-12-30T06:30:00"/>
    <x v="92"/>
    <s v="Mecánica"/>
    <s v="Se cambio soporte cuadrante piñon, se rectifica roscas y queda operando OK"/>
    <x v="115"/>
    <s v="NA"/>
    <x v="9"/>
    <x v="0"/>
    <d v="1899-12-30T00:30:00"/>
    <d v="2026-02-03T11:40:00"/>
    <d v="2026-02-06T06:30:00"/>
    <d v="1900-01-01T18:50:00"/>
  </r>
  <r>
    <n v="691"/>
    <m/>
    <m/>
    <x v="3"/>
    <m/>
    <m/>
    <m/>
    <m/>
    <m/>
    <x v="3"/>
    <m/>
    <m/>
    <x v="4"/>
    <m/>
    <x v="4"/>
    <x v="1"/>
    <d v="1899-12-30T00:00:00"/>
    <d v="1899-12-30T00:00:00"/>
    <d v="1899-12-30T00:00:00"/>
    <d v="1899-12-30T00:00:00"/>
  </r>
  <r>
    <n v="692"/>
    <s v="D. VALENCIA"/>
    <d v="1899-12-30T17:20:00"/>
    <x v="102"/>
    <s v="Otro"/>
    <s v="Puntual"/>
    <s v="Reparación de cableado suelto en resistencias"/>
    <d v="1899-12-30T17:20:00"/>
    <d v="1899-12-30T17:50:00"/>
    <x v="93"/>
    <s v="Eléctrica"/>
    <s v="Se ajusta cableado y se vuelve a conectar resistencia"/>
    <x v="1"/>
    <s v="NA"/>
    <x v="9"/>
    <x v="0"/>
    <d v="1899-12-30T00:30:00"/>
    <d v="2026-02-03T17:20:00"/>
    <d v="2026-02-03T17:50:00"/>
    <d v="1899-12-30T00:30:00"/>
  </r>
  <r>
    <n v="693"/>
    <m/>
    <m/>
    <x v="3"/>
    <m/>
    <m/>
    <m/>
    <m/>
    <m/>
    <x v="3"/>
    <m/>
    <m/>
    <x v="4"/>
    <m/>
    <x v="4"/>
    <x v="1"/>
    <d v="1899-12-30T00:00:00"/>
    <d v="1899-12-30T00:00:00"/>
    <d v="1899-12-30T00:00:00"/>
    <d v="1899-12-30T00:00:00"/>
  </r>
  <r>
    <n v="694"/>
    <s v="E. BELLO"/>
    <d v="1899-12-30T20:15:00"/>
    <x v="103"/>
    <s v="Otro"/>
    <s v="Puntual"/>
    <s v="Por vibración se desolda la parte inferior del cilo"/>
    <d v="1899-12-30T20:15:00"/>
    <d v="1899-12-30T01:16:00"/>
    <x v="92"/>
    <s v="Mecánica"/>
    <s v="Se evidencia que por temas de vibración causado por el daño de las chumaceras en el tornillo que alimenta la tolva, al cilo se le rompieron los tornillos, se aplicasoldadura 306 en los cuatro soportes de la estructura"/>
    <x v="1"/>
    <s v="Soldadura 306"/>
    <x v="1"/>
    <x v="0"/>
    <n v="-0.79097222222222219"/>
    <d v="2026-02-05T20:15:00"/>
    <d v="2026-02-06T01:16:00"/>
    <d v="1899-12-30T05:01:00"/>
  </r>
  <r>
    <n v="695"/>
    <s v="E. BELLO"/>
    <d v="1899-12-30T09:23:00"/>
    <x v="104"/>
    <s v="Otro"/>
    <s v="Puntual"/>
    <s v="El chiller no funciona adecuadamente no tiene flujo de agua "/>
    <m/>
    <d v="1899-12-30T12:30:00"/>
    <x v="3"/>
    <s v="Mecánica"/>
    <s v="Se verifica la falla encontrando obstruido el ducto de alimentación de la bomba centrifuga y congelamiennto de serpentin_x000a_Se desmonta la bomba se hace mantenimiento y descongela los ductos _x000a_Se entrega en normal funcionamiento"/>
    <x v="1"/>
    <s v="NA"/>
    <x v="5"/>
    <x v="0"/>
    <d v="1899-12-30T12:30:00"/>
    <d v="2026-02-09T09:23:00"/>
    <d v="1899-12-30T12:30:00"/>
    <n v="-46061.870138888888"/>
  </r>
  <r>
    <n v="696"/>
    <s v="L. GALVIS"/>
    <d v="1899-12-30T19:00:00"/>
    <x v="105"/>
    <s v="Otro"/>
    <s v="Puntual"/>
    <s v="Esta suelta la polea de alimentación "/>
    <d v="1899-12-30T20:20:00"/>
    <d v="1899-12-30T20:50:00"/>
    <x v="94"/>
    <s v="Mecánica"/>
    <s v="Se ajustan prisioneros de chumacera inferior de tornillo de alimentación, se instala tornillo M8 X 30 mm de ajuste de polea de transmisión de alimentación"/>
    <x v="116"/>
    <s v="NA"/>
    <x v="2"/>
    <x v="0"/>
    <d v="1899-12-30T00:30:00"/>
    <d v="2026-03-20T19:00:00"/>
    <d v="2026-03-20T20:50:00"/>
    <d v="1899-12-30T01:50:00"/>
  </r>
  <r>
    <n v="697"/>
    <m/>
    <m/>
    <x v="3"/>
    <m/>
    <m/>
    <m/>
    <m/>
    <m/>
    <x v="3"/>
    <m/>
    <m/>
    <x v="4"/>
    <m/>
    <x v="4"/>
    <x v="1"/>
    <d v="1899-12-30T00:00:00"/>
    <d v="1899-12-30T00:00:00"/>
    <d v="1899-12-30T00:00:00"/>
    <d v="1899-12-30T00:00:00"/>
  </r>
  <r>
    <n v="698"/>
    <s v="L. MIRANDA"/>
    <d v="1899-12-30T02:20:00"/>
    <x v="106"/>
    <s v="EXTRUSORA 5"/>
    <s v="Puntual"/>
    <s v="Motor de la paleta no esta en funcionamiento"/>
    <m/>
    <m/>
    <x v="3"/>
    <m/>
    <m/>
    <x v="4"/>
    <m/>
    <x v="4"/>
    <x v="2"/>
    <d v="1899-12-30T00:00:00"/>
    <d v="2026-02-04T02:20:00"/>
    <d v="1899-12-30T00:00:00"/>
    <n v="-46057.097222222219"/>
  </r>
  <r>
    <n v="699"/>
    <s v="D. ARRIETA"/>
    <d v="1899-12-30T07:40:00"/>
    <x v="106"/>
    <s v="IMPRESORA 1"/>
    <s v="Puntual"/>
    <s v="El seguro del eje de embobinador y torre de registro"/>
    <d v="1899-12-30T07:40:00"/>
    <d v="1899-12-30T08:30:00"/>
    <x v="95"/>
    <s v="Mecánica"/>
    <s v="Se aplica soldadura, se cambia tornillo, se rectifica roscado y se cambian tornillos M5 x 10mm de sugeción, ajustado rodillo embobinador"/>
    <x v="117"/>
    <s v="NA"/>
    <x v="1"/>
    <x v="0"/>
    <d v="1899-12-30T00:50:00"/>
    <d v="2026-02-04T07:40:00"/>
    <d v="2026-02-04T08:30:00"/>
    <d v="1899-12-30T00:50:00"/>
  </r>
  <r>
    <n v="700"/>
    <s v="L. GARZON"/>
    <d v="1899-12-30T08:45:00"/>
    <x v="106"/>
    <s v="SELLADORA 3"/>
    <s v="Puntual"/>
    <s v="Transportados no funciona"/>
    <d v="1899-12-30T08:45:00"/>
    <d v="1899-12-30T09:00:00"/>
    <x v="95"/>
    <s v="Eléctrica"/>
    <s v="Se resetea variador por falla del transportador, se hace prueba queda operativa"/>
    <x v="1"/>
    <s v="NA"/>
    <x v="1"/>
    <x v="0"/>
    <d v="1899-12-30T00:15:00"/>
    <d v="2026-02-04T08:45:00"/>
    <d v="2026-02-04T09:00:00"/>
    <d v="1899-12-30T00:15:00"/>
  </r>
  <r>
    <n v="701"/>
    <s v="D. ARRIETA"/>
    <d v="1899-12-30T11:35:00"/>
    <x v="101"/>
    <s v="IMPRESORA 1"/>
    <s v="Repetitiva"/>
    <s v="Rodillo porta cliche o fotopolimero se daño casquete"/>
    <d v="1899-12-30T11:35:00"/>
    <d v="1899-12-30T11:50:00"/>
    <x v="91"/>
    <s v="Mecánica"/>
    <s v="Se grafila cuerpo eje para dar ajuste a casquete para que el rodamiento pueda trabajar bien se aplica silicona traba rosca"/>
    <x v="1"/>
    <s v="Siliciona trabarosca"/>
    <x v="1"/>
    <x v="0"/>
    <d v="1899-12-30T00:15:00"/>
    <d v="2026-02-02T11:35:00"/>
    <d v="2026-02-02T11:50:00"/>
    <d v="1899-12-30T00:15:00"/>
  </r>
  <r>
    <n v="702"/>
    <s v="L. GARZON"/>
    <d v="1899-12-30T09:10:00"/>
    <x v="106"/>
    <s v="SELLADORA 3"/>
    <s v="Puntual"/>
    <s v="Se comunica a mantenimiento que la maquina tiene desface en los tiempos"/>
    <d v="1899-12-30T09:10:00"/>
    <d v="1899-12-30T12:05:00"/>
    <x v="95"/>
    <s v="Mecánica"/>
    <s v="Se verifica tiempo en encore, se encuentran correas entre lazadas obstruyendo movilidad, se retiran, se ajustan tiempos y se restablecen parametros"/>
    <x v="1"/>
    <s v="NA"/>
    <x v="1"/>
    <x v="0"/>
    <d v="1899-12-30T02:55:00"/>
    <d v="2026-02-04T09:10:00"/>
    <d v="2026-02-04T12:05:00"/>
    <d v="1899-12-30T02:55:00"/>
  </r>
  <r>
    <n v="703"/>
    <m/>
    <m/>
    <x v="3"/>
    <m/>
    <m/>
    <m/>
    <m/>
    <m/>
    <x v="3"/>
    <m/>
    <m/>
    <x v="4"/>
    <m/>
    <x v="4"/>
    <x v="1"/>
    <d v="1899-12-30T00:00:00"/>
    <d v="1899-12-30T00:00:00"/>
    <d v="1899-12-30T00:00:00"/>
    <d v="1899-12-30T00:00:00"/>
  </r>
  <r>
    <n v="704"/>
    <s v="F. SANCHEZ"/>
    <d v="1899-12-30T19:00:00"/>
    <x v="106"/>
    <s v="EXTRUSORA 5"/>
    <s v="Puntual"/>
    <s v="Problemas con las paletas, no estan funcionando, una paleta funciona pero la otra no. Hace problemas en la alineación de el material para que no se vaya para los lados"/>
    <m/>
    <m/>
    <x v="3"/>
    <m/>
    <m/>
    <x v="4"/>
    <m/>
    <x v="4"/>
    <x v="2"/>
    <d v="1899-12-30T00:00:00"/>
    <d v="2026-02-04T19:00:00"/>
    <d v="1899-12-30T00:00:00"/>
    <n v="-46057.791666666664"/>
  </r>
  <r>
    <n v="705"/>
    <s v="S. PATIÑO"/>
    <d v="1899-12-30T02:45:00"/>
    <x v="103"/>
    <s v="EXTRUSORA 4"/>
    <s v="Puntual"/>
    <s v="Contactor de la zona de la boquilla del molde con falla, presentando problema de temperatura"/>
    <d v="1899-12-30T06:20:00"/>
    <d v="1899-12-30T06:40:00"/>
    <x v="96"/>
    <s v="Eléctrica"/>
    <s v="Se realizo cambio de controlador de temperatura ya que no esta cerrando el contacto y no energiza el contactor"/>
    <x v="1"/>
    <s v="NA"/>
    <x v="2"/>
    <x v="0"/>
    <d v="1899-12-30T00:20:00"/>
    <d v="2026-02-05T02:45:00"/>
    <d v="2026-02-05T06:40:00"/>
    <d v="1899-12-30T03:55:00"/>
  </r>
  <r>
    <n v="706"/>
    <s v="F. SANCHEZ"/>
    <d v="1899-12-30T02:55:00"/>
    <x v="103"/>
    <s v="EXTRUSORA 5"/>
    <s v="Puntual"/>
    <s v="Se para la maquina por falla en elastomero"/>
    <m/>
    <m/>
    <x v="3"/>
    <m/>
    <m/>
    <x v="4"/>
    <m/>
    <x v="4"/>
    <x v="2"/>
    <d v="1899-12-30T00:00:00"/>
    <d v="2026-02-05T02:55:00"/>
    <d v="1899-12-30T00:00:00"/>
    <n v="-46058.121527777781"/>
  </r>
  <r>
    <n v="707"/>
    <s v="D. ARRIETA"/>
    <d v="1899-12-30T10:49:00"/>
    <x v="107"/>
    <s v="IMPRESORA 1"/>
    <s v="Puntual"/>
    <s v="La pista de los espigos"/>
    <d v="1899-12-30T10:49:00"/>
    <d v="1899-12-30T11:15:00"/>
    <x v="76"/>
    <s v="Mecánica"/>
    <s v="Se aplica trabarosca"/>
    <x v="1"/>
    <s v="Trabarosca"/>
    <x v="9"/>
    <x v="0"/>
    <d v="1899-12-30T00:26:00"/>
    <d v="2026-03-13T10:49:00"/>
    <d v="2026-03-13T11:15:00"/>
    <d v="1899-12-30T00:26:00"/>
  </r>
  <r>
    <n v="708"/>
    <s v="L. GARZON"/>
    <d v="1899-12-30T07:00:00"/>
    <x v="103"/>
    <s v="SELLADORA 3"/>
    <s v="Puntual"/>
    <s v="Correa suelta de la transmisión del rodillo halador"/>
    <d v="1899-12-30T08:30:00"/>
    <d v="1899-12-30T09:05:00"/>
    <x v="96"/>
    <s v="Mecánica"/>
    <s v="Se atiende solicitur 8:30 por intervención en coex 5, se realizo tensión de correa, cambio de tornillo y ajuste de tornilleria"/>
    <x v="99"/>
    <s v="NA"/>
    <x v="2"/>
    <x v="0"/>
    <d v="1899-12-30T00:35:00"/>
    <d v="2026-02-05T07:00:00"/>
    <d v="2026-02-05T09:05:00"/>
    <d v="1899-12-30T02:05:00"/>
  </r>
  <r>
    <n v="709"/>
    <s v="H. TRIANA"/>
    <d v="1899-12-30T10:50:00"/>
    <x v="103"/>
    <s v="EXTRUSORA 3"/>
    <s v="Puntual"/>
    <s v="Mallas quemadas del tratador"/>
    <d v="1899-12-30T11:30:00"/>
    <d v="1899-12-30T12:45:00"/>
    <x v="96"/>
    <s v="Mecánica"/>
    <s v="Se realizan cambio de mangas tratador rodillo inferior y superior, se entrega para arranque"/>
    <x v="1"/>
    <s v="NA"/>
    <x v="2"/>
    <x v="0"/>
    <d v="1899-12-30T01:15:00"/>
    <d v="2026-02-05T10:50:00"/>
    <d v="2026-02-05T12:45:00"/>
    <d v="1899-12-30T01:55:00"/>
  </r>
  <r>
    <n v="710"/>
    <s v="L. GARZON"/>
    <d v="1899-12-30T10:10:00"/>
    <x v="103"/>
    <s v="SELLADORA 2"/>
    <s v="Puntual"/>
    <s v="Se solicita a mantenimiento revisión en las uñas por que estan dañando la bolsa"/>
    <d v="1899-12-30T10:10:00"/>
    <d v="1899-12-30T10:40:00"/>
    <x v="96"/>
    <s v="Mecánica"/>
    <s v="Se instalan tuercas de ajuste a flautas, se realizan pruebas y se entrega operativo"/>
    <x v="118"/>
    <s v="NA"/>
    <x v="2"/>
    <x v="0"/>
    <d v="1899-12-30T00:30:00"/>
    <d v="2026-02-05T10:10:00"/>
    <d v="2026-02-05T10:40:00"/>
    <d v="1899-12-30T00:30:00"/>
  </r>
  <r>
    <n v="711"/>
    <s v="H. TRIANA"/>
    <d v="1899-12-30T13:30:00"/>
    <x v="103"/>
    <s v="EXTRUSORA 1"/>
    <s v="Puntual"/>
    <s v="Sonidos motor interno fuera de lo normal"/>
    <m/>
    <m/>
    <x v="3"/>
    <m/>
    <m/>
    <x v="4"/>
    <m/>
    <x v="4"/>
    <x v="2"/>
    <d v="1899-12-30T00:00:00"/>
    <d v="2026-02-05T13:30:00"/>
    <d v="1899-12-30T00:00:00"/>
    <n v="-46058.5625"/>
  </r>
  <r>
    <n v="712"/>
    <s v="S. CARDENAL"/>
    <d v="1899-12-30T15:00:00"/>
    <x v="103"/>
    <s v="SELLADORA 3"/>
    <s v="Puntual"/>
    <s v="La termocupla no conecta y molesta la temperatura inferior"/>
    <d v="1899-12-30T15:10:00"/>
    <d v="1899-12-30T15:50:00"/>
    <x v="96"/>
    <s v="Eléctrica"/>
    <s v="Se realiza cambio de termocupla y ajuste de conexiones de la mordaza"/>
    <x v="119"/>
    <s v="NA"/>
    <x v="2"/>
    <x v="0"/>
    <d v="1899-12-30T00:40:00"/>
    <d v="2026-02-05T15:00:00"/>
    <d v="2026-02-05T15:50:00"/>
    <d v="1899-12-30T00:50:00"/>
  </r>
  <r>
    <n v="713"/>
    <s v="S. CARDENAL"/>
    <d v="1899-12-30T16:50:00"/>
    <x v="103"/>
    <s v="SELLADORA 2"/>
    <s v="Puntual"/>
    <s v="Rodillo del transportador se daño el rodamiento"/>
    <d v="1899-12-30T07:00:00"/>
    <d v="1899-12-30T10:10:00"/>
    <x v="92"/>
    <s v="Mecánica"/>
    <s v="Se cambian rodamientos, se ajusta el eje ya que una punta eje reducido a 1mm menos que el extremo"/>
    <x v="1"/>
    <s v="NA"/>
    <x v="9"/>
    <x v="0"/>
    <d v="1899-12-30T03:10:00"/>
    <d v="2026-02-05T16:50:00"/>
    <d v="2026-02-06T10:10:00"/>
    <d v="1899-12-30T17:20:00"/>
  </r>
  <r>
    <n v="714"/>
    <s v="H. TRIANA"/>
    <d v="1899-12-30T17:10:00"/>
    <x v="103"/>
    <s v="EXTRUSORA 3"/>
    <s v="Puntual"/>
    <s v="Se parte soporte teflonado del rodillo manga"/>
    <d v="1899-12-30T17:00:00"/>
    <d v="1899-12-30T18:00:00"/>
    <x v="92"/>
    <s v="Mecánica"/>
    <s v="Se cambio soporte del rodillo de tratado, quedo operativo"/>
    <x v="1"/>
    <s v="NA"/>
    <x v="9"/>
    <x v="0"/>
    <d v="1899-12-30T01:00:00"/>
    <d v="2026-02-05T17:10:00"/>
    <d v="2026-02-06T18:00:00"/>
    <d v="1899-12-31T00:50:00"/>
  </r>
  <r>
    <n v="715"/>
    <s v="K. RAMOS"/>
    <d v="1899-12-30T18:00:00"/>
    <x v="103"/>
    <s v="EXTRUSORA 1"/>
    <s v="Puntual"/>
    <s v="Presenta sonido en la caja de la capa interior"/>
    <d v="1899-12-30T19:00:00"/>
    <d v="1899-12-30T23:00:00"/>
    <x v="96"/>
    <s v="Mecánica"/>
    <s v="Se realizó desarme, cambio de rodamientos, ajsute de eje de entrada de caja reductora, se instalo nuevamente y se entrega 19:30 para arranque con la maquina ya caliente, arranca 23:00 ya que estaban tratando material en la maquina"/>
    <x v="120"/>
    <s v="NA"/>
    <x v="2"/>
    <x v="0"/>
    <d v="1899-12-30T04:00:00"/>
    <d v="2026-02-05T18:00:00"/>
    <d v="2026-02-05T23:00:00"/>
    <d v="1899-12-30T05:00:00"/>
  </r>
  <r>
    <n v="716"/>
    <s v="R. MEJIA"/>
    <d v="1899-12-30T01:40:00"/>
    <x v="108"/>
    <s v="IMPRESORA 1"/>
    <s v="Puntual"/>
    <s v="El rodillo loco de bobinador se salio del lugar donde va"/>
    <d v="1899-12-30T01:40:00"/>
    <d v="1899-12-30T02:10:00"/>
    <x v="92"/>
    <s v="Mecánica"/>
    <s v="Se verifica rodillo loco se encuentra soporte roto, se ajusta con un taco de caucho, se necesita fabricar pieza para darle ajuste, se hace seguimiento"/>
    <x v="1"/>
    <s v="NA"/>
    <x v="1"/>
    <x v="0"/>
    <d v="1899-12-30T00:30:00"/>
    <d v="2026-02-06T01:40:00"/>
    <d v="2026-02-06T02:10:00"/>
    <d v="1899-12-30T00:30:00"/>
  </r>
  <r>
    <n v="717"/>
    <m/>
    <m/>
    <x v="3"/>
    <m/>
    <m/>
    <m/>
    <m/>
    <m/>
    <x v="3"/>
    <m/>
    <m/>
    <x v="4"/>
    <m/>
    <x v="4"/>
    <x v="1"/>
    <d v="1899-12-30T00:00:00"/>
    <d v="1899-12-30T00:00:00"/>
    <d v="1899-12-30T00:00:00"/>
    <d v="1899-12-30T00:00:00"/>
  </r>
  <r>
    <n v="718"/>
    <s v="J. ARROYO"/>
    <m/>
    <x v="108"/>
    <s v="Otro"/>
    <s v="Puntual"/>
    <s v="Se rompe malla de filtro de agua  del muella el cual no perimte que se filtre la resina"/>
    <m/>
    <m/>
    <x v="3"/>
    <m/>
    <m/>
    <x v="4"/>
    <m/>
    <x v="4"/>
    <x v="2"/>
    <d v="1899-12-30T00:00:00"/>
    <d v="2026-02-06T00:00:00"/>
    <d v="1899-12-30T00:00:00"/>
    <n v="-46059"/>
  </r>
  <r>
    <n v="719"/>
    <m/>
    <m/>
    <x v="3"/>
    <m/>
    <m/>
    <m/>
    <m/>
    <m/>
    <x v="3"/>
    <m/>
    <m/>
    <x v="4"/>
    <m/>
    <x v="4"/>
    <x v="1"/>
    <d v="1899-12-30T00:00:00"/>
    <d v="1899-12-30T00:00:00"/>
    <d v="1899-12-30T00:00:00"/>
    <d v="1899-12-30T00:00:00"/>
  </r>
  <r>
    <n v="720"/>
    <s v="F. SANCHEZ"/>
    <d v="1899-12-30T18:40:00"/>
    <x v="108"/>
    <m/>
    <s v="Puntual"/>
    <s v="Problemas con las cuchillasde tratado, las graduaciones de calibración no estan funcionando"/>
    <d v="1899-12-30T20:00:00"/>
    <d v="1899-12-30T22:30:00"/>
    <x v="92"/>
    <s v="Mecánica"/>
    <s v="Se ajustan m de graduar posición de la cuchilla, se calibran cuchillas y se realiza limpieza, se realizo acompañamiento y seguimiento de funcionamiento del tratador en el arranque"/>
    <x v="1"/>
    <s v="NA"/>
    <x v="2"/>
    <x v="0"/>
    <d v="1899-12-30T02:30:00"/>
    <d v="2026-02-06T18:40:00"/>
    <d v="2026-02-06T22:30:00"/>
    <d v="1899-12-30T03:50:00"/>
  </r>
  <r>
    <n v="721"/>
    <s v="H. TRIANA"/>
    <d v="1899-12-30T06:30:00"/>
    <x v="108"/>
    <s v="EXTRUSORA 3"/>
    <s v="Puntual"/>
    <s v="Sonidos fuera de lo normal en los dos motores"/>
    <d v="1899-12-30T18:50:00"/>
    <d v="1899-12-30T19:20:00"/>
    <x v="92"/>
    <s v="Eléctrica"/>
    <s v="Se toman referencia de consumos de los dos motores, los cuales estan bajo parametros de la placa del motor, se realizo seguimiento el resto del turno"/>
    <x v="1"/>
    <s v="NA"/>
    <x v="2"/>
    <x v="0"/>
    <d v="1899-12-30T00:30:00"/>
    <d v="2026-02-06T06:30:00"/>
    <d v="2026-02-06T19:20:00"/>
    <d v="1899-12-30T12:50:00"/>
  </r>
  <r>
    <n v="722"/>
    <s v="H. TRIANA"/>
    <d v="1899-12-30T20:10:00"/>
    <x v="108"/>
    <s v="EXTRUSORA 3"/>
    <s v="Puntual"/>
    <s v="Perilla de acercar y alejar cuchilla de tratador estar dura, no afloja ni aprieta, la visagra del tratador no tiene un pasador, esta medio agarrada"/>
    <m/>
    <m/>
    <x v="3"/>
    <m/>
    <m/>
    <x v="4"/>
    <m/>
    <x v="4"/>
    <x v="2"/>
    <d v="1899-12-30T00:00:00"/>
    <d v="2026-02-06T20:10:00"/>
    <d v="1899-12-30T00:00:00"/>
    <n v="-46059.840277777781"/>
  </r>
  <r>
    <n v="723"/>
    <s v="F. SANCHEZ"/>
    <d v="1899-12-30T23:20:00"/>
    <x v="108"/>
    <s v="EXTRUSORA 5"/>
    <s v="Puntual"/>
    <s v="El sensor del tratador no esta funcionando, no apaga el tratador cuando se para la maquina, se puede quemas las mangas"/>
    <m/>
    <m/>
    <x v="3"/>
    <m/>
    <m/>
    <x v="4"/>
    <m/>
    <x v="4"/>
    <x v="2"/>
    <d v="1899-12-30T00:00:00"/>
    <d v="2026-02-06T23:20:00"/>
    <d v="1899-12-30T00:00:00"/>
    <n v="-46059.972222222219"/>
  </r>
  <r>
    <n v="724"/>
    <s v="L. MIRANDA"/>
    <d v="1899-12-30T07:49:00"/>
    <x v="31"/>
    <s v="EXTRUSORA 4"/>
    <s v="Puntual"/>
    <s v="Revisar el motor de la prensa de arrastre del embobinador, se esta recalentando y genera que tenga que subirle mas tensión y el material queda demasiado tenso"/>
    <m/>
    <d v="1899-12-30T15:50:00"/>
    <x v="3"/>
    <s v="Mecánica"/>
    <s v="Se verifica motor, se evidencia rodamiento, perdio ajsute, se cambio, se hace limpieza, se hace montaje, se da ajuste , se hacen pruebas. En seguimiento_x000a_Pendiente por calentar"/>
    <x v="121"/>
    <s v="NA"/>
    <x v="1"/>
    <x v="0"/>
    <d v="1899-12-30T15:50:00"/>
    <d v="2026-02-27T07:49:00"/>
    <d v="1899-12-30T15:50:00"/>
    <n v="-46079.665972222225"/>
  </r>
  <r>
    <n v="725"/>
    <s v="W. SANDOVAL"/>
    <d v="1899-12-30T07:40:00"/>
    <x v="109"/>
    <s v="REFILADORA"/>
    <s v="Puntual"/>
    <s v="Cambio de castañas y pisadores"/>
    <d v="1899-12-30T07:40:00"/>
    <d v="1899-12-30T08:30:00"/>
    <x v="97"/>
    <s v="Mecánica"/>
    <s v="Se realiza cambio de castañas y pisadores"/>
    <x v="1"/>
    <s v="NA"/>
    <x v="1"/>
    <x v="0"/>
    <d v="1899-12-30T00:50:00"/>
    <d v="2026-02-07T07:40:00"/>
    <d v="2026-02-07T08:30:00"/>
    <d v="1899-12-30T00:50:00"/>
  </r>
  <r>
    <n v="726"/>
    <s v="R. MEJIA"/>
    <d v="1899-12-30T21:10:00"/>
    <x v="109"/>
    <s v="IMPRESORA 1"/>
    <s v="Puntual"/>
    <s v="Daño seguro del eje neúmatico del bobinador"/>
    <d v="1899-12-30T21:10:00"/>
    <d v="1899-12-30T21:30:00"/>
    <x v="97"/>
    <s v="Mecánica"/>
    <s v="Se fabrica llave para seguro, se olda para facil torque"/>
    <x v="1"/>
    <s v="NA"/>
    <x v="9"/>
    <x v="0"/>
    <d v="1899-12-30T00:20:00"/>
    <d v="2026-02-07T21:10:00"/>
    <d v="2026-02-07T21:30:00"/>
    <d v="1899-12-30T00:20:00"/>
  </r>
  <r>
    <n v="727"/>
    <s v="F. SANCHEZ"/>
    <d v="1899-12-30T20:30:00"/>
    <x v="109"/>
    <s v="EXTRUSORA 2"/>
    <s v="Puntual"/>
    <s v="Falla en el tratador trata y deja de tratar"/>
    <m/>
    <m/>
    <x v="3"/>
    <m/>
    <m/>
    <x v="4"/>
    <m/>
    <x v="4"/>
    <x v="2"/>
    <d v="1899-12-30T00:00:00"/>
    <d v="2026-02-07T20:30:00"/>
    <d v="1899-12-30T00:00:00"/>
    <n v="-46060.854166666664"/>
  </r>
  <r>
    <n v="728"/>
    <m/>
    <m/>
    <x v="3"/>
    <m/>
    <m/>
    <m/>
    <m/>
    <m/>
    <x v="3"/>
    <m/>
    <m/>
    <x v="4"/>
    <m/>
    <x v="4"/>
    <x v="1"/>
    <d v="1899-12-30T00:00:00"/>
    <d v="1899-12-30T00:00:00"/>
    <d v="1899-12-30T00:00:00"/>
    <d v="1899-12-30T00:00:00"/>
  </r>
  <r>
    <n v="729"/>
    <s v="J. PARDO"/>
    <d v="1899-12-30T08:30:00"/>
    <x v="110"/>
    <s v="IMPRESORA 1"/>
    <s v="Puntual"/>
    <s v="Bombas de tinta no funcionan, tornillo unidad 6 no ajusta"/>
    <m/>
    <m/>
    <x v="3"/>
    <m/>
    <m/>
    <x v="4"/>
    <m/>
    <x v="4"/>
    <x v="2"/>
    <d v="1899-12-30T00:00:00"/>
    <d v="2026-02-08T08:30:00"/>
    <d v="1899-12-30T00:00:00"/>
    <n v="-46061.354166666664"/>
  </r>
  <r>
    <n v="730"/>
    <s v="S. CARDENAL"/>
    <d v="1899-12-30T06:30:00"/>
    <x v="104"/>
    <s v="SELLADORA 2"/>
    <s v="Puntual"/>
    <s v="Tornillo partido de rodillo del transportador"/>
    <d v="1899-12-30T06:30:00"/>
    <d v="1899-12-30T07:00:00"/>
    <x v="98"/>
    <s v="Mecánica"/>
    <s v="Se evidencia tornillo partido en rodillo transportador, se cambian los tornilos"/>
    <x v="122"/>
    <s v="NA"/>
    <x v="1"/>
    <x v="0"/>
    <d v="1899-12-30T00:30:00"/>
    <d v="2026-02-09T06:30:00"/>
    <d v="2026-02-09T07:00:00"/>
    <d v="1899-12-30T00:30:00"/>
  </r>
  <r>
    <n v="731"/>
    <s v="L. MIRANDA"/>
    <d v="1899-12-30T07:06:00"/>
    <x v="104"/>
    <s v="EXTRUSORA 1"/>
    <s v="Puntual"/>
    <s v="Verificar fuga de aceite, en el tornillo interno"/>
    <m/>
    <m/>
    <x v="3"/>
    <m/>
    <m/>
    <x v="4"/>
    <m/>
    <x v="4"/>
    <x v="2"/>
    <d v="1899-12-30T00:00:00"/>
    <d v="2026-02-09T07:06:00"/>
    <d v="1899-12-30T00:00:00"/>
    <n v="-46062.29583333333"/>
  </r>
  <r>
    <n v="732"/>
    <s v="K. TORRES"/>
    <d v="1899-12-30T09:20:00"/>
    <x v="104"/>
    <s v="Otro"/>
    <s v="Repetitiva"/>
    <s v="Fuga de aceite estibador eléctrico"/>
    <m/>
    <m/>
    <x v="3"/>
    <m/>
    <m/>
    <x v="4"/>
    <m/>
    <x v="4"/>
    <x v="2"/>
    <d v="1899-12-30T00:00:00"/>
    <d v="2026-02-09T09:20:00"/>
    <d v="1899-12-30T00:00:00"/>
    <n v="-46062.388888888891"/>
  </r>
  <r>
    <n v="733"/>
    <s v="L. MIRANDA"/>
    <d v="1899-12-30T09:46:00"/>
    <x v="104"/>
    <s v="EXTRUSORA 5"/>
    <s v="Puntual"/>
    <s v="Una manga del tratador en 4 partes._x000a_Se alcanza a quemar"/>
    <m/>
    <m/>
    <x v="3"/>
    <m/>
    <m/>
    <x v="4"/>
    <m/>
    <x v="4"/>
    <x v="2"/>
    <d v="1899-12-30T00:00:00"/>
    <d v="2026-02-09T09:46:00"/>
    <d v="1899-12-30T00:00:00"/>
    <n v="-46062.406944444447"/>
  </r>
  <r>
    <n v="734"/>
    <s v="D. ARRIETA"/>
    <d v="1899-12-30T02:40:00"/>
    <x v="111"/>
    <s v="Otro"/>
    <s v="Puntual"/>
    <s v="Brazo de eje embobinado esta flojo (baila)"/>
    <m/>
    <d v="1899-12-30T03:30:00"/>
    <x v="99"/>
    <s v="Mecánica"/>
    <s v="Se evidencia brazo con movilidad desajuste, se ajusta nuevamente y queda operativo"/>
    <x v="1"/>
    <s v="NA"/>
    <x v="1"/>
    <x v="0"/>
    <d v="1899-12-30T03:30:00"/>
    <d v="2026-02-28T02:40:00"/>
    <d v="2026-02-28T03:30:00"/>
    <d v="1899-12-30T00:50:00"/>
  </r>
  <r>
    <n v="735"/>
    <m/>
    <m/>
    <x v="3"/>
    <m/>
    <m/>
    <m/>
    <m/>
    <m/>
    <x v="3"/>
    <m/>
    <m/>
    <x v="4"/>
    <m/>
    <x v="4"/>
    <x v="1"/>
    <d v="1899-12-30T00:00:00"/>
    <d v="1899-12-30T00:00:00"/>
    <d v="1899-12-30T00:00:00"/>
    <d v="1899-12-30T00:00:00"/>
  </r>
  <r>
    <n v="736"/>
    <m/>
    <m/>
    <x v="3"/>
    <m/>
    <m/>
    <m/>
    <m/>
    <m/>
    <x v="3"/>
    <m/>
    <m/>
    <x v="4"/>
    <m/>
    <x v="4"/>
    <x v="1"/>
    <d v="1899-12-30T00:00:00"/>
    <d v="1899-12-30T00:00:00"/>
    <d v="1899-12-30T00:00:00"/>
    <d v="1899-12-30T00:00:00"/>
  </r>
  <r>
    <n v="737"/>
    <s v="L. GALVIS"/>
    <d v="1899-12-30T23:00:00"/>
    <x v="104"/>
    <s v="EXTRUSORA 3"/>
    <s v="Puntual"/>
    <s v="Se solicita el cambio de rodillos del tratador"/>
    <d v="1899-12-30T23:00:00"/>
    <d v="1899-12-30T00:00:00"/>
    <x v="100"/>
    <s v="Mecánica"/>
    <s v="Se encuentra manga superior con perforación por quemadura, se desmonta, se aplica silicona para aislar el rodillo, se realiza el intercambio de posición de los rodillos y se entrega para el arranque"/>
    <x v="1"/>
    <s v="Silicona"/>
    <x v="2"/>
    <x v="0"/>
    <n v="-0.95833333333333337"/>
    <d v="2026-02-09T23:00:00"/>
    <d v="2026-02-10T00:00:00"/>
    <d v="1899-12-30T01:00:00"/>
  </r>
  <r>
    <n v="738"/>
    <m/>
    <m/>
    <x v="3"/>
    <m/>
    <m/>
    <m/>
    <m/>
    <m/>
    <x v="3"/>
    <m/>
    <m/>
    <x v="4"/>
    <m/>
    <x v="4"/>
    <x v="1"/>
    <d v="1899-12-30T00:00:00"/>
    <d v="1899-12-30T00:00:00"/>
    <d v="1899-12-30T00:00:00"/>
    <d v="1899-12-30T00:00:00"/>
  </r>
  <r>
    <n v="739"/>
    <s v="F. SANCHEZ"/>
    <d v="1899-12-30T04:07:00"/>
    <x v="112"/>
    <s v="EXTRUSORA 5"/>
    <s v="Puntual"/>
    <s v="Rodillo de los clavos esta en mal estado, se cae y perfora el rodillo, esta atrancado con palos, paletas no esta funcionando"/>
    <m/>
    <m/>
    <x v="3"/>
    <m/>
    <m/>
    <x v="4"/>
    <m/>
    <x v="4"/>
    <x v="2"/>
    <d v="1899-12-30T00:00:00"/>
    <d v="2026-02-10T04:07:00"/>
    <d v="1899-12-30T00:00:00"/>
    <n v="-46063.171527777777"/>
  </r>
  <r>
    <n v="740"/>
    <s v="S. CARDENAL"/>
    <d v="1899-12-30T08:30:00"/>
    <x v="112"/>
    <s v="SELLADORA 1"/>
    <s v="Puntual"/>
    <s v="No prende (sensor)"/>
    <m/>
    <m/>
    <x v="3"/>
    <m/>
    <m/>
    <x v="4"/>
    <m/>
    <x v="4"/>
    <x v="2"/>
    <d v="1899-12-30T00:00:00"/>
    <d v="2026-02-10T08:30:00"/>
    <d v="1899-12-30T00:00:00"/>
    <n v="-46063.354166666664"/>
  </r>
  <r>
    <n v="741"/>
    <s v="H. TRIANA"/>
    <d v="1899-12-30T19:10:00"/>
    <x v="112"/>
    <s v="EXTRUSORA 4"/>
    <s v="Puntual"/>
    <s v="Rodillo manga superior tiene en el centro un pedazo cortado, como un cuchillazo"/>
    <m/>
    <m/>
    <x v="3"/>
    <m/>
    <m/>
    <x v="4"/>
    <m/>
    <x v="4"/>
    <x v="2"/>
    <d v="1899-12-30T00:00:00"/>
    <d v="2026-02-10T19:10:00"/>
    <d v="1899-12-30T00:00:00"/>
    <n v="-46063.798611111109"/>
  </r>
  <r>
    <n v="742"/>
    <s v="L.GARZON"/>
    <d v="1899-12-30T20:00:00"/>
    <x v="112"/>
    <s v="SELLADORA 2"/>
    <s v="Puntual"/>
    <s v="Maquina se apaga intermitentemente"/>
    <d v="1899-12-30T20:00:00"/>
    <d v="1899-12-30T21:30:00"/>
    <x v="100"/>
    <s v="Eléctrica"/>
    <s v="Se verifica variador con error, se hace reset, queda operativa, se hace seguimiento"/>
    <x v="1"/>
    <s v="NA"/>
    <x v="1"/>
    <x v="0"/>
    <d v="1899-12-30T01:30:00"/>
    <d v="2026-02-10T20:00:00"/>
    <d v="2026-02-10T21:30:00"/>
    <d v="1899-12-30T01:30:00"/>
  </r>
  <r>
    <n v="743"/>
    <s v="H. TRIANA"/>
    <d v="1899-12-30T22:30:00"/>
    <x v="112"/>
    <s v="EXTRUSORA 4"/>
    <s v="Repetitiva"/>
    <s v="Motor (halador) de tensión esta recalentado, se frena con cualquier golpecito al cambiar rollo"/>
    <m/>
    <m/>
    <x v="3"/>
    <m/>
    <m/>
    <x v="4"/>
    <m/>
    <x v="4"/>
    <x v="2"/>
    <d v="1899-12-30T00:00:00"/>
    <d v="2026-02-10T22:30:00"/>
    <d v="1899-12-30T00:00:00"/>
    <n v="-46063.9375"/>
  </r>
  <r>
    <n v="744"/>
    <s v="S. CARDENAL"/>
    <d v="1899-12-30T08:00:00"/>
    <x v="113"/>
    <s v="SELLADORA 3"/>
    <s v="Puntual"/>
    <s v="Apoyo para cambio de cuchilla de fondo a lateral"/>
    <d v="1899-12-30T08:00:00"/>
    <d v="1899-12-30T09:00:00"/>
    <x v="101"/>
    <s v="Mecánica"/>
    <s v="Se presta apoyo para cambio de mordaza de fondo a lateral"/>
    <x v="1"/>
    <s v="NA"/>
    <x v="3"/>
    <x v="0"/>
    <d v="1899-12-30T01:00:00"/>
    <d v="2026-02-11T08:00:00"/>
    <d v="2026-02-11T09:00:00"/>
    <d v="1899-12-30T01:00:00"/>
  </r>
  <r>
    <n v="745"/>
    <s v="S. CARDENAL"/>
    <d v="1899-12-30T09:15:00"/>
    <x v="113"/>
    <s v="SELLADORA 3"/>
    <s v="Puntual"/>
    <s v="Transportador no prende"/>
    <d v="1899-12-30T09:15:00"/>
    <d v="1899-12-30T09:25:00"/>
    <x v="101"/>
    <s v="Eléctrica"/>
    <s v="Potenciometro variador transportador suelto, se realiza ajuste quedando OK"/>
    <x v="1"/>
    <s v="NA"/>
    <x v="3"/>
    <x v="0"/>
    <d v="1899-12-30T00:10:00"/>
    <d v="2026-02-11T09:15:00"/>
    <d v="2026-02-11T09:25:00"/>
    <d v="1899-12-30T00:10:00"/>
  </r>
  <r>
    <n v="746"/>
    <s v="S. CARDENAL"/>
    <d v="1899-12-30T11:00:00"/>
    <x v="113"/>
    <s v="SELLADORA 2"/>
    <s v="Puntual"/>
    <s v="Rodillo dañado del transportador"/>
    <d v="1899-12-30T11:00:00"/>
    <d v="1899-12-30T11:20:00"/>
    <x v="101"/>
    <s v="Mecánica"/>
    <s v="Rodillo tensor de transportador con rodamientos sueltos, se desmonta y e realiza ajuste y se coloca seger quedando OK"/>
    <x v="123"/>
    <s v="NA"/>
    <x v="3"/>
    <x v="0"/>
    <d v="1899-12-30T00:20:00"/>
    <d v="2026-02-11T11:00:00"/>
    <d v="2026-02-11T11:20:00"/>
    <d v="1899-12-30T00:20:00"/>
  </r>
  <r>
    <n v="747"/>
    <m/>
    <m/>
    <x v="3"/>
    <m/>
    <m/>
    <m/>
    <m/>
    <m/>
    <x v="3"/>
    <m/>
    <m/>
    <x v="4"/>
    <m/>
    <x v="4"/>
    <x v="1"/>
    <d v="1899-12-30T00:00:00"/>
    <d v="1899-12-30T00:00:00"/>
    <d v="1899-12-30T00:00:00"/>
    <d v="1899-12-30T00:00:00"/>
  </r>
  <r>
    <n v="748"/>
    <s v="L. GARZON"/>
    <d v="1899-12-30T18:00:00"/>
    <x v="113"/>
    <s v="SELLADORA 2"/>
    <s v="Puntual"/>
    <s v="Se solicita ayuda para soltar tornillo de soporte de cuchilla ya que esta rodada"/>
    <d v="1899-12-30T18:15:00"/>
    <d v="1899-12-30T18:45:00"/>
    <x v="101"/>
    <s v="Mecánica"/>
    <s v="Se extrae tornillo M5 x 20mm con cuadrante rodado, se instala nuevo tornillo M5 x 20mm, se instala cuchilla ya que está rodado"/>
    <x v="124"/>
    <s v="NA"/>
    <x v="2"/>
    <x v="0"/>
    <d v="1899-12-30T00:30:00"/>
    <d v="2026-02-11T18:00:00"/>
    <d v="2026-02-11T18:45:00"/>
    <d v="1899-12-30T00:45:00"/>
  </r>
  <r>
    <n v="749"/>
    <s v="L. GARZON"/>
    <d v="1899-12-30T18:00:00"/>
    <x v="113"/>
    <s v="SELLADORA 1"/>
    <s v="Puntual"/>
    <s v="Se solicita a mantenimiento que ajuste fotocelda porque no lee y esta suelta, no tengo herramienta para ajustar"/>
    <d v="1899-12-30T18:00:00"/>
    <d v="1899-12-30T18:15:00"/>
    <x v="101"/>
    <s v="Mecánica"/>
    <s v="Se realiza ajuste de tornillos se sujeción de fotocelda ya que se encuentra suelta"/>
    <x v="1"/>
    <s v="NA"/>
    <x v="2"/>
    <x v="0"/>
    <d v="1899-12-30T00:15:00"/>
    <d v="2026-02-11T18:00:00"/>
    <d v="2026-02-11T18:15:00"/>
    <d v="1899-12-30T00:15:00"/>
  </r>
  <r>
    <n v="750"/>
    <s v="L. GARZON"/>
    <d v="1899-12-30T17:20:00"/>
    <x v="113"/>
    <s v="SELLADORA 2"/>
    <s v="Puntual"/>
    <s v="Se reporta perforadores molestando se quedan abajo"/>
    <d v="1899-12-30T17:25:00"/>
    <d v="1899-12-30T17:50:00"/>
    <x v="101"/>
    <s v="Mecánica, Eléctrica"/>
    <s v="Se baja tiempo de accionamiento de perforadores ya que se encuentra muy prolongado y se corrige altura y posición"/>
    <x v="1"/>
    <s v="NA"/>
    <x v="2"/>
    <x v="0"/>
    <d v="1899-12-30T00:25:00"/>
    <d v="2026-02-11T17:20:00"/>
    <d v="2026-02-11T17:50:00"/>
    <d v="1899-12-30T00:30:00"/>
  </r>
  <r>
    <n v="751"/>
    <s v="H. TRIANA"/>
    <d v="1899-12-30T06:50:00"/>
    <x v="40"/>
    <s v="EXTRUSORA 4"/>
    <s v="Repetitiva"/>
    <s v="Halador prensa no enciende"/>
    <d v="1899-12-30T07:00:00"/>
    <d v="1899-12-30T08:05:00"/>
    <x v="102"/>
    <s v="Eléctrica"/>
    <s v="Se inspecciona caja de circuitos de control y potencia, encontrando circuito de potencia mal conectado por tecnico el cual genero desfase entre lineas, se corrige pelando conductores y colocando capuchones, quedando OK"/>
    <x v="125"/>
    <s v="NA"/>
    <x v="3"/>
    <x v="0"/>
    <d v="1899-12-30T01:05:00"/>
    <d v="2026-02-12T06:50:00"/>
    <d v="2026-02-12T08:05:00"/>
    <d v="1899-12-30T01:15:00"/>
  </r>
  <r>
    <n v="752"/>
    <s v="M. ALVAREZ"/>
    <d v="1899-12-30T07:40:00"/>
    <x v="40"/>
    <s v="Otro"/>
    <s v="Puntual"/>
    <s v="Se encuentra ruptura en pared del muelle #2, el cual no se define que pudo haber pasado"/>
    <m/>
    <m/>
    <x v="3"/>
    <m/>
    <m/>
    <x v="4"/>
    <m/>
    <x v="4"/>
    <x v="2"/>
    <d v="1899-12-30T00:00:00"/>
    <d v="2026-02-12T07:40:00"/>
    <d v="1899-12-30T00:00:00"/>
    <n v="-46065.319444444445"/>
  </r>
  <r>
    <n v="753"/>
    <s v="K. RAMOS"/>
    <d v="1899-12-30T09:28:00"/>
    <x v="40"/>
    <s v="EXTRUSORA"/>
    <s v="Puntual"/>
    <s v="Falla en el brazo de carga y descarga en el bobinador A"/>
    <d v="1899-12-30T15:30:00"/>
    <d v="1899-12-30T16:00:00"/>
    <x v="102"/>
    <s v="Mecánica"/>
    <s v="Se da ajuste a platinas de brazos de descarga y transporte, se calibra desplazamiento de transporte"/>
    <x v="1"/>
    <s v="NA"/>
    <x v="2"/>
    <x v="0"/>
    <d v="1899-12-30T00:30:00"/>
    <d v="2026-02-12T09:28:00"/>
    <d v="2026-02-12T16:00:00"/>
    <d v="1899-12-30T06:32:00"/>
  </r>
  <r>
    <n v="754"/>
    <s v="H. TRIANA"/>
    <d v="1899-12-30T10:20:00"/>
    <x v="40"/>
    <s v="EXTRUSORA 4"/>
    <s v="Puntual"/>
    <s v="Chillido en transmisión a tornillo en capa externa"/>
    <d v="1899-12-30T16:00:00"/>
    <d v="1899-12-30T17:00:00"/>
    <x v="102"/>
    <s v="Eléctrica"/>
    <s v="Se realiza seguimiento, toma de consumos del motor el cual se encuentra dentro de los parametros"/>
    <x v="1"/>
    <s v="NA"/>
    <x v="2"/>
    <x v="0"/>
    <d v="1899-12-30T01:00:00"/>
    <d v="2026-02-12T10:20:00"/>
    <d v="2026-02-12T17:00:00"/>
    <d v="1899-12-30T06:40:00"/>
  </r>
  <r>
    <n v="755"/>
    <s v="H. TRIANA"/>
    <m/>
    <x v="40"/>
    <s v="EXTRUSORA 3"/>
    <s v="Repetitiva"/>
    <s v="Cuchillas de tratador muy duras para plano de tratado"/>
    <m/>
    <m/>
    <x v="3"/>
    <m/>
    <m/>
    <x v="4"/>
    <m/>
    <x v="4"/>
    <x v="2"/>
    <d v="1899-12-30T00:00:00"/>
    <d v="2026-02-12T00:00:00"/>
    <d v="1899-12-30T00:00:00"/>
    <n v="-46065"/>
  </r>
  <r>
    <n v="756"/>
    <s v="E. REYES"/>
    <d v="1899-12-30T10:40:00"/>
    <x v="40"/>
    <s v="SELLADORA 2"/>
    <s v="Puntual"/>
    <s v="Arreglo de rodamiento"/>
    <d v="1899-12-30T10:40:00"/>
    <d v="1899-12-30T11:20:00"/>
    <x v="102"/>
    <s v="Mecánica"/>
    <s v="Rodillo loco magazin superior rodamientos averiados y espigo con desajuste, se corrige con soldadura y cambio de rodamientos y unida"/>
    <x v="126"/>
    <s v="Soldadura"/>
    <x v="3"/>
    <x v="0"/>
    <d v="1899-12-30T00:40:00"/>
    <d v="2026-02-12T10:40:00"/>
    <d v="2026-02-12T11:20:00"/>
    <d v="1899-12-30T00:40:00"/>
  </r>
  <r>
    <n v="757"/>
    <s v="H. TRIANA"/>
    <d v="1899-12-30T10:50:00"/>
    <x v="40"/>
    <s v="EXTRUSORA 4"/>
    <s v="Puntual"/>
    <s v="Motor halador de prensa huele quemado y el ventilador se paro"/>
    <d v="1899-12-30T12:00:00"/>
    <d v="1899-12-30T12:45:00"/>
    <x v="102"/>
    <s v="Mecánica"/>
    <s v="Rodillo loco magazin superior #2 con rodamientos dañados y espigo, se realiza ajuste con soldadura y cambio rodamientos"/>
    <x v="127"/>
    <s v="NA"/>
    <x v="3"/>
    <x v="0"/>
    <d v="1899-12-30T00:45:00"/>
    <d v="2026-02-12T10:50:00"/>
    <d v="2026-02-12T12:45:00"/>
    <d v="1899-12-30T01:55:00"/>
  </r>
  <r>
    <n v="758"/>
    <s v="E. REYES"/>
    <d v="1899-12-30T12:40:00"/>
    <x v="40"/>
    <s v="SELLADORA 2"/>
    <s v="Repetitiva"/>
    <s v="Arreglo de rodamiento"/>
    <d v="1899-12-30T11:20:00"/>
    <d v="1899-12-30T12:00:00"/>
    <x v="102"/>
    <s v="Eléctrica"/>
    <s v="Interviniendo selladora 2, blower ventilación forzada motor halador mal conectado ocasionando que blower se apague, se realiza conexiones correspondientes quedando OK"/>
    <x v="1"/>
    <s v="NA"/>
    <x v="3"/>
    <x v="0"/>
    <d v="1899-12-30T00:40:00"/>
    <d v="2026-02-12T12:40:00"/>
    <d v="2026-02-12T12:00:00"/>
    <n v="-2.7777777781011537E-2"/>
  </r>
  <r>
    <n v="759"/>
    <s v="H. TRIANA"/>
    <d v="1899-12-30T15:45:00"/>
    <x v="40"/>
    <s v="EXTRUSORA 4"/>
    <s v="Repetitiva"/>
    <s v="Motor halador de la prensa_x000a_desoues del arreglo sigue recalentado"/>
    <m/>
    <m/>
    <x v="3"/>
    <m/>
    <m/>
    <x v="4"/>
    <m/>
    <x v="4"/>
    <x v="2"/>
    <d v="1899-12-30T00:00:00"/>
    <d v="2026-02-12T15:45:00"/>
    <d v="1899-12-30T00:00:00"/>
    <n v="-46065.65625"/>
  </r>
  <r>
    <n v="760"/>
    <s v="L. GARZON"/>
    <d v="1899-12-30T14:00:00"/>
    <x v="40"/>
    <s v="SELLADORA 1"/>
    <s v="Puntual"/>
    <s v="Maquina se pasa a mantenimiento porque esta molestando sensor y medida varia"/>
    <d v="1899-12-30T14:00:00"/>
    <d v="1899-12-30T15:15:00"/>
    <x v="102"/>
    <s v="Mecánica"/>
    <s v="Se realiza ajuste en final de carrera, se realiza ajuste de tensiones balancines, ajuste de freno, parametros se realiza inspección, se apoyo ajuste de perforadores y prensa de alimentación, se entrego operativo 15:15 se realizo seguimiento"/>
    <x v="1"/>
    <s v="NA"/>
    <x v="2"/>
    <x v="0"/>
    <d v="1899-12-30T01:15:00"/>
    <d v="2026-02-12T14:00:00"/>
    <d v="2026-02-12T15:15:00"/>
    <d v="1899-12-30T01:15:00"/>
  </r>
  <r>
    <n v="761"/>
    <s v="L. GARZON"/>
    <d v="1899-12-30T14:10:00"/>
    <x v="40"/>
    <s v="SELLADORA 2"/>
    <s v="Puntual"/>
    <s v="Maquina varia medida y molesta perforadores y fotocelda no lee bien"/>
    <d v="1899-12-30T15:20:00"/>
    <d v="1899-12-30T16:30:00"/>
    <x v="102"/>
    <s v="Mecánica"/>
    <s v="Se atiende 15:20, se realiza ajuste apoyo a la operaria a cuadre de material, se da ajsute a fotocelda, ajuste a prensa de alimentación, presiones se arranca maquina 16:50 y se tiene en seguimiento"/>
    <x v="1"/>
    <s v="NA"/>
    <x v="2"/>
    <x v="0"/>
    <d v="1899-12-30T01:10:00"/>
    <d v="2026-02-12T14:10:00"/>
    <d v="2026-02-12T16:30:00"/>
    <d v="1899-12-30T02:20:00"/>
  </r>
  <r>
    <n v="762"/>
    <s v="F. SANCHEZ"/>
    <d v="1899-12-30T09:30:00"/>
    <x v="41"/>
    <s v="EXTRUSORA 5"/>
    <s v="Puntual"/>
    <s v="Problemas con el fay no lee, esta torcida la lectura de base. La base esta torcida un poco"/>
    <m/>
    <m/>
    <x v="3"/>
    <m/>
    <m/>
    <x v="4"/>
    <m/>
    <x v="4"/>
    <x v="2"/>
    <d v="1899-12-30T00:00:00"/>
    <d v="2026-02-13T09:30:00"/>
    <d v="1899-12-30T00:00:00"/>
    <n v="-46066.395833333336"/>
  </r>
  <r>
    <n v="763"/>
    <s v="F. SANCHEZ"/>
    <d v="1899-12-30T10:54:00"/>
    <x v="41"/>
    <s v="EXTRUSORA 5"/>
    <s v="Puntual"/>
    <s v="Bajar mando de contot del tratador Bajar mando contros del fay al primer piso donde se pueda manipular"/>
    <m/>
    <m/>
    <x v="3"/>
    <m/>
    <m/>
    <x v="4"/>
    <m/>
    <x v="4"/>
    <x v="2"/>
    <d v="1899-12-30T00:00:00"/>
    <d v="2026-02-13T10:54:00"/>
    <d v="1899-12-30T00:00:00"/>
    <n v="-46066.45416666667"/>
  </r>
  <r>
    <n v="764"/>
    <s v="D. ARRIETA"/>
    <m/>
    <x v="41"/>
    <s v="IMPRESORA 1"/>
    <m/>
    <s v="La bomba neúmatica, la que se utiliza para el color blanco funciona unos minutos y deja de funcionar"/>
    <m/>
    <m/>
    <x v="3"/>
    <m/>
    <m/>
    <x v="4"/>
    <m/>
    <x v="4"/>
    <x v="2"/>
    <d v="1899-12-30T00:00:00"/>
    <d v="2026-02-13T00:00:00"/>
    <d v="1899-12-30T00:00:00"/>
    <n v="-46066"/>
  </r>
  <r>
    <n v="765"/>
    <s v="L. MIRANDA"/>
    <d v="1899-12-30T00:00:00"/>
    <x v="114"/>
    <s v="EXTRUSORA 5"/>
    <s v="Puntual"/>
    <s v="Se bloquea el alimentador del embobinador 1"/>
    <d v="1899-12-30T00:00:00"/>
    <d v="1899-12-30T04:00:00"/>
    <x v="103"/>
    <s v="Eléctrica"/>
    <s v="Se profudcie alarma y se desenebra en el embobinado arrastra sensor y mangueras de aire, se hace corto, se busca sensor y no lo hay. Toco recuperarlo aplicar soldadura con cautin quedando operativo, se hace seguimiento"/>
    <x v="1"/>
    <s v="Soldadura"/>
    <x v="1"/>
    <x v="0"/>
    <d v="1899-12-30T04:00:00"/>
    <d v="2026-02-14T00:00:00"/>
    <d v="2026-02-14T04:00:00"/>
    <d v="1899-12-30T04:00:00"/>
  </r>
  <r>
    <n v="766"/>
    <s v="H. TRIANA"/>
    <d v="1899-12-30T06:30:00"/>
    <x v="114"/>
    <s v="EXTRUSORA 4"/>
    <s v="Puntual"/>
    <s v="Falla en la rotación, empezo a sonar feo y brincar"/>
    <m/>
    <m/>
    <x v="3"/>
    <m/>
    <s v="Queda parada hay que desarmar toda la rotación"/>
    <x v="4"/>
    <m/>
    <x v="4"/>
    <x v="2"/>
    <d v="1899-12-30T00:00:00"/>
    <d v="2026-02-14T06:30:00"/>
    <d v="1899-12-30T00:00:00"/>
    <n v="-46067.270833333336"/>
  </r>
  <r>
    <n v="767"/>
    <s v="H. TRIANA"/>
    <d v="1899-12-30T06:15:00"/>
    <x v="114"/>
    <s v="EXTRUSORA 3"/>
    <s v="Puntual"/>
    <s v="Cadena de este embobinador partida"/>
    <d v="1899-12-30T06:30:00"/>
    <d v="1899-12-30T06:45:00"/>
    <x v="103"/>
    <s v="Mecánica"/>
    <s v="Se arregla piezas de cadena y se alarga el tornillo"/>
    <x v="1"/>
    <s v="NA"/>
    <x v="9"/>
    <x v="0"/>
    <d v="1899-12-30T00:15:00"/>
    <d v="2026-02-14T06:15:00"/>
    <d v="2026-02-14T06:45:00"/>
    <d v="1899-12-30T00:30:00"/>
  </r>
  <r>
    <n v="768"/>
    <s v="H. TRIANA"/>
    <d v="1899-12-30T07:38:00"/>
    <x v="114"/>
    <s v="EXTRUSORA 4"/>
    <s v="Repetitiva"/>
    <s v="Quitar torta de la rotación, y tiene unos cables desconectados"/>
    <d v="1899-12-30T08:10:00"/>
    <d v="1899-12-30T11:00:00"/>
    <x v="103"/>
    <s v="Eléctrica"/>
    <s v="Se retira la mayor cantidad de torta, se conectan cables ya que provoco corto eléctrico"/>
    <x v="1"/>
    <s v="NA"/>
    <x v="9"/>
    <x v="0"/>
    <d v="1899-12-30T02:50:00"/>
    <d v="2026-02-14T07:38:00"/>
    <d v="2026-02-14T11:00:00"/>
    <d v="1899-12-30T03:22:00"/>
  </r>
  <r>
    <n v="769"/>
    <s v="E. REYES"/>
    <d v="1899-12-30T07:10:00"/>
    <x v="114"/>
    <s v="SELLADORA 2"/>
    <s v="Puntual"/>
    <s v="Temperatura trasera se apago por que hizo corte"/>
    <d v="1899-12-30T08:40:00"/>
    <d v="1899-12-30T09:00:00"/>
    <x v="103"/>
    <s v="Eléctrica"/>
    <s v="Se verifica corto en una resistencia por rosamiento del rodillo, se aisla y queda OK"/>
    <x v="1"/>
    <s v="NA"/>
    <x v="9"/>
    <x v="0"/>
    <d v="1899-12-30T00:20:00"/>
    <d v="2026-02-14T07:10:00"/>
    <d v="2026-02-14T09:00:00"/>
    <d v="1899-12-30T01:50:00"/>
  </r>
  <r>
    <n v="770"/>
    <s v="E. REYES"/>
    <d v="1899-12-30T11:15:00"/>
    <x v="114"/>
    <s v="REFILADORA 2"/>
    <s v="Puntual"/>
    <s v="Se parte tornillo del rodillo de las correas"/>
    <d v="1899-12-30T11:30:00"/>
    <d v="1899-12-30T12:10:00"/>
    <x v="103"/>
    <s v="Mecánica"/>
    <s v="Se parte tornillo de tensor de correas transportador, se saca yse remplaza por uno nuevo"/>
    <x v="128"/>
    <s v="NA"/>
    <x v="9"/>
    <x v="0"/>
    <d v="1899-12-30T00:40:00"/>
    <d v="2026-02-14T11:15:00"/>
    <d v="2026-02-14T12:10:00"/>
    <d v="1899-12-30T00:55:00"/>
  </r>
  <r>
    <n v="771"/>
    <s v="H. TRIANA"/>
    <d v="1899-12-30T15:40:00"/>
    <x v="114"/>
    <s v="EXTRUSORA 3"/>
    <s v="Puntual"/>
    <s v="Temperatura zona 1 del molde esta fuera de parametros"/>
    <d v="1899-12-30T15:50:00"/>
    <d v="1899-12-30T16:10:00"/>
    <x v="103"/>
    <s v="Eléctrica"/>
    <s v="Corto en resistencia 1 averiando rele ssr, se corrige corto y se cambia ssr quedando OK"/>
    <x v="129"/>
    <s v="NA"/>
    <x v="3"/>
    <x v="0"/>
    <d v="1899-12-30T00:20:00"/>
    <d v="2026-02-14T15:40:00"/>
    <d v="2026-02-14T16:10:00"/>
    <d v="1899-12-30T00:30:00"/>
  </r>
  <r>
    <n v="772"/>
    <s v="D. CUESTA"/>
    <d v="1899-12-30T19:50:00"/>
    <x v="114"/>
    <s v="EXTRUSORA 3"/>
    <s v="Puntual"/>
    <s v="Se parte cadena de arrastre de rollo en pin y se monta quedando OK"/>
    <d v="1899-12-30T19:50:00"/>
    <d v="1899-12-30T20:05:00"/>
    <x v="103"/>
    <s v="Mecánica"/>
    <s v="Cadena despinada se coloca pin y se monta quedando OK"/>
    <x v="1"/>
    <s v="NA"/>
    <x v="3"/>
    <x v="0"/>
    <d v="1899-12-30T00:15:00"/>
    <d v="2026-02-14T19:50:00"/>
    <d v="2026-02-14T20:05:00"/>
    <d v="1899-12-30T00:15:00"/>
  </r>
  <r>
    <n v="773"/>
    <s v="L. GARZON"/>
    <d v="1899-12-30T20:05:00"/>
    <x v="114"/>
    <s v="SELLADORA 1"/>
    <s v="Puntual"/>
    <s v="Material sale maltratado"/>
    <d v="1899-12-30T20:15:00"/>
    <d v="1899-12-30T20:30:00"/>
    <x v="103"/>
    <s v="Mecánica"/>
    <s v="Inteviniendo coex 3 se realiza calobración prensa de arrastre inferior quedando OK"/>
    <x v="1"/>
    <s v="NA"/>
    <x v="3"/>
    <x v="0"/>
    <d v="1899-12-30T00:15:00"/>
    <d v="2026-02-14T20:05:00"/>
    <d v="2026-02-14T20:30:00"/>
    <d v="1899-12-30T00:25:00"/>
  </r>
  <r>
    <n v="774"/>
    <s v="F. SANCHEZ"/>
    <d v="1899-12-30T06:00:00"/>
    <x v="115"/>
    <s v="EXTRUSORA 5"/>
    <s v="Puntual"/>
    <s v="Rodillo de los clavos suelto y un resorte caido se cae el rodillo y perfora con los clavos al otro rodillo"/>
    <d v="1899-12-30T06:00:00"/>
    <d v="1899-12-30T06:50:00"/>
    <x v="104"/>
    <s v="Mecánica, Eléctrica"/>
    <s v="Se interviene resorte rodillo clavos se fija, se interviene paletas, se intenta cerrar pero mandos y conexiones entran fallo, se requiere revisión con mas tiempo"/>
    <x v="1"/>
    <s v="NA"/>
    <x v="1"/>
    <x v="2"/>
    <d v="1899-12-30T00:50:00"/>
    <d v="2026-02-15T06:00:00"/>
    <d v="2026-02-15T06:50:00"/>
    <d v="1899-12-30T00:50:00"/>
  </r>
  <r>
    <n v="775"/>
    <s v="D. CUESTA"/>
    <d v="1899-12-30T18:10:00"/>
    <x v="115"/>
    <s v="EXTRUSORA 5"/>
    <s v="Puntual"/>
    <s v="Paletas de la coex 5 de la parte inferior no cierran ni abren"/>
    <d v="1899-12-30T19:00:00"/>
    <d v="1899-12-30T20:10:00"/>
    <x v="104"/>
    <s v="Eléctrica"/>
    <s v="Se presta apoyo para cerrar paletas inferiores dependiendo de un contactor, ya que el otro lo averiaron y no esta funcionando, se requiere cambiar. Se requiere inspección para evaluar o revisar contactores paletas inferiores con la maquina parada"/>
    <x v="1"/>
    <s v="NA"/>
    <x v="3"/>
    <x v="0"/>
    <d v="1899-12-30T01:10:00"/>
    <d v="2026-02-15T18:10:00"/>
    <d v="2026-02-15T20:10:00"/>
    <d v="1899-12-30T02:00:00"/>
  </r>
  <r>
    <n v="776"/>
    <m/>
    <m/>
    <x v="3"/>
    <m/>
    <m/>
    <m/>
    <m/>
    <m/>
    <x v="3"/>
    <m/>
    <m/>
    <x v="4"/>
    <m/>
    <x v="4"/>
    <x v="1"/>
    <d v="1899-12-30T00:00:00"/>
    <d v="1899-12-30T00:00:00"/>
    <d v="1899-12-30T00:00:00"/>
    <d v="1899-12-30T00:00:00"/>
  </r>
  <r>
    <n v="777"/>
    <s v="D. CUESTA"/>
    <d v="1899-12-30T20:10:00"/>
    <x v="115"/>
    <s v="EXTRUSORA 5"/>
    <s v="Puntual"/>
    <s v="Problemas con el octagon no esta funcionando"/>
    <d v="1899-12-30T20:10:00"/>
    <d v="1899-12-30T23:15:00"/>
    <x v="104"/>
    <s v="Eléctrica"/>
    <s v="La pantalla presenta el programa ejecutado en blanco, se ingresan algunos parametros hasta encontrar el corrector y permitir asi el funcionamiento OK"/>
    <x v="1"/>
    <s v="NA"/>
    <x v="3"/>
    <x v="0"/>
    <d v="1899-12-30T03:05:00"/>
    <d v="2026-02-15T20:10:00"/>
    <d v="2026-02-15T23:15:00"/>
    <d v="1899-12-30T03:05:00"/>
  </r>
  <r>
    <n v="778"/>
    <m/>
    <m/>
    <x v="3"/>
    <m/>
    <m/>
    <m/>
    <m/>
    <m/>
    <x v="3"/>
    <m/>
    <m/>
    <x v="4"/>
    <m/>
    <x v="4"/>
    <x v="1"/>
    <d v="1899-12-30T00:00:00"/>
    <d v="1899-12-30T00:00:00"/>
    <d v="1899-12-30T00:00:00"/>
    <d v="1899-12-30T00:00:00"/>
  </r>
  <r>
    <n v="779"/>
    <s v="H. TRIANA"/>
    <d v="1899-12-30T22:00:00"/>
    <x v="115"/>
    <s v="EXTRUSORA 3"/>
    <s v="Puntual"/>
    <s v="Falla en contactor del porta malla externo"/>
    <d v="1899-12-30T22:15:00"/>
    <d v="1899-12-30T22:35:00"/>
    <x v="104"/>
    <s v="Eléctrica"/>
    <s v="Se inspecciona circuito de malla encontrando amperimetro averiado, se empalman conductores dejando por fuera el amperimetro, se requiere RQ para compra de amperimetros según muestra"/>
    <x v="1"/>
    <s v="NA"/>
    <x v="3"/>
    <x v="0"/>
    <d v="1899-12-30T00:20:00"/>
    <d v="2026-02-15T22:00:00"/>
    <d v="2026-02-15T22:35:00"/>
    <d v="1899-12-30T00:35:00"/>
  </r>
  <r>
    <n v="780"/>
    <s v="H. TRIANA"/>
    <d v="1899-12-30T00:05:00"/>
    <x v="115"/>
    <s v="EXTRUSORA 3"/>
    <s v="Puntual"/>
    <s v="Sonido de tornillo, capa interna fuera de lo normal"/>
    <d v="1899-12-30T00:30:00"/>
    <d v="1899-12-30T00:45:00"/>
    <x v="105"/>
    <s v="Mecánica"/>
    <s v="Se inspeccioona ruido anormal reportado por operario, se evidencia fuga de aceite leve y sonido anormal leve. Se requiere programar mantenimiento preventivo de carácter urgente"/>
    <x v="1"/>
    <s v="NA"/>
    <x v="3"/>
    <x v="0"/>
    <d v="1899-12-30T00:15:00"/>
    <d v="2026-02-15T00:05:00"/>
    <d v="2026-02-16T00:45:00"/>
    <d v="1899-12-31T00:40:00"/>
  </r>
  <r>
    <n v="781"/>
    <s v="S. PATIÑO"/>
    <d v="1899-12-30T19:20:00"/>
    <x v="116"/>
    <s v="EXTRUSORA 5"/>
    <s v="Puntual"/>
    <s v="Flautas del sistema de rotación esta desalineadas y al poner a trabajar la rotación la pelicula se corre para los lados y se sale del refile"/>
    <d v="1899-12-30T19:22:00"/>
    <d v="1899-12-30T19:30:00"/>
    <x v="105"/>
    <s v="Mecánica"/>
    <s v="Nivelar las flautas"/>
    <x v="1"/>
    <s v="NA"/>
    <x v="9"/>
    <x v="0"/>
    <d v="1899-12-30T00:08:00"/>
    <d v="2026-02-16T19:20:00"/>
    <d v="2026-02-16T19:30:00"/>
    <d v="1899-12-30T00:10:00"/>
  </r>
  <r>
    <n v="782"/>
    <s v="D. ARRIETA"/>
    <d v="1899-12-30T04:00:00"/>
    <x v="42"/>
    <s v="IMPRESORA 1"/>
    <s v="Puntual"/>
    <s v="Rodillo del balancin del embobinador"/>
    <d v="1899-12-30T04:00:00"/>
    <d v="1899-12-30T05:00:00"/>
    <x v="106"/>
    <s v="Mecánica"/>
    <s v="Se despina cadena balancin embobinador  y parte soporte roscados se corrige aplicando soldadura quedando OK"/>
    <x v="1"/>
    <s v="Soldadura"/>
    <x v="3"/>
    <x v="0"/>
    <d v="1899-12-30T01:00:00"/>
    <d v="2026-02-17T04:00:00"/>
    <d v="2026-02-17T05:00:00"/>
    <d v="1899-12-30T01:00:00"/>
  </r>
  <r>
    <n v="783"/>
    <s v="H. TRIANA"/>
    <d v="1899-12-30T08:40:00"/>
    <x v="42"/>
    <s v="EXTRUSORA 2"/>
    <s v="Puntual"/>
    <s v="Falla tratador"/>
    <d v="1899-12-30T08:40:00"/>
    <d v="1899-12-30T09:40:00"/>
    <x v="106"/>
    <s v="Eléctrica"/>
    <s v="Se revisa equipo se encuentra cable de potenciometro desconectado por tanto no se dejaba subir"/>
    <x v="1"/>
    <s v="NA"/>
    <x v="4"/>
    <x v="0"/>
    <d v="1899-12-30T01:00:00"/>
    <d v="2026-02-17T08:40:00"/>
    <d v="2026-02-17T09:40:00"/>
    <d v="1899-12-30T01:00:00"/>
  </r>
  <r>
    <n v="784"/>
    <s v="H. TRIANA"/>
    <d v="1899-12-30T09:50:00"/>
    <x v="42"/>
    <s v="EXTRUSORA 2"/>
    <s v="Repetitiva"/>
    <s v="Temperatura del tornillo interno elevada a 250 °C"/>
    <m/>
    <m/>
    <x v="3"/>
    <m/>
    <m/>
    <x v="4"/>
    <m/>
    <x v="4"/>
    <x v="2"/>
    <d v="1899-12-30T00:00:00"/>
    <d v="2026-02-17T09:50:00"/>
    <d v="1899-12-30T00:00:00"/>
    <n v="-46070.409722222219"/>
  </r>
  <r>
    <n v="785"/>
    <s v="S. CARDENAL"/>
    <d v="1899-12-30T18:53:00"/>
    <x v="42"/>
    <s v="SELLADORA 2"/>
    <s v="Puntual"/>
    <s v="Parte eléctrica de los perforadores hecho chispa y estos no perforan"/>
    <d v="1899-12-30T06:10:00"/>
    <d v="1899-12-30T06:30:00"/>
    <x v="107"/>
    <s v="Eléctrica"/>
    <s v="Se encuentra sistema eléctrico de los perforadores desconectado, se realizao seguimiento, se encuentra temporizador en mal estado, se realiza el cambio y queda operativo"/>
    <x v="130"/>
    <s v="NA"/>
    <x v="2"/>
    <x v="0"/>
    <d v="1899-12-30T00:20:00"/>
    <d v="2026-02-17T18:53:00"/>
    <d v="2026-02-18T06:30:00"/>
    <d v="1899-12-30T11:37:00"/>
  </r>
  <r>
    <n v="786"/>
    <s v="K. RAMOS"/>
    <m/>
    <x v="42"/>
    <s v="EXTRUSORA 2"/>
    <s v="Puntual"/>
    <s v="Motor de ventilación de la maquina 2 esta dañado:_x000a_La temperatura muy alta"/>
    <m/>
    <m/>
    <x v="3"/>
    <m/>
    <m/>
    <x v="4"/>
    <m/>
    <x v="4"/>
    <x v="2"/>
    <d v="1899-12-30T00:00:00"/>
    <d v="2026-02-17T00:00:00"/>
    <d v="1899-12-30T00:00:00"/>
    <n v="-46070"/>
  </r>
  <r>
    <n v="787"/>
    <s v="L. MIRANDA"/>
    <d v="1899-12-30T20:20:00"/>
    <x v="42"/>
    <s v="EXTRUSORA 5"/>
    <s v="Puntual"/>
    <s v="Cuadrar paletas"/>
    <d v="1899-12-30T20:20:00"/>
    <d v="1899-12-30T21:30:00"/>
    <x v="106"/>
    <s v="Eléctrica"/>
    <s v="Se realiza inversión de giro en motores, se hace ajuste en paletas del equipo, queda operativa acorde al operario"/>
    <x v="1"/>
    <s v="NA"/>
    <x v="1"/>
    <x v="0"/>
    <d v="1899-12-30T01:10:00"/>
    <d v="2026-02-17T20:20:00"/>
    <d v="2026-02-17T21:30:00"/>
    <d v="1899-12-30T01:10:00"/>
  </r>
  <r>
    <n v="788"/>
    <s v="A. ROVINA"/>
    <d v="1899-12-30T09:15:00"/>
    <x v="117"/>
    <s v="REFILADORA 2"/>
    <s v="Puntual"/>
    <s v="Cuchilla de precrorte se suelta"/>
    <d v="1899-12-30T09:15:00"/>
    <d v="1899-12-30T09:30:00"/>
    <x v="107"/>
    <s v="Mecánica"/>
    <s v="Se da ajuste a tornillo de ajuste de cuchilla de precorte"/>
    <x v="1"/>
    <s v="NA"/>
    <x v="2"/>
    <x v="0"/>
    <d v="1899-12-30T00:15:00"/>
    <d v="2026-02-18T09:15:00"/>
    <d v="2026-02-18T09:30:00"/>
    <d v="1899-12-30T00:15:00"/>
  </r>
  <r>
    <n v="789"/>
    <s v="K. RAMOS"/>
    <d v="1899-12-30T23:10:00"/>
    <x v="117"/>
    <s v="EXTRUSORA 2"/>
    <s v="Puntual"/>
    <s v="Sacar tornillo de la pirinola del molde que tiene tornillo partio"/>
    <d v="1899-12-30T23:15:00"/>
    <d v="1899-12-30T23:50:00"/>
    <x v="107"/>
    <s v="Mecánica"/>
    <s v="Se retira tornillo partido"/>
    <x v="1"/>
    <s v="NA"/>
    <x v="9"/>
    <x v="0"/>
    <d v="1899-12-30T00:35:00"/>
    <d v="2026-02-18T23:10:00"/>
    <d v="2026-02-18T23:50:00"/>
    <d v="1899-12-30T00:40:00"/>
  </r>
  <r>
    <n v="790"/>
    <m/>
    <m/>
    <x v="3"/>
    <m/>
    <m/>
    <m/>
    <m/>
    <m/>
    <x v="3"/>
    <m/>
    <m/>
    <x v="4"/>
    <m/>
    <x v="4"/>
    <x v="1"/>
    <d v="1899-12-30T00:00:00"/>
    <d v="1899-12-30T00:00:00"/>
    <d v="1899-12-30T00:00:00"/>
    <d v="1899-12-30T00:00:00"/>
  </r>
  <r>
    <n v="791"/>
    <s v="D. SANCHEZ"/>
    <d v="1899-12-30T07:42:00"/>
    <x v="118"/>
    <s v="EXTRUSORA"/>
    <s v="Puntual"/>
    <s v="Crear un modulo para guardar mallas metalicas de extrusor"/>
    <m/>
    <m/>
    <x v="3"/>
    <m/>
    <m/>
    <x v="4"/>
    <m/>
    <x v="4"/>
    <x v="2"/>
    <d v="1899-12-30T00:00:00"/>
    <d v="2026-02-19T07:42:00"/>
    <d v="1899-12-30T00:00:00"/>
    <n v="-46072.320833333331"/>
  </r>
  <r>
    <n v="792"/>
    <s v="D. CUESTA"/>
    <d v="1899-12-30T11:10:00"/>
    <x v="118"/>
    <s v="EXTRUSORA 5"/>
    <s v="Puntual"/>
    <s v="Revisar zona 4 del tornillo B"/>
    <d v="1899-12-30T11:20:00"/>
    <d v="1899-12-30T12:20:00"/>
    <x v="108"/>
    <s v="Mecánica"/>
    <s v="Se inspeccionan los circuitos de las zonas 1 hasta la 6, no presentan anomalia, se realiza limpieza en camisa y resistencia para retirar producto del refile que impide refrigeración"/>
    <x v="1"/>
    <s v="NA"/>
    <x v="3"/>
    <x v="0"/>
    <d v="1899-12-30T01:00:00"/>
    <d v="2026-02-19T11:10:00"/>
    <d v="2026-02-19T12:20:00"/>
    <d v="1899-12-30T01:10:00"/>
  </r>
  <r>
    <n v="793"/>
    <s v="D. CUESTA"/>
    <d v="1899-12-30T12:00:00"/>
    <x v="118"/>
    <s v="EXTRUSORA 5"/>
    <s v="Puntual"/>
    <s v="Tornillo de apretar no sirve de la corta cores"/>
    <d v="1899-12-30T12:00:00"/>
    <d v="1899-12-30T13:00:00"/>
    <x v="108"/>
    <s v="Mecánica"/>
    <s v="Rosca tornillo corona malobrada, se retira tuerca y tornillo para remplazo quedando OK"/>
    <x v="131"/>
    <s v="NA"/>
    <x v="3"/>
    <x v="0"/>
    <d v="1899-12-30T01:00:00"/>
    <d v="2026-02-19T12:00:00"/>
    <d v="2026-02-19T13:00:00"/>
    <d v="1899-12-30T01:00:00"/>
  </r>
  <r>
    <n v="794"/>
    <s v="D. BAUTISTA"/>
    <d v="1899-12-30T09:30:00"/>
    <x v="118"/>
    <s v="Otro"/>
    <s v="Puntual"/>
    <s v="Daño a cortacores"/>
    <d v="1899-12-30T19:30:00"/>
    <d v="1899-12-30T20:00:00"/>
    <x v="108"/>
    <s v="Mecánica"/>
    <s v="Se desmonto cuchilla de corte, se realizo afilado a la otra cuchilla y se realizo montaje, se requiere mejora de elementos cortacores"/>
    <x v="1"/>
    <s v="NA"/>
    <x v="2"/>
    <x v="0"/>
    <d v="1899-12-30T00:30:00"/>
    <d v="2026-02-19T09:30:00"/>
    <d v="2026-02-19T20:00:00"/>
    <d v="1899-12-30T10:30:00"/>
  </r>
  <r>
    <n v="795"/>
    <s v="D. ARRIETA"/>
    <d v="1899-12-30T19:50:00"/>
    <x v="118"/>
    <s v="IMPRESORA 1"/>
    <s v="Puntual"/>
    <s v="Daño en balancin bobinador"/>
    <d v="1899-12-30T19:50:00"/>
    <d v="1899-12-30T20:30:00"/>
    <x v="108"/>
    <s v="Mecánica"/>
    <s v="Se descarrilo balancin y se parte acople del eje, se desmonta, se ajusta acople, se realiza montaje quedo en operación"/>
    <x v="1"/>
    <s v="NA"/>
    <x v="2"/>
    <x v="0"/>
    <d v="1899-12-30T00:40:00"/>
    <d v="2026-02-19T19:50:00"/>
    <d v="2026-02-19T20:30:00"/>
    <d v="1899-12-30T00:40:00"/>
  </r>
  <r>
    <n v="796"/>
    <s v="D. CUESTA"/>
    <d v="1899-12-30T06:40:00"/>
    <x v="119"/>
    <s v="EXTRUSORA 2"/>
    <s v="Puntual"/>
    <s v="Ajustar y verificar pinola fuga de material"/>
    <d v="1899-12-30T06:50:00"/>
    <d v="1899-12-30T10:20:00"/>
    <x v="109"/>
    <s v="Mecánica"/>
    <s v="Se hace verificación, se retorquea tornillos de portamallas y pinola queda OK"/>
    <x v="1"/>
    <s v="NA"/>
    <x v="9"/>
    <x v="0"/>
    <d v="1899-12-30T03:30:00"/>
    <d v="2026-02-20T06:40:00"/>
    <d v="2026-02-20T10:20:00"/>
    <d v="1899-12-30T03:40:00"/>
  </r>
  <r>
    <n v="797"/>
    <m/>
    <m/>
    <x v="3"/>
    <m/>
    <m/>
    <m/>
    <m/>
    <m/>
    <x v="3"/>
    <m/>
    <m/>
    <x v="4"/>
    <m/>
    <x v="4"/>
    <x v="1"/>
    <d v="1899-12-30T00:00:00"/>
    <d v="1899-12-30T00:00:00"/>
    <d v="1899-12-30T00:00:00"/>
    <d v="1899-12-30T00:00:00"/>
  </r>
  <r>
    <n v="798"/>
    <s v="H. TRIANA"/>
    <d v="1899-12-30T20:30:00"/>
    <x v="119"/>
    <s v="EXTRUSORA 3"/>
    <s v="Puntual"/>
    <s v="Zona del tornillo interior tiene 30° por encima de lo establecido"/>
    <m/>
    <m/>
    <x v="109"/>
    <s v="Eléctrica"/>
    <s v="Se inspecciona circuito de tornillo interior, no se encuentra anomalia en ninguno de los componentes, quedaria pendiente revisar mallas para descartar una anomalia o algún tipo de fricción en tornillo"/>
    <x v="1"/>
    <s v="NA"/>
    <x v="3"/>
    <x v="1"/>
    <d v="1899-12-30T00:00:00"/>
    <d v="2026-02-20T20:30:00"/>
    <d v="2026-02-20T00:00:00"/>
    <n v="-0.85416666666424135"/>
  </r>
  <r>
    <n v="799"/>
    <m/>
    <m/>
    <x v="3"/>
    <m/>
    <m/>
    <m/>
    <m/>
    <m/>
    <x v="3"/>
    <m/>
    <m/>
    <x v="4"/>
    <m/>
    <x v="4"/>
    <x v="1"/>
    <d v="1899-12-30T00:00:00"/>
    <d v="1899-12-30T00:00:00"/>
    <d v="1899-12-30T00:00:00"/>
    <d v="1899-12-30T00:00:00"/>
  </r>
  <r>
    <n v="800"/>
    <s v="L. MIRANDA"/>
    <d v="1899-12-30T09:30:00"/>
    <x v="120"/>
    <s v="EXTRUSORA 5"/>
    <s v="Puntual"/>
    <s v="La barra se le echa aire pero al sacar el aire no le sale"/>
    <m/>
    <m/>
    <x v="3"/>
    <m/>
    <m/>
    <x v="4"/>
    <m/>
    <x v="4"/>
    <x v="2"/>
    <d v="1899-12-30T00:00:00"/>
    <d v="2026-02-21T09:30:00"/>
    <d v="1899-12-30T00:00:00"/>
    <n v="-46074.395833333336"/>
  </r>
  <r>
    <n v="801"/>
    <m/>
    <m/>
    <x v="3"/>
    <m/>
    <m/>
    <m/>
    <m/>
    <m/>
    <x v="3"/>
    <m/>
    <m/>
    <x v="4"/>
    <m/>
    <x v="4"/>
    <x v="1"/>
    <d v="1899-12-30T00:00:00"/>
    <d v="1899-12-30T00:00:00"/>
    <d v="1899-12-30T00:00:00"/>
    <d v="1899-12-30T00:00:00"/>
  </r>
  <r>
    <n v="802"/>
    <m/>
    <m/>
    <x v="3"/>
    <m/>
    <m/>
    <m/>
    <m/>
    <m/>
    <x v="3"/>
    <m/>
    <m/>
    <x v="4"/>
    <m/>
    <x v="4"/>
    <x v="1"/>
    <d v="1899-12-30T00:00:00"/>
    <d v="1899-12-30T00:00:00"/>
    <d v="1899-12-30T00:00:00"/>
    <d v="1899-12-30T00:00:00"/>
  </r>
  <r>
    <n v="803"/>
    <m/>
    <m/>
    <x v="3"/>
    <m/>
    <m/>
    <m/>
    <m/>
    <m/>
    <x v="3"/>
    <m/>
    <m/>
    <x v="4"/>
    <m/>
    <x v="4"/>
    <x v="1"/>
    <d v="1899-12-30T00:00:00"/>
    <d v="1899-12-30T00:00:00"/>
    <d v="1899-12-30T00:00:00"/>
    <d v="1899-12-30T00:00:00"/>
  </r>
  <r>
    <n v="804"/>
    <m/>
    <m/>
    <x v="3"/>
    <m/>
    <m/>
    <m/>
    <m/>
    <m/>
    <x v="3"/>
    <m/>
    <m/>
    <x v="4"/>
    <m/>
    <x v="4"/>
    <x v="1"/>
    <d v="1899-12-30T00:00:00"/>
    <d v="1899-12-30T00:00:00"/>
    <d v="1899-12-30T00:00:00"/>
    <d v="1899-12-30T00:00:00"/>
  </r>
  <r>
    <n v="805"/>
    <m/>
    <m/>
    <x v="3"/>
    <m/>
    <m/>
    <m/>
    <m/>
    <m/>
    <x v="3"/>
    <m/>
    <m/>
    <x v="4"/>
    <m/>
    <x v="4"/>
    <x v="1"/>
    <d v="1899-12-30T00:00:00"/>
    <d v="1899-12-30T00:00:00"/>
    <d v="1899-12-30T00:00:00"/>
    <d v="1899-12-30T00:00:00"/>
  </r>
  <r>
    <n v="806"/>
    <m/>
    <m/>
    <x v="3"/>
    <m/>
    <m/>
    <m/>
    <m/>
    <m/>
    <x v="3"/>
    <m/>
    <m/>
    <x v="4"/>
    <m/>
    <x v="4"/>
    <x v="1"/>
    <d v="1899-12-30T00:00:00"/>
    <d v="1899-12-30T00:00:00"/>
    <d v="1899-12-30T00:00:00"/>
    <d v="1899-12-30T00:00:00"/>
  </r>
  <r>
    <n v="807"/>
    <m/>
    <m/>
    <x v="3"/>
    <m/>
    <m/>
    <m/>
    <m/>
    <m/>
    <x v="3"/>
    <m/>
    <m/>
    <x v="4"/>
    <m/>
    <x v="4"/>
    <x v="1"/>
    <d v="1899-12-30T00:00:00"/>
    <d v="1899-12-30T00:00:00"/>
    <d v="1899-12-30T00:00:00"/>
    <d v="1899-12-30T00:00:00"/>
  </r>
  <r>
    <n v="808"/>
    <m/>
    <m/>
    <x v="3"/>
    <m/>
    <m/>
    <m/>
    <m/>
    <m/>
    <x v="3"/>
    <m/>
    <m/>
    <x v="4"/>
    <m/>
    <x v="4"/>
    <x v="1"/>
    <d v="1899-12-30T00:00:00"/>
    <d v="1899-12-30T00:00:00"/>
    <d v="1899-12-30T00:00:00"/>
    <d v="1899-12-30T00:00:00"/>
  </r>
  <r>
    <n v="809"/>
    <m/>
    <m/>
    <x v="3"/>
    <m/>
    <m/>
    <m/>
    <m/>
    <m/>
    <x v="3"/>
    <m/>
    <m/>
    <x v="4"/>
    <m/>
    <x v="4"/>
    <x v="1"/>
    <d v="1899-12-30T00:00:00"/>
    <d v="1899-12-30T00:00:00"/>
    <d v="1899-12-30T00:00:00"/>
    <d v="1899-12-30T00:00:00"/>
  </r>
  <r>
    <n v="810"/>
    <m/>
    <m/>
    <x v="3"/>
    <m/>
    <m/>
    <m/>
    <m/>
    <m/>
    <x v="3"/>
    <m/>
    <m/>
    <x v="4"/>
    <m/>
    <x v="4"/>
    <x v="1"/>
    <d v="1899-12-30T00:00:00"/>
    <d v="1899-12-30T00:00:00"/>
    <d v="1899-12-30T00:00:00"/>
    <d v="1899-12-30T00:00:00"/>
  </r>
  <r>
    <n v="811"/>
    <m/>
    <m/>
    <x v="3"/>
    <m/>
    <m/>
    <m/>
    <m/>
    <m/>
    <x v="3"/>
    <m/>
    <m/>
    <x v="4"/>
    <m/>
    <x v="4"/>
    <x v="1"/>
    <d v="1899-12-30T00:00:00"/>
    <d v="1899-12-30T00:00:00"/>
    <d v="1899-12-30T00:00:00"/>
    <d v="1899-12-30T00:00:00"/>
  </r>
  <r>
    <n v="812"/>
    <m/>
    <m/>
    <x v="3"/>
    <m/>
    <m/>
    <m/>
    <m/>
    <m/>
    <x v="3"/>
    <m/>
    <m/>
    <x v="4"/>
    <m/>
    <x v="4"/>
    <x v="1"/>
    <d v="1899-12-30T00:00:00"/>
    <d v="1899-12-30T00:00:00"/>
    <d v="1899-12-30T00:00:00"/>
    <d v="1899-12-30T00:00:00"/>
  </r>
  <r>
    <n v="813"/>
    <m/>
    <m/>
    <x v="3"/>
    <m/>
    <m/>
    <m/>
    <m/>
    <m/>
    <x v="3"/>
    <m/>
    <m/>
    <x v="4"/>
    <m/>
    <x v="4"/>
    <x v="1"/>
    <d v="1899-12-30T00:00:00"/>
    <d v="1899-12-30T00:00:00"/>
    <d v="1899-12-30T00:00:00"/>
    <d v="1899-12-30T00:00:00"/>
  </r>
  <r>
    <n v="814"/>
    <m/>
    <m/>
    <x v="3"/>
    <m/>
    <m/>
    <m/>
    <m/>
    <m/>
    <x v="3"/>
    <m/>
    <m/>
    <x v="4"/>
    <m/>
    <x v="4"/>
    <x v="1"/>
    <d v="1899-12-30T00:00:00"/>
    <d v="1899-12-30T00:00:00"/>
    <d v="1899-12-30T00:00:00"/>
    <d v="1899-12-30T00:00:00"/>
  </r>
  <r>
    <n v="815"/>
    <m/>
    <m/>
    <x v="3"/>
    <m/>
    <m/>
    <m/>
    <m/>
    <m/>
    <x v="3"/>
    <m/>
    <m/>
    <x v="4"/>
    <m/>
    <x v="4"/>
    <x v="1"/>
    <d v="1899-12-30T00:00:00"/>
    <d v="1899-12-30T00:00:00"/>
    <d v="1899-12-30T00:00:00"/>
    <d v="1899-12-30T00:00:00"/>
  </r>
  <r>
    <n v="816"/>
    <m/>
    <m/>
    <x v="3"/>
    <m/>
    <m/>
    <m/>
    <m/>
    <m/>
    <x v="3"/>
    <m/>
    <m/>
    <x v="4"/>
    <m/>
    <x v="4"/>
    <x v="1"/>
    <d v="1899-12-30T00:00:00"/>
    <d v="1899-12-30T00:00:00"/>
    <d v="1899-12-30T00:00:00"/>
    <d v="1899-12-30T00:00:00"/>
  </r>
  <r>
    <n v="817"/>
    <m/>
    <m/>
    <x v="3"/>
    <m/>
    <m/>
    <m/>
    <m/>
    <m/>
    <x v="3"/>
    <m/>
    <m/>
    <x v="4"/>
    <m/>
    <x v="4"/>
    <x v="1"/>
    <d v="1899-12-30T00:00:00"/>
    <d v="1899-12-30T00:00:00"/>
    <d v="1899-12-30T00:00:00"/>
    <d v="1899-12-30T00:00:00"/>
  </r>
  <r>
    <n v="818"/>
    <m/>
    <m/>
    <x v="3"/>
    <m/>
    <m/>
    <m/>
    <m/>
    <m/>
    <x v="3"/>
    <m/>
    <m/>
    <x v="4"/>
    <m/>
    <x v="4"/>
    <x v="1"/>
    <d v="1899-12-30T00:00:00"/>
    <d v="1899-12-30T00:00:00"/>
    <d v="1899-12-30T00:00:00"/>
    <d v="1899-12-30T00:00:00"/>
  </r>
  <r>
    <n v="819"/>
    <m/>
    <m/>
    <x v="3"/>
    <m/>
    <m/>
    <m/>
    <m/>
    <m/>
    <x v="3"/>
    <m/>
    <m/>
    <x v="4"/>
    <m/>
    <x v="4"/>
    <x v="1"/>
    <d v="1899-12-30T00:00:00"/>
    <d v="1899-12-30T00:00:00"/>
    <d v="1899-12-30T00:00:00"/>
    <d v="1899-12-30T00:00:00"/>
  </r>
  <r>
    <n v="820"/>
    <m/>
    <m/>
    <x v="3"/>
    <m/>
    <m/>
    <m/>
    <m/>
    <m/>
    <x v="3"/>
    <m/>
    <m/>
    <x v="4"/>
    <m/>
    <x v="4"/>
    <x v="1"/>
    <d v="1899-12-30T00:00:00"/>
    <d v="1899-12-30T00:00:00"/>
    <d v="1899-12-30T00:00:00"/>
    <d v="1899-12-30T00:00:00"/>
  </r>
  <r>
    <n v="821"/>
    <m/>
    <m/>
    <x v="3"/>
    <m/>
    <m/>
    <m/>
    <m/>
    <m/>
    <x v="3"/>
    <m/>
    <m/>
    <x v="4"/>
    <m/>
    <x v="4"/>
    <x v="1"/>
    <d v="1899-12-30T00:00:00"/>
    <d v="1899-12-30T00:00:00"/>
    <d v="1899-12-30T00:00:00"/>
    <d v="1899-12-30T00:00:00"/>
  </r>
  <r>
    <n v="822"/>
    <m/>
    <m/>
    <x v="3"/>
    <m/>
    <m/>
    <m/>
    <m/>
    <m/>
    <x v="3"/>
    <m/>
    <m/>
    <x v="4"/>
    <m/>
    <x v="4"/>
    <x v="1"/>
    <d v="1899-12-30T00:00:00"/>
    <d v="1899-12-30T00:00:00"/>
    <d v="1899-12-30T00:00:00"/>
    <d v="1899-12-30T00:00:00"/>
  </r>
  <r>
    <n v="823"/>
    <m/>
    <m/>
    <x v="3"/>
    <m/>
    <m/>
    <m/>
    <m/>
    <m/>
    <x v="3"/>
    <m/>
    <m/>
    <x v="4"/>
    <m/>
    <x v="4"/>
    <x v="1"/>
    <d v="1899-12-30T00:00:00"/>
    <d v="1899-12-30T00:00:00"/>
    <d v="1899-12-30T00:00:00"/>
    <d v="1899-12-30T00:00:00"/>
  </r>
  <r>
    <n v="824"/>
    <m/>
    <m/>
    <x v="3"/>
    <m/>
    <m/>
    <m/>
    <m/>
    <m/>
    <x v="3"/>
    <m/>
    <m/>
    <x v="4"/>
    <m/>
    <x v="4"/>
    <x v="1"/>
    <d v="1899-12-30T00:00:00"/>
    <d v="1899-12-30T00:00:00"/>
    <d v="1899-12-30T00:00:00"/>
    <d v="1899-12-30T00:00:00"/>
  </r>
  <r>
    <n v="825"/>
    <m/>
    <m/>
    <x v="3"/>
    <m/>
    <m/>
    <m/>
    <m/>
    <m/>
    <x v="3"/>
    <m/>
    <m/>
    <x v="4"/>
    <m/>
    <x v="4"/>
    <x v="1"/>
    <d v="1899-12-30T00:00:00"/>
    <d v="1899-12-30T00:00:00"/>
    <d v="1899-12-30T00:00:00"/>
    <d v="1899-12-30T00:00:00"/>
  </r>
  <r>
    <n v="826"/>
    <m/>
    <m/>
    <x v="3"/>
    <m/>
    <m/>
    <m/>
    <m/>
    <m/>
    <x v="3"/>
    <m/>
    <m/>
    <x v="4"/>
    <m/>
    <x v="4"/>
    <x v="1"/>
    <d v="1899-12-30T00:00:00"/>
    <d v="1899-12-30T00:00:00"/>
    <d v="1899-12-30T00:00:00"/>
    <d v="1899-12-30T00:00:00"/>
  </r>
  <r>
    <n v="827"/>
    <m/>
    <m/>
    <x v="3"/>
    <m/>
    <m/>
    <m/>
    <m/>
    <m/>
    <x v="3"/>
    <m/>
    <m/>
    <x v="4"/>
    <m/>
    <x v="4"/>
    <x v="1"/>
    <d v="1899-12-30T00:00:00"/>
    <d v="1899-12-30T00:00:00"/>
    <d v="1899-12-30T00:00:00"/>
    <d v="1899-12-30T00:00:00"/>
  </r>
  <r>
    <n v="828"/>
    <m/>
    <m/>
    <x v="3"/>
    <m/>
    <m/>
    <m/>
    <m/>
    <m/>
    <x v="3"/>
    <m/>
    <m/>
    <x v="4"/>
    <m/>
    <x v="4"/>
    <x v="1"/>
    <d v="1899-12-30T00:00:00"/>
    <d v="1899-12-30T00:00:00"/>
    <d v="1899-12-30T00:00:00"/>
    <d v="1899-12-30T00:00:00"/>
  </r>
  <r>
    <n v="829"/>
    <m/>
    <m/>
    <x v="3"/>
    <m/>
    <m/>
    <m/>
    <m/>
    <m/>
    <x v="3"/>
    <m/>
    <m/>
    <x v="4"/>
    <m/>
    <x v="4"/>
    <x v="1"/>
    <d v="1899-12-30T00:00:00"/>
    <d v="1899-12-30T00:00:00"/>
    <d v="1899-12-30T00:00:00"/>
    <d v="1899-12-30T00:00:00"/>
  </r>
  <r>
    <n v="830"/>
    <m/>
    <m/>
    <x v="3"/>
    <m/>
    <m/>
    <m/>
    <m/>
    <m/>
    <x v="3"/>
    <m/>
    <m/>
    <x v="4"/>
    <m/>
    <x v="4"/>
    <x v="1"/>
    <d v="1899-12-30T00:00:00"/>
    <d v="1899-12-30T00:00:00"/>
    <d v="1899-12-30T00:00:00"/>
    <d v="1899-12-30T00:00:00"/>
  </r>
  <r>
    <n v="831"/>
    <m/>
    <m/>
    <x v="3"/>
    <m/>
    <m/>
    <m/>
    <m/>
    <m/>
    <x v="3"/>
    <m/>
    <m/>
    <x v="4"/>
    <m/>
    <x v="4"/>
    <x v="1"/>
    <d v="1899-12-30T00:00:00"/>
    <d v="1899-12-30T00:00:00"/>
    <d v="1899-12-30T00:00:00"/>
    <d v="1899-12-30T00:00:00"/>
  </r>
  <r>
    <n v="832"/>
    <m/>
    <m/>
    <x v="3"/>
    <m/>
    <m/>
    <m/>
    <m/>
    <m/>
    <x v="3"/>
    <m/>
    <m/>
    <x v="4"/>
    <m/>
    <x v="4"/>
    <x v="1"/>
    <d v="1899-12-30T00:00:00"/>
    <d v="1899-12-30T00:00:00"/>
    <d v="1899-12-30T00:00:00"/>
    <d v="1899-12-30T00:00:00"/>
  </r>
  <r>
    <n v="833"/>
    <m/>
    <m/>
    <x v="3"/>
    <m/>
    <m/>
    <m/>
    <m/>
    <m/>
    <x v="3"/>
    <m/>
    <m/>
    <x v="4"/>
    <m/>
    <x v="4"/>
    <x v="1"/>
    <d v="1899-12-30T00:00:00"/>
    <d v="1899-12-30T00:00:00"/>
    <d v="1899-12-30T00:00:00"/>
    <d v="1899-12-30T00:00:00"/>
  </r>
  <r>
    <n v="834"/>
    <m/>
    <m/>
    <x v="3"/>
    <m/>
    <m/>
    <m/>
    <m/>
    <m/>
    <x v="3"/>
    <m/>
    <m/>
    <x v="4"/>
    <m/>
    <x v="4"/>
    <x v="1"/>
    <d v="1899-12-30T00:00:00"/>
    <d v="1899-12-30T00:00:00"/>
    <d v="1899-12-30T00:00:00"/>
    <d v="1899-12-30T00:00:00"/>
  </r>
  <r>
    <n v="835"/>
    <m/>
    <m/>
    <x v="3"/>
    <m/>
    <m/>
    <m/>
    <m/>
    <m/>
    <x v="3"/>
    <m/>
    <m/>
    <x v="4"/>
    <m/>
    <x v="4"/>
    <x v="1"/>
    <d v="1899-12-30T00:00:00"/>
    <d v="1899-12-30T00:00:00"/>
    <d v="1899-12-30T00:00:00"/>
    <d v="1899-12-30T00:00:00"/>
  </r>
  <r>
    <n v="836"/>
    <m/>
    <m/>
    <x v="3"/>
    <m/>
    <m/>
    <m/>
    <m/>
    <m/>
    <x v="3"/>
    <m/>
    <m/>
    <x v="4"/>
    <m/>
    <x v="4"/>
    <x v="1"/>
    <d v="1899-12-30T00:00:00"/>
    <d v="1899-12-30T00:00:00"/>
    <d v="1899-12-30T00:00:00"/>
    <d v="1899-12-30T00:00:00"/>
  </r>
  <r>
    <n v="837"/>
    <m/>
    <m/>
    <x v="3"/>
    <m/>
    <m/>
    <m/>
    <m/>
    <m/>
    <x v="3"/>
    <m/>
    <m/>
    <x v="4"/>
    <m/>
    <x v="4"/>
    <x v="1"/>
    <d v="1899-12-30T00:00:00"/>
    <d v="1899-12-30T00:00:00"/>
    <d v="1899-12-30T00:00:00"/>
    <d v="1899-12-30T00:00:00"/>
  </r>
  <r>
    <n v="838"/>
    <m/>
    <m/>
    <x v="3"/>
    <m/>
    <m/>
    <m/>
    <m/>
    <m/>
    <x v="3"/>
    <m/>
    <m/>
    <x v="4"/>
    <m/>
    <x v="4"/>
    <x v="1"/>
    <d v="1899-12-30T00:00:00"/>
    <d v="1899-12-30T00:00:00"/>
    <d v="1899-12-30T00:00:00"/>
    <d v="1899-12-30T00:00:00"/>
  </r>
  <r>
    <n v="839"/>
    <m/>
    <m/>
    <x v="3"/>
    <m/>
    <m/>
    <m/>
    <m/>
    <m/>
    <x v="3"/>
    <m/>
    <m/>
    <x v="4"/>
    <m/>
    <x v="4"/>
    <x v="1"/>
    <d v="1899-12-30T00:00:00"/>
    <d v="1899-12-30T00:00:00"/>
    <d v="1899-12-30T00:00:00"/>
    <d v="1899-12-30T00:00:00"/>
  </r>
  <r>
    <n v="840"/>
    <m/>
    <m/>
    <x v="3"/>
    <m/>
    <m/>
    <m/>
    <m/>
    <m/>
    <x v="3"/>
    <m/>
    <m/>
    <x v="4"/>
    <m/>
    <x v="4"/>
    <x v="1"/>
    <d v="1899-12-30T00:00:00"/>
    <d v="1899-12-30T00:00:00"/>
    <d v="1899-12-30T00:00:00"/>
    <d v="1899-12-30T00:00:00"/>
  </r>
  <r>
    <n v="841"/>
    <m/>
    <m/>
    <x v="3"/>
    <m/>
    <m/>
    <m/>
    <m/>
    <m/>
    <x v="3"/>
    <m/>
    <m/>
    <x v="4"/>
    <m/>
    <x v="4"/>
    <x v="1"/>
    <d v="1899-12-30T00:00:00"/>
    <d v="1899-12-30T00:00:00"/>
    <d v="1899-12-30T00:00:00"/>
    <d v="1899-12-30T00:00:00"/>
  </r>
  <r>
    <n v="842"/>
    <m/>
    <m/>
    <x v="3"/>
    <m/>
    <m/>
    <m/>
    <m/>
    <m/>
    <x v="3"/>
    <m/>
    <m/>
    <x v="4"/>
    <m/>
    <x v="4"/>
    <x v="1"/>
    <d v="1899-12-30T00:00:00"/>
    <d v="1899-12-30T00:00:00"/>
    <d v="1899-12-30T00:00:00"/>
    <d v="1899-12-30T00:00:00"/>
  </r>
  <r>
    <n v="843"/>
    <m/>
    <m/>
    <x v="3"/>
    <m/>
    <m/>
    <m/>
    <m/>
    <m/>
    <x v="3"/>
    <m/>
    <m/>
    <x v="4"/>
    <m/>
    <x v="4"/>
    <x v="1"/>
    <d v="1899-12-30T00:00:00"/>
    <d v="1899-12-30T00:00:00"/>
    <d v="1899-12-30T00:00:00"/>
    <d v="1899-12-30T00:00:00"/>
  </r>
  <r>
    <n v="844"/>
    <m/>
    <m/>
    <x v="3"/>
    <m/>
    <m/>
    <m/>
    <m/>
    <m/>
    <x v="3"/>
    <m/>
    <m/>
    <x v="4"/>
    <m/>
    <x v="4"/>
    <x v="1"/>
    <d v="1899-12-30T00:00:00"/>
    <d v="1899-12-30T00:00:00"/>
    <d v="1899-12-30T00:00:00"/>
    <d v="1899-12-30T00:00:00"/>
  </r>
  <r>
    <n v="845"/>
    <m/>
    <m/>
    <x v="3"/>
    <m/>
    <m/>
    <m/>
    <m/>
    <m/>
    <x v="3"/>
    <m/>
    <m/>
    <x v="4"/>
    <m/>
    <x v="4"/>
    <x v="1"/>
    <d v="1899-12-30T00:00:00"/>
    <d v="1899-12-30T00:00:00"/>
    <d v="1899-12-30T00:00:00"/>
    <d v="1899-12-30T00:00:00"/>
  </r>
  <r>
    <n v="846"/>
    <m/>
    <m/>
    <x v="3"/>
    <m/>
    <m/>
    <m/>
    <m/>
    <m/>
    <x v="3"/>
    <m/>
    <m/>
    <x v="4"/>
    <m/>
    <x v="4"/>
    <x v="1"/>
    <d v="1899-12-30T00:00:00"/>
    <d v="1899-12-30T00:00:00"/>
    <d v="1899-12-30T00:00:00"/>
    <d v="1899-12-30T00:00:00"/>
  </r>
  <r>
    <n v="847"/>
    <m/>
    <m/>
    <x v="3"/>
    <m/>
    <m/>
    <m/>
    <m/>
    <m/>
    <x v="3"/>
    <m/>
    <m/>
    <x v="4"/>
    <m/>
    <x v="4"/>
    <x v="1"/>
    <d v="1899-12-30T00:00:00"/>
    <d v="1899-12-30T00:00:00"/>
    <d v="1899-12-30T00:00:00"/>
    <d v="1899-12-30T00:00:00"/>
  </r>
  <r>
    <n v="848"/>
    <m/>
    <m/>
    <x v="3"/>
    <m/>
    <m/>
    <m/>
    <m/>
    <m/>
    <x v="3"/>
    <m/>
    <m/>
    <x v="4"/>
    <m/>
    <x v="4"/>
    <x v="1"/>
    <d v="1899-12-30T00:00:00"/>
    <d v="1899-12-30T00:00:00"/>
    <d v="1899-12-30T00:00:00"/>
    <d v="1899-12-30T00:00:00"/>
  </r>
  <r>
    <n v="849"/>
    <m/>
    <m/>
    <x v="3"/>
    <m/>
    <m/>
    <m/>
    <m/>
    <m/>
    <x v="3"/>
    <m/>
    <m/>
    <x v="4"/>
    <m/>
    <x v="4"/>
    <x v="1"/>
    <d v="1899-12-30T00:00:00"/>
    <d v="1899-12-30T00:00:00"/>
    <d v="1899-12-30T00:00:00"/>
    <d v="1899-12-30T00:00:00"/>
  </r>
  <r>
    <n v="850"/>
    <m/>
    <m/>
    <x v="3"/>
    <m/>
    <m/>
    <m/>
    <m/>
    <m/>
    <x v="3"/>
    <m/>
    <m/>
    <x v="4"/>
    <m/>
    <x v="4"/>
    <x v="1"/>
    <d v="1899-12-30T00:00:00"/>
    <d v="1899-12-30T00:00:00"/>
    <d v="1899-12-30T00:00:00"/>
    <d v="1899-12-30T00:00:00"/>
  </r>
  <r>
    <n v="851"/>
    <m/>
    <m/>
    <x v="3"/>
    <m/>
    <m/>
    <m/>
    <m/>
    <m/>
    <x v="3"/>
    <m/>
    <m/>
    <x v="4"/>
    <m/>
    <x v="4"/>
    <x v="1"/>
    <d v="1899-12-30T00:00:00"/>
    <d v="1899-12-30T00:00:00"/>
    <d v="1899-12-30T00:00:00"/>
    <d v="1899-12-30T00:00:00"/>
  </r>
  <r>
    <n v="852"/>
    <m/>
    <m/>
    <x v="3"/>
    <m/>
    <m/>
    <m/>
    <m/>
    <m/>
    <x v="3"/>
    <m/>
    <m/>
    <x v="4"/>
    <m/>
    <x v="4"/>
    <x v="1"/>
    <d v="1899-12-30T00:00:00"/>
    <d v="1899-12-30T00:00:00"/>
    <d v="1899-12-30T00:00:00"/>
    <d v="1899-12-30T00:00:00"/>
  </r>
  <r>
    <n v="853"/>
    <m/>
    <m/>
    <x v="3"/>
    <m/>
    <m/>
    <m/>
    <m/>
    <m/>
    <x v="3"/>
    <m/>
    <m/>
    <x v="4"/>
    <m/>
    <x v="4"/>
    <x v="1"/>
    <d v="1899-12-30T00:00:00"/>
    <d v="1899-12-30T00:00:00"/>
    <d v="1899-12-30T00:00:00"/>
    <d v="1899-12-30T00:00:00"/>
  </r>
  <r>
    <n v="854"/>
    <m/>
    <m/>
    <x v="3"/>
    <m/>
    <m/>
    <m/>
    <m/>
    <m/>
    <x v="3"/>
    <m/>
    <m/>
    <x v="4"/>
    <m/>
    <x v="4"/>
    <x v="1"/>
    <d v="1899-12-30T00:00:00"/>
    <d v="1899-12-30T00:00:00"/>
    <d v="1899-12-30T00:00:00"/>
    <d v="1899-12-30T00:00:00"/>
  </r>
  <r>
    <n v="855"/>
    <m/>
    <m/>
    <x v="3"/>
    <m/>
    <m/>
    <m/>
    <m/>
    <m/>
    <x v="3"/>
    <m/>
    <m/>
    <x v="4"/>
    <m/>
    <x v="4"/>
    <x v="1"/>
    <d v="1899-12-30T00:00:00"/>
    <d v="1899-12-30T00:00:00"/>
    <d v="1899-12-30T00:00:00"/>
    <d v="1899-12-30T00:00:00"/>
  </r>
  <r>
    <n v="856"/>
    <m/>
    <m/>
    <x v="3"/>
    <m/>
    <m/>
    <m/>
    <m/>
    <m/>
    <x v="3"/>
    <m/>
    <m/>
    <x v="4"/>
    <m/>
    <x v="4"/>
    <x v="1"/>
    <d v="1899-12-30T00:00:00"/>
    <d v="1899-12-30T00:00:00"/>
    <d v="1899-12-30T00:00:00"/>
    <d v="1899-12-30T00:00:00"/>
  </r>
  <r>
    <n v="857"/>
    <m/>
    <m/>
    <x v="3"/>
    <m/>
    <m/>
    <m/>
    <m/>
    <m/>
    <x v="3"/>
    <m/>
    <m/>
    <x v="4"/>
    <m/>
    <x v="4"/>
    <x v="1"/>
    <d v="1899-12-30T00:00:00"/>
    <d v="1899-12-30T00:00:00"/>
    <d v="1899-12-30T00:00:00"/>
    <d v="1899-12-30T00:00:00"/>
  </r>
  <r>
    <n v="858"/>
    <m/>
    <m/>
    <x v="3"/>
    <m/>
    <m/>
    <m/>
    <m/>
    <m/>
    <x v="3"/>
    <m/>
    <m/>
    <x v="4"/>
    <m/>
    <x v="4"/>
    <x v="1"/>
    <d v="1899-12-30T00:00:00"/>
    <d v="1899-12-30T00:00:00"/>
    <d v="1899-12-30T00:00:00"/>
    <d v="1899-12-30T00:00:00"/>
  </r>
  <r>
    <n v="859"/>
    <m/>
    <m/>
    <x v="3"/>
    <m/>
    <m/>
    <m/>
    <m/>
    <m/>
    <x v="3"/>
    <m/>
    <m/>
    <x v="4"/>
    <m/>
    <x v="4"/>
    <x v="1"/>
    <d v="1899-12-30T00:00:00"/>
    <d v="1899-12-30T00:00:00"/>
    <d v="1899-12-30T00:00:00"/>
    <d v="1899-12-30T00:00:00"/>
  </r>
  <r>
    <n v="860"/>
    <m/>
    <m/>
    <x v="3"/>
    <m/>
    <m/>
    <m/>
    <m/>
    <m/>
    <x v="3"/>
    <m/>
    <m/>
    <x v="4"/>
    <m/>
    <x v="4"/>
    <x v="1"/>
    <d v="1899-12-30T00:00:00"/>
    <d v="1899-12-30T00:00:00"/>
    <d v="1899-12-30T00:00:00"/>
    <d v="1899-12-30T00:00:00"/>
  </r>
  <r>
    <n v="861"/>
    <m/>
    <m/>
    <x v="3"/>
    <m/>
    <m/>
    <m/>
    <m/>
    <m/>
    <x v="3"/>
    <m/>
    <m/>
    <x v="4"/>
    <m/>
    <x v="4"/>
    <x v="1"/>
    <d v="1899-12-30T00:00:00"/>
    <d v="1899-12-30T00:00:00"/>
    <d v="1899-12-30T00:00:00"/>
    <d v="1899-12-30T00:00:00"/>
  </r>
  <r>
    <n v="862"/>
    <m/>
    <m/>
    <x v="3"/>
    <m/>
    <m/>
    <m/>
    <m/>
    <m/>
    <x v="3"/>
    <m/>
    <m/>
    <x v="4"/>
    <m/>
    <x v="4"/>
    <x v="1"/>
    <d v="1899-12-30T00:00:00"/>
    <d v="1899-12-30T00:00:00"/>
    <d v="1899-12-30T00:00:00"/>
    <d v="1899-12-30T00:00:00"/>
  </r>
  <r>
    <n v="863"/>
    <m/>
    <m/>
    <x v="3"/>
    <m/>
    <m/>
    <m/>
    <m/>
    <m/>
    <x v="3"/>
    <m/>
    <m/>
    <x v="4"/>
    <m/>
    <x v="4"/>
    <x v="1"/>
    <d v="1899-12-30T00:00:00"/>
    <d v="1899-12-30T00:00:00"/>
    <d v="1899-12-30T00:00:00"/>
    <d v="1899-12-30T00:00:00"/>
  </r>
  <r>
    <n v="864"/>
    <m/>
    <m/>
    <x v="3"/>
    <m/>
    <m/>
    <m/>
    <m/>
    <m/>
    <x v="3"/>
    <m/>
    <m/>
    <x v="4"/>
    <m/>
    <x v="4"/>
    <x v="1"/>
    <d v="1899-12-30T00:00:00"/>
    <d v="1899-12-30T00:00:00"/>
    <d v="1899-12-30T00:00:00"/>
    <d v="1899-12-30T00:00:00"/>
  </r>
  <r>
    <n v="865"/>
    <m/>
    <m/>
    <x v="3"/>
    <m/>
    <m/>
    <m/>
    <m/>
    <m/>
    <x v="3"/>
    <m/>
    <m/>
    <x v="4"/>
    <m/>
    <x v="4"/>
    <x v="1"/>
    <d v="1899-12-30T00:00:00"/>
    <d v="1899-12-30T00:00:00"/>
    <d v="1899-12-30T00:00:00"/>
    <d v="1899-12-30T00:00:00"/>
  </r>
  <r>
    <n v="866"/>
    <m/>
    <m/>
    <x v="3"/>
    <m/>
    <m/>
    <m/>
    <m/>
    <m/>
    <x v="3"/>
    <m/>
    <m/>
    <x v="4"/>
    <m/>
    <x v="4"/>
    <x v="1"/>
    <d v="1899-12-30T00:00:00"/>
    <d v="1899-12-30T00:00:00"/>
    <d v="1899-12-30T00:00:00"/>
    <d v="1899-12-30T00:00:00"/>
  </r>
  <r>
    <n v="867"/>
    <m/>
    <m/>
    <x v="3"/>
    <m/>
    <m/>
    <m/>
    <m/>
    <m/>
    <x v="3"/>
    <m/>
    <m/>
    <x v="4"/>
    <m/>
    <x v="4"/>
    <x v="1"/>
    <d v="1899-12-30T00:00:00"/>
    <d v="1899-12-30T00:00:00"/>
    <d v="1899-12-30T00:00:00"/>
    <d v="1899-12-30T00:00:00"/>
  </r>
  <r>
    <n v="868"/>
    <m/>
    <m/>
    <x v="3"/>
    <m/>
    <m/>
    <m/>
    <m/>
    <m/>
    <x v="3"/>
    <m/>
    <m/>
    <x v="4"/>
    <m/>
    <x v="4"/>
    <x v="1"/>
    <d v="1899-12-30T00:00:00"/>
    <d v="1899-12-30T00:00:00"/>
    <d v="1899-12-30T00:00:00"/>
    <d v="1899-12-30T00:00:00"/>
  </r>
  <r>
    <n v="869"/>
    <m/>
    <m/>
    <x v="3"/>
    <m/>
    <m/>
    <m/>
    <m/>
    <m/>
    <x v="3"/>
    <m/>
    <m/>
    <x v="4"/>
    <m/>
    <x v="4"/>
    <x v="1"/>
    <d v="1899-12-30T00:00:00"/>
    <d v="1899-12-30T00:00:00"/>
    <d v="1899-12-30T00:00:00"/>
    <d v="1899-12-30T00:00:00"/>
  </r>
  <r>
    <n v="870"/>
    <m/>
    <m/>
    <x v="3"/>
    <m/>
    <m/>
    <m/>
    <m/>
    <m/>
    <x v="3"/>
    <m/>
    <m/>
    <x v="4"/>
    <m/>
    <x v="4"/>
    <x v="1"/>
    <d v="1899-12-30T00:00:00"/>
    <d v="1899-12-30T00:00:00"/>
    <d v="1899-12-30T00:00:00"/>
    <d v="1899-12-30T00:00:00"/>
  </r>
  <r>
    <n v="871"/>
    <m/>
    <m/>
    <x v="3"/>
    <m/>
    <m/>
    <m/>
    <m/>
    <m/>
    <x v="3"/>
    <m/>
    <m/>
    <x v="4"/>
    <m/>
    <x v="4"/>
    <x v="1"/>
    <d v="1899-12-30T00:00:00"/>
    <d v="1899-12-30T00:00:00"/>
    <d v="1899-12-30T00:00:00"/>
    <d v="1899-12-30T00:00:00"/>
  </r>
  <r>
    <n v="872"/>
    <m/>
    <m/>
    <x v="3"/>
    <m/>
    <m/>
    <m/>
    <m/>
    <m/>
    <x v="3"/>
    <m/>
    <m/>
    <x v="4"/>
    <m/>
    <x v="4"/>
    <x v="1"/>
    <d v="1899-12-30T00:00:00"/>
    <d v="1899-12-30T00:00:00"/>
    <d v="1899-12-30T00:00:00"/>
    <d v="1899-12-30T00:00:00"/>
  </r>
  <r>
    <n v="873"/>
    <m/>
    <m/>
    <x v="3"/>
    <m/>
    <m/>
    <m/>
    <m/>
    <m/>
    <x v="3"/>
    <m/>
    <m/>
    <x v="4"/>
    <m/>
    <x v="4"/>
    <x v="1"/>
    <d v="1899-12-30T00:00:00"/>
    <d v="1899-12-30T00:00:00"/>
    <d v="1899-12-30T00:00:00"/>
    <d v="1899-12-30T00:00:00"/>
  </r>
  <r>
    <n v="874"/>
    <m/>
    <m/>
    <x v="3"/>
    <m/>
    <m/>
    <m/>
    <m/>
    <m/>
    <x v="3"/>
    <m/>
    <m/>
    <x v="4"/>
    <m/>
    <x v="4"/>
    <x v="1"/>
    <d v="1899-12-30T00:00:00"/>
    <d v="1899-12-30T00:00:00"/>
    <d v="1899-12-30T00:00:00"/>
    <d v="1899-12-30T00:00:00"/>
  </r>
  <r>
    <n v="875"/>
    <m/>
    <m/>
    <x v="3"/>
    <m/>
    <m/>
    <m/>
    <m/>
    <m/>
    <x v="3"/>
    <m/>
    <m/>
    <x v="4"/>
    <m/>
    <x v="4"/>
    <x v="1"/>
    <d v="1899-12-30T00:00:00"/>
    <d v="1899-12-30T00:00:00"/>
    <d v="1899-12-30T00:00:00"/>
    <d v="1899-12-30T00:00:00"/>
  </r>
  <r>
    <n v="876"/>
    <m/>
    <m/>
    <x v="3"/>
    <m/>
    <m/>
    <m/>
    <m/>
    <m/>
    <x v="3"/>
    <m/>
    <m/>
    <x v="4"/>
    <m/>
    <x v="4"/>
    <x v="1"/>
    <d v="1899-12-30T00:00:00"/>
    <d v="1899-12-30T00:00:00"/>
    <d v="1899-12-30T00:00:00"/>
    <d v="1899-12-30T00:00:00"/>
  </r>
  <r>
    <n v="877"/>
    <m/>
    <m/>
    <x v="3"/>
    <m/>
    <m/>
    <m/>
    <m/>
    <m/>
    <x v="3"/>
    <m/>
    <m/>
    <x v="4"/>
    <m/>
    <x v="4"/>
    <x v="1"/>
    <d v="1899-12-30T00:00:00"/>
    <d v="1899-12-30T00:00:00"/>
    <d v="1899-12-30T00:00:00"/>
    <d v="1899-12-30T00:00:00"/>
  </r>
  <r>
    <n v="878"/>
    <m/>
    <m/>
    <x v="3"/>
    <m/>
    <m/>
    <m/>
    <m/>
    <m/>
    <x v="3"/>
    <m/>
    <m/>
    <x v="4"/>
    <m/>
    <x v="4"/>
    <x v="1"/>
    <d v="1899-12-30T00:00:00"/>
    <d v="1899-12-30T00:00:00"/>
    <d v="1899-12-30T00:00:00"/>
    <d v="1899-12-30T00:00:00"/>
  </r>
  <r>
    <n v="879"/>
    <m/>
    <m/>
    <x v="3"/>
    <m/>
    <m/>
    <m/>
    <m/>
    <m/>
    <x v="3"/>
    <m/>
    <m/>
    <x v="4"/>
    <m/>
    <x v="4"/>
    <x v="1"/>
    <d v="1899-12-30T00:00:00"/>
    <d v="1899-12-30T00:00:00"/>
    <d v="1899-12-30T00:00:00"/>
    <d v="1899-12-30T00:00:00"/>
  </r>
  <r>
    <n v="880"/>
    <m/>
    <m/>
    <x v="3"/>
    <m/>
    <m/>
    <m/>
    <m/>
    <m/>
    <x v="3"/>
    <m/>
    <m/>
    <x v="4"/>
    <m/>
    <x v="4"/>
    <x v="1"/>
    <d v="1899-12-30T00:00:00"/>
    <d v="1899-12-30T00:00:00"/>
    <d v="1899-12-30T00:00:00"/>
    <d v="1899-12-30T00:00:00"/>
  </r>
  <r>
    <n v="881"/>
    <m/>
    <m/>
    <x v="3"/>
    <m/>
    <m/>
    <m/>
    <m/>
    <m/>
    <x v="3"/>
    <m/>
    <m/>
    <x v="4"/>
    <m/>
    <x v="4"/>
    <x v="1"/>
    <d v="1899-12-30T00:00:00"/>
    <d v="1899-12-30T00:00:00"/>
    <d v="1899-12-30T00:00:00"/>
    <d v="1899-12-30T00:00:00"/>
  </r>
  <r>
    <n v="882"/>
    <m/>
    <m/>
    <x v="3"/>
    <m/>
    <m/>
    <m/>
    <m/>
    <m/>
    <x v="3"/>
    <m/>
    <m/>
    <x v="4"/>
    <m/>
    <x v="4"/>
    <x v="1"/>
    <d v="1899-12-30T00:00:00"/>
    <d v="1899-12-30T00:00:00"/>
    <d v="1899-12-30T00:00:00"/>
    <d v="1899-12-30T00:00:00"/>
  </r>
  <r>
    <n v="883"/>
    <m/>
    <m/>
    <x v="3"/>
    <m/>
    <m/>
    <m/>
    <m/>
    <m/>
    <x v="3"/>
    <m/>
    <m/>
    <x v="4"/>
    <m/>
    <x v="4"/>
    <x v="1"/>
    <d v="1899-12-30T00:00:00"/>
    <d v="1899-12-30T00:00:00"/>
    <d v="1899-12-30T00:00:00"/>
    <d v="1899-12-30T00:00:00"/>
  </r>
  <r>
    <n v="884"/>
    <m/>
    <m/>
    <x v="3"/>
    <m/>
    <m/>
    <m/>
    <m/>
    <m/>
    <x v="3"/>
    <m/>
    <m/>
    <x v="4"/>
    <m/>
    <x v="4"/>
    <x v="1"/>
    <d v="1899-12-30T00:00:00"/>
    <d v="1899-12-30T00:00:00"/>
    <d v="1899-12-30T00:00:00"/>
    <d v="1899-12-30T00:00:00"/>
  </r>
  <r>
    <n v="885"/>
    <m/>
    <m/>
    <x v="3"/>
    <m/>
    <m/>
    <m/>
    <m/>
    <m/>
    <x v="3"/>
    <m/>
    <m/>
    <x v="4"/>
    <m/>
    <x v="4"/>
    <x v="1"/>
    <d v="1899-12-30T00:00:00"/>
    <d v="1899-12-30T00:00:00"/>
    <d v="1899-12-30T00:00:00"/>
    <d v="1899-12-30T00:00:00"/>
  </r>
  <r>
    <n v="886"/>
    <m/>
    <m/>
    <x v="3"/>
    <m/>
    <m/>
    <m/>
    <m/>
    <m/>
    <x v="3"/>
    <m/>
    <m/>
    <x v="4"/>
    <m/>
    <x v="4"/>
    <x v="1"/>
    <d v="1899-12-30T00:00:00"/>
    <d v="1899-12-30T00:00:00"/>
    <d v="1899-12-30T00:00:00"/>
    <d v="1899-12-30T00:00:00"/>
  </r>
  <r>
    <n v="887"/>
    <m/>
    <m/>
    <x v="3"/>
    <m/>
    <m/>
    <m/>
    <m/>
    <m/>
    <x v="3"/>
    <m/>
    <m/>
    <x v="4"/>
    <m/>
    <x v="4"/>
    <x v="1"/>
    <d v="1899-12-30T00:00:00"/>
    <d v="1899-12-30T00:00:00"/>
    <d v="1899-12-30T00:00:00"/>
    <d v="1899-12-30T00:00:00"/>
  </r>
  <r>
    <n v="888"/>
    <m/>
    <m/>
    <x v="3"/>
    <m/>
    <m/>
    <m/>
    <m/>
    <m/>
    <x v="3"/>
    <m/>
    <m/>
    <x v="4"/>
    <m/>
    <x v="4"/>
    <x v="1"/>
    <d v="1899-12-30T00:00:00"/>
    <d v="1899-12-30T00:00:00"/>
    <d v="1899-12-30T00:00:00"/>
    <d v="1899-12-30T00:00:00"/>
  </r>
  <r>
    <n v="889"/>
    <m/>
    <m/>
    <x v="3"/>
    <m/>
    <m/>
    <m/>
    <m/>
    <m/>
    <x v="3"/>
    <m/>
    <m/>
    <x v="4"/>
    <m/>
    <x v="4"/>
    <x v="1"/>
    <d v="1899-12-30T00:00:00"/>
    <d v="1899-12-30T00:00:00"/>
    <d v="1899-12-30T00:00:00"/>
    <d v="1899-12-30T00:00:00"/>
  </r>
  <r>
    <n v="890"/>
    <m/>
    <m/>
    <x v="3"/>
    <m/>
    <m/>
    <m/>
    <m/>
    <m/>
    <x v="3"/>
    <m/>
    <m/>
    <x v="4"/>
    <m/>
    <x v="4"/>
    <x v="1"/>
    <d v="1899-12-30T00:00:00"/>
    <d v="1899-12-30T00:00:00"/>
    <d v="1899-12-30T00:00:00"/>
    <d v="1899-12-30T00:00:00"/>
  </r>
  <r>
    <n v="891"/>
    <m/>
    <m/>
    <x v="3"/>
    <m/>
    <m/>
    <m/>
    <m/>
    <m/>
    <x v="3"/>
    <m/>
    <m/>
    <x v="4"/>
    <m/>
    <x v="4"/>
    <x v="1"/>
    <d v="1899-12-30T00:00:00"/>
    <d v="1899-12-30T00:00:00"/>
    <d v="1899-12-30T00:00:00"/>
    <d v="1899-12-30T00:00:00"/>
  </r>
  <r>
    <n v="892"/>
    <m/>
    <m/>
    <x v="3"/>
    <m/>
    <m/>
    <m/>
    <m/>
    <m/>
    <x v="3"/>
    <m/>
    <m/>
    <x v="4"/>
    <m/>
    <x v="4"/>
    <x v="1"/>
    <d v="1899-12-30T00:00:00"/>
    <d v="1899-12-30T00:00:00"/>
    <d v="1899-12-30T00:00:00"/>
    <d v="1899-12-30T00:00:00"/>
  </r>
  <r>
    <n v="893"/>
    <m/>
    <m/>
    <x v="3"/>
    <m/>
    <m/>
    <m/>
    <m/>
    <m/>
    <x v="3"/>
    <m/>
    <m/>
    <x v="4"/>
    <m/>
    <x v="4"/>
    <x v="1"/>
    <d v="1899-12-30T00:00:00"/>
    <d v="1899-12-30T00:00:00"/>
    <d v="1899-12-30T00:00:00"/>
    <d v="1899-12-30T00:00:00"/>
  </r>
  <r>
    <n v="894"/>
    <m/>
    <m/>
    <x v="3"/>
    <m/>
    <m/>
    <m/>
    <m/>
    <m/>
    <x v="3"/>
    <m/>
    <m/>
    <x v="4"/>
    <m/>
    <x v="4"/>
    <x v="1"/>
    <d v="1899-12-30T00:00:00"/>
    <d v="1899-12-30T00:00:00"/>
    <d v="1899-12-30T00:00:00"/>
    <d v="1899-12-30T00:00:00"/>
  </r>
  <r>
    <n v="895"/>
    <m/>
    <m/>
    <x v="3"/>
    <m/>
    <m/>
    <m/>
    <m/>
    <m/>
    <x v="3"/>
    <m/>
    <m/>
    <x v="4"/>
    <m/>
    <x v="4"/>
    <x v="1"/>
    <d v="1899-12-30T00:00:00"/>
    <d v="1899-12-30T00:00:00"/>
    <d v="1899-12-30T00:00:00"/>
    <d v="1899-12-30T00:00:00"/>
  </r>
  <r>
    <n v="896"/>
    <m/>
    <m/>
    <x v="3"/>
    <m/>
    <m/>
    <m/>
    <m/>
    <m/>
    <x v="3"/>
    <m/>
    <m/>
    <x v="4"/>
    <m/>
    <x v="4"/>
    <x v="1"/>
    <d v="1899-12-30T00:00:00"/>
    <d v="1899-12-30T00:00:00"/>
    <d v="1899-12-30T00:00:00"/>
    <d v="1899-12-30T00:00:00"/>
  </r>
  <r>
    <n v="897"/>
    <m/>
    <m/>
    <x v="3"/>
    <m/>
    <m/>
    <m/>
    <m/>
    <m/>
    <x v="3"/>
    <m/>
    <m/>
    <x v="4"/>
    <m/>
    <x v="4"/>
    <x v="1"/>
    <d v="1899-12-30T00:00:00"/>
    <d v="1899-12-30T00:00:00"/>
    <d v="1899-12-30T00:00:00"/>
    <d v="1899-12-30T00:00:00"/>
  </r>
  <r>
    <n v="898"/>
    <m/>
    <m/>
    <x v="3"/>
    <m/>
    <m/>
    <m/>
    <m/>
    <m/>
    <x v="3"/>
    <m/>
    <m/>
    <x v="4"/>
    <m/>
    <x v="4"/>
    <x v="1"/>
    <d v="1899-12-30T00:00:00"/>
    <d v="1899-12-30T00:00:00"/>
    <d v="1899-12-30T00:00:00"/>
    <d v="1899-12-30T00:00:00"/>
  </r>
  <r>
    <n v="899"/>
    <m/>
    <m/>
    <x v="3"/>
    <m/>
    <m/>
    <m/>
    <m/>
    <m/>
    <x v="3"/>
    <m/>
    <m/>
    <x v="4"/>
    <m/>
    <x v="4"/>
    <x v="1"/>
    <d v="1899-12-30T00:00:00"/>
    <d v="1899-12-30T00:00:00"/>
    <d v="1899-12-30T00:00:00"/>
    <d v="1899-12-30T00:00:00"/>
  </r>
  <r>
    <n v="900"/>
    <m/>
    <m/>
    <x v="3"/>
    <m/>
    <m/>
    <m/>
    <m/>
    <m/>
    <x v="3"/>
    <m/>
    <m/>
    <x v="4"/>
    <m/>
    <x v="4"/>
    <x v="0"/>
    <d v="1899-12-30T00:00:00"/>
    <d v="1899-12-30T00:00:00"/>
    <d v="1899-12-30T00:00:00"/>
    <d v="1899-12-30T00:00:00"/>
  </r>
  <r>
    <n v="901"/>
    <s v="M. MARTINEZ"/>
    <d v="1899-12-30T14:45:00"/>
    <x v="121"/>
    <s v="SELLADORA"/>
    <s v="Puntual"/>
    <s v="SE solicita tornillos para cambio de rodillo de la prensa. Correa de la prensa. Se solicita termocuplas porque estan dañadas"/>
    <d v="1899-12-30T14:45:00"/>
    <d v="1899-12-30T17:50:00"/>
    <x v="110"/>
    <s v="Mecánica, Eléctrica"/>
    <s v="Se solicitan tornillos para cambio, se hace cambio de correa en rodillo prensa, se solicitan termocuplas para cambio"/>
    <x v="132"/>
    <s v="NA"/>
    <x v="1"/>
    <x v="0"/>
    <d v="1899-12-30T03:05:00"/>
    <d v="2026-02-25T14:45:00"/>
    <d v="2026-02-25T17:50:00"/>
    <d v="1899-12-30T03:05:00"/>
  </r>
  <r>
    <n v="902"/>
    <m/>
    <m/>
    <x v="3"/>
    <m/>
    <m/>
    <m/>
    <m/>
    <m/>
    <x v="3"/>
    <m/>
    <m/>
    <x v="4"/>
    <m/>
    <x v="4"/>
    <x v="1"/>
    <d v="1899-12-30T00:00:00"/>
    <d v="1899-12-30T00:00:00"/>
    <d v="1899-12-30T00:00:00"/>
    <d v="1899-12-30T00:00:00"/>
  </r>
  <r>
    <n v="903"/>
    <m/>
    <d v="1899-12-30T11:40:00"/>
    <x v="122"/>
    <s v="EXTRUSORA 4"/>
    <s v="Puntual"/>
    <s v="Falta de tornillos para la corona"/>
    <m/>
    <m/>
    <x v="3"/>
    <m/>
    <m/>
    <x v="4"/>
    <m/>
    <x v="4"/>
    <x v="2"/>
    <d v="1899-12-30T00:00:00"/>
    <d v="2026-02-23T11:40:00"/>
    <d v="1899-12-30T00:00:00"/>
    <n v="-46076.486111111109"/>
  </r>
  <r>
    <n v="904"/>
    <s v="D. CUESTA"/>
    <d v="1899-12-30T15:00:00"/>
    <x v="122"/>
    <s v="EXTRUSORA 5"/>
    <s v="Puntual"/>
    <s v="COEX #5 esta presentando un ruido en el rodillo #11"/>
    <d v="1899-12-30T15:00:00"/>
    <d v="1899-12-30T15:15:00"/>
    <x v="111"/>
    <s v="Mecánica"/>
    <s v="Rodillo N° 11 con punta espigo desgastada, se recomienda intervención de carácter urgente ya que se puede caer, se aplica grasa. NO PARO"/>
    <x v="1"/>
    <s v="Grasa"/>
    <x v="3"/>
    <x v="0"/>
    <d v="1899-12-30T00:15:00"/>
    <d v="2026-02-23T15:00:00"/>
    <d v="2026-02-23T15:15:00"/>
    <d v="1899-12-30T00:15:00"/>
  </r>
  <r>
    <n v="905"/>
    <m/>
    <m/>
    <x v="3"/>
    <m/>
    <m/>
    <m/>
    <m/>
    <m/>
    <x v="3"/>
    <m/>
    <m/>
    <x v="4"/>
    <m/>
    <x v="4"/>
    <x v="1"/>
    <d v="1899-12-30T00:00:00"/>
    <d v="1899-12-30T00:00:00"/>
    <d v="1899-12-30T00:00:00"/>
    <d v="1899-12-30T00:00:00"/>
  </r>
  <r>
    <n v="906"/>
    <s v="F. SANCHEZ"/>
    <d v="1899-12-30T06:10:00"/>
    <x v="123"/>
    <s v="EXTRUSORA 5"/>
    <s v="Puntual"/>
    <s v="Problemas con el refile no esta succionando bien el refile, se queda pegado, le falta fuerza para aspirar el material"/>
    <m/>
    <m/>
    <x v="3"/>
    <m/>
    <m/>
    <x v="4"/>
    <m/>
    <x v="4"/>
    <x v="2"/>
    <d v="1899-12-30T00:00:00"/>
    <d v="2026-02-24T06:10:00"/>
    <d v="1899-12-30T00:00:00"/>
    <n v="-46077.256944444445"/>
  </r>
  <r>
    <n v="907"/>
    <s v="F. SANCHEZ"/>
    <d v="1899-12-30T06:10:00"/>
    <x v="123"/>
    <s v="EXTRUSORA 5"/>
    <s v="Puntual"/>
    <s v="Ruedas del refile en mal estado no aprietan prisioneros"/>
    <m/>
    <m/>
    <x v="3"/>
    <m/>
    <m/>
    <x v="4"/>
    <m/>
    <x v="4"/>
    <x v="2"/>
    <d v="1899-12-30T00:00:00"/>
    <d v="2026-02-24T06:10:00"/>
    <d v="1899-12-30T00:00:00"/>
    <n v="-46077.256944444445"/>
  </r>
  <r>
    <n v="908"/>
    <m/>
    <m/>
    <x v="3"/>
    <m/>
    <m/>
    <m/>
    <m/>
    <m/>
    <x v="3"/>
    <m/>
    <m/>
    <x v="4"/>
    <m/>
    <x v="4"/>
    <x v="1"/>
    <d v="1899-12-30T00:00:00"/>
    <d v="1899-12-30T00:00:00"/>
    <d v="1899-12-30T00:00:00"/>
    <d v="1899-12-30T00:00:00"/>
  </r>
  <r>
    <n v="909"/>
    <s v="J. PINZON"/>
    <m/>
    <x v="123"/>
    <s v="IMPRESORA 1"/>
    <s v="Puntual"/>
    <s v="Balancin del calibrador"/>
    <d v="1899-12-30T06:00:00"/>
    <d v="1899-12-30T08:33:00"/>
    <x v="3"/>
    <s v="Mecánica"/>
    <m/>
    <x v="4"/>
    <m/>
    <x v="4"/>
    <x v="2"/>
    <d v="1899-12-30T02:33:00"/>
    <d v="2026-02-24T00:00:00"/>
    <d v="1899-12-30T08:33:00"/>
    <n v="-46076.643750000003"/>
  </r>
  <r>
    <n v="910"/>
    <s v="S. PATIÑO"/>
    <d v="1899-12-30T08:30:00"/>
    <x v="123"/>
    <s v="EXTRUSORA 2"/>
    <s v="Puntual"/>
    <s v="La parte de la corona que rota, se encuentra rotando descentrada generando desgaste. _x000a_Se evidencia residuos del dominio de esta"/>
    <m/>
    <m/>
    <x v="3"/>
    <m/>
    <m/>
    <x v="4"/>
    <m/>
    <x v="4"/>
    <x v="2"/>
    <d v="1899-12-30T00:00:00"/>
    <d v="2026-02-24T08:30:00"/>
    <d v="1899-12-30T00:00:00"/>
    <n v="-46077.354166666664"/>
  </r>
  <r>
    <n v="911"/>
    <s v="S. CARDENAL"/>
    <d v="1899-12-30T08:30:00"/>
    <x v="123"/>
    <s v="SELLADORA 1"/>
    <s v="Puntual"/>
    <s v="Bolsa sale la boca bloqueada en la pista #2"/>
    <d v="1899-12-30T08:00:00"/>
    <d v="1899-12-30T12:00:00"/>
    <x v="110"/>
    <s v="Mecánica"/>
    <s v="Se realiza calibración de presión corte y posición de cuchilla. Queda sellando y cortando OK"/>
    <x v="1"/>
    <s v="Silicona"/>
    <x v="9"/>
    <x v="0"/>
    <d v="1899-12-30T04:00:00"/>
    <d v="2026-02-24T08:30:00"/>
    <d v="2026-02-25T12:00:00"/>
    <d v="1899-12-31T03:30:00"/>
  </r>
  <r>
    <n v="912"/>
    <s v="F. SANCHEZ"/>
    <d v="1899-12-30T10:25:00"/>
    <x v="123"/>
    <s v="EXTRUSORA 5"/>
    <s v="Puntual"/>
    <s v="Para cerrar los tableros de la parte de los rodillos haladores no funciona"/>
    <m/>
    <m/>
    <x v="3"/>
    <m/>
    <m/>
    <x v="4"/>
    <m/>
    <x v="4"/>
    <x v="2"/>
    <d v="1899-12-30T00:00:00"/>
    <d v="2026-02-24T10:25:00"/>
    <d v="1899-12-30T00:00:00"/>
    <n v="-46077.434027777781"/>
  </r>
  <r>
    <n v="913"/>
    <s v="A. ROVIRA"/>
    <d v="1899-12-30T20:35:00"/>
    <x v="123"/>
    <s v="REFILADORA 1"/>
    <s v="Puntual"/>
    <s v="NO EMBOBINA"/>
    <d v="1899-12-30T21:20:00"/>
    <d v="1899-12-30T21:40:00"/>
    <x v="112"/>
    <s v="Eléctrica"/>
    <s v="Fusible circuito motor abierto, se realiza cambio quedando OK"/>
    <x v="133"/>
    <s v="NA"/>
    <x v="3"/>
    <x v="0"/>
    <d v="1899-12-30T00:20:00"/>
    <d v="2026-02-24T20:35:00"/>
    <d v="2026-02-24T21:40:00"/>
    <d v="1899-12-30T01:05:00"/>
  </r>
  <r>
    <n v="914"/>
    <m/>
    <m/>
    <x v="3"/>
    <m/>
    <m/>
    <m/>
    <m/>
    <m/>
    <x v="3"/>
    <m/>
    <m/>
    <x v="4"/>
    <m/>
    <x v="4"/>
    <x v="1"/>
    <d v="1899-12-30T00:00:00"/>
    <d v="1899-12-30T00:00:00"/>
    <d v="1899-12-30T00:00:00"/>
    <d v="1899-12-30T00:00:00"/>
  </r>
  <r>
    <n v="915"/>
    <s v="D. CUESTA"/>
    <d v="1899-12-30T22:00:00"/>
    <x v="123"/>
    <m/>
    <s v="Puntual"/>
    <s v="Barra se le sale el aire"/>
    <d v="1899-12-30T22:00:00"/>
    <d v="1899-12-30T22:20:00"/>
    <x v="112"/>
    <s v="Neúmatica"/>
    <s v="Se realiza reparación de valvula, se realizan pruebas y se entrga operativo. No se genero parada de maquina"/>
    <x v="1"/>
    <s v="NA"/>
    <x v="2"/>
    <x v="0"/>
    <d v="1899-12-30T00:20:00"/>
    <d v="2026-02-24T22:00:00"/>
    <d v="2026-02-24T22:20:00"/>
    <d v="1899-12-30T00:20:00"/>
  </r>
  <r>
    <n v="916"/>
    <s v="H. TRIANA"/>
    <d v="1899-12-30T00:10:00"/>
    <x v="121"/>
    <s v="EXTRUSORA 3"/>
    <s v="Puntual"/>
    <s v="Falla temperatura porta mallas interno"/>
    <d v="1899-12-30T00:40:00"/>
    <d v="1899-12-30T01:00:00"/>
    <x v="113"/>
    <s v="Eléctrica"/>
    <s v="Fallo en termocupla, se da ajuste pero temperatura esta por encima del setpoint, 235°C se entrega al operario para espera de normalizar temperatura"/>
    <x v="1"/>
    <s v="NA"/>
    <x v="2"/>
    <x v="0"/>
    <d v="1899-12-30T00:20:00"/>
    <d v="2026-02-25T00:10:00"/>
    <d v="2026-02-26T01:00:00"/>
    <d v="1899-12-31T00:50:00"/>
  </r>
  <r>
    <n v="917"/>
    <s v="H. TRIANA"/>
    <d v="1899-12-30T04:20:00"/>
    <x v="121"/>
    <s v="EXTRUSORA 3"/>
    <s v="REPETITIVO"/>
    <s v="Tornillo capa interna esta zumbando duro y hace vibrar la maquina"/>
    <m/>
    <m/>
    <x v="3"/>
    <m/>
    <m/>
    <x v="4"/>
    <m/>
    <x v="4"/>
    <x v="2"/>
    <d v="1899-12-30T00:00:00"/>
    <d v="2026-02-25T04:20:00"/>
    <d v="1899-12-30T00:00:00"/>
    <n v="-46078.180555555555"/>
  </r>
  <r>
    <n v="918"/>
    <s v="H. TRIANA"/>
    <d v="1899-12-30T04:25:00"/>
    <x v="121"/>
    <s v="EXTRUSORA 2"/>
    <s v="Puntual"/>
    <s v="Motor capa externa esta traqueando duro"/>
    <m/>
    <m/>
    <x v="114"/>
    <s v="Mecánica"/>
    <s v="Se envia donde el proveedor el motor mez 40 HP 380V y se realiza mantenimiento general:_x000a_Cambio de rodamientos SKF_x000a_Cambio de retenedores_x000a_Metalizado de tapa lado ventilador_x000a_Metalizado de eje lado polea_x000a_Balanceo dinamico del rotor, ventilador y polea_x000a_Soldadura en tapa lado polea_x000a_Limpieza, mantenimiento y mano de obra"/>
    <x v="134"/>
    <s v="Soldadura"/>
    <x v="7"/>
    <x v="0"/>
    <d v="1899-12-30T00:00:00"/>
    <d v="2026-02-25T04:25:00"/>
    <d v="2026-03-10T00:00:00"/>
    <d v="1900-01-11T19:35:00"/>
  </r>
  <r>
    <n v="919"/>
    <s v="L. MIRANDA"/>
    <d v="1899-12-30T06:20:00"/>
    <x v="121"/>
    <s v="EXTRUSORA 1"/>
    <s v="Puntual"/>
    <s v="El motor de aspirador no esta funcionando"/>
    <d v="1899-12-30T06:25:00"/>
    <d v="1899-12-30T09:00:00"/>
    <x v="110"/>
    <s v="Eléctrica"/>
    <s v="Se arregla, se verifica falta de tensión (voltaje)"/>
    <x v="1"/>
    <s v="NA"/>
    <x v="9"/>
    <x v="0"/>
    <d v="1899-12-30T02:35:00"/>
    <d v="2026-02-25T06:20:00"/>
    <d v="2026-02-25T09:00:00"/>
    <d v="1899-12-30T02:40:00"/>
  </r>
  <r>
    <n v="920"/>
    <m/>
    <m/>
    <x v="3"/>
    <m/>
    <m/>
    <m/>
    <m/>
    <m/>
    <x v="3"/>
    <m/>
    <m/>
    <x v="4"/>
    <m/>
    <x v="4"/>
    <x v="1"/>
    <d v="1899-12-30T00:00:00"/>
    <d v="1899-12-30T00:00:00"/>
    <d v="1899-12-30T00:00:00"/>
    <d v="1899-12-30T00:00:00"/>
  </r>
  <r>
    <n v="921"/>
    <m/>
    <m/>
    <x v="3"/>
    <m/>
    <m/>
    <m/>
    <m/>
    <m/>
    <x v="3"/>
    <m/>
    <m/>
    <x v="4"/>
    <m/>
    <x v="4"/>
    <x v="1"/>
    <d v="1899-12-30T00:00:00"/>
    <d v="1899-12-30T00:00:00"/>
    <d v="1899-12-30T00:00:00"/>
    <d v="1899-12-30T00:00:00"/>
  </r>
  <r>
    <n v="922"/>
    <s v="H. TRIANA"/>
    <d v="1899-12-30T08:05:00"/>
    <x v="124"/>
    <s v="EXTRUSORA 3"/>
    <s v="Puntual"/>
    <s v="Al piston del rodillo halador se le cae un tornillo"/>
    <d v="1899-12-30T08:10:00"/>
    <d v="1899-12-30T08:30:00"/>
    <x v="113"/>
    <s v="Mecánica"/>
    <s v="Se coloca tornillo"/>
    <x v="135"/>
    <s v="NA"/>
    <x v="9"/>
    <x v="0"/>
    <d v="1899-12-30T00:20:00"/>
    <d v="2026-02-26T08:05:00"/>
    <d v="2026-02-26T08:30:00"/>
    <d v="1899-12-30T00:25:00"/>
  </r>
  <r>
    <n v="923"/>
    <s v="H. TRIANA"/>
    <d v="1899-12-30T08:30:00"/>
    <x v="124"/>
    <s v="EXTRUSORA 3"/>
    <s v="REPETITIVO"/>
    <s v="Temperatura tornillo interior esta 60° por encima de lo establecido"/>
    <d v="1899-12-30T08:30:00"/>
    <d v="1899-12-30T08:50:00"/>
    <x v="113"/>
    <s v="Eléctrica"/>
    <s v="Cambió de rele de estado solido pendiente a que baje temperatura pero hasta que pare maquina ya no tiene consumo la resistencia"/>
    <x v="136"/>
    <s v="NA"/>
    <x v="9"/>
    <x v="0"/>
    <d v="1899-12-30T00:20:00"/>
    <d v="2026-02-26T08:30:00"/>
    <d v="2026-02-26T08:50:00"/>
    <d v="1899-12-30T00:20:00"/>
  </r>
  <r>
    <n v="924"/>
    <m/>
    <m/>
    <x v="3"/>
    <m/>
    <m/>
    <m/>
    <m/>
    <m/>
    <x v="3"/>
    <m/>
    <m/>
    <x v="4"/>
    <m/>
    <x v="4"/>
    <x v="1"/>
    <d v="1899-12-30T00:00:00"/>
    <d v="1899-12-30T00:00:00"/>
    <d v="1899-12-30T00:00:00"/>
    <d v="1899-12-30T00:00:00"/>
  </r>
  <r>
    <n v="925"/>
    <m/>
    <m/>
    <x v="3"/>
    <m/>
    <m/>
    <m/>
    <m/>
    <m/>
    <x v="3"/>
    <m/>
    <m/>
    <x v="4"/>
    <m/>
    <x v="4"/>
    <x v="1"/>
    <d v="1899-12-30T00:00:00"/>
    <d v="1899-12-30T00:00:00"/>
    <d v="1899-12-30T00:00:00"/>
    <d v="1899-12-30T00:00:00"/>
  </r>
  <r>
    <n v="926"/>
    <s v="K. RAMOS"/>
    <d v="1899-12-30T19:00:00"/>
    <x v="124"/>
    <s v="EXTRUSORA 4"/>
    <s v="Puntual"/>
    <s v="Coex #4 presenta falla en la prensa y pasa corriente por todo los rodillos"/>
    <d v="1899-12-30T19:00:00"/>
    <d v="1899-12-30T23:45:00"/>
    <x v="113"/>
    <s v="Eléctrica"/>
    <s v="Se realiza cambio de resistencia a 100KΩ, se verifican voltaje, se realizan pruebas de embobinamiento, se encuentra bien, se realizan pruebas, trabaja sin anomalia"/>
    <x v="137"/>
    <s v="NA"/>
    <x v="3"/>
    <x v="0"/>
    <d v="1899-12-30T04:45:00"/>
    <d v="2026-02-26T19:00:00"/>
    <d v="2026-02-26T23:45:00"/>
    <d v="1899-12-30T04:45:00"/>
  </r>
  <r>
    <n v="927"/>
    <s v="K. RAMOS"/>
    <m/>
    <x v="124"/>
    <s v="EXTRUSORA 3"/>
    <s v="Puntual"/>
    <s v="Coex #3 se eleva hasta 300° la temoeratura en el tornillo interno"/>
    <d v="1899-12-30T19:40:00"/>
    <d v="1899-12-30T08:14:00"/>
    <x v="115"/>
    <s v="Eléctrica"/>
    <s v="Revisión de consumo en relé y controlador temperatura, hay consumo en resistencia controlador operativo, se apaga extrusora. Se interviene maquina y se entrega a operario"/>
    <x v="1"/>
    <s v="NA"/>
    <x v="1"/>
    <x v="0"/>
    <n v="-0.47638888888888886"/>
    <d v="2026-02-26T00:00:00"/>
    <d v="2026-02-27T08:14:00"/>
    <d v="1899-12-31T08:14:00"/>
  </r>
  <r>
    <n v="928"/>
    <s v="E. REYES"/>
    <d v="1899-12-30T19:08:00"/>
    <x v="124"/>
    <s v="SELLADORA 1"/>
    <s v="Puntual"/>
    <s v="Variación de temperatura"/>
    <d v="1899-12-30T19:08:00"/>
    <d v="1899-12-30T12:50:00"/>
    <x v="115"/>
    <s v="Eléctrica"/>
    <s v="Se cambia termocupla, se arranca 27/2/26 12:50"/>
    <x v="119"/>
    <s v="NA"/>
    <x v="9"/>
    <x v="0"/>
    <n v="-0.26250000000000007"/>
    <d v="2026-02-26T19:08:00"/>
    <d v="2026-02-27T12:50:00"/>
    <d v="1899-12-30T17:42:00"/>
  </r>
  <r>
    <n v="929"/>
    <s v="K. RAMOS"/>
    <d v="1899-12-30T01:29:00"/>
    <x v="31"/>
    <s v="EXTRUSORA 2"/>
    <s v="Puntual"/>
    <s v="Se apagan las temperaturas del barril"/>
    <d v="1899-12-30T01:30:00"/>
    <d v="1899-12-30T01:50:00"/>
    <x v="115"/>
    <s v="Eléctrica"/>
    <s v="Se encuentra base porta escobilla malobrado y falta de aislante en la varilla que lo sostiene, se requiere fabricación según muestra. Se repara con cinta tela fibra de vidrio quedando OK. No paro en maquina"/>
    <x v="1"/>
    <s v="Cinta"/>
    <x v="3"/>
    <x v="0"/>
    <d v="1899-12-30T00:20:00"/>
    <d v="2026-02-27T01:29:00"/>
    <d v="2026-02-27T01:50:00"/>
    <d v="1899-12-30T00:21:00"/>
  </r>
  <r>
    <n v="930"/>
    <s v="K. RAMOS"/>
    <d v="1899-12-30T19:40:00"/>
    <x v="124"/>
    <s v="EXTRUSORA 3"/>
    <s v="Puntual"/>
    <s v="Se presenta falla en el tornillo por recalentamiento"/>
    <d v="1899-12-30T00:00:00"/>
    <d v="1899-12-30T02:00:00"/>
    <x v="115"/>
    <s v="Eléctrica"/>
    <s v="Se realiza cambio de termocupla en portamalla interno, cambio de termocupla tornillo interior. En vacio se mantiene temperatura tornillo interior pero trabajando se sube. Se requiere mantenimiento y camisa para verificar algún tipo de fricción"/>
    <x v="138"/>
    <s v="NA"/>
    <x v="3"/>
    <x v="0"/>
    <d v="1899-12-30T02:00:00"/>
    <d v="2026-02-26T19:40:00"/>
    <d v="2026-02-27T02:00:00"/>
    <d v="1899-12-30T06:20:00"/>
  </r>
  <r>
    <n v="931"/>
    <m/>
    <m/>
    <x v="3"/>
    <m/>
    <m/>
    <m/>
    <m/>
    <m/>
    <x v="3"/>
    <m/>
    <m/>
    <x v="4"/>
    <m/>
    <x v="4"/>
    <x v="1"/>
    <d v="1899-12-30T00:00:00"/>
    <d v="1899-12-30T00:00:00"/>
    <d v="1899-12-30T00:00:00"/>
    <d v="1899-12-30T00:00:00"/>
  </r>
  <r>
    <n v="932"/>
    <m/>
    <m/>
    <x v="3"/>
    <m/>
    <m/>
    <m/>
    <m/>
    <m/>
    <x v="3"/>
    <m/>
    <m/>
    <x v="4"/>
    <m/>
    <x v="4"/>
    <x v="1"/>
    <d v="1899-12-30T00:00:00"/>
    <d v="1899-12-30T00:00:00"/>
    <d v="1899-12-30T00:00:00"/>
    <d v="1899-12-30T00:00:00"/>
  </r>
  <r>
    <n v="933"/>
    <s v="F. SANCHEZ"/>
    <d v="1899-12-30T07:20:00"/>
    <x v="31"/>
    <s v="EXTRUSORA 3"/>
    <s v="Puntual"/>
    <s v="Problemas con las escobillas del molde"/>
    <d v="1899-12-30T07:40:00"/>
    <d v="1899-12-30T08:30:00"/>
    <x v="115"/>
    <s v="Eléctrica"/>
    <s v="Se ajusta escobilla ya que se partio, se solicita respuesto queda en funcionamiento"/>
    <x v="1"/>
    <s v="NA"/>
    <x v="9"/>
    <x v="0"/>
    <d v="1899-12-30T00:50:00"/>
    <d v="2026-02-27T07:20:00"/>
    <d v="2026-02-27T08:30:00"/>
    <d v="1899-12-30T01:10:00"/>
  </r>
  <r>
    <n v="934"/>
    <s v="F. SANCHEZ"/>
    <d v="1899-12-30T14:20:00"/>
    <x v="31"/>
    <s v="EXTRUSORA 4"/>
    <s v="Puntual"/>
    <s v="Protector del molde estra trabado"/>
    <d v="1899-12-30T14:20:00"/>
    <d v="1899-12-30T15:00:00"/>
    <x v="115"/>
    <s v="Mecánica"/>
    <s v="Se ajusta posición de protector y ejes de control eléctrico, se realizan pruebas y queda operativo"/>
    <x v="1"/>
    <s v="NA"/>
    <x v="2"/>
    <x v="0"/>
    <d v="1899-12-30T00:40:00"/>
    <d v="2026-02-27T14:20:00"/>
    <d v="2026-02-27T15:00:00"/>
    <d v="1899-12-30T00:40:00"/>
  </r>
  <r>
    <n v="935"/>
    <s v="M. SANDOVAL"/>
    <d v="1899-12-30T19:30:00"/>
    <x v="31"/>
    <s v="REFILADORA"/>
    <s v="Puntual"/>
    <s v="Modificación de castañas"/>
    <d v="1899-12-30T19:30:00"/>
    <d v="1899-12-30T20:20:00"/>
    <x v="115"/>
    <s v="Mecánica"/>
    <s v="Se realiza cambio de los dos pisadores para trabajar papel y se da ajuste a las castañuelas (posición) para trabajar papel rojo de 5 pistas"/>
    <x v="1"/>
    <s v="NA"/>
    <x v="2"/>
    <x v="0"/>
    <d v="1899-12-30T00:50:00"/>
    <d v="2026-02-27T19:30:00"/>
    <d v="2026-02-27T20:20:00"/>
    <d v="1899-12-30T00:50:00"/>
  </r>
  <r>
    <n v="936"/>
    <s v="J. MIRANDA"/>
    <d v="1899-12-30T06:15:00"/>
    <x v="111"/>
    <s v="REFILADORA 1"/>
    <s v="Puntual"/>
    <s v="Maquina se recibe turno con falla en el motor de velocidad (No arranca)"/>
    <d v="1899-12-30T09:20:00"/>
    <d v="1899-12-30T09:40:00"/>
    <x v="99"/>
    <s v="Eléctrica"/>
    <s v="Se revisa variador con falla, se reset y arranca sin novedad, se deja en funcionamiento"/>
    <x v="1"/>
    <s v="NA"/>
    <x v="9"/>
    <x v="0"/>
    <d v="1899-12-30T00:20:00"/>
    <d v="2026-02-28T06:15:00"/>
    <d v="2026-02-28T09:40:00"/>
    <d v="1899-12-30T03:25:00"/>
  </r>
  <r>
    <n v="937"/>
    <s v="S. CARDENAL"/>
    <d v="1899-12-30T06:20:00"/>
    <x v="111"/>
    <s v="SELLADORA 2"/>
    <s v="Puntual"/>
    <s v="Cambio de termocupla inferior por daño"/>
    <d v="1899-12-30T06:30:00"/>
    <d v="1899-12-30T08:37:00"/>
    <x v="99"/>
    <s v="Eléctrica"/>
    <s v="Desmontaron mordazas para pdoer hacer el cambio de termocupla, se empezó a hacer el cambio a las 7:40 y culmine 8:37"/>
    <x v="139"/>
    <s v="NA"/>
    <x v="9"/>
    <x v="0"/>
    <d v="1899-12-30T02:07:00"/>
    <d v="2026-02-28T06:20:00"/>
    <d v="2026-02-28T08:37:00"/>
    <d v="1899-12-30T02:17:00"/>
  </r>
  <r>
    <n v="938"/>
    <s v="J. MIRANDA"/>
    <d v="1899-12-30T10:00:00"/>
    <x v="111"/>
    <s v="REFILADORA 1"/>
    <s v="Puntual"/>
    <s v="Falla en la tensión (Revisar motor)"/>
    <d v="1899-12-30T10:10:00"/>
    <d v="1899-12-30T11:40:00"/>
    <x v="99"/>
    <s v="Eléctrica"/>
    <s v="Se revisa encontrando 2 fusibles dañados el puente se les coloca nuevamente el puente y se retorquea en la fase entrada ya que tenia mal contacto"/>
    <x v="1"/>
    <s v="NA"/>
    <x v="9"/>
    <x v="0"/>
    <d v="1899-12-30T01:30:00"/>
    <d v="2026-02-28T10:00:00"/>
    <d v="2026-02-28T11:40:00"/>
    <d v="1899-12-30T01:40:00"/>
  </r>
  <r>
    <n v="939"/>
    <s v="S. CARDENAL"/>
    <d v="1899-12-30T10:40:00"/>
    <x v="111"/>
    <s v="SELLADORA 2"/>
    <s v="Puntual"/>
    <s v="Mordaza inferior del selle longitudinal esta suelta"/>
    <d v="1899-12-30T11:40:00"/>
    <d v="1899-12-30T12:10:00"/>
    <x v="99"/>
    <s v="Mecánica"/>
    <s v="Se solda parte mordaza inferior"/>
    <x v="1"/>
    <s v="NA"/>
    <x v="9"/>
    <x v="0"/>
    <d v="1899-12-30T00:30:00"/>
    <d v="2026-02-28T10:40:00"/>
    <d v="2026-02-28T12:10:00"/>
    <d v="1899-12-30T01:30:00"/>
  </r>
  <r>
    <n v="940"/>
    <s v="S. CARDENAL"/>
    <d v="1899-12-30T12:55:00"/>
    <x v="111"/>
    <s v="SELLADORA 2"/>
    <s v="Puntual"/>
    <s v="Mordaza superior se suelta selle longitudinal"/>
    <d v="1899-12-30T22:20:00"/>
    <d v="1899-12-30T23:20:00"/>
    <x v="99"/>
    <s v="Mecánica"/>
    <s v="Se recibe maquina con falla en mordaza de selle longitudinal._x000a_Se realiza calibración mordaza superior selle longitudinal calibración programación temperatura y parametrizacion temporizador quedando OK"/>
    <x v="1"/>
    <s v="NA"/>
    <x v="3"/>
    <x v="0"/>
    <d v="1899-12-30T01:00:00"/>
    <d v="2026-02-28T12:55:00"/>
    <d v="2026-02-28T23:20:00"/>
    <d v="1899-12-30T10:25:00"/>
  </r>
  <r>
    <n v="941"/>
    <s v="E. REYES"/>
    <d v="1899-12-30T00:30:00"/>
    <x v="111"/>
    <s v="SELLADORA 1"/>
    <s v="Puntual"/>
    <s v="Cambio de teflon"/>
    <d v="1899-12-30T00:30:00"/>
    <d v="1899-12-30T01:10:00"/>
    <x v="99"/>
    <s v="Mecánica"/>
    <s v="Se realiza cambio de teflon mordaza superior por desgaste quedando OK"/>
    <x v="1"/>
    <s v="NA"/>
    <x v="3"/>
    <x v="0"/>
    <d v="1899-12-30T00:40:00"/>
    <d v="2026-02-28T00:30:00"/>
    <d v="2026-02-28T01:10:00"/>
    <d v="1899-12-30T00:40:00"/>
  </r>
  <r>
    <n v="942"/>
    <s v="D. CUESTA"/>
    <d v="1899-12-30T17:00:00"/>
    <x v="125"/>
    <s v="EXTRUSORA 5"/>
    <s v="Puntual"/>
    <s v="Hacer seguimiento octagon y damper no cuadra la grafica"/>
    <m/>
    <m/>
    <x v="3"/>
    <s v="Mecánica, Eléctrica"/>
    <s v="Se realiza seguimiento, se reset el octagon retira falla, aparece falla por damper, no corrigen posición, se debe hacer seguimiento en el nuevo arranque del equipo"/>
    <x v="4"/>
    <m/>
    <x v="4"/>
    <x v="2"/>
    <d v="1899-12-30T00:00:00"/>
    <d v="2026-03-01T17:00:00"/>
    <d v="1899-12-30T00:00:00"/>
    <n v="-46082.708333333336"/>
  </r>
  <r>
    <n v="943"/>
    <s v="L. MIRANDA"/>
    <d v="1899-12-30T18:00:00"/>
    <x v="125"/>
    <s v="EXTRUSORA 5"/>
    <s v="Puntual"/>
    <s v="Octagon y danper no cuadra la grafica"/>
    <d v="1899-12-30T18:10:00"/>
    <d v="1899-12-30T18:50:00"/>
    <x v="116"/>
    <s v="Eléctrica"/>
    <s v="En la pantalla se programan damper a 80 y finalmente se bajan a 40, la maquina arranca sin anomalia en la grafica"/>
    <x v="1"/>
    <s v="NA"/>
    <x v="3"/>
    <x v="0"/>
    <d v="1899-12-30T00:40:00"/>
    <d v="2026-03-01T18:00:00"/>
    <d v="2026-03-01T18:50:00"/>
    <d v="1899-12-30T00:50:00"/>
  </r>
  <r>
    <n v="944"/>
    <s v="H. TRIANA"/>
    <d v="1899-12-30T08:10:00"/>
    <x v="126"/>
    <s v="EXTRUSORA 1"/>
    <s v="Puntual"/>
    <s v="Corto en el tratador"/>
    <d v="1899-12-30T08:10:00"/>
    <d v="1899-12-30T10:50:00"/>
    <x v="117"/>
    <s v="Eléctrica"/>
    <s v="Se revisa puntos de conexión, se hace limpieza, se da nuevamente ajuste, se hace prueba queda operativo"/>
    <x v="1"/>
    <s v="NA"/>
    <x v="1"/>
    <x v="0"/>
    <d v="1899-12-30T02:40:00"/>
    <d v="2026-03-02T08:10:00"/>
    <d v="2026-03-02T10:50:00"/>
    <d v="1899-12-30T02:40:00"/>
  </r>
  <r>
    <n v="945"/>
    <s v="H. TRIANA"/>
    <d v="1899-12-30T09:00:00"/>
    <x v="126"/>
    <s v="EXTRUSORA 4"/>
    <s v="Puntual"/>
    <s v="Tornillo capa exterior no gira"/>
    <d v="1899-12-30T09:10:00"/>
    <m/>
    <x v="117"/>
    <s v="Mecánica"/>
    <s v="Se (cambia) repara tornillo de extrusora #4 Queda trabajando OK"/>
    <x v="99"/>
    <s v="NA"/>
    <x v="4"/>
    <x v="0"/>
    <n v="-0.38194444444444442"/>
    <d v="2026-03-02T09:00:00"/>
    <d v="2026-03-02T00:00:00"/>
    <n v="-0.375"/>
  </r>
  <r>
    <n v="946"/>
    <m/>
    <m/>
    <x v="3"/>
    <m/>
    <m/>
    <m/>
    <m/>
    <m/>
    <x v="3"/>
    <m/>
    <m/>
    <x v="4"/>
    <m/>
    <x v="4"/>
    <x v="1"/>
    <d v="1899-12-30T00:00:00"/>
    <d v="1899-12-30T00:00:00"/>
    <d v="1899-12-30T00:00:00"/>
    <d v="1899-12-30T00:00:00"/>
  </r>
  <r>
    <n v="947"/>
    <s v="H. TRIANA"/>
    <d v="1899-12-30T08:30:00"/>
    <x v="126"/>
    <s v="EXTRUSORA 4"/>
    <s v="Puntual"/>
    <s v="Halador tiene un cable desconectado"/>
    <d v="1899-12-30T08:40:00"/>
    <d v="1899-12-30T08:50:00"/>
    <x v="117"/>
    <s v="Eléctrica"/>
    <s v="Mando directo con un cable desconectado"/>
    <x v="1"/>
    <s v="NA"/>
    <x v="9"/>
    <x v="0"/>
    <d v="1899-12-30T00:10:00"/>
    <d v="2026-03-02T08:30:00"/>
    <d v="2026-03-02T08:50:00"/>
    <d v="1899-12-30T00:20:00"/>
  </r>
  <r>
    <n v="948"/>
    <s v="E. REYES"/>
    <d v="1899-12-30T10:38:00"/>
    <x v="126"/>
    <s v="SELLADORA 1"/>
    <s v="Puntual"/>
    <s v="Fallas en la temperatura"/>
    <d v="1899-12-30T18:10:00"/>
    <d v="1899-12-30T19:20:00"/>
    <x v="117"/>
    <s v="Mecánica"/>
    <s v="Calibración mordaza, calibración caida cuchilla y ajuste de teflon. Se recibe maquina en falla no operacional"/>
    <x v="1"/>
    <s v="NA"/>
    <x v="3"/>
    <x v="0"/>
    <d v="1899-12-30T01:10:00"/>
    <d v="2026-03-02T10:38:00"/>
    <d v="2026-03-02T19:20:00"/>
    <d v="1899-12-30T08:42:00"/>
  </r>
  <r>
    <n v="949"/>
    <s v="K. RAMOS"/>
    <m/>
    <x v="126"/>
    <s v="EXTRUSORA 5"/>
    <s v="Puntual"/>
    <s v="Barra se desinfla no agarra aire"/>
    <m/>
    <m/>
    <x v="3"/>
    <m/>
    <m/>
    <x v="4"/>
    <m/>
    <x v="4"/>
    <x v="2"/>
    <d v="1899-12-30T00:00:00"/>
    <d v="2026-03-02T00:00:00"/>
    <d v="1899-12-30T00:00:00"/>
    <n v="-46083"/>
  </r>
  <r>
    <n v="950"/>
    <m/>
    <m/>
    <x v="3"/>
    <m/>
    <m/>
    <m/>
    <m/>
    <m/>
    <x v="3"/>
    <m/>
    <m/>
    <x v="4"/>
    <m/>
    <x v="4"/>
    <x v="1"/>
    <d v="1899-12-30T00:00:00"/>
    <d v="1899-12-30T00:00:00"/>
    <d v="1899-12-30T00:00:00"/>
    <d v="1899-12-30T00:00:00"/>
  </r>
  <r>
    <n v="951"/>
    <s v="M. MARTINEZ"/>
    <d v="1899-12-30T18:00:00"/>
    <x v="126"/>
    <s v="SELLADORA 2"/>
    <s v="Puntual"/>
    <s v="Afilar cuchilla"/>
    <d v="1899-12-30T18:00:00"/>
    <d v="1899-12-30T18:10:00"/>
    <x v="117"/>
    <s v="Mecánica"/>
    <s v="Se presta apoyo para afilado de cuchilla "/>
    <x v="1"/>
    <s v="NA"/>
    <x v="3"/>
    <x v="0"/>
    <d v="1899-12-30T00:10:00"/>
    <d v="2026-03-02T18:00:00"/>
    <d v="2026-03-02T18:10:00"/>
    <d v="1899-12-30T00:10:00"/>
  </r>
  <r>
    <n v="952"/>
    <s v="M. SANDOVAL"/>
    <d v="1899-12-30T21:40:00"/>
    <x v="126"/>
    <s v="REFILADORA 2"/>
    <s v="Puntual"/>
    <s v="Cambio de disco de precorte"/>
    <d v="1899-12-30T09:40:00"/>
    <d v="1899-12-30T23:00:00"/>
    <x v="117"/>
    <s v="Mecánica"/>
    <s v="Cambio de cuchilla, se revisa sistema de anclaje del espigo ya que al girar inverso se sale el eje, persiste falla y se le fabrica un incerto temporal mientras termina con la referencia"/>
    <x v="1"/>
    <s v="NA"/>
    <x v="3"/>
    <x v="0"/>
    <d v="1899-12-30T13:20:00"/>
    <d v="2026-03-02T21:40:00"/>
    <d v="2026-03-02T23:00:00"/>
    <d v="1899-12-30T01:20:00"/>
  </r>
  <r>
    <n v="953"/>
    <s v="S. PATIÑO"/>
    <d v="1899-12-30T06:50:00"/>
    <x v="127"/>
    <s v="EXTRUSORA 2"/>
    <s v="Puntual"/>
    <s v="Fuga de material por los tornillos de ajuste de la pinola"/>
    <d v="1899-12-30T07:00:00"/>
    <d v="1899-12-30T07:40:00"/>
    <x v="118"/>
    <s v="Mecánica"/>
    <s v="Se recortan 5mm de tornillo para que sienten ya que estaban muy largos"/>
    <x v="1"/>
    <s v="NA"/>
    <x v="9"/>
    <x v="0"/>
    <d v="1899-12-30T00:40:00"/>
    <d v="2026-03-03T06:50:00"/>
    <d v="2026-03-03T07:40:00"/>
    <d v="1899-12-30T00:50:00"/>
  </r>
  <r>
    <n v="954"/>
    <s v="S. PATIÑO"/>
    <d v="1899-12-30T09:00:00"/>
    <x v="127"/>
    <s v="EXTRUSORA 2"/>
    <s v="Puntual"/>
    <s v="Rotación no trabaja al encenderla"/>
    <d v="1899-12-30T09:05:00"/>
    <d v="1899-12-30T09:26:00"/>
    <x v="118"/>
    <s v="Eléctrica"/>
    <s v="Motor con mala conexión en bornera haciendo mal contacto con falta de torque en los tornillos"/>
    <x v="1"/>
    <s v="NA"/>
    <x v="9"/>
    <x v="0"/>
    <d v="1899-12-30T00:21:00"/>
    <d v="2026-03-03T09:00:00"/>
    <d v="2026-03-03T09:26:00"/>
    <d v="1899-12-30T00:26:00"/>
  </r>
  <r>
    <n v="955"/>
    <s v="M. MARTINEZ"/>
    <d v="1899-12-30T09:10:00"/>
    <x v="127"/>
    <s v="SELLADORA 2"/>
    <s v="Puntual"/>
    <s v="Se sale rodamiento de rodillo"/>
    <d v="1899-12-30T09:15:00"/>
    <d v="1899-12-30T09:50:00"/>
    <x v="118"/>
    <s v="Mecánica"/>
    <s v="Ajuste con arandela para el rodillo"/>
    <x v="140"/>
    <s v="NA"/>
    <x v="9"/>
    <x v="0"/>
    <d v="1899-12-30T00:35:00"/>
    <d v="2026-03-03T09:10:00"/>
    <d v="2026-03-03T09:50:00"/>
    <d v="1899-12-30T00:40:00"/>
  </r>
  <r>
    <n v="956"/>
    <s v="M. MARTINEZ"/>
    <d v="1899-12-30T06:00:00"/>
    <x v="127"/>
    <s v="SELLADORA 3"/>
    <s v="Puntual"/>
    <s v="Correas del transportador"/>
    <d v="1899-12-30T06:20:00"/>
    <d v="1899-12-30T12:50:00"/>
    <x v="118"/>
    <s v="Mecánica"/>
    <s v="Destemplar ,  , torquear y arrancar el transportador "/>
    <x v="1"/>
    <s v="NA"/>
    <x v="9"/>
    <x v="0"/>
    <d v="1899-12-30T06:30:00"/>
    <d v="2026-03-03T06:00:00"/>
    <d v="2026-03-03T12:50:00"/>
    <d v="1899-12-30T06:50:00"/>
  </r>
  <r>
    <n v="957"/>
    <s v="L. MIRANDA"/>
    <d v="1899-12-30T08:50:00"/>
    <x v="127"/>
    <s v="EXTRUSORA 5"/>
    <s v="Puntual"/>
    <s v="Arreglar tornilo del soporte de los perforadores, cuadrar flautas por que estan mal  la pelicula para el lado izquierdo y no centralisa"/>
    <d v="1899-12-30T08:50:00"/>
    <d v="1899-12-30T10:25:00"/>
    <x v="118"/>
    <s v="Mecánica "/>
    <s v="Se alinea posición de flautas de torre rotativa, se da ajuste de tornillo del soporte de los perforadores"/>
    <x v="1"/>
    <s v="NA"/>
    <x v="13"/>
    <x v="0"/>
    <d v="1899-12-30T01:35:00"/>
    <d v="2026-03-03T08:50:00"/>
    <d v="2026-03-03T10:25:00"/>
    <d v="1899-12-30T01:35:00"/>
  </r>
  <r>
    <n v="958"/>
    <s v="M. MARTINEZ"/>
    <d v="1899-12-30T09:00:00"/>
    <x v="127"/>
    <s v="SELLADORA 1"/>
    <s v="Puntual"/>
    <s v="Falla en el selle"/>
    <d v="1899-12-30T09:00:00"/>
    <d v="1899-12-30T12:00:00"/>
    <x v="118"/>
    <s v="Mecánica "/>
    <s v="Desgaste en componentes de mordaza, mordaza pandeada, se cambia de pista"/>
    <x v="1"/>
    <s v="NA"/>
    <x v="9"/>
    <x v="0"/>
    <d v="1899-12-30T03:00:00"/>
    <d v="2026-03-03T09:00:00"/>
    <d v="2026-03-03T12:00:00"/>
    <d v="1899-12-30T03:00:00"/>
  </r>
  <r>
    <n v="959"/>
    <s v="M. MARTINEZ"/>
    <d v="1899-12-30T13:33:00"/>
    <x v="127"/>
    <s v="SELLADORA 3"/>
    <s v="Puntual"/>
    <s v="Se parten tornillos del rodillo tensor de la parte superior del transportador"/>
    <d v="1899-12-30T13:40:00"/>
    <d v="1899-12-30T14:00:00"/>
    <x v="118"/>
    <s v="Mecánica"/>
    <s v="Se extraen tornillos, se realiza el cambio y se instala nuevamente el tensor"/>
    <x v="1"/>
    <s v="NA"/>
    <x v="2"/>
    <x v="0"/>
    <d v="1899-12-30T00:20:00"/>
    <d v="2026-03-03T13:33:00"/>
    <d v="2026-03-03T14:00:00"/>
    <d v="1899-12-30T00:27:00"/>
  </r>
  <r>
    <n v="960"/>
    <s v="L. MIRANDA"/>
    <d v="1899-12-30T15:02:00"/>
    <x v="127"/>
    <s v="EXTRUSORA 5"/>
    <s v="Puntual"/>
    <s v="El transporte se esta quedando de un lado y causa que la barra se caiga"/>
    <d v="1899-12-30T15:20:00"/>
    <d v="1899-12-30T16:00:00"/>
    <x v="118"/>
    <s v="Mecánica"/>
    <s v="Se calibran posición y presión de reguladores de actuadores, mogocin, alimentador, transporte. Se acompaño en arranque"/>
    <x v="1"/>
    <s v="NA"/>
    <x v="15"/>
    <x v="0"/>
    <d v="1899-12-30T00:40:00"/>
    <d v="2026-03-03T15:02:00"/>
    <d v="2026-03-03T16:00:00"/>
    <d v="1899-12-30T00:58:00"/>
  </r>
  <r>
    <n v="961"/>
    <s v="H. TRIANA"/>
    <d v="1899-12-30T21:00:00"/>
    <x v="127"/>
    <s v="EXTRUSORA 4"/>
    <s v="Puntual"/>
    <s v="Moneda porta malla golpeando"/>
    <d v="1899-12-30T21:00:00"/>
    <d v="1899-12-30T21:50:00"/>
    <x v="118"/>
    <s v="Mecánica"/>
    <s v="Se evidencia porta mallas golpeado se repasa agujeros broca 1/8 se limpia queda operativo"/>
    <x v="1"/>
    <s v="NA"/>
    <x v="1"/>
    <x v="0"/>
    <d v="1899-12-30T00:50:00"/>
    <d v="2026-03-03T21:00:00"/>
    <d v="2026-03-03T21:50:00"/>
    <d v="1899-12-30T00:50:00"/>
  </r>
  <r>
    <n v="962"/>
    <s v="K. RAMOS"/>
    <m/>
    <x v="128"/>
    <s v="EXTRUSORA 5"/>
    <s v="Puntual"/>
    <s v="Barra del bobinador A se daña no agarrando el aire"/>
    <m/>
    <m/>
    <x v="3"/>
    <m/>
    <m/>
    <x v="4"/>
    <m/>
    <x v="4"/>
    <x v="2"/>
    <d v="1899-12-30T00:00:00"/>
    <d v="2026-03-04T00:00:00"/>
    <d v="1899-12-30T00:00:00"/>
    <n v="-46085"/>
  </r>
  <r>
    <n v="963"/>
    <s v="F. SANCHEZ"/>
    <d v="1899-12-30T06:45:00"/>
    <x v="128"/>
    <s v="EXTRUSORA 1"/>
    <s v="Puntual"/>
    <s v="Zona de la maquina esta molestando baja y sube la temperatura. _x000a_Zona de malla exterior"/>
    <d v="1899-12-30T07:00:00"/>
    <d v="1899-12-30T07:40:00"/>
    <x v="119"/>
    <s v="Eléctrica"/>
    <s v="Se cambia termocupla por lectura erronea"/>
    <x v="119"/>
    <s v="NA"/>
    <x v="9"/>
    <x v="0"/>
    <d v="1899-12-30T00:40:00"/>
    <d v="2026-03-04T06:45:00"/>
    <d v="2026-03-04T07:40:00"/>
    <d v="1899-12-30T00:55:00"/>
  </r>
  <r>
    <n v="964"/>
    <s v="M. MARTINEZ"/>
    <d v="1899-12-30T07:45:00"/>
    <x v="128"/>
    <s v="SELLADORA 1"/>
    <s v="Puntual"/>
    <s v="Maquina con falra de presión en prensa"/>
    <d v="1899-12-30T07:46:00"/>
    <d v="1899-12-30T08:20:00"/>
    <x v="119"/>
    <s v="Mecánica"/>
    <s v="Calibración de presion tenia mas presion en el centro por eso el material se arrugaba"/>
    <x v="1"/>
    <s v="NS"/>
    <x v="9"/>
    <x v="0"/>
    <d v="1899-12-30T00:34:00"/>
    <d v="2026-03-04T07:45:00"/>
    <d v="2026-03-04T08:20:00"/>
    <d v="1899-12-30T00:35:00"/>
  </r>
  <r>
    <n v="965"/>
    <s v="M. MARTINEZ"/>
    <d v="1899-12-30T12:50:00"/>
    <x v="128"/>
    <s v="SELLADORA 5"/>
    <s v="Puntual"/>
    <s v="Revisar y sacar filo cuchilla"/>
    <d v="1899-12-30T13:00:00"/>
    <d v="1899-12-30T13:35:00"/>
    <x v="119"/>
    <s v="Mecánica"/>
    <s v="Se hace ajsute y nivelación queda OK"/>
    <x v="1"/>
    <s v="NA"/>
    <x v="9"/>
    <x v="0"/>
    <d v="1899-12-30T00:35:00"/>
    <d v="2026-03-04T12:50:00"/>
    <d v="2026-03-04T13:35:00"/>
    <d v="1899-12-30T00:45:00"/>
  </r>
  <r>
    <n v="966"/>
    <s v="F. SANCHEZ"/>
    <d v="1899-12-30T14:30:00"/>
    <x v="128"/>
    <s v="EXTRUSORA 3"/>
    <s v="Puntual"/>
    <s v="Cadena del embobinador reventada en un lado"/>
    <d v="1899-12-30T15:50:00"/>
    <d v="1899-12-30T16:20:00"/>
    <x v="119"/>
    <s v="Mecánica"/>
    <s v="Se fabrican espigos con rosca para sujetación de cadena embobinador quedando OK._x000a_No genera paro en maquina"/>
    <x v="1"/>
    <s v="NA"/>
    <x v="3"/>
    <x v="0"/>
    <d v="1899-12-30T00:30:00"/>
    <d v="2026-03-04T14:30:00"/>
    <d v="2026-03-04T16:20:00"/>
    <d v="1899-12-30T01:50:00"/>
  </r>
  <r>
    <n v="967"/>
    <s v="L. GARZON"/>
    <d v="1899-12-30T06:10:00"/>
    <x v="129"/>
    <s v="SELLADORA 2"/>
    <s v="Puntual"/>
    <s v="Maquina no prende"/>
    <d v="1899-12-30T06:10:00"/>
    <d v="1899-12-30T07:10:00"/>
    <x v="120"/>
    <s v="Eléctrica"/>
    <s v="Se verifica tomando voltajes, se encuentra sin una fase, se reset, se restablece, auxiliar abierto quedando operativo"/>
    <x v="1"/>
    <s v="NA"/>
    <x v="1"/>
    <x v="0"/>
    <d v="1899-12-30T01:00:00"/>
    <d v="2026-03-05T06:10:00"/>
    <d v="2026-03-05T07:10:00"/>
    <d v="1899-12-30T01:00:00"/>
  </r>
  <r>
    <n v="968"/>
    <s v="L. GARZON"/>
    <d v="1899-12-30T07:50:00"/>
    <x v="129"/>
    <s v="SELLADORA 2"/>
    <s v="Puntual"/>
    <s v="Maquina se para intermitentemente"/>
    <d v="1899-12-30T07:50:00"/>
    <d v="1899-12-30T08:50:00"/>
    <x v="120"/>
    <s v="Eléctrica"/>
    <s v="Se verifica conexión, se observo mal contacto por cable de señal en PLC, se recomienda hacer cambio queda en seguimiento durante el turno"/>
    <x v="1"/>
    <s v="NA"/>
    <x v="1"/>
    <x v="0"/>
    <d v="1899-12-30T01:00:00"/>
    <d v="2026-03-05T07:50:00"/>
    <d v="2026-03-05T08:50:00"/>
    <d v="1899-12-30T01:00:00"/>
  </r>
  <r>
    <n v="969"/>
    <s v="L. GARZON"/>
    <d v="1899-12-30T12:00:00"/>
    <x v="129"/>
    <s v="SELLADORA 3"/>
    <s v="Puntual"/>
    <s v="Se suelta botón de apagar y prender transportador"/>
    <d v="1899-12-30T12:00:00"/>
    <d v="1899-12-30T12:30:00"/>
    <x v="120"/>
    <s v="Eléctrica"/>
    <s v="Se revisa y se observa botón suelto por desajuste en tornillos, se pocosiona, se da ajuste y queda operativo"/>
    <x v="1"/>
    <s v="NA"/>
    <x v="1"/>
    <x v="0"/>
    <d v="1899-12-30T00:30:00"/>
    <d v="2026-03-05T12:00:00"/>
    <d v="2026-03-05T12:30:00"/>
    <d v="1899-12-30T00:30:00"/>
  </r>
  <r>
    <n v="970"/>
    <s v="H. TRIANA"/>
    <d v="1899-12-30T09:00:00"/>
    <x v="129"/>
    <s v="EXTRUSORA 2"/>
    <s v="Puntual"/>
    <s v="Manga quemada"/>
    <d v="1899-12-30T09:00:00"/>
    <d v="1899-12-30T10:30:00"/>
    <x v="120"/>
    <s v="Mecánica"/>
    <s v="Se hace arreglo de manga en el equipo"/>
    <x v="1"/>
    <s v="NA"/>
    <x v="1"/>
    <x v="0"/>
    <d v="1899-12-30T01:30:00"/>
    <d v="2026-03-05T09:00:00"/>
    <d v="2026-03-05T10:30:00"/>
    <d v="1899-12-30T01:30:00"/>
  </r>
  <r>
    <n v="971"/>
    <s v="M. TORRES"/>
    <d v="1899-12-30T23:00:00"/>
    <x v="129"/>
    <s v="SELLADORA 2"/>
    <s v="Puntual"/>
    <s v="Maquina se apaga intermitentemente"/>
    <d v="1899-12-30T23:00:00"/>
    <d v="1899-12-30T23:20:00"/>
    <x v="120"/>
    <s v="Eléctrica"/>
    <s v="Se realiza ajuste de conectores a a pantalla y drive, se realiza limpieza queda operativa, se realiza seguimiento"/>
    <x v="1"/>
    <s v="NA"/>
    <x v="2"/>
    <x v="0"/>
    <d v="1899-12-30T00:20:00"/>
    <d v="2026-03-05T23:00:00"/>
    <d v="2026-03-05T23:20:00"/>
    <d v="1899-12-30T00:20:00"/>
  </r>
  <r>
    <n v="972"/>
    <s v="H. TRIANA"/>
    <d v="1899-12-30T16:50:00"/>
    <x v="129"/>
    <s v="EXTRUSORA 3"/>
    <s v="Puntual"/>
    <s v="Se frena embobinador y se quema la manga"/>
    <d v="1899-12-30T17:00:00"/>
    <d v="1899-12-30T18:15:00"/>
    <x v="120"/>
    <s v="Mecánica, Eléctrica"/>
    <s v="Manga inferior quemada, se desmonta se pasa manga superior a inferior quedando OK._x000a_En la superior se coloca una de segunda pendiente prueba"/>
    <x v="1"/>
    <s v="NA"/>
    <x v="3"/>
    <x v="0"/>
    <d v="1899-12-30T01:15:00"/>
    <d v="2026-03-05T16:50:00"/>
    <d v="2026-03-05T18:15:00"/>
    <d v="1899-12-30T01:25:00"/>
  </r>
  <r>
    <n v="973"/>
    <s v="E. REYES"/>
    <d v="1899-12-30T19:30:00"/>
    <x v="129"/>
    <s v="SELLADORA 2"/>
    <s v="Puntual"/>
    <s v="Temperatura se baja"/>
    <d v="1899-12-30T19:50:00"/>
    <d v="1899-12-30T20:20:00"/>
    <x v="120"/>
    <s v="Eléctrica"/>
    <s v="Conductor de resistencia mordaza superior con terminal malobrado, se realiza cambio de terminal y conductor quedando OK"/>
    <x v="1"/>
    <s v="NA"/>
    <x v="3"/>
    <x v="0"/>
    <d v="1899-12-30T00:30:00"/>
    <d v="2026-03-05T19:30:00"/>
    <d v="2026-03-05T20:20:00"/>
    <d v="1899-12-30T00:50:00"/>
  </r>
  <r>
    <n v="974"/>
    <s v="E. REYES"/>
    <d v="1899-12-30T16:50:00"/>
    <x v="129"/>
    <s v="SELLADORA 3"/>
    <s v="Puntual"/>
    <s v="Correa de tensor se suelta_x000a_Correas de tranportado se paran"/>
    <d v="1899-12-30T16:50:00"/>
    <d v="1899-12-30T17:15:00"/>
    <x v="120"/>
    <s v="Mecánica"/>
    <s v="Freno descalibrado por resorte desgastados y se calibra prensa_x000a_Se requiere compra de resorte"/>
    <x v="1"/>
    <s v="NA"/>
    <x v="3"/>
    <x v="0"/>
    <d v="1899-12-30T00:25:00"/>
    <d v="2026-03-05T16:50:00"/>
    <d v="2026-03-05T17:15:00"/>
    <d v="1899-12-30T00:25:00"/>
  </r>
  <r>
    <n v="975"/>
    <s v="E. REYES"/>
    <d v="1899-12-30T15:35:00"/>
    <x v="129"/>
    <s v="SELLADORA 2"/>
    <s v="Puntual"/>
    <s v="Elaboración de pieza para pisar tabla de precorte"/>
    <d v="1899-12-30T15:35:00"/>
    <d v="1899-12-30T16:00:00"/>
    <x v="120"/>
    <s v="Mecánica"/>
    <s v="Se elabora pieza para pisar tabla donde cae cuchilla"/>
    <x v="1"/>
    <s v="NA"/>
    <x v="3"/>
    <x v="0"/>
    <d v="1899-12-30T00:25:00"/>
    <d v="2026-03-05T15:35:00"/>
    <d v="2026-03-05T16:00:00"/>
    <d v="1899-12-30T00:25:00"/>
  </r>
  <r>
    <n v="976"/>
    <s v="R. OLIVARES"/>
    <d v="1899-12-30T23:10:00"/>
    <x v="129"/>
    <s v="EXTRUSORA 5"/>
    <s v="Puntual"/>
    <s v="Se encuentran 2 rodillos locos que no sirven"/>
    <d v="1899-12-30T23:40:00"/>
    <d v="1899-12-30T00:00:00"/>
    <x v="121"/>
    <s v="Mecánica"/>
    <s v="Se lubrican chumaceras de rodillos locos, #12 y #17 los cuales no giran y generan arruga, no se genera parada"/>
    <x v="1"/>
    <s v="NA"/>
    <x v="2"/>
    <x v="0"/>
    <n v="-0.98611111111111116"/>
    <d v="2026-03-05T23:10:00"/>
    <d v="2026-03-06T00:00:00"/>
    <d v="1899-12-30T00:50:00"/>
  </r>
  <r>
    <n v="977"/>
    <s v="J. PARDO"/>
    <d v="1899-12-30T22:35:00"/>
    <x v="129"/>
    <s v="IMPRESORA 1"/>
    <s v="Puntual"/>
    <s v="Fallo en la bomba"/>
    <d v="1899-12-30T22:35:00"/>
    <d v="1899-12-30T22:50:00"/>
    <x v="120"/>
    <s v="Neúmatica"/>
    <s v="Se encuentra bomba neúmatica en falla, se extrar succión, se realiza limpieza, ajuste de conectores, prueba de funcionamiento y queda en operación"/>
    <x v="1"/>
    <s v="NA"/>
    <x v="2"/>
    <x v="0"/>
    <d v="1899-12-30T00:15:00"/>
    <d v="2026-03-05T22:35:00"/>
    <d v="2026-03-05T22:50:00"/>
    <d v="1899-12-30T00:15:00"/>
  </r>
  <r>
    <n v="978"/>
    <s v="J. PARDO"/>
    <d v="1899-12-30T22:00:00"/>
    <x v="129"/>
    <s v="IMPRESORA 1"/>
    <s v="Puntual"/>
    <s v="Daño en rodamiento y rosca de mordaza de registro dañados"/>
    <d v="1899-12-30T22:00:00"/>
    <d v="1899-12-30T22:20:00"/>
    <x v="120"/>
    <s v="Mecánica"/>
    <s v="Se cambio rodamiento 6207-2Z ya no quedan en stock, se instalan 2 helicoidales para tornillo M10 en torre de unidad #2"/>
    <x v="141"/>
    <s v="NA"/>
    <x v="2"/>
    <x v="0"/>
    <d v="1899-12-30T00:20:00"/>
    <d v="2026-03-05T22:00:00"/>
    <d v="2026-03-05T22:20:00"/>
    <d v="1899-12-30T00:20:00"/>
  </r>
  <r>
    <n v="979"/>
    <s v="R. OLIVARES"/>
    <d v="1899-12-30T00:30:00"/>
    <x v="43"/>
    <s v="EXTRUSORA 5"/>
    <s v="Puntual"/>
    <s v="Falla en caja reductora Tornillo B"/>
    <d v="1899-12-30T00:30:00"/>
    <d v="1899-12-30T00:30:00"/>
    <x v="122"/>
    <s v="Mecánica"/>
    <s v="Se observa daño en piñon de salida de caja reductora, se procede al desarme para enviar a taller externo"/>
    <x v="1"/>
    <s v="NA"/>
    <x v="2"/>
    <x v="0"/>
    <d v="1899-12-30T00:00:00"/>
    <d v="2026-03-06T00:30:00"/>
    <d v="2026-03-11T00:30:00"/>
    <d v="1900-01-04T00:00:00"/>
  </r>
  <r>
    <n v="980"/>
    <s v="M. MARTINEZ"/>
    <d v="1899-12-30T08:50:00"/>
    <x v="43"/>
    <s v="SELLADORA 3"/>
    <s v="Puntual"/>
    <s v="Se suelta tensor de la correa"/>
    <d v="1899-12-30T11:30:00"/>
    <d v="1899-12-30T11:50:00"/>
    <x v="121"/>
    <s v="Mecánica"/>
    <s v="Tensor con arandela dañada, se realiza reposición de arandela y wasa quedando OK._x000a_"/>
    <x v="142"/>
    <s v="NA"/>
    <x v="3"/>
    <x v="0"/>
    <d v="1899-12-30T00:20:00"/>
    <d v="2026-03-06T08:50:00"/>
    <d v="2026-03-06T11:50:00"/>
    <d v="1899-12-30T03:00:00"/>
  </r>
  <r>
    <n v="981"/>
    <s v="M. MARTINEZ"/>
    <d v="1899-12-30T15:20:00"/>
    <x v="43"/>
    <s v="SELLADORA 1"/>
    <s v="Puntual"/>
    <s v="Maquina bloqueada"/>
    <d v="1899-12-30T15:20:00"/>
    <d v="1899-12-30T15:30:00"/>
    <x v="121"/>
    <s v="Eléctrica"/>
    <s v="Sensor mordaza activado, se desactiva permitiendo el avance de la maquina"/>
    <x v="1"/>
    <s v="NA"/>
    <x v="3"/>
    <x v="0"/>
    <d v="1899-12-30T00:10:00"/>
    <d v="2026-03-06T15:20:00"/>
    <d v="2026-03-06T15:30:00"/>
    <d v="1899-12-30T00:10:00"/>
  </r>
  <r>
    <n v="982"/>
    <s v="L. GARZON"/>
    <d v="1899-12-30T17:00:00"/>
    <x v="43"/>
    <s v="SELLADORA 2"/>
    <s v="Puntual"/>
    <s v="Maquina se para por que la bolsa sale pagada"/>
    <d v="1899-12-30T17:10:00"/>
    <d v="1899-12-30T18:00:00"/>
    <x v="121"/>
    <s v="Eléctrica"/>
    <s v="Termocupla dañada, no hay en stock, se realiza reparación una dañada para poder arrancar maquina, quedando OK."/>
    <x v="1"/>
    <s v="NA"/>
    <x v="3"/>
    <x v="0"/>
    <d v="1899-12-30T00:50:00"/>
    <d v="2026-03-06T17:00:00"/>
    <d v="2026-03-06T18:00:00"/>
    <d v="1899-12-30T01:00:00"/>
  </r>
  <r>
    <n v="983"/>
    <s v="L. GARZON"/>
    <d v="1899-12-30T11:20:00"/>
    <x v="130"/>
    <s v="SELLADORA 2"/>
    <s v="Puntual"/>
    <s v="Maquina se apaga intermitentemente y se dispara temperatura de la cuchilla"/>
    <d v="1899-12-30T11:20:00"/>
    <d v="1899-12-30T22:40:00"/>
    <x v="123"/>
    <s v="Eléctrica"/>
    <s v="Se observa termocupla defectuosa, se bajan parametros, se hace seguimiento durante el turno, se coloco termocupla inferior para remplazo, quedo faltante 1"/>
    <x v="119"/>
    <s v="NA"/>
    <x v="9"/>
    <x v="0"/>
    <d v="1899-12-30T11:20:00"/>
    <d v="2026-03-07T11:20:00"/>
    <d v="2026-03-07T22:40:00"/>
    <d v="1899-12-30T11:20:00"/>
  </r>
  <r>
    <n v="984"/>
    <s v="M. MARTINEZ"/>
    <d v="1899-12-30T21:30:00"/>
    <x v="131"/>
    <s v="SELLADORA 2"/>
    <s v="REPETITIVO"/>
    <s v="Sacar filo cuhcilla"/>
    <d v="1899-12-30T21:30:00"/>
    <d v="1899-12-30T21:45:00"/>
    <x v="114"/>
    <s v="Mecánica"/>
    <s v="Se presta apoyo para afilado de cuchilla quedando OK"/>
    <x v="1"/>
    <s v="NA"/>
    <x v="3"/>
    <x v="0"/>
    <d v="1899-12-30T00:15:00"/>
    <d v="2026-03-10T21:30:00"/>
    <d v="2026-03-10T21:45:00"/>
    <d v="1899-12-30T00:15:00"/>
  </r>
  <r>
    <n v="985"/>
    <s v="M. MARTINEZ"/>
    <d v="1899-12-30T15:40:00"/>
    <x v="130"/>
    <s v="SELLADORA 1"/>
    <s v="Puntual"/>
    <s v="Falla en mordaza pisa la bolsa"/>
    <d v="1899-12-30T15:40:00"/>
    <d v="1899-12-30T17:00:00"/>
    <x v="123"/>
    <s v="Mecánica"/>
    <s v="Ajuste de la mordaza inferior, revisión de aprametros por parte del operario en turno , queda por hacer seguimiento"/>
    <x v="1"/>
    <s v="NA"/>
    <x v="1"/>
    <x v="0"/>
    <d v="1899-12-30T01:20:00"/>
    <d v="2026-03-07T15:40:00"/>
    <d v="2026-03-07T17:00:00"/>
    <d v="1899-12-30T01:20:00"/>
  </r>
  <r>
    <n v="986"/>
    <s v="S. CARDENAL"/>
    <d v="1899-12-30T18:35:00"/>
    <x v="130"/>
    <s v="SELLADORA 3"/>
    <s v="Puntual"/>
    <s v="Prensa de atrás no aprieta"/>
    <d v="1899-12-30T18:40:00"/>
    <d v="1899-12-30T20:00:00"/>
    <x v="123"/>
    <s v="Mecánica"/>
    <s v="Se colocan prisioneros y resorte de prensa "/>
    <x v="143"/>
    <s v="NA"/>
    <x v="9"/>
    <x v="0"/>
    <d v="1899-12-30T01:20:00"/>
    <d v="2026-03-07T18:35:00"/>
    <d v="2026-03-07T20:00:00"/>
    <d v="1899-12-30T01:25:00"/>
  </r>
  <r>
    <n v="987"/>
    <s v="J. RINCON"/>
    <d v="1899-12-30T14:44:00"/>
    <x v="107"/>
    <s v="IMPRESORA 1"/>
    <s v="Puntual"/>
    <s v="Punto de soldadura del eje de embobinado"/>
    <d v="1899-12-30T14:45:00"/>
    <d v="1899-12-30T15:10:00"/>
    <x v="76"/>
    <s v="Mecánica"/>
    <s v="Se retira soldadura averiado para soldar nuevamente con electrodo 7018 quedando OK"/>
    <x v="144"/>
    <s v="NA"/>
    <x v="3"/>
    <x v="0"/>
    <d v="1899-12-30T00:25:00"/>
    <d v="2026-03-13T14:44:00"/>
    <d v="2026-03-13T15:10:00"/>
    <d v="1899-12-30T00:26:00"/>
  </r>
  <r>
    <n v="988"/>
    <s v="S. CARDENAL"/>
    <d v="1899-12-30T06:30:00"/>
    <x v="132"/>
    <s v="SELLADORA 2"/>
    <s v="Puntual"/>
    <s v="Selladora no prende"/>
    <d v="1899-12-30T06:30:00"/>
    <d v="1899-12-30T08:00:00"/>
    <x v="124"/>
    <s v="Eléctrica"/>
    <s v="Falla en breaker termomagnetico con contacto abierto, se realiza cambio por nuevo de 80A y ajuste en cuchilla quedando OK"/>
    <x v="145"/>
    <s v="NA"/>
    <x v="3"/>
    <x v="0"/>
    <d v="1899-12-30T01:30:00"/>
    <d v="2026-03-09T06:30:00"/>
    <d v="2026-03-09T08:00:00"/>
    <d v="1899-12-30T01:30:00"/>
  </r>
  <r>
    <n v="989"/>
    <s v="A. ROVIRA"/>
    <d v="1899-12-30T06:50:00"/>
    <x v="132"/>
    <s v="REFILADORA 1"/>
    <s v="Puntual"/>
    <s v="Se para el fay"/>
    <d v="1899-12-30T06:50:00"/>
    <d v="1899-12-30T08:15:00"/>
    <x v="124"/>
    <s v="Mecánica"/>
    <s v="Se evidencia motor bloqueado, se hace comprobación conexiones, se encuentra bloqueadas escobillas por refile se limpia y queda operativo, se calibra fay"/>
    <x v="1"/>
    <s v="NA"/>
    <x v="1"/>
    <x v="0"/>
    <d v="1899-12-30T01:25:00"/>
    <d v="2026-03-09T06:50:00"/>
    <d v="2026-03-09T08:15:00"/>
    <d v="1899-12-30T01:25:00"/>
  </r>
  <r>
    <n v="990"/>
    <s v="S. CARDENAL"/>
    <d v="1899-12-30T13:00:00"/>
    <x v="132"/>
    <s v="SELLADORA 3"/>
    <s v="Puntual"/>
    <s v="Se parte tornillo del rodillo del transportador"/>
    <d v="1899-12-30T13:00:00"/>
    <d v="1899-12-30T13:35:00"/>
    <x v="124"/>
    <s v="Mecánica"/>
    <s v="Se extrae pedazo de tornillo M6 de rodillo transportador, se remplaza por uno nuevo, se da ajuste queda operativo"/>
    <x v="146"/>
    <s v="NA"/>
    <x v="1"/>
    <x v="0"/>
    <d v="1899-12-30T00:35:00"/>
    <d v="2026-03-09T13:00:00"/>
    <d v="2026-03-09T13:35:00"/>
    <d v="1899-12-30T00:35:00"/>
  </r>
  <r>
    <n v="991"/>
    <s v="L. MIRANDA"/>
    <d v="1899-12-30T15:12:00"/>
    <x v="132"/>
    <s v="EXTRUSORA 4"/>
    <s v="Puntual"/>
    <s v="Verificar el motor de la caoa externa presenta escape de aceite"/>
    <d v="1899-12-30T15:15:00"/>
    <d v="1899-12-30T16:00:00"/>
    <x v="124"/>
    <s v="Mecánica"/>
    <s v="Tapa caja reductora abierta, tornillos sueltos, se realiza ajuste, limpieza de aceite, se verifica nivel quedando OK"/>
    <x v="1"/>
    <s v="NA"/>
    <x v="3"/>
    <x v="0"/>
    <d v="1899-12-30T00:45:00"/>
    <d v="2026-03-09T15:12:00"/>
    <d v="2026-03-09T16:00:00"/>
    <d v="1899-12-30T00:48:00"/>
  </r>
  <r>
    <n v="992"/>
    <s v="F. SANCHEZ"/>
    <d v="1899-12-30T06:40:00"/>
    <x v="131"/>
    <s v="EXTRUSORA 1"/>
    <s v="Puntual"/>
    <s v="Pirometro de la zona 1 exterior mal la lectura"/>
    <d v="1899-12-30T06:50:00"/>
    <d v="1899-12-30T07:10:00"/>
    <x v="114"/>
    <s v="Eléctrica"/>
    <s v="Se necesita cambio de termocupla"/>
    <x v="1"/>
    <s v="NA"/>
    <x v="9"/>
    <x v="0"/>
    <d v="1899-12-30T00:20:00"/>
    <d v="2026-03-10T06:40:00"/>
    <d v="2026-03-10T07:10:00"/>
    <d v="1899-12-30T00:30:00"/>
  </r>
  <r>
    <n v="993"/>
    <m/>
    <m/>
    <x v="3"/>
    <m/>
    <m/>
    <m/>
    <m/>
    <m/>
    <x v="3"/>
    <m/>
    <m/>
    <x v="4"/>
    <m/>
    <x v="4"/>
    <x v="1"/>
    <d v="1899-12-30T00:00:00"/>
    <d v="1899-12-30T00:00:00"/>
    <d v="1899-12-30T00:00:00"/>
    <d v="1899-12-30T00:00:00"/>
  </r>
  <r>
    <n v="994"/>
    <m/>
    <m/>
    <x v="3"/>
    <m/>
    <m/>
    <m/>
    <m/>
    <m/>
    <x v="3"/>
    <m/>
    <m/>
    <x v="4"/>
    <m/>
    <x v="4"/>
    <x v="1"/>
    <d v="1899-12-30T00:00:00"/>
    <d v="1899-12-30T00:00:00"/>
    <d v="1899-12-30T00:00:00"/>
    <d v="1899-12-30T00:00:00"/>
  </r>
  <r>
    <n v="995"/>
    <s v="S. PATIÑO"/>
    <d v="1899-12-30T20:10:00"/>
    <x v="131"/>
    <s v="EXTRUSORA 2"/>
    <s v="Puntual"/>
    <s v="Motor de la capa externa mal instalado, sentido de giro invertido"/>
    <d v="1899-12-30T20:15:00"/>
    <d v="1899-12-30T20:30:00"/>
    <x v="114"/>
    <s v="Mecánica"/>
    <s v="Motor con giro al reves, se realiza cambio de 2 fase para el cambio de giro quedando OK"/>
    <x v="1"/>
    <s v="NA"/>
    <x v="3"/>
    <x v="0"/>
    <d v="1899-12-30T00:15:00"/>
    <d v="2026-03-10T20:10:00"/>
    <d v="2026-03-10T20:30:00"/>
    <d v="1899-12-30T00:20:00"/>
  </r>
  <r>
    <n v="996"/>
    <s v="M. MARTINEZ"/>
    <d v="1899-12-30T20:10:00"/>
    <x v="131"/>
    <s v="SELLADORA 3"/>
    <s v="Puntual"/>
    <s v="Transportador se apaga y no prende"/>
    <d v="1899-12-30T20:30:00"/>
    <d v="1899-12-30T21:30:00"/>
    <x v="114"/>
    <s v="Mecánica"/>
    <s v="Se inspecciona encontrando prisioneros sueltos y uña por fuera, se remplazan prisioneros, se retira piñon para dar vuelta ya que no deja calibrar cadena, se realiza montaje quedando OK"/>
    <x v="147"/>
    <s v="NA"/>
    <x v="3"/>
    <x v="0"/>
    <d v="1899-12-30T01:00:00"/>
    <d v="2026-03-10T20:10:00"/>
    <d v="2026-03-10T21:30:00"/>
    <d v="1899-12-30T01:20:00"/>
  </r>
  <r>
    <n v="997"/>
    <s v="E. REYES"/>
    <d v="1899-12-30T00:00:00"/>
    <x v="133"/>
    <s v="SELLADORA 2"/>
    <s v="Puntual"/>
    <s v="Termocupla inferior"/>
    <m/>
    <m/>
    <x v="3"/>
    <m/>
    <m/>
    <x v="4"/>
    <m/>
    <x v="4"/>
    <x v="1"/>
    <d v="1899-12-30T00:00:00"/>
    <d v="2026-03-11T00:00:00"/>
    <d v="1899-12-30T00:00:00"/>
    <n v="-46092"/>
  </r>
  <r>
    <n v="998"/>
    <s v="J. RINCON"/>
    <d v="1899-12-30T05:00:00"/>
    <x v="133"/>
    <s v="IMPRESORA 1"/>
    <s v="Puntual"/>
    <s v="Union de rodamiento de ejes"/>
    <d v="1899-12-30T05:00:00"/>
    <d v="1899-12-30T05:10:00"/>
    <x v="122"/>
    <s v="Mecánica"/>
    <s v="Pista rodamiento abierta se grafila y se aplica trabarrosca quedando OK"/>
    <x v="1"/>
    <s v="Trabarrosca"/>
    <x v="3"/>
    <x v="0"/>
    <d v="1899-12-30T00:10:00"/>
    <d v="2026-03-11T05:00:00"/>
    <d v="2026-03-11T05:10:00"/>
    <d v="1899-12-30T00:10:00"/>
  </r>
  <r>
    <n v="999"/>
    <s v="J. PARDO"/>
    <d v="1899-12-30T07:40:00"/>
    <x v="133"/>
    <s v="IMPRESORA 1"/>
    <s v="Puntual"/>
    <s v="Manguera de unidad #4 no se desplaza"/>
    <d v="1899-12-30T07:40:00"/>
    <d v="1899-12-30T08:00:00"/>
    <x v="122"/>
    <s v="Mecánica"/>
    <s v="Se desmonta mangera, se realiza limpieza de material, se lubrica y se instala nuevamente"/>
    <x v="1"/>
    <s v="NA"/>
    <x v="2"/>
    <x v="0"/>
    <d v="1899-12-30T00:20:00"/>
    <d v="2026-03-11T07:40:00"/>
    <d v="2026-03-11T08:00:00"/>
    <d v="1899-12-30T00:20:00"/>
  </r>
  <r>
    <n v="1000"/>
    <s v="W. SANDOVAL"/>
    <d v="1899-12-30T09:00:00"/>
    <x v="133"/>
    <s v="REFILADORA 3"/>
    <s v="Puntual"/>
    <s v="Cambio de pisador"/>
    <d v="1899-12-30T09:00:00"/>
    <d v="1899-12-30T09:20:00"/>
    <x v="122"/>
    <s v="Mecánica"/>
    <s v="Se realizo cambio de pisador superior para trabajar lamina plastica"/>
    <x v="1"/>
    <s v="NA"/>
    <x v="2"/>
    <x v="0"/>
    <d v="1899-12-30T00:20:00"/>
    <d v="2026-03-11T09:00:00"/>
    <d v="2026-03-11T09:20:00"/>
    <d v="1899-12-30T00:20:00"/>
  </r>
  <r>
    <n v="1001"/>
    <s v="L. CASTILLA"/>
    <d v="1899-12-30T11:40:00"/>
    <x v="132"/>
    <s v="REFILADORA 3"/>
    <s v="Puntual"/>
    <s v="Base cilindro faq vibra_x000a_Blower embrague requiere cambio"/>
    <m/>
    <m/>
    <x v="3"/>
    <m/>
    <m/>
    <x v="4"/>
    <m/>
    <x v="4"/>
    <x v="2"/>
    <d v="1899-12-30T00:00:00"/>
    <d v="2026-03-09T11:40:00"/>
    <d v="1899-12-30T00:00:00"/>
    <n v="-46090.486111111109"/>
  </r>
  <r>
    <n v="1002"/>
    <s v="L. CASTILLA"/>
    <d v="1899-12-30T12:00:00"/>
    <x v="132"/>
    <s v="REFILADORA 2"/>
    <s v="Puntual"/>
    <s v="Piñon en teflon requeire fabricación y balanceo_x000a_Pisador para reencauchar"/>
    <m/>
    <m/>
    <x v="3"/>
    <m/>
    <m/>
    <x v="4"/>
    <m/>
    <x v="4"/>
    <x v="2"/>
    <d v="1899-12-30T00:00:00"/>
    <d v="2026-03-09T12:00:00"/>
    <d v="1899-12-30T00:00:00"/>
    <n v="-46090.5"/>
  </r>
  <r>
    <n v="1003"/>
    <s v="L. CASTILLA"/>
    <d v="1899-12-30T12:05:00"/>
    <x v="132"/>
    <s v="REFILADORA 1"/>
    <s v="Puntual"/>
    <s v="Se requiere eje embobinador neúmatico (se requiere eje para embobinador)_x000a_Blower refrigeración forzada motor embobinador"/>
    <m/>
    <m/>
    <x v="3"/>
    <m/>
    <m/>
    <x v="4"/>
    <m/>
    <x v="4"/>
    <x v="2"/>
    <d v="1899-12-30T00:00:00"/>
    <d v="2026-03-09T12:05:00"/>
    <d v="1899-12-30T00:00:00"/>
    <n v="-46090.503472222219"/>
  </r>
  <r>
    <n v="1004"/>
    <m/>
    <m/>
    <x v="3"/>
    <m/>
    <m/>
    <m/>
    <m/>
    <m/>
    <x v="3"/>
    <m/>
    <m/>
    <x v="4"/>
    <m/>
    <x v="4"/>
    <x v="1"/>
    <d v="1899-12-30T00:00:00"/>
    <d v="1899-12-30T00:00:00"/>
    <d v="1899-12-30T00:00:00"/>
    <d v="1899-12-30T00:00:00"/>
  </r>
  <r>
    <n v="1005"/>
    <s v="H. TRIANA"/>
    <d v="1899-12-30T07:25:00"/>
    <x v="133"/>
    <s v="EXTRUSORA 1"/>
    <s v="Puntual"/>
    <s v="Tornillo de la cremallera"/>
    <d v="1899-12-30T07:25:00"/>
    <d v="1899-12-30T07:40:00"/>
    <x v="122"/>
    <s v="Mecánica"/>
    <s v="Se extrae tornillo M6, se instala tornillo M6 X 60 mm con tuerca, se entrega operativo"/>
    <x v="1"/>
    <s v="NA"/>
    <x v="2"/>
    <x v="0"/>
    <d v="1899-12-30T00:15:00"/>
    <d v="2026-03-11T07:25:00"/>
    <d v="2026-03-11T07:40:00"/>
    <d v="1899-12-30T00:15:00"/>
  </r>
  <r>
    <n v="1006"/>
    <s v="D. BUESACO"/>
    <d v="1899-12-30T10:40:00"/>
    <x v="133"/>
    <s v="SELLADORA 2"/>
    <s v="Puntual"/>
    <s v="La maquina se apaga repetitivamente"/>
    <d v="1899-12-30T10:40:00"/>
    <d v="1899-12-30T11:10:00"/>
    <x v="122"/>
    <s v="Eléctrica"/>
    <s v="Se ajustan conectores pantalla, se refrigera pantalla y servo drive, se da ajuste a conexiones eléctricas y se entrega operativo 11:10_x000a_Se tiene en seguimiento"/>
    <x v="1"/>
    <s v="NA"/>
    <x v="2"/>
    <x v="0"/>
    <d v="1899-12-30T00:30:00"/>
    <d v="2026-03-11T10:40:00"/>
    <d v="2026-03-11T11:10:00"/>
    <d v="1899-12-30T00:30:00"/>
  </r>
  <r>
    <n v="1007"/>
    <s v="H. TRIANA"/>
    <d v="1899-12-30T14:15:00"/>
    <x v="133"/>
    <s v="EXTRUSORA 1"/>
    <s v="Puntual"/>
    <s v="Contactor marca mal, se recalienta 26° por encima de lo establecido"/>
    <d v="1899-12-30T14:15:00"/>
    <d v="1899-12-30T14:30:00"/>
    <x v="122"/>
    <s v="Eléctrica"/>
    <s v="Se evidencia que persiste el tema de temperatura alta, falta de termocupla para cambio, se hace seguimiento durante el turno"/>
    <x v="1"/>
    <s v="NA"/>
    <x v="1"/>
    <x v="0"/>
    <d v="1899-12-30T00:15:00"/>
    <d v="2026-03-11T14:15:00"/>
    <d v="2026-03-11T14:30:00"/>
    <d v="1899-12-30T00:15:00"/>
  </r>
  <r>
    <n v="1008"/>
    <m/>
    <m/>
    <x v="3"/>
    <m/>
    <m/>
    <m/>
    <m/>
    <m/>
    <x v="3"/>
    <m/>
    <m/>
    <x v="4"/>
    <m/>
    <x v="4"/>
    <x v="1"/>
    <d v="1899-12-30T00:00:00"/>
    <d v="1899-12-30T00:00:00"/>
    <d v="1899-12-30T00:00:00"/>
    <d v="1899-12-30T00:00:00"/>
  </r>
  <r>
    <n v="1009"/>
    <s v="F. SANCHEZ"/>
    <d v="1899-12-30T18:45:00"/>
    <x v="133"/>
    <s v="EXTRUSORA 1"/>
    <s v="Puntual"/>
    <s v="Cambio de termocupla"/>
    <d v="1899-12-30T18:45:00"/>
    <d v="1899-12-30T20:25:00"/>
    <x v="122"/>
    <s v="Eléctrica"/>
    <s v="Se hace cambio de termocupla, se corrige lectura de temperatura, queda operativa y en seguimiento"/>
    <x v="138"/>
    <s v="NA"/>
    <x v="1"/>
    <x v="0"/>
    <d v="1899-12-30T01:40:00"/>
    <d v="2026-03-11T18:45:00"/>
    <d v="2026-03-11T20:25:00"/>
    <d v="1899-12-30T01:40:00"/>
  </r>
  <r>
    <n v="1010"/>
    <s v="J. MIRANDA"/>
    <d v="1899-12-30T04:25:00"/>
    <x v="89"/>
    <s v="EXTRUSORA 5"/>
    <s v="Puntual"/>
    <s v="Revisar la zona 6 de la capa C ya que presenta falla"/>
    <d v="1899-12-30T04:35:00"/>
    <d v="1899-12-30T05:20:00"/>
    <x v="125"/>
    <s v="Eléctrica"/>
    <s v="Se cambia termocupla zona 6 por lectura erronea"/>
    <x v="148"/>
    <s v="NA"/>
    <x v="9"/>
    <x v="0"/>
    <d v="1899-12-30T00:45:00"/>
    <d v="2026-03-12T04:25:00"/>
    <d v="2026-03-12T05:20:00"/>
    <d v="1899-12-30T00:55:00"/>
  </r>
  <r>
    <n v="1011"/>
    <s v="S. CARDENAL"/>
    <d v="1899-12-30T08:15:00"/>
    <x v="89"/>
    <s v="SELLADORA 2"/>
    <s v="Puntual"/>
    <s v="Cambio de termocuplas, la superior esta dañada y la inferior no tiene"/>
    <d v="1899-12-30T08:50:00"/>
    <d v="1899-12-30T09:45:00"/>
    <x v="125"/>
    <s v="Eléctrica"/>
    <s v="Se realiza cambio de termocupla superior por daño y se instala nueva termocupla para mordaza inferior quedo operativo"/>
    <x v="138"/>
    <s v="NA"/>
    <x v="2"/>
    <x v="0"/>
    <d v="1899-12-30T00:55:00"/>
    <d v="2026-03-12T08:15:00"/>
    <d v="2026-03-12T09:45:00"/>
    <d v="1899-12-30T01:30:00"/>
  </r>
  <r>
    <n v="1012"/>
    <s v="A. MIRANDA"/>
    <d v="1899-12-30T06:15:00"/>
    <x v="89"/>
    <s v="EXTRUSORA 5"/>
    <s v="Puntual"/>
    <s v="Fallo en motor de refile"/>
    <d v="1899-12-30T06:15:00"/>
    <d v="1899-12-30T07:30:00"/>
    <x v="125"/>
    <s v="Mecánica"/>
    <s v="Motor se aago por sobreesfuerzo se desmonta guarda, se tensionó correa, se lubrican rodamientos, se quita material atascado_x000a_No se genero parada de maquina, se interviene 7:10 a 7:30 en parada para cambio de malas"/>
    <x v="1"/>
    <s v="NA"/>
    <x v="2"/>
    <x v="0"/>
    <d v="1899-12-30T01:15:00"/>
    <d v="2026-03-12T06:15:00"/>
    <d v="2026-03-12T07:30:00"/>
    <d v="1899-12-30T01:15:00"/>
  </r>
  <r>
    <n v="1013"/>
    <s v="A. MIRANDA"/>
    <d v="1899-12-30T06:30:00"/>
    <x v="89"/>
    <s v="EXTRUSORA 5"/>
    <s v="Puntual"/>
    <s v="Zona 6 tornillo A con temperatura alta"/>
    <d v="1899-12-30T07:30:00"/>
    <d v="1899-12-30T08:30:00"/>
    <x v="125"/>
    <s v="Eléctrica"/>
    <s v="Se encuentra zona 6 tornillo a 230° C y el setpoint esta en 180°C, e realiza insección y se encuentra guardamotor del aire forzado disparado, se desmonto ventilador y se encuentra desbalanceado, se remplazo por el de la zona 1, no se genero parada"/>
    <x v="1"/>
    <s v="NA"/>
    <x v="2"/>
    <x v="0"/>
    <d v="1899-12-30T01:00:00"/>
    <d v="2026-03-12T06:30:00"/>
    <d v="2026-03-12T08:30:00"/>
    <d v="1899-12-30T02:00:00"/>
  </r>
  <r>
    <n v="1014"/>
    <s v="J. PARDO"/>
    <d v="1899-12-30T16:30:00"/>
    <x v="89"/>
    <s v="IMPRESORA 1"/>
    <s v="Puntual"/>
    <s v="Daño en rodillo desembobinador"/>
    <d v="1899-12-30T14:30:00"/>
    <d v="1899-12-30T21:00:00"/>
    <x v="125"/>
    <s v="Mecánica"/>
    <s v="Reparación chumacera de calibración de registro (de 14:30 a 16:30)_x000a_Calibración espigo porta clichets grafilado y aplicación trabarrosca_x000a_Desmontaje eje (16:30 a 17:00) _x000a_Porta rodillo loco desembobinador y fabricación de pieza soporte rodillo y montaje nuevamente quedando OK"/>
    <x v="1"/>
    <s v="NA"/>
    <x v="3"/>
    <x v="0"/>
    <d v="1899-12-30T06:30:00"/>
    <d v="2026-03-12T16:30:00"/>
    <d v="2026-03-12T21:00:00"/>
    <d v="1899-12-30T04:30:00"/>
  </r>
  <r>
    <n v="1015"/>
    <s v="J. PARDO"/>
    <d v="1899-12-30T10:30:00"/>
    <x v="89"/>
    <s v="IMPRESORA 1"/>
    <s v="Puntual"/>
    <s v="Fuga de aceite"/>
    <d v="1899-12-30T11:00:00"/>
    <d v="1899-12-30T13:30:00"/>
    <x v="125"/>
    <s v="Mecánica"/>
    <s v="Se encuentra fuga en acople 1/8&quot; a 1/8&quot; de actuador hidraulico de unidad #2, se desmonta cople y se encuentra partido, se envio para compra, se instala y se entrega"/>
    <x v="149"/>
    <s v="NA"/>
    <x v="2"/>
    <x v="0"/>
    <d v="1899-12-30T02:30:00"/>
    <d v="2026-03-12T10:30:00"/>
    <d v="2026-03-12T13:30:00"/>
    <d v="1899-12-30T03:00:00"/>
  </r>
  <r>
    <n v="1016"/>
    <s v="E. REYES"/>
    <d v="1899-12-30T23:10:00"/>
    <x v="89"/>
    <s v="SELLADORA 2"/>
    <s v="Puntual"/>
    <s v="Fotocelda no lee_x000a_Maquina se apaga_x000a_Tensor suelto"/>
    <d v="1899-12-30T02:40:00"/>
    <d v="1899-12-30T03:40:00"/>
    <x v="76"/>
    <s v="Eléctrica_x000a_Mecánica"/>
    <s v="Se congigura el variado se ajusta fotocelda correa tensor rodillo y queda OK"/>
    <x v="1"/>
    <s v="NA"/>
    <x v="9"/>
    <x v="0"/>
    <d v="1899-12-30T01:00:00"/>
    <d v="2026-03-12T23:10:00"/>
    <d v="2026-03-13T03:40:00"/>
    <d v="1899-12-30T04:30:00"/>
  </r>
  <r>
    <n v="1017"/>
    <m/>
    <m/>
    <x v="3"/>
    <m/>
    <m/>
    <m/>
    <m/>
    <m/>
    <x v="3"/>
    <m/>
    <m/>
    <x v="4"/>
    <m/>
    <x v="4"/>
    <x v="1"/>
    <d v="1899-12-30T00:00:00"/>
    <d v="1899-12-30T00:00:00"/>
    <d v="1899-12-30T00:00:00"/>
    <d v="1899-12-30T00:00:00"/>
  </r>
  <r>
    <n v="1018"/>
    <m/>
    <m/>
    <x v="3"/>
    <m/>
    <m/>
    <m/>
    <m/>
    <m/>
    <x v="3"/>
    <m/>
    <m/>
    <x v="4"/>
    <m/>
    <x v="4"/>
    <x v="1"/>
    <d v="1899-12-30T00:00:00"/>
    <d v="1899-12-30T00:00:00"/>
    <d v="1899-12-30T00:00:00"/>
    <d v="1899-12-30T00:00:00"/>
  </r>
  <r>
    <n v="1019"/>
    <s v="D.CUESTA"/>
    <d v="1899-12-30T03:20:00"/>
    <x v="107"/>
    <s v="EXTRUSORA 5"/>
    <s v="Puntual"/>
    <s v="Ajustar soporte del rodillo perforador para cuadrar perforadores"/>
    <d v="1899-12-30T03:25:00"/>
    <d v="1899-12-30T03:40:00"/>
    <x v="76"/>
    <s v="Mecánica"/>
    <s v="Se ajusta la caña y se coloca tornillo a la manija de giro queda OK"/>
    <x v="150"/>
    <s v="NA"/>
    <x v="9"/>
    <x v="0"/>
    <d v="1899-12-30T00:15:00"/>
    <d v="2026-03-13T03:20:00"/>
    <d v="2026-03-13T03:40:00"/>
    <d v="1899-12-30T00:20:00"/>
  </r>
  <r>
    <n v="1020"/>
    <s v="H. TRIANA"/>
    <d v="1899-12-30T04:30:00"/>
    <x v="107"/>
    <s v="EXTRUSORA 2"/>
    <s v="Puntual"/>
    <s v="Rodamiento del eje de embobinado dañado"/>
    <d v="1899-12-30T04:00:00"/>
    <d v="1899-12-30T07:20:00"/>
    <x v="76"/>
    <s v="Mecánica"/>
    <s v="Se realiza cambio de rodamiento 6005 2Z-C3"/>
    <x v="151"/>
    <s v="NA"/>
    <x v="2"/>
    <x v="0"/>
    <d v="1899-12-30T03:20:00"/>
    <d v="2026-03-13T04:30:00"/>
    <d v="2026-03-13T07:20:00"/>
    <d v="1899-12-30T02:50:00"/>
  </r>
  <r>
    <n v="1021"/>
    <s v="D. CUESTA"/>
    <d v="1899-12-30T05:20:00"/>
    <x v="107"/>
    <s v="EXTRUSORA 5"/>
    <s v="Puntual"/>
    <s v="Falla en el transporte y el alimentador, se cae la barra al hacer el cambio"/>
    <d v="1899-12-30T05:21:00"/>
    <d v="1899-12-30T06:20:00"/>
    <x v="76"/>
    <s v="Mecánica"/>
    <s v="Se calibra transportador y se quitan alarmas de variador"/>
    <x v="1"/>
    <s v="NA"/>
    <x v="2"/>
    <x v="0"/>
    <d v="1899-12-30T00:59:00"/>
    <d v="2026-03-13T05:20:00"/>
    <d v="2026-03-13T06:20:00"/>
    <d v="1899-12-30T01:00:00"/>
  </r>
  <r>
    <n v="1022"/>
    <s v="D. BUESACO"/>
    <d v="1899-12-30T13:25:00"/>
    <x v="107"/>
    <s v="SELLADORA 3"/>
    <s v="Repetitiva"/>
    <s v="Cuchilla"/>
    <d v="1899-12-30T14:15:00"/>
    <d v="1899-12-30T14:30:00"/>
    <x v="76"/>
    <s v="Mecánica"/>
    <s v="Se recibe turno con anomalia en maquina_x000a_Se presta apoyo para ajuste en cuchilla superior y calibración de tiempos"/>
    <x v="1"/>
    <s v="NA"/>
    <x v="3"/>
    <x v="0"/>
    <d v="1899-12-30T00:15:00"/>
    <d v="2026-03-13T13:25:00"/>
    <d v="2026-03-13T14:30:00"/>
    <d v="1899-12-30T01:05:00"/>
  </r>
  <r>
    <n v="1023"/>
    <s v="M. MARTINEZ"/>
    <d v="1899-12-30T17:00:00"/>
    <x v="107"/>
    <s v="SELLADORA 1"/>
    <s v="Puntual"/>
    <s v="Bolsa sale bloqueada y marcada por la cuchilla"/>
    <d v="1899-12-30T17:30:00"/>
    <d v="1899-12-30T19:30:00"/>
    <x v="76"/>
    <s v="Mecánica"/>
    <s v="Se presta apoyo para realizar ajuste en prensa, calibrar presiones en mordaza, se calibra cuchilla quedando OK"/>
    <x v="1"/>
    <s v="NA"/>
    <x v="3"/>
    <x v="0"/>
    <d v="1899-12-30T02:00:00"/>
    <d v="2026-03-13T17:00:00"/>
    <d v="2026-03-13T19:30:00"/>
    <d v="1899-12-30T02:30:00"/>
  </r>
  <r>
    <n v="1024"/>
    <m/>
    <m/>
    <x v="3"/>
    <m/>
    <m/>
    <m/>
    <m/>
    <m/>
    <x v="3"/>
    <m/>
    <m/>
    <x v="4"/>
    <m/>
    <x v="4"/>
    <x v="1"/>
    <d v="1899-12-30T00:00:00"/>
    <d v="1899-12-30T00:00:00"/>
    <d v="1899-12-30T00:00:00"/>
    <d v="1899-12-30T00:00:00"/>
  </r>
  <r>
    <n v="1025"/>
    <s v="S. BRICEÑO"/>
    <d v="1899-12-30T13:38:00"/>
    <x v="134"/>
    <s v="IMPRESORA 1"/>
    <s v="Puntual"/>
    <s v="Rodamiento del seguro del embobinador se rompio"/>
    <m/>
    <m/>
    <x v="3"/>
    <m/>
    <m/>
    <x v="4"/>
    <m/>
    <x v="4"/>
    <x v="2"/>
    <d v="1899-12-30T00:00:00"/>
    <d v="2026-03-14T13:38:00"/>
    <d v="1899-12-30T00:00:00"/>
    <n v="-46095.568055555559"/>
  </r>
  <r>
    <n v="1026"/>
    <s v="M. MARTINEZ"/>
    <d v="1899-12-30T21:45:00"/>
    <x v="134"/>
    <s v="SELLADORA 3"/>
    <s v="Puntual"/>
    <s v="Se daña rodamiento de la prensa sobresalto en motor del transportador"/>
    <d v="1899-12-30T21:50:00"/>
    <d v="1899-12-30T02:00:00"/>
    <x v="126"/>
    <s v="Mecánica"/>
    <s v="Se evidencia que se sale rodamiento de rodillo transportador, se desmonta, se da ajuste, se busca y se cambia base de cadena del motor del transportador, se da ajuste de en rodamiento rodillo prensa, se lubrican se hace seguimiento durante el turno"/>
    <x v="1"/>
    <s v="NA"/>
    <x v="1"/>
    <x v="0"/>
    <n v="-0.82638888888888884"/>
    <d v="2026-03-14T21:45:00"/>
    <d v="2026-03-15T02:00:00"/>
    <d v="1899-12-30T04:15:00"/>
  </r>
  <r>
    <n v="1027"/>
    <m/>
    <m/>
    <x v="3"/>
    <m/>
    <m/>
    <m/>
    <m/>
    <m/>
    <x v="3"/>
    <m/>
    <m/>
    <x v="4"/>
    <m/>
    <x v="4"/>
    <x v="1"/>
    <d v="1899-12-30T00:00:00"/>
    <d v="1899-12-30T00:00:00"/>
    <d v="1899-12-30T00:00:00"/>
    <d v="1899-12-30T00:00:00"/>
  </r>
  <r>
    <n v="1028"/>
    <s v="F. SANCHEZ"/>
    <d v="1899-12-30T05:45:00"/>
    <x v="135"/>
    <s v="EXTRUSORA 2"/>
    <s v="Puntual"/>
    <s v="Se para la maquina por falla en la rotación, se para"/>
    <d v="1899-12-30T06:10:00"/>
    <d v="1899-12-30T14:00:00"/>
    <x v="126"/>
    <s v="Mecánica"/>
    <s v="Rotación frenada limitando el giro dejando sin operación la maquina, se procede a desarme encontrando rodamiento con material y mal acoplado generando ajuste entre barril y eje de rotación, se realiza limpieza, se aplica grasa quedando OK"/>
    <x v="1"/>
    <s v="Grasa"/>
    <x v="3"/>
    <x v="0"/>
    <d v="1899-12-30T07:50:00"/>
    <d v="2026-03-15T05:45:00"/>
    <d v="2026-03-15T14:00:00"/>
    <d v="1899-12-30T08:15:00"/>
  </r>
  <r>
    <n v="1029"/>
    <m/>
    <m/>
    <x v="3"/>
    <m/>
    <m/>
    <m/>
    <m/>
    <m/>
    <x v="3"/>
    <m/>
    <m/>
    <x v="4"/>
    <m/>
    <x v="4"/>
    <x v="1"/>
    <d v="1899-12-30T00:00:00"/>
    <d v="1899-12-30T00:00:00"/>
    <d v="1899-12-30T00:00:00"/>
    <d v="1899-12-30T00:00:00"/>
  </r>
  <r>
    <n v="1030"/>
    <s v="J. PINZON"/>
    <d v="1899-12-30T07:40:00"/>
    <x v="135"/>
    <s v="IMPRESORA 1"/>
    <s v="Puntual"/>
    <s v="Se ajusta eje de embobinado delantero (Torcido)"/>
    <d v="1899-12-30T07:40:00"/>
    <d v="1899-12-30T08:10:00"/>
    <x v="126"/>
    <s v="Mecánica"/>
    <s v="Se realiza ajuste a cadena de rodillo balancin freno dejandolo nivelado"/>
    <x v="1"/>
    <s v="NA"/>
    <x v="3"/>
    <x v="0"/>
    <d v="1899-12-30T00:30:00"/>
    <d v="2026-03-15T07:40:00"/>
    <d v="2026-03-15T08:10:00"/>
    <d v="1899-12-30T00:30:00"/>
  </r>
  <r>
    <n v="1031"/>
    <s v="H. TRIANA"/>
    <d v="1899-12-30T14:00:00"/>
    <x v="135"/>
    <s v="EXTRUSORA 2"/>
    <s v="Puntual"/>
    <s v="Bomba de vacio no chupa aire"/>
    <d v="1899-12-30T14:00:00"/>
    <d v="1899-12-30T21:00:00"/>
    <x v="126"/>
    <s v="Mecánica"/>
    <s v="Se encuentra blower con refile atascado, adicional a esto carcasa suelta con falta de tornillos_x000a_Se le olocan y se da ajuste queda operativa"/>
    <x v="1"/>
    <s v="NA"/>
    <x v="1"/>
    <x v="0"/>
    <d v="1899-12-30T07:00:00"/>
    <d v="2026-03-15T14:00:00"/>
    <d v="2026-03-15T21:00:00"/>
    <d v="1899-12-30T07:00:00"/>
  </r>
  <r>
    <n v="1032"/>
    <s v="F. SANCHEZ"/>
    <d v="1899-12-30T06:30:00"/>
    <x v="136"/>
    <s v="EXTRUSORA 4"/>
    <s v="Puntual"/>
    <s v="Temperatura del molde no calienta"/>
    <d v="1899-12-30T07:00:00"/>
    <d v="1899-12-30T07:45:00"/>
    <x v="127"/>
    <s v="Eléctrica"/>
    <s v="Se realiza cambio de contactor de 18A de zona de molde "/>
    <x v="152"/>
    <s v="NA"/>
    <x v="2"/>
    <x v="0"/>
    <d v="1899-12-30T00:45:00"/>
    <d v="2026-03-16T06:30:00"/>
    <d v="2026-03-16T07:45:00"/>
    <d v="1899-12-30T01:15:00"/>
  </r>
  <r>
    <n v="1033"/>
    <m/>
    <m/>
    <x v="3"/>
    <m/>
    <m/>
    <m/>
    <m/>
    <m/>
    <x v="3"/>
    <m/>
    <m/>
    <x v="4"/>
    <m/>
    <x v="4"/>
    <x v="1"/>
    <d v="1899-12-30T00:00:00"/>
    <d v="1899-12-30T00:00:00"/>
    <d v="1899-12-30T00:00:00"/>
    <d v="1899-12-30T00:00:00"/>
  </r>
  <r>
    <n v="1034"/>
    <s v="E. REYES"/>
    <d v="1899-12-30T10:10:00"/>
    <x v="136"/>
    <s v="SELLADORA 2"/>
    <s v="Puntual"/>
    <s v="Paro de maquina"/>
    <d v="1899-12-30T10:10:00"/>
    <d v="1899-12-30T10:30:00"/>
    <x v="127"/>
    <s v="Eléctrica"/>
    <s v="Se da ajsute a conectores eléctricos y se aplica aire forzado a tarjeta quedando operativo en seguimiento"/>
    <x v="1"/>
    <s v="NA"/>
    <x v="2"/>
    <x v="0"/>
    <d v="1899-12-30T00:20:00"/>
    <d v="2026-03-16T10:10:00"/>
    <d v="2026-03-16T10:30:00"/>
    <d v="1899-12-30T00:20:00"/>
  </r>
  <r>
    <n v="1035"/>
    <m/>
    <m/>
    <x v="3"/>
    <m/>
    <m/>
    <m/>
    <m/>
    <m/>
    <x v="3"/>
    <m/>
    <m/>
    <x v="4"/>
    <m/>
    <x v="4"/>
    <x v="1"/>
    <d v="1899-12-30T00:00:00"/>
    <d v="1899-12-30T00:00:00"/>
    <d v="1899-12-30T00:00:00"/>
    <d v="1899-12-30T00:00:00"/>
  </r>
  <r>
    <n v="1036"/>
    <m/>
    <m/>
    <x v="3"/>
    <m/>
    <m/>
    <m/>
    <m/>
    <m/>
    <x v="3"/>
    <m/>
    <m/>
    <x v="4"/>
    <m/>
    <x v="4"/>
    <x v="1"/>
    <d v="1899-12-30T00:00:00"/>
    <d v="1899-12-30T00:00:00"/>
    <d v="1899-12-30T00:00:00"/>
    <d v="1899-12-30T00:00:00"/>
  </r>
  <r>
    <n v="1037"/>
    <m/>
    <m/>
    <x v="3"/>
    <m/>
    <m/>
    <m/>
    <m/>
    <m/>
    <x v="3"/>
    <m/>
    <m/>
    <x v="4"/>
    <m/>
    <x v="4"/>
    <x v="1"/>
    <d v="1899-12-30T00:00:00"/>
    <d v="1899-12-30T00:00:00"/>
    <d v="1899-12-30T00:00:00"/>
    <d v="1899-12-30T00:00:00"/>
  </r>
  <r>
    <n v="1038"/>
    <m/>
    <m/>
    <x v="3"/>
    <m/>
    <m/>
    <m/>
    <m/>
    <m/>
    <x v="3"/>
    <m/>
    <m/>
    <x v="4"/>
    <m/>
    <x v="4"/>
    <x v="1"/>
    <d v="1899-12-30T00:00:00"/>
    <d v="1899-12-30T00:00:00"/>
    <d v="1899-12-30T00:00:00"/>
    <d v="1899-12-30T00:00:00"/>
  </r>
  <r>
    <n v="1039"/>
    <m/>
    <m/>
    <x v="3"/>
    <m/>
    <m/>
    <m/>
    <m/>
    <m/>
    <x v="3"/>
    <m/>
    <m/>
    <x v="4"/>
    <m/>
    <x v="4"/>
    <x v="1"/>
    <d v="1899-12-30T00:00:00"/>
    <d v="1899-12-30T00:00:00"/>
    <d v="1899-12-30T00:00:00"/>
    <d v="1899-12-30T00:00:00"/>
  </r>
  <r>
    <n v="1040"/>
    <m/>
    <m/>
    <x v="3"/>
    <m/>
    <m/>
    <m/>
    <m/>
    <m/>
    <x v="3"/>
    <m/>
    <m/>
    <x v="4"/>
    <m/>
    <x v="4"/>
    <x v="1"/>
    <d v="1899-12-30T00:00:00"/>
    <d v="1899-12-30T00:00:00"/>
    <d v="1899-12-30T00:00:00"/>
    <d v="1899-12-30T00:00:00"/>
  </r>
  <r>
    <n v="1041"/>
    <m/>
    <m/>
    <x v="3"/>
    <m/>
    <m/>
    <m/>
    <m/>
    <m/>
    <x v="3"/>
    <m/>
    <m/>
    <x v="4"/>
    <m/>
    <x v="4"/>
    <x v="1"/>
    <d v="1899-12-30T00:00:00"/>
    <d v="1899-12-30T00:00:00"/>
    <d v="1899-12-30T00:00:00"/>
    <d v="1899-12-30T00:00:00"/>
  </r>
  <r>
    <n v="1042"/>
    <m/>
    <m/>
    <x v="3"/>
    <m/>
    <m/>
    <m/>
    <m/>
    <m/>
    <x v="3"/>
    <m/>
    <m/>
    <x v="4"/>
    <m/>
    <x v="4"/>
    <x v="1"/>
    <d v="1899-12-30T00:00:00"/>
    <d v="1899-12-30T00:00:00"/>
    <d v="1899-12-30T00:00:00"/>
    <d v="1899-12-30T00:00:00"/>
  </r>
  <r>
    <n v="1043"/>
    <s v="J. PARDO"/>
    <d v="1899-12-30T21:30:00"/>
    <x v="137"/>
    <s v="IMPRESORA 1"/>
    <s v="Puntual"/>
    <s v="Ajuste de registros y trinquetes"/>
    <d v="1899-12-30T21:30:00"/>
    <d v="1899-12-30T22:00:00"/>
    <x v="128"/>
    <s v="Mecánica"/>
    <s v="Se ajustan y se instalan 2 registros los cuales tienen tornilleria suelta, y se instalan 2 resortes a los trinquetes de 2 piñones_x000a_No se genera parada"/>
    <x v="153"/>
    <s v="NA"/>
    <x v="2"/>
    <x v="0"/>
    <d v="1899-12-30T00:30:00"/>
    <d v="2026-03-17T21:30:00"/>
    <d v="2026-03-17T22:00:00"/>
    <d v="1899-12-30T00:30:00"/>
  </r>
  <r>
    <n v="1044"/>
    <s v="J. PARDO"/>
    <d v="1899-12-30T22:00:00"/>
    <x v="137"/>
    <s v="IMPRESORA 1"/>
    <s v="Puntual"/>
    <s v="Nivel de aceite hidraulico bajo"/>
    <d v="1899-12-30T22:00:00"/>
    <d v="1899-12-30T22:20:00"/>
    <x v="128"/>
    <s v="Mecánica"/>
    <s v="Se adiciona aceite hidraulico a deposito de aceite de bomba hidraulica por bajo nivel"/>
    <x v="1"/>
    <s v="Aceite"/>
    <x v="2"/>
    <x v="0"/>
    <d v="1899-12-30T00:20:00"/>
    <d v="2026-03-17T22:00:00"/>
    <d v="2026-03-17T22:20:00"/>
    <d v="1899-12-30T00:20:00"/>
  </r>
  <r>
    <n v="1045"/>
    <s v="J. MIRANDA"/>
    <d v="1899-12-30T18:00:00"/>
    <x v="137"/>
    <s v="REFILADORA 2"/>
    <s v="Puntual"/>
    <s v="Tornillo partido en el soporte de los precortes"/>
    <d v="1899-12-30T18:00:00"/>
    <d v="1899-12-30T18:30:00"/>
    <x v="128"/>
    <s v="Mecánica"/>
    <s v="Se extrae partido y se instala uno en mordaza de cuchilla M8 X 30 mm"/>
    <x v="116"/>
    <s v="NA"/>
    <x v="2"/>
    <x v="0"/>
    <d v="1899-12-30T00:30:00"/>
    <d v="2026-03-17T18:00:00"/>
    <d v="2026-03-17T18:30:00"/>
    <d v="1899-12-30T00:30:00"/>
  </r>
  <r>
    <n v="1046"/>
    <s v="O. VALENCIA"/>
    <d v="1899-12-30T07:40:00"/>
    <x v="138"/>
    <s v="PELETIZADORA"/>
    <s v="Puntual"/>
    <s v="Motor tolva en revoluciones bajas"/>
    <d v="1899-12-30T07:40:00"/>
    <d v="1899-12-30T08:10:00"/>
    <x v="129"/>
    <s v="Eléctrica"/>
    <s v="Se verifican parametros del P-01 hasta P-014 y se ajustan algunos según manual de programación quedando OK"/>
    <x v="1"/>
    <s v="NA"/>
    <x v="3"/>
    <x v="0"/>
    <d v="1899-12-30T00:30:00"/>
    <d v="2026-03-18T07:40:00"/>
    <d v="2026-03-18T08:10:00"/>
    <d v="1899-12-30T00:30:00"/>
  </r>
  <r>
    <n v="1047"/>
    <m/>
    <m/>
    <x v="3"/>
    <m/>
    <m/>
    <m/>
    <m/>
    <m/>
    <x v="3"/>
    <m/>
    <m/>
    <x v="4"/>
    <m/>
    <x v="4"/>
    <x v="1"/>
    <d v="1899-12-30T00:00:00"/>
    <d v="1899-12-30T00:00:00"/>
    <d v="1899-12-30T00:00:00"/>
    <d v="1899-12-30T00:00:00"/>
  </r>
  <r>
    <n v="1048"/>
    <m/>
    <m/>
    <x v="3"/>
    <m/>
    <m/>
    <m/>
    <m/>
    <m/>
    <x v="3"/>
    <m/>
    <m/>
    <x v="4"/>
    <m/>
    <x v="4"/>
    <x v="1"/>
    <d v="1899-12-30T00:00:00"/>
    <d v="1899-12-30T00:00:00"/>
    <d v="1899-12-30T00:00:00"/>
    <d v="1899-12-30T00:00:00"/>
  </r>
  <r>
    <n v="1049"/>
    <m/>
    <m/>
    <x v="3"/>
    <m/>
    <m/>
    <m/>
    <m/>
    <m/>
    <x v="3"/>
    <m/>
    <m/>
    <x v="4"/>
    <m/>
    <x v="4"/>
    <x v="1"/>
    <d v="1899-12-30T00:00:00"/>
    <d v="1899-12-30T00:00:00"/>
    <d v="1899-12-30T00:00:00"/>
    <d v="1899-12-30T00:00:00"/>
  </r>
  <r>
    <n v="1050"/>
    <m/>
    <m/>
    <x v="3"/>
    <m/>
    <m/>
    <m/>
    <m/>
    <m/>
    <x v="3"/>
    <m/>
    <m/>
    <x v="4"/>
    <m/>
    <x v="4"/>
    <x v="1"/>
    <d v="1899-12-30T00:00:00"/>
    <d v="1899-12-30T00:00:00"/>
    <d v="1899-12-30T00:00:00"/>
    <d v="1899-12-30T00:00:00"/>
  </r>
  <r>
    <n v="1051"/>
    <s v="H. TRIANA"/>
    <d v="1899-12-30T18:30:00"/>
    <x v="138"/>
    <s v="EXTRUSORA 2"/>
    <s v="Puntual"/>
    <s v="Falla en cuenta metros"/>
    <d v="1899-12-30T18:30:00"/>
    <d v="1899-12-30T19:30:00"/>
    <x v="129"/>
    <s v="Eléctrica"/>
    <s v="Cuenta metros con conexión inestable, se rectifica y queda OK"/>
    <x v="1"/>
    <s v="NA"/>
    <x v="9"/>
    <x v="0"/>
    <d v="1899-12-30T01:00:00"/>
    <d v="2026-03-18T18:30:00"/>
    <d v="2026-03-18T19:30:00"/>
    <d v="1899-12-30T01:00:00"/>
  </r>
  <r>
    <n v="1052"/>
    <s v="H. TRIANA"/>
    <d v="1899-12-30T05:50:00"/>
    <x v="138"/>
    <s v="EXTRUSORA 2"/>
    <s v="Puntual"/>
    <s v="Manguera del aire corona rota"/>
    <d v="1899-12-30T04:55:00"/>
    <d v="1899-12-30T06:55:00"/>
    <x v="94"/>
    <s v="Neúmatica"/>
    <s v="Se quita el pedazo dañado ya que no se cuenta con el pedazo completo Quedo OK"/>
    <x v="1"/>
    <s v="NA"/>
    <x v="9"/>
    <x v="0"/>
    <d v="1899-12-30T02:00:00"/>
    <d v="2026-03-18T05:50:00"/>
    <d v="2026-03-20T06:55:00"/>
    <d v="1900-01-01T01:05:00"/>
  </r>
  <r>
    <n v="1053"/>
    <s v="A. ROVIRA"/>
    <d v="1899-12-30T21:20:00"/>
    <x v="138"/>
    <s v="REFILADORA 1"/>
    <s v="Puntual"/>
    <s v="No embobina"/>
    <d v="1899-12-30T22:10:00"/>
    <d v="1899-12-30T23:20:00"/>
    <x v="129"/>
    <s v="Eléctrica"/>
    <s v="Cambio de fusibles por daño"/>
    <x v="154"/>
    <s v="NA"/>
    <x v="9"/>
    <x v="0"/>
    <d v="1899-12-30T01:10:00"/>
    <d v="2026-03-18T21:20:00"/>
    <d v="2026-03-18T23:20:00"/>
    <d v="1899-12-30T02:00:00"/>
  </r>
  <r>
    <n v="1054"/>
    <s v="D. ARRIETA"/>
    <d v="1899-12-30T09:20:00"/>
    <x v="139"/>
    <s v="IMPRESORA 1"/>
    <s v="Puntual"/>
    <s v="Falta de lampara o iluminación en la unidad #3 y #4"/>
    <m/>
    <m/>
    <x v="3"/>
    <m/>
    <m/>
    <x v="4"/>
    <m/>
    <x v="4"/>
    <x v="2"/>
    <d v="1899-12-30T00:00:00"/>
    <d v="2026-03-19T09:20:00"/>
    <d v="1899-12-30T00:00:00"/>
    <n v="-46100.388888888891"/>
  </r>
  <r>
    <n v="1055"/>
    <s v="M. PINZON"/>
    <d v="1899-12-30T07:00:00"/>
    <x v="139"/>
    <s v="CORTA CORE"/>
    <s v="Puntual"/>
    <s v="Solicitud de repuestos para corta core pera, teflon, eje de la cuchilla"/>
    <m/>
    <m/>
    <x v="3"/>
    <m/>
    <m/>
    <x v="4"/>
    <m/>
    <x v="4"/>
    <x v="2"/>
    <d v="1899-12-30T00:00:00"/>
    <d v="2026-03-19T07:00:00"/>
    <d v="1899-12-30T00:00:00"/>
    <n v="-46100.291666666664"/>
  </r>
  <r>
    <n v="1056"/>
    <s v="E. REYES"/>
    <d v="1899-12-30T10:30:00"/>
    <x v="139"/>
    <s v="SELLADORA 1"/>
    <s v="Puntual"/>
    <s v="Prensa no ajusta la bolsa"/>
    <d v="1899-12-30T10:30:00"/>
    <d v="1899-12-30T11:00:00"/>
    <x v="130"/>
    <s v="Mecánica"/>
    <s v="Se apoya a cuadre de material de prensa, se realiza seguimiento y queda en operación"/>
    <x v="1"/>
    <s v="NA"/>
    <x v="2"/>
    <x v="0"/>
    <d v="1899-12-30T00:30:00"/>
    <d v="2026-03-19T10:30:00"/>
    <d v="2026-03-19T11:00:00"/>
    <d v="1899-12-30T00:30:00"/>
  </r>
  <r>
    <n v="1057"/>
    <s v="E. REYES"/>
    <d v="1899-12-30T22:00:00"/>
    <x v="140"/>
    <s v="SELLADORA 2"/>
    <s v="Puntual"/>
    <s v="Maquina se apaga_x000a_Daño en la temperatura"/>
    <d v="1899-12-30T22:00:00"/>
    <d v="1899-12-30T04:00:00"/>
    <x v="131"/>
    <s v="Eléctrica"/>
    <s v="Se hace revisión de equipo, se ajusta componentes, se hace seguimiento durante el turno"/>
    <x v="1"/>
    <s v="NA"/>
    <x v="1"/>
    <x v="0"/>
    <n v="-0.75"/>
    <d v="2026-04-02T22:00:00"/>
    <d v="2026-04-03T04:00:00"/>
    <d v="1899-12-30T06:00:00"/>
  </r>
  <r>
    <n v="1058"/>
    <s v="D. CUESTA"/>
    <d v="1899-12-30T07:30:00"/>
    <x v="105"/>
    <s v="EXTRUSORA 5"/>
    <s v="Puntual"/>
    <s v="Octagon no funciona"/>
    <d v="1899-12-30T07:40:00"/>
    <d v="1899-12-30T09:00:00"/>
    <x v="94"/>
    <s v="Eléctrica"/>
    <s v="Se reconfigura IP, se configuran parametros, el equipo esta molestando, se requiere servicio tecnico"/>
    <x v="1"/>
    <s v="NA"/>
    <x v="9"/>
    <x v="0"/>
    <d v="1899-12-30T01:20:00"/>
    <d v="2026-03-20T07:30:00"/>
    <d v="2026-03-20T09:00:00"/>
    <d v="1899-12-30T01:30:00"/>
  </r>
  <r>
    <n v="1059"/>
    <s v="A. ROVIRA"/>
    <d v="1899-12-30T19:15:00"/>
    <x v="105"/>
    <s v="REFILADORA 3"/>
    <s v="Puntual"/>
    <s v="Bloqueada donde coloca rollo"/>
    <d v="1899-12-30T19:15:00"/>
    <d v="1899-12-30T19:30:00"/>
    <x v="94"/>
    <s v="Eléctrica"/>
    <s v="Se revisa muletilla de accionamiento, se da ajuste y queda en operación"/>
    <x v="1"/>
    <s v="NA"/>
    <x v="2"/>
    <x v="0"/>
    <d v="1899-12-30T00:15:00"/>
    <d v="2026-03-20T19:15:00"/>
    <d v="2026-03-20T19:30:00"/>
    <d v="1899-12-30T00:15:00"/>
  </r>
  <r>
    <n v="1060"/>
    <s v="D. ARRIETA"/>
    <d v="1899-12-30T23:29:00"/>
    <x v="105"/>
    <s v="IMPRESORA 1"/>
    <s v="Puntual"/>
    <s v="Rodamiento de seguro de eje del embobinador "/>
    <d v="1899-12-30T23:30:00"/>
    <d v="1899-12-30T23:45:00"/>
    <x v="94"/>
    <s v="Mecánica"/>
    <s v="Se cambia rodamiento de eje para dar mas ajuste y balanceo"/>
    <x v="155"/>
    <s v="NA"/>
    <x v="1"/>
    <x v="0"/>
    <d v="1899-12-30T00:15:00"/>
    <d v="2026-03-20T23:29:00"/>
    <d v="2026-03-20T23:45:00"/>
    <d v="1899-12-30T00:16:00"/>
  </r>
  <r>
    <n v="1061"/>
    <s v="S. PATIÑO"/>
    <d v="1899-12-30T07:40:00"/>
    <x v="141"/>
    <s v="EXTRUSORA 2"/>
    <s v="Puntual"/>
    <s v="Zona del molde no sube de temperatura y el porta mallas esta en corto"/>
    <d v="1899-12-30T07:48:00"/>
    <d v="1899-12-30T09:00:00"/>
    <x v="132"/>
    <s v="Eléctrica"/>
    <s v="Cambio de termocupla para las resistencias de la rotación y cambio de SSR para daño en el portamallas, tornillo exterior"/>
    <x v="156"/>
    <s v="NA"/>
    <x v="9"/>
    <x v="0"/>
    <d v="1899-12-30T01:12:00"/>
    <d v="2026-03-21T07:40:00"/>
    <d v="2026-03-21T09:00:00"/>
    <d v="1899-12-30T01:20:00"/>
  </r>
  <r>
    <n v="1062"/>
    <m/>
    <m/>
    <x v="3"/>
    <m/>
    <m/>
    <m/>
    <m/>
    <m/>
    <x v="3"/>
    <m/>
    <m/>
    <x v="4"/>
    <m/>
    <x v="4"/>
    <x v="1"/>
    <d v="1899-12-30T00:00:00"/>
    <d v="1899-12-30T00:00:00"/>
    <d v="1899-12-30T00:00:00"/>
    <d v="1899-12-30T00:00:00"/>
  </r>
  <r>
    <n v="1063"/>
    <s v="Y. VAZQUEZ"/>
    <d v="1899-12-30T11:25:00"/>
    <x v="141"/>
    <s v="CORTA CORE"/>
    <s v="Puntual"/>
    <s v="Tornillo de ajuste de manzana de la cortadora de cores"/>
    <d v="1899-12-30T11:30:00"/>
    <d v="1899-12-30T13:49:00"/>
    <x v="132"/>
    <s v="Mecánica"/>
    <s v="Rectificación de rosca tornillo de ajuste manzana"/>
    <x v="1"/>
    <s v="NA"/>
    <x v="9"/>
    <x v="0"/>
    <d v="1899-12-30T02:19:00"/>
    <d v="2026-03-21T11:25:00"/>
    <d v="2026-03-21T13:49:00"/>
    <d v="1899-12-30T02:24:00"/>
  </r>
  <r>
    <n v="1064"/>
    <s v="J. PARDO"/>
    <d v="1899-12-30T13:00:00"/>
    <x v="141"/>
    <s v="IMPRESORA 1"/>
    <s v="Puntual"/>
    <s v="Daño en rodamiento embobinador"/>
    <d v="1899-12-30T13:00:00"/>
    <d v="1899-12-30T13:50:00"/>
    <x v="132"/>
    <s v="Mecánica"/>
    <s v="Se le adapata rodamiento ya que el brazo tiene mucha carga"/>
    <x v="157"/>
    <s v="NA"/>
    <x v="9"/>
    <x v="0"/>
    <d v="1899-12-30T00:50:00"/>
    <d v="2026-03-21T13:00:00"/>
    <d v="2026-03-21T13:50:00"/>
    <d v="1899-12-30T00:50:00"/>
  </r>
  <r>
    <n v="1065"/>
    <s v="J. RIVERO"/>
    <d v="1899-12-30T19:25:00"/>
    <x v="141"/>
    <s v="IMPRESORA 1"/>
    <s v="Repetitiva"/>
    <s v="Motor del embobinador"/>
    <d v="1899-12-30T19:30:00"/>
    <d v="1899-12-30T20:10:00"/>
    <x v="132"/>
    <s v="Mecánica"/>
    <s v="Seguidor de leva malobrado y rodamiento no adecuado los que ajustaba el eje embobinador bloqueando embobinador, se realiza cambio de rodamiento y cambio de seguidor de leva quedando OK"/>
    <x v="158"/>
    <s v="NA"/>
    <x v="3"/>
    <x v="0"/>
    <d v="1899-12-30T00:40:00"/>
    <d v="2026-03-21T19:25:00"/>
    <d v="2026-03-21T20:10:00"/>
    <d v="1899-12-30T00:45:00"/>
  </r>
  <r>
    <n v="1066"/>
    <s v="H. TRIANA"/>
    <d v="1899-12-30T01:00:00"/>
    <x v="142"/>
    <s v="EXTRUSORA 2"/>
    <s v="Puntual"/>
    <s v="Se dañan huecos de tornillos bristol de la pera del eje embobinador"/>
    <d v="1899-12-30T01:00:00"/>
    <d v="1899-12-30T01:20:00"/>
    <x v="133"/>
    <s v="Mecánica"/>
    <s v="Se rectifican roscas M10 de agujeris de la pera para instalar los prisioneros M10 X 20 m, se entrega al operario _x000a_No se genero parada de maquina"/>
    <x v="159"/>
    <s v="NA"/>
    <x v="2"/>
    <x v="0"/>
    <d v="1899-12-30T00:20:00"/>
    <d v="2026-03-22T01:00:00"/>
    <d v="2026-03-22T01:20:00"/>
    <d v="1899-12-30T00:20:00"/>
  </r>
  <r>
    <n v="1067"/>
    <m/>
    <m/>
    <x v="3"/>
    <m/>
    <m/>
    <m/>
    <m/>
    <m/>
    <x v="3"/>
    <m/>
    <m/>
    <x v="4"/>
    <m/>
    <x v="4"/>
    <x v="1"/>
    <d v="1899-12-30T00:00:00"/>
    <d v="1899-12-30T00:00:00"/>
    <d v="1899-12-30T00:00:00"/>
    <d v="1899-12-30T00:00:00"/>
  </r>
  <r>
    <n v="1068"/>
    <m/>
    <m/>
    <x v="3"/>
    <m/>
    <m/>
    <m/>
    <m/>
    <m/>
    <x v="3"/>
    <m/>
    <m/>
    <x v="4"/>
    <m/>
    <x v="4"/>
    <x v="1"/>
    <d v="1899-12-30T00:00:00"/>
    <d v="1899-12-30T00:00:00"/>
    <d v="1899-12-30T00:00:00"/>
    <d v="1899-12-30T00:00:00"/>
  </r>
  <r>
    <n v="1069"/>
    <s v="S. PATIÑO"/>
    <d v="1899-12-30T04:00:00"/>
    <x v="143"/>
    <s v="EXTRUSORA 5"/>
    <s v="Puntual"/>
    <s v="Valvula de aire de la barra del embobinador A se afloja y se fuga el aire, provocando telescopiado del rollo"/>
    <d v="1899-12-30T04:00:00"/>
    <d v="1899-12-30T04:30:00"/>
    <x v="134"/>
    <s v="Neúmatica"/>
    <s v="Se da ajuste a valvula neúmatica"/>
    <x v="1"/>
    <s v="NA"/>
    <x v="2"/>
    <x v="0"/>
    <d v="1899-12-30T00:30:00"/>
    <d v="2026-03-23T04:00:00"/>
    <d v="2026-03-23T04:30:00"/>
    <d v="1899-12-30T00:30:00"/>
  </r>
  <r>
    <n v="1070"/>
    <s v="J. RIVERO"/>
    <d v="1899-12-30T02:00:00"/>
    <x v="143"/>
    <s v="IMPRESORA 1"/>
    <s v="Puntual"/>
    <s v="Cambio y ajuste de mordaza de calefacción de lampara"/>
    <m/>
    <m/>
    <x v="3"/>
    <m/>
    <m/>
    <x v="4"/>
    <m/>
    <x v="4"/>
    <x v="1"/>
    <d v="1899-12-30T00:00:00"/>
    <d v="2026-03-23T02:00:00"/>
    <d v="1899-12-30T00:00:00"/>
    <n v="-46104.083333333336"/>
  </r>
  <r>
    <n v="1071"/>
    <s v="H. TRIANA"/>
    <d v="1899-12-30T08:35:00"/>
    <x v="143"/>
    <s v="EXTRUSORA 2"/>
    <s v="Puntual"/>
    <s v="Ventilador de la corona traquea"/>
    <d v="1899-12-30T08:30:00"/>
    <d v="1899-12-30T09:00:00"/>
    <x v="134"/>
    <s v="Eléctrica"/>
    <s v="Se revisa y el ventilador del motor estaba mal posicionado se ajusta quedando OK"/>
    <x v="1"/>
    <s v="NA"/>
    <x v="9"/>
    <x v="0"/>
    <d v="1899-12-30T00:30:00"/>
    <d v="2026-03-23T08:35:00"/>
    <d v="2026-03-23T09:00:00"/>
    <d v="1899-12-30T00:25:00"/>
  </r>
  <r>
    <n v="1072"/>
    <s v="W. SANDOVAL"/>
    <d v="1899-12-30T08:25:00"/>
    <x v="143"/>
    <s v="REFILADORA"/>
    <s v="Puntual"/>
    <s v="Cambio de pisador y revisión de mangueras de los ejes embobinadores "/>
    <d v="1899-12-30T08:25:00"/>
    <d v="1899-12-30T17:30:00"/>
    <x v="134"/>
    <s v="Mecánica"/>
    <s v="Se hace cambio y revisión de mangueras felpa corrida y deteriorada, se hace ajuste seguimiento en el turno"/>
    <x v="1"/>
    <s v="NA"/>
    <x v="1"/>
    <x v="0"/>
    <d v="1899-12-30T09:05:00"/>
    <d v="2026-03-23T08:25:00"/>
    <d v="2026-03-23T17:30:00"/>
    <d v="1899-12-30T09:05:00"/>
  </r>
  <r>
    <n v="1073"/>
    <s v="M. MARTINEZ"/>
    <d v="1899-12-30T11:30:00"/>
    <x v="143"/>
    <s v="SELLADORA 2"/>
    <s v="Puntual"/>
    <s v="Maquina se apaga_x000a_Se reompe tornillo rodillo"/>
    <d v="1899-12-30T11:30:00"/>
    <d v="1899-12-30T12:30:00"/>
    <x v="134"/>
    <s v="Eléctrica_x000a_Mecánica"/>
    <s v="Se cambia tornillo y se da ajuste_x000a_Se revisa conexión tablero se ajustan terminales, se hace seguimiento durante el turno_x000a_Falla en pantalla"/>
    <x v="160"/>
    <s v="NA"/>
    <x v="1"/>
    <x v="0"/>
    <d v="1899-12-30T01:00:00"/>
    <d v="2026-03-23T11:30:00"/>
    <d v="2026-03-23T12:30:00"/>
    <d v="1899-12-30T01:00:00"/>
  </r>
  <r>
    <n v="1074"/>
    <s v="M. MARTINEZ"/>
    <d v="1899-12-30T07:30:00"/>
    <x v="144"/>
    <s v="SELLADORA 3"/>
    <s v="Puntual"/>
    <s v="Se suelta correa"/>
    <d v="1899-12-30T07:30:00"/>
    <d v="1899-12-30T08:00:00"/>
    <x v="135"/>
    <s v="Mecánica"/>
    <s v="Se da tensión a correa de transmisión de halador"/>
    <x v="1"/>
    <s v="NA"/>
    <x v="2"/>
    <x v="0"/>
    <d v="1899-12-30T00:30:00"/>
    <d v="2026-03-24T07:30:00"/>
    <d v="2026-03-24T08:00:00"/>
    <d v="1899-12-30T00:30:00"/>
  </r>
  <r>
    <n v="1075"/>
    <s v="F. SANCHEZ"/>
    <d v="1899-12-30T03:10:00"/>
    <x v="144"/>
    <s v="EXTRUSORA 2"/>
    <s v="Puntual"/>
    <s v="Tratador se baja la potencia esta en la maxima"/>
    <d v="1899-12-30T03:10:00"/>
    <d v="1899-12-30T08:25:00"/>
    <x v="135"/>
    <s v="Eléctrica"/>
    <s v="Se realiza inspección visualmente en mangas no se encuentra anomalia pero el tratador baja y sube de potencia_x000a_Se recomienda programar revisión"/>
    <x v="1"/>
    <s v="NA"/>
    <x v="3"/>
    <x v="2"/>
    <d v="1899-12-30T05:15:00"/>
    <d v="2026-03-24T03:10:00"/>
    <d v="2026-03-24T08:25:00"/>
    <d v="1899-12-30T05:15:00"/>
  </r>
  <r>
    <n v="1076"/>
    <s v="S. PATIÑO"/>
    <d v="1899-12-30T09:05:00"/>
    <x v="144"/>
    <s v="EXTRUSORA 3"/>
    <s v="Puntual"/>
    <s v="Motor del ventilador no enciende"/>
    <d v="1899-12-30T09:05:00"/>
    <d v="1899-12-30T09:20:00"/>
    <x v="135"/>
    <s v="Eléctrica_x000a_Mecánica"/>
    <s v="Se realizo inspección de circuito de control de enclavamiento del blower corona, se encuentra contacto NC abierto, se realizo el cambio y si entrega operativo"/>
    <x v="1"/>
    <s v="NA"/>
    <x v="2"/>
    <x v="0"/>
    <d v="1899-12-30T00:15:00"/>
    <d v="2026-03-24T09:05:00"/>
    <d v="2026-03-24T09:20:00"/>
    <d v="1899-12-30T00:15:00"/>
  </r>
  <r>
    <n v="1077"/>
    <s v="E. REYES"/>
    <d v="1899-12-30T15:00:00"/>
    <x v="144"/>
    <s v="SELLADORA 2"/>
    <s v="Puntual"/>
    <s v="Correa del transportador"/>
    <d v="1899-12-30T15:00:00"/>
    <d v="1899-12-30T16:00:00"/>
    <x v="135"/>
    <s v="Mecánica"/>
    <s v="Se encuentra correa de transmisión de mordaza partida, referencia 240L, se realiza instalación y se entrega operativa"/>
    <x v="161"/>
    <s v="NA"/>
    <x v="2"/>
    <x v="0"/>
    <d v="1899-12-30T01:00:00"/>
    <d v="2026-03-24T15:00:00"/>
    <d v="2026-03-24T16:00:00"/>
    <d v="1899-12-30T01:00:00"/>
  </r>
  <r>
    <n v="1078"/>
    <s v="E. REYES"/>
    <d v="1899-12-30T19:10:00"/>
    <x v="144"/>
    <s v="SELLADORA 2"/>
    <s v="Puntual"/>
    <s v="Ajuste de cilindro_x000a_Cuadre de varilla"/>
    <d v="1899-12-30T19:10:00"/>
    <d v="1899-12-30T19:25:00"/>
    <x v="135"/>
    <s v="Mecánica"/>
    <s v="Se calibra varillas y se hace reposición tornillos M8 X 30 mm quedando Ok"/>
    <x v="162"/>
    <s v="NA"/>
    <x v="3"/>
    <x v="0"/>
    <d v="1899-12-30T00:15:00"/>
    <d v="2026-03-24T19:10:00"/>
    <d v="2026-03-24T19:25:00"/>
    <d v="1899-12-30T00:15:00"/>
  </r>
  <r>
    <n v="1079"/>
    <s v="D. ARRIETA"/>
    <d v="1899-12-30T01:43:00"/>
    <x v="145"/>
    <s v="IMPRESORA 1"/>
    <s v="Puntual"/>
    <s v="Rodamiento de desembobinador"/>
    <d v="1899-12-30T01:45:00"/>
    <d v="1899-12-30T02:00:00"/>
    <x v="136"/>
    <s v="Neúmatica"/>
    <s v="Se grafila espigo portacliches y cambio de seguidor de leva desembobinador"/>
    <x v="4"/>
    <s v="NA"/>
    <x v="3"/>
    <x v="2"/>
    <d v="1899-12-30T00:15:00"/>
    <d v="2026-03-25T01:43:00"/>
    <d v="2026-03-25T02:00:00"/>
    <d v="1899-12-30T00:17:00"/>
  </r>
  <r>
    <n v="1080"/>
    <s v="J. VASQUEZ "/>
    <d v="1899-12-30T01:00:00"/>
    <x v="145"/>
    <s v="Otro"/>
    <s v="Puntual"/>
    <s v="Se daña cadena de la corta cores"/>
    <d v="1899-12-30T02:40:00"/>
    <d v="1899-12-30T03:00:00"/>
    <x v="136"/>
    <s v="Mecánica"/>
    <s v="Se pierde rosca, se coloca tuerca para remplazar rosca quedando OK_x000a__x000a_Nota:Se recomienda fabircar corona para cortacore"/>
    <x v="163"/>
    <s v="NA"/>
    <x v="3"/>
    <x v="0"/>
    <d v="1899-12-30T00:20:00"/>
    <d v="2026-03-25T01:00:00"/>
    <d v="2026-03-25T03:00:00"/>
    <d v="1899-12-30T02:00:00"/>
  </r>
  <r>
    <n v="1081"/>
    <s v="J. RIVERO"/>
    <d v="1899-12-30T06:20:00"/>
    <x v="145"/>
    <s v="IMPRESORA 1"/>
    <s v="Puntual"/>
    <s v="Eje de rodillo de entrada de material (Rollo ) Rodillo #1"/>
    <d v="1899-12-30T06:25:00"/>
    <d v="1899-12-30T08:00:00"/>
    <x v="136"/>
    <s v="Mecánica"/>
    <s v="Se repara eje, se desencaja del soporte se colocan, tornillos se coloca abrazadera para que no se devuelva, queda provisional funcionamiento OK"/>
    <x v="1"/>
    <s v="NA"/>
    <x v="9"/>
    <x v="0"/>
    <d v="1899-12-30T01:35:00"/>
    <d v="2026-03-25T06:20:00"/>
    <d v="2026-03-25T08:00:00"/>
    <d v="1899-12-30T01:40:00"/>
  </r>
  <r>
    <n v="1082"/>
    <s v="L. MIRANDA"/>
    <d v="1899-12-30T09:15:00"/>
    <x v="145"/>
    <m/>
    <s v="Puntual"/>
    <s v="Se le daño la rosca"/>
    <d v="1899-12-30T09:35:00"/>
    <d v="1899-12-30T11:00:00"/>
    <x v="136"/>
    <s v="Mecánica"/>
    <s v="Cambio de rosca para poder dar ajuste"/>
    <x v="4"/>
    <m/>
    <x v="9"/>
    <x v="2"/>
    <d v="1899-12-30T01:25:00"/>
    <d v="2026-03-25T09:15:00"/>
    <d v="2026-03-25T11:00:00"/>
    <d v="1899-12-30T01:45:00"/>
  </r>
  <r>
    <n v="1083"/>
    <s v="E. REYES"/>
    <d v="1899-12-30T17:42:00"/>
    <x v="145"/>
    <s v="SELLADORA 3"/>
    <s v="Puntual"/>
    <s v="Daño en rodillo de correas"/>
    <d v="1899-12-30T18:00:00"/>
    <d v="1899-12-30T19:20:00"/>
    <x v="136"/>
    <s v="Mecánica"/>
    <s v="Se realizo desmonte de rodillo tensor de selladora transportador, se encontró rodamiento en mal estado, se realizó cambio, quedo en operación_x000a__x000a_Nota: No se cuenta con herramienta necesaria"/>
    <x v="164"/>
    <s v="NA"/>
    <x v="2"/>
    <x v="0"/>
    <d v="1899-12-30T01:20:00"/>
    <d v="2026-03-25T17:42:00"/>
    <d v="2026-03-25T19:20:00"/>
    <d v="1899-12-30T01:38:00"/>
  </r>
  <r>
    <n v="1084"/>
    <s v="C. CASTRO"/>
    <d v="1899-12-30T19:40:00"/>
    <x v="145"/>
    <s v="REFILADORA 3"/>
    <s v="Puntual"/>
    <s v="Daño en la manguera del eje embobinador superior"/>
    <d v="1899-12-30T19:40:00"/>
    <d v="1899-12-30T21:00:00"/>
    <x v="136"/>
    <s v="Neúmatica"/>
    <s v="Se realiza cambio de 2 mangueras de bobinador superior"/>
    <x v="1"/>
    <s v="NA"/>
    <x v="2"/>
    <x v="0"/>
    <d v="1899-12-30T01:20:00"/>
    <d v="2026-03-25T19:40:00"/>
    <d v="2026-03-25T21:00:00"/>
    <d v="1899-12-30T01:20:00"/>
  </r>
  <r>
    <n v="1085"/>
    <s v="J. PARDO"/>
    <d v="1899-12-30T21:00:00"/>
    <x v="145"/>
    <s v="IMPRESORA 1"/>
    <s v="Puntual"/>
    <s v="Diferencial no funciona"/>
    <d v="1899-12-30T21:00:00"/>
    <d v="1899-12-30T21:45:00"/>
    <x v="136"/>
    <s v="Eléctrica"/>
    <s v="Se encuentra cableado de circuito de control desconectado, se realiza ajuste y pruebas de operación"/>
    <x v="1"/>
    <s v="NA"/>
    <x v="2"/>
    <x v="0"/>
    <d v="1899-12-30T00:45:00"/>
    <d v="2026-03-25T21:00:00"/>
    <d v="2026-03-25T21:45:00"/>
    <d v="1899-12-30T00:45:00"/>
  </r>
  <r>
    <n v="1086"/>
    <s v="D. ARRIETA"/>
    <d v="1899-12-30T09:00:00"/>
    <x v="146"/>
    <s v="IMPRESORA 1"/>
    <s v="Puntual"/>
    <s v="El piñon del eje del embobinador se daño una vez, le falta un aseguramiento a eje para que no se corra"/>
    <d v="1899-12-30T09:00:00"/>
    <d v="1899-12-30T10:30:00"/>
    <x v="67"/>
    <s v="Mecánica"/>
    <s v="Se verifica la falla encontrando eje sin topes, se instala el tope y se entrega trabajando"/>
    <x v="1"/>
    <s v="NA"/>
    <x v="5"/>
    <x v="0"/>
    <d v="1899-12-30T01:30:00"/>
    <d v="2026-03-27T09:00:00"/>
    <d v="2026-03-27T10:30:00"/>
    <d v="1899-12-30T01:30:00"/>
  </r>
  <r>
    <n v="1087"/>
    <s v="S. CARDENAL"/>
    <d v="1899-12-30T10:05:00"/>
    <x v="145"/>
    <s v="SELLADORA 2"/>
    <s v="Puntual"/>
    <s v="Manguera con escape de aire"/>
    <d v="1899-12-30T10:05:00"/>
    <d v="1899-12-30T22:00:00"/>
    <x v="136"/>
    <s v="Neúmatica"/>
    <s v="Se realiza cambio de manguera ya que presentaba varios tramos dañados y con escapes"/>
    <x v="1"/>
    <s v="X3m Manguera 12mm"/>
    <x v="1"/>
    <x v="0"/>
    <d v="1899-12-30T11:55:00"/>
    <d v="2026-03-25T10:05:00"/>
    <d v="2026-03-25T22:00:00"/>
    <d v="1899-12-30T11:55:00"/>
  </r>
  <r>
    <n v="1088"/>
    <s v="Y. VAZQUEZ"/>
    <d v="1899-12-30T05:10:00"/>
    <x v="147"/>
    <s v="Otro"/>
    <s v="Puntual"/>
    <s v="Rosca de la corona de la cortacores esta dañada"/>
    <d v="1899-12-30T05:10:00"/>
    <d v="1899-12-30T05:45:00"/>
    <x v="137"/>
    <s v="Mecánica"/>
    <s v="Se retira tuerca dañada, se realiza cambio de tornillo, se aplica soldadura queda nuevamente habilitada"/>
    <x v="165"/>
    <s v="NA"/>
    <x v="1"/>
    <x v="0"/>
    <d v="1899-12-30T00:35:00"/>
    <d v="2026-03-26T05:10:00"/>
    <d v="2026-03-26T05:45:00"/>
    <d v="1899-12-30T00:35:00"/>
  </r>
  <r>
    <n v="1089"/>
    <s v="A. MARTINEZ"/>
    <d v="1899-12-30T14:00:00"/>
    <x v="147"/>
    <s v="REFILADORA 3"/>
    <s v="Puntual"/>
    <s v="Eje embobinador superior tornillo que ajusta la manzana"/>
    <d v="1899-12-30T17:30:00"/>
    <d v="1899-12-30T18:07:00"/>
    <x v="137"/>
    <s v="Mecánica"/>
    <s v="Tornillo partido de la manzana del embobinador"/>
    <x v="166"/>
    <s v="NA"/>
    <x v="9"/>
    <x v="0"/>
    <d v="1899-12-30T00:37:00"/>
    <d v="2026-03-26T14:00:00"/>
    <d v="2026-03-26T18:07:00"/>
    <d v="1899-12-30T04:07:00"/>
  </r>
  <r>
    <n v="1090"/>
    <s v="J. VASQUEZ "/>
    <d v="1899-12-30T21:20:00"/>
    <x v="147"/>
    <s v="Otro"/>
    <s v="Puntual"/>
    <s v="Cortacores daño en tornillo que ajusta"/>
    <d v="1899-12-30T21:20:00"/>
    <d v="1899-12-30T21:50:00"/>
    <x v="137"/>
    <s v="Mecánica"/>
    <s v="Se instala tuerca para tornillo M12 para ajuste de pera corta cores"/>
    <x v="167"/>
    <s v="NA"/>
    <x v="9"/>
    <x v="0"/>
    <d v="1899-12-30T00:30:00"/>
    <d v="2026-03-26T21:20:00"/>
    <d v="2026-03-26T21:50:00"/>
    <d v="1899-12-30T00:30:00"/>
  </r>
  <r>
    <n v="1091"/>
    <m/>
    <m/>
    <x v="3"/>
    <m/>
    <m/>
    <m/>
    <m/>
    <m/>
    <x v="3"/>
    <m/>
    <m/>
    <x v="4"/>
    <m/>
    <x v="4"/>
    <x v="1"/>
    <d v="1899-12-30T00:00:00"/>
    <d v="1899-12-30T00:00:00"/>
    <d v="1899-12-30T00:00:00"/>
    <d v="1899-12-30T00:00:00"/>
  </r>
  <r>
    <n v="1092"/>
    <s v="D. ARRIETA"/>
    <d v="1899-12-30T18:40:00"/>
    <x v="148"/>
    <s v="IMPRESORA 1"/>
    <s v="Puntual"/>
    <s v="Bomba neúmatica de tinta de la unidad #1"/>
    <d v="1899-12-30T18:40:00"/>
    <d v="1899-12-30T19:30:00"/>
    <x v="138"/>
    <s v="Mecánica"/>
    <s v="Se le realiza mantenimiento, se destapa, se limpian camaras, se vuelve a armar y quedo operativo funcionamiento OK"/>
    <x v="1"/>
    <s v="Alcohol flexografico"/>
    <x v="9"/>
    <x v="0"/>
    <d v="1899-12-30T00:50:00"/>
    <d v="2026-04-13T18:40:00"/>
    <d v="2026-04-13T19:30:00"/>
    <d v="1899-12-30T00:50:00"/>
  </r>
  <r>
    <n v="1093"/>
    <m/>
    <m/>
    <x v="3"/>
    <m/>
    <m/>
    <m/>
    <m/>
    <m/>
    <x v="3"/>
    <m/>
    <m/>
    <x v="4"/>
    <m/>
    <x v="4"/>
    <x v="1"/>
    <d v="1899-12-30T00:00:00"/>
    <d v="1899-12-30T00:00:00"/>
    <d v="1899-12-30T00:00:00"/>
    <d v="1899-12-30T00:00:00"/>
  </r>
  <r>
    <n v="1094"/>
    <s v="D. CUESTA"/>
    <d v="1899-12-30T20:20:00"/>
    <x v="146"/>
    <s v="EXTRUSORA 5"/>
    <s v="Puntual"/>
    <s v="Flauta inferior no gira total solo hasta la mitad y se tranca"/>
    <d v="1899-12-30T20:20:00"/>
    <d v="1899-12-30T20:40:00"/>
    <x v="67"/>
    <s v="Neúmatica"/>
    <s v="Se realiza ajute en embolo cilndro flauta quedando OK"/>
    <x v="1"/>
    <s v="NA"/>
    <x v="3"/>
    <x v="0"/>
    <d v="1899-12-30T00:20:00"/>
    <d v="2026-03-27T20:20:00"/>
    <d v="2026-03-27T20:40:00"/>
    <d v="1899-12-30T00:20:00"/>
  </r>
  <r>
    <n v="1095"/>
    <s v="S. CARDENAL"/>
    <d v="1899-12-30T00:40:00"/>
    <x v="149"/>
    <s v="SELLADORA 3"/>
    <s v="Puntual"/>
    <s v="Botón del transportador se solto"/>
    <d v="1899-12-30T00:40:00"/>
    <d v="1899-12-30T01:55:00"/>
    <x v="139"/>
    <s v="Eléctrica"/>
    <s v="Cable desconectado"/>
    <x v="1"/>
    <s v="NA"/>
    <x v="9"/>
    <x v="0"/>
    <d v="1899-12-30T01:15:00"/>
    <d v="2026-03-28T00:40:00"/>
    <d v="2026-03-29T01:55:00"/>
    <d v="1899-12-31T01:15:00"/>
  </r>
  <r>
    <n v="1096"/>
    <s v="D. CUESTA"/>
    <d v="1899-12-30T05:25:00"/>
    <x v="149"/>
    <s v="EXTRUSORA 5"/>
    <s v="Puntual"/>
    <s v="Revisar transporte y alimentador del embobinador A"/>
    <d v="1899-12-30T05:26:00"/>
    <d v="1899-12-30T06:00:00"/>
    <x v="140"/>
    <s v="Neúmatica, Mecánica"/>
    <s v="Calibración de transportador"/>
    <x v="1"/>
    <s v="NA"/>
    <x v="9"/>
    <x v="0"/>
    <d v="1899-12-30T00:34:00"/>
    <d v="2026-03-28T05:25:00"/>
    <d v="2026-03-28T06:00:00"/>
    <d v="1899-12-30T00:35:00"/>
  </r>
  <r>
    <n v="1097"/>
    <m/>
    <m/>
    <x v="3"/>
    <m/>
    <m/>
    <m/>
    <m/>
    <m/>
    <x v="3"/>
    <m/>
    <m/>
    <x v="4"/>
    <m/>
    <x v="4"/>
    <x v="1"/>
    <d v="1899-12-30T00:00:00"/>
    <d v="1899-12-30T00:00:00"/>
    <d v="1899-12-30T00:00:00"/>
    <d v="1899-12-30T00:00:00"/>
  </r>
  <r>
    <n v="1098"/>
    <s v="S. PATIÑO"/>
    <m/>
    <x v="150"/>
    <s v="EXTRUSORA 2"/>
    <s v="Puntual"/>
    <s v="Pinola del molde se sale al arrancar la maquina"/>
    <m/>
    <d v="1899-12-30T13:30:00"/>
    <x v="131"/>
    <s v="Mecánica"/>
    <s v="Se envia barril a taller externo, se realiza montaje y puesta a punta de zonas de resistencias_x000a_Entrega de maquina armada, falta de montaje de corona 13:00, se requiere seguimiento despues del arranque"/>
    <x v="1"/>
    <s v="NA"/>
    <x v="2"/>
    <x v="0"/>
    <d v="1899-12-30T13:30:00"/>
    <d v="2026-03-29T00:00:00"/>
    <d v="2026-04-03T13:30:00"/>
    <d v="1900-01-04T13:30:00"/>
  </r>
  <r>
    <n v="1099"/>
    <s v="D. ARRIETA"/>
    <d v="1899-12-30T10:45:00"/>
    <x v="150"/>
    <s v="IMPRESORA 1"/>
    <s v="Puntual"/>
    <s v="Correa de transimisión del embobinador"/>
    <d v="1899-12-30T10:45:00"/>
    <d v="1899-12-30T11:15:00"/>
    <x v="139"/>
    <s v="Mecánica"/>
    <s v="Correas embobinador sueltas, se suelta tornillos motor para calibrar poleas y correas quedando OK"/>
    <x v="1"/>
    <s v="NA"/>
    <x v="3"/>
    <x v="0"/>
    <d v="1899-12-30T00:30:00"/>
    <d v="2026-03-29T10:45:00"/>
    <d v="2026-03-29T11:15:00"/>
    <d v="1899-12-30T00:30:00"/>
  </r>
  <r>
    <n v="1100"/>
    <s v="J. MIRANDA"/>
    <d v="1899-12-30T09:00:00"/>
    <x v="151"/>
    <s v="REFILADORA 1"/>
    <s v="Puntual"/>
    <s v="El alineador del doblador dejo de funcionar"/>
    <d v="1899-12-30T09:00:00"/>
    <d v="1899-12-30T09:20:00"/>
    <x v="141"/>
    <s v="Eléctrica"/>
    <s v="Cable de derivación a toma desconectado, se da ajuste y se realizan pruebas, quedo en operación"/>
    <x v="1"/>
    <s v="NA"/>
    <x v="2"/>
    <x v="0"/>
    <d v="1899-12-30T00:20:00"/>
    <d v="2026-03-30T09:00:00"/>
    <d v="2026-03-30T09:20:00"/>
    <d v="1899-12-30T00:20:00"/>
  </r>
  <r>
    <n v="1101"/>
    <m/>
    <m/>
    <x v="3"/>
    <m/>
    <m/>
    <m/>
    <m/>
    <m/>
    <x v="3"/>
    <m/>
    <m/>
    <x v="4"/>
    <m/>
    <x v="4"/>
    <x v="1"/>
    <d v="1899-12-30T00:00:00"/>
    <d v="1899-12-30T00:00:00"/>
    <d v="1899-12-30T00:00:00"/>
    <d v="1899-12-30T00:00:00"/>
  </r>
  <r>
    <n v="1102"/>
    <m/>
    <m/>
    <x v="3"/>
    <m/>
    <m/>
    <m/>
    <m/>
    <m/>
    <x v="3"/>
    <m/>
    <m/>
    <x v="4"/>
    <m/>
    <x v="4"/>
    <x v="1"/>
    <d v="1899-12-30T00:00:00"/>
    <d v="1899-12-30T00:00:00"/>
    <d v="1899-12-30T00:00:00"/>
    <d v="1899-12-30T00:00:00"/>
  </r>
  <r>
    <n v="1103"/>
    <s v="D. CUESTA"/>
    <d v="1899-12-30T11:40:00"/>
    <x v="152"/>
    <s v="EXTRUSORA 2"/>
    <s v="Puntual"/>
    <s v="Revisar temperatura tornillo interior"/>
    <m/>
    <m/>
    <x v="3"/>
    <m/>
    <m/>
    <x v="4"/>
    <m/>
    <x v="4"/>
    <x v="2"/>
    <d v="1899-12-30T00:00:00"/>
    <d v="2026-04-11T11:40:00"/>
    <d v="1899-12-30T00:00:00"/>
    <n v="-46123.486111111109"/>
  </r>
  <r>
    <n v="1104"/>
    <s v="L. MIRANDA"/>
    <d v="1899-12-30T14:00:00"/>
    <x v="152"/>
    <s v="EXTRUSORA 5"/>
    <s v="Puntual"/>
    <s v="La maquina se arranca peo la velocidad no subia despues de 100 le puse 220 pero la maquina no subio y buscaba apegarse en la corona"/>
    <d v="1899-12-30T15:00:00"/>
    <d v="1899-12-30T15:38:00"/>
    <x v="142"/>
    <s v="Eléctrica"/>
    <s v="Se reinicia braker queda operativo"/>
    <x v="1"/>
    <s v="NA"/>
    <x v="9"/>
    <x v="0"/>
    <d v="1899-12-30T00:38:00"/>
    <d v="2026-04-11T14:00:00"/>
    <d v="2026-04-11T15:38:00"/>
    <d v="1899-12-30T01:38:00"/>
  </r>
  <r>
    <n v="1105"/>
    <s v="C. CASTRO"/>
    <d v="1899-12-30T21:40:00"/>
    <x v="152"/>
    <s v="REFILADORA 3"/>
    <s v="Puntual"/>
    <s v="Organizar y cuadrar castañas"/>
    <d v="1899-12-30T21:40:00"/>
    <d v="1899-12-30T22:50:00"/>
    <x v="142"/>
    <s v="Mecánica"/>
    <s v="Se hace desmonte y montaje, ajuste de castaña y separado por ajuste, se limpia eje, se hace prueba queda operativo"/>
    <x v="1"/>
    <s v="NA"/>
    <x v="1"/>
    <x v="0"/>
    <d v="1899-12-30T01:10:00"/>
    <d v="2026-04-11T21:40:00"/>
    <d v="2026-04-11T22:50:00"/>
    <d v="1899-12-30T01:10:00"/>
  </r>
  <r>
    <n v="1106"/>
    <s v="R. OLIVARES"/>
    <d v="1899-12-30T06:50:00"/>
    <x v="153"/>
    <s v="EXTRUSORA 5"/>
    <s v="Puntual"/>
    <s v="Se apago la rotación de la torre"/>
    <d v="1899-12-30T07:00:00"/>
    <d v="1899-12-30T07:55:00"/>
    <x v="143"/>
    <s v="Eléctrica"/>
    <s v="Se verifico rotación, se revisa un cable de la pacha B+ B- estaba mal contacto queda operativo"/>
    <x v="1"/>
    <s v="NA"/>
    <x v="9"/>
    <x v="0"/>
    <d v="1899-12-30T00:55:00"/>
    <d v="2026-04-12T06:50:00"/>
    <d v="2026-04-12T07:55:00"/>
    <d v="1899-12-30T01:05:00"/>
  </r>
  <r>
    <n v="1107"/>
    <m/>
    <m/>
    <x v="3"/>
    <m/>
    <m/>
    <m/>
    <m/>
    <m/>
    <x v="3"/>
    <m/>
    <m/>
    <x v="4"/>
    <m/>
    <x v="4"/>
    <x v="1"/>
    <d v="1899-12-30T00:00:00"/>
    <d v="1899-12-30T00:00:00"/>
    <d v="1899-12-30T00:00:00"/>
    <d v="1899-12-30T00:00:00"/>
  </r>
  <r>
    <n v="1108"/>
    <m/>
    <m/>
    <x v="3"/>
    <m/>
    <m/>
    <m/>
    <m/>
    <m/>
    <x v="3"/>
    <m/>
    <m/>
    <x v="4"/>
    <m/>
    <x v="4"/>
    <x v="1"/>
    <d v="1899-12-30T00:00:00"/>
    <d v="1899-12-30T00:00:00"/>
    <d v="1899-12-30T00:00:00"/>
    <d v="1899-12-30T00:00:00"/>
  </r>
  <r>
    <n v="1109"/>
    <m/>
    <m/>
    <x v="3"/>
    <m/>
    <m/>
    <m/>
    <m/>
    <m/>
    <x v="3"/>
    <m/>
    <m/>
    <x v="4"/>
    <m/>
    <x v="4"/>
    <x v="1"/>
    <d v="1899-12-30T00:00:00"/>
    <d v="1899-12-30T00:00:00"/>
    <d v="1899-12-30T00:00:00"/>
    <d v="1899-12-30T00:00:00"/>
  </r>
  <r>
    <n v="1110"/>
    <m/>
    <m/>
    <x v="3"/>
    <m/>
    <m/>
    <m/>
    <m/>
    <m/>
    <x v="3"/>
    <m/>
    <m/>
    <x v="4"/>
    <m/>
    <x v="4"/>
    <x v="1"/>
    <d v="1899-12-30T00:00:00"/>
    <d v="1899-12-30T00:00:00"/>
    <d v="1899-12-30T00:00:00"/>
    <d v="1899-12-30T00:00:00"/>
  </r>
  <r>
    <n v="1111"/>
    <s v="F. SANCHEZ"/>
    <d v="1899-12-30T06:00:00"/>
    <x v="148"/>
    <s v="EXTRUSORA 1"/>
    <s v="Puntual"/>
    <s v="Variador del halador no prende"/>
    <d v="1899-12-30T20:00:00"/>
    <d v="1899-12-30T21:30:00"/>
    <x v="144"/>
    <s v="Eléctrica"/>
    <s v="L. FLOREZ: 13/04/26 Se requiere variador para cambio_x000a_D. BAUTISTA: 15/4/26 20:00-21:30 Se realiza instalación de variador OPTIDRIVE a motor de rodillo halador, se instala riel omega, se realizo conexión eléctrica y programación del variador, se realizan pruebas y se entrega a producción para arranque 21:30// 15/04/26, se va a realizar acompañamiento y seguimiento en el arranque 1:50// 16/04/26_x000a_Queda en operación"/>
    <x v="1"/>
    <s v="NA"/>
    <x v="2"/>
    <x v="0"/>
    <d v="1899-12-30T01:30:00"/>
    <d v="2026-04-13T06:00:00"/>
    <d v="2026-04-15T21:30:00"/>
    <d v="1900-01-01T15:30:00"/>
  </r>
  <r>
    <n v="1112"/>
    <s v="J. PARDO"/>
    <d v="1899-12-30T13:50:00"/>
    <x v="148"/>
    <s v="IMPRESORA 1"/>
    <s v="Puntual"/>
    <s v="Daño eje embobinador"/>
    <d v="1899-12-30T14:30:00"/>
    <d v="1899-12-30T15:00:00"/>
    <x v="138"/>
    <s v="Neúmatica"/>
    <s v="Se recibe reporte 14:30, se realiza inspección, se encuentra manguera fisurada, se remplaza y se entrega operativa"/>
    <x v="1"/>
    <s v="Manguera"/>
    <x v="2"/>
    <x v="0"/>
    <d v="1899-12-30T00:30:00"/>
    <d v="2026-04-13T13:50:00"/>
    <d v="2026-04-13T15:00:00"/>
    <d v="1899-12-30T01:10:00"/>
  </r>
  <r>
    <n v="1113"/>
    <s v="L. MIRANDA"/>
    <d v="1899-12-30T14:40:00"/>
    <x v="148"/>
    <s v="EXTRUSORA 5"/>
    <s v="Puntual"/>
    <s v="Revisar manguera de la salida del IBC que esta rota en 2 partes "/>
    <d v="1899-12-30T14:40:00"/>
    <d v="1899-12-30T14:50:00"/>
    <x v="138"/>
    <s v="Neúmatica"/>
    <s v="Se encuentra manguera de IBC partida"/>
    <x v="1"/>
    <s v="NA"/>
    <x v="5"/>
    <x v="0"/>
    <d v="1899-12-30T00:10:00"/>
    <d v="2026-04-13T14:40:00"/>
    <d v="2026-04-13T14:50:00"/>
    <d v="1899-12-30T00:10:00"/>
  </r>
  <r>
    <n v="1114"/>
    <s v="D. CUESTA"/>
    <d v="1899-12-30T04:50:00"/>
    <x v="44"/>
    <s v="EXTRUSORA 3"/>
    <s v="Puntual"/>
    <s v="Coex 2 esta haciendo corto, se cae escobilla"/>
    <d v="1899-12-30T04:55:00"/>
    <d v="1899-12-30T05:25:00"/>
    <x v="145"/>
    <s v="Eléctrica"/>
    <s v="Escobilla se cae de su posición, esto genera corto al pegar directo al soporte de la misma, queda operativa"/>
    <x v="1"/>
    <s v="NA"/>
    <x v="9"/>
    <x v="0"/>
    <d v="1899-12-30T00:30:00"/>
    <d v="2026-04-14T04:50:00"/>
    <d v="2026-04-14T05:25:00"/>
    <d v="1899-12-30T00:35:00"/>
  </r>
  <r>
    <n v="1115"/>
    <m/>
    <m/>
    <x v="3"/>
    <m/>
    <m/>
    <m/>
    <m/>
    <m/>
    <x v="3"/>
    <m/>
    <m/>
    <x v="4"/>
    <m/>
    <x v="4"/>
    <x v="1"/>
    <d v="1899-12-30T00:00:00"/>
    <d v="1899-12-30T00:00:00"/>
    <d v="1899-12-30T00:00:00"/>
    <d v="1899-12-30T00:00:00"/>
  </r>
  <r>
    <n v="1116"/>
    <s v="D. CUESTA"/>
    <d v="1899-12-30T00:25:00"/>
    <x v="148"/>
    <s v="REFILADORA 1"/>
    <s v="Puntual"/>
    <s v="Tornillo deaña la rosca, no ajusta la manzana para apretar el rollo"/>
    <d v="1899-12-30T00:25:00"/>
    <d v="1899-12-30T01:00:00"/>
    <x v="138"/>
    <s v="Mecánica"/>
    <s v="Se re repasa por marchas M10 se cambia tornillo por roscado dañado"/>
    <x v="110"/>
    <s v="NA"/>
    <x v="1"/>
    <x v="0"/>
    <d v="1899-12-30T00:35:00"/>
    <d v="2026-04-13T00:25:00"/>
    <d v="2026-04-13T01:00:00"/>
    <d v="1899-12-30T00:35:00"/>
  </r>
  <r>
    <n v="1117"/>
    <m/>
    <m/>
    <x v="3"/>
    <m/>
    <m/>
    <m/>
    <m/>
    <m/>
    <x v="3"/>
    <m/>
    <m/>
    <x v="4"/>
    <m/>
    <x v="4"/>
    <x v="1"/>
    <d v="1899-12-30T00:00:00"/>
    <d v="1899-12-30T00:00:00"/>
    <d v="1899-12-30T00:00:00"/>
    <d v="1899-12-30T00:00:00"/>
  </r>
  <r>
    <n v="1118"/>
    <m/>
    <m/>
    <x v="3"/>
    <m/>
    <m/>
    <m/>
    <m/>
    <m/>
    <x v="3"/>
    <m/>
    <m/>
    <x v="4"/>
    <m/>
    <x v="4"/>
    <x v="1"/>
    <d v="1899-12-30T00:00:00"/>
    <d v="1899-12-30T00:00:00"/>
    <d v="1899-12-30T00:00:00"/>
    <d v="1899-12-30T00:00:00"/>
  </r>
  <r>
    <n v="1119"/>
    <m/>
    <m/>
    <x v="3"/>
    <m/>
    <m/>
    <m/>
    <m/>
    <m/>
    <x v="3"/>
    <m/>
    <m/>
    <x v="4"/>
    <m/>
    <x v="4"/>
    <x v="1"/>
    <d v="1899-12-30T00:00:00"/>
    <d v="1899-12-30T00:00:00"/>
    <d v="1899-12-30T00:00:00"/>
    <d v="1899-12-30T00:00:00"/>
  </r>
  <r>
    <n v="1120"/>
    <m/>
    <m/>
    <x v="3"/>
    <m/>
    <m/>
    <m/>
    <m/>
    <m/>
    <x v="3"/>
    <m/>
    <m/>
    <x v="4"/>
    <m/>
    <x v="4"/>
    <x v="1"/>
    <d v="1899-12-30T00:00:00"/>
    <d v="1899-12-30T00:00:00"/>
    <d v="1899-12-30T00:00:00"/>
    <d v="1899-12-30T00:00:00"/>
  </r>
  <r>
    <n v="1121"/>
    <s v="A. ROVINA"/>
    <d v="1899-12-30T05:00:00"/>
    <x v="154"/>
    <s v="SELLADORA 3"/>
    <s v="Puntual"/>
    <s v="Se parte la correa que alimenta el servo"/>
    <d v="1899-12-30T05:00:00"/>
    <d v="1899-12-30T05:20:00"/>
    <x v="146"/>
    <s v="Mecánica"/>
    <s v="Se encuentra correa de transmisión de halador partida, se remplaza correa 900H, se enrega operativa"/>
    <x v="168"/>
    <s v="NA"/>
    <x v="2"/>
    <x v="0"/>
    <d v="1899-12-30T00:20:00"/>
    <d v="2026-04-16T05:00:00"/>
    <d v="2026-04-16T05:20:00"/>
    <d v="1899-12-30T00:20:00"/>
  </r>
  <r>
    <n v="1122"/>
    <s v="H. TRIANA"/>
    <d v="1899-12-30T23:00:00"/>
    <x v="154"/>
    <s v="EXTRUSORA 3"/>
    <s v="Puntual"/>
    <s v="Tornillo de calibrar partido y termocupla mala"/>
    <d v="1899-12-30T23:05:00"/>
    <d v="1899-12-30T23:30:00"/>
    <x v="146"/>
    <s v="Mecánica"/>
    <s v="Se saca tornillo y se ajusta termocupla"/>
    <x v="99"/>
    <s v="NA"/>
    <x v="9"/>
    <x v="0"/>
    <d v="1899-12-30T00:25:00"/>
    <d v="2026-04-16T23:00:00"/>
    <d v="2026-04-16T23:30:00"/>
    <d v="1899-12-30T00:30:00"/>
  </r>
  <r>
    <n v="1123"/>
    <m/>
    <m/>
    <x v="3"/>
    <m/>
    <m/>
    <m/>
    <m/>
    <m/>
    <x v="3"/>
    <m/>
    <m/>
    <x v="4"/>
    <m/>
    <x v="4"/>
    <x v="1"/>
    <d v="1899-12-30T00:00:00"/>
    <d v="1899-12-30T00:00:00"/>
    <d v="1899-12-30T00:00:00"/>
    <d v="1899-12-30T00:00:00"/>
  </r>
  <r>
    <n v="1124"/>
    <s v="D. ARRIETA"/>
    <d v="1899-12-30T18:50:00"/>
    <x v="155"/>
    <s v="IMPRESORA 1"/>
    <s v="Puntual"/>
    <s v="Manguera de la bomba neúmatico se rebento"/>
    <d v="1899-12-30T19:39:00"/>
    <d v="1899-12-30T19:31:00"/>
    <x v="147"/>
    <s v="Mecánica"/>
    <s v="Cambio manguera se estalla"/>
    <x v="1"/>
    <s v="NA"/>
    <x v="9"/>
    <x v="0"/>
    <n v="-5.5555555555555358E-3"/>
    <d v="2026-04-17T18:50:00"/>
    <d v="2026-04-17T19:31:00"/>
    <d v="1899-12-30T00:41:00"/>
  </r>
  <r>
    <n v="1125"/>
    <s v="D. ARRIETA"/>
    <d v="1899-12-30T20:15:00"/>
    <x v="155"/>
    <s v="IMPRESORA 1"/>
    <s v="Puntual"/>
    <s v="Rodillo de el balancin se safo y se daño donde y sugetado con la cadena"/>
    <d v="1899-12-30T20:20:00"/>
    <d v="1899-12-30T22:30:00"/>
    <x v="147"/>
    <s v="Mecánica"/>
    <s v="Se soldan los dos dos candados para la cadena del balancin"/>
    <x v="1"/>
    <s v="NA"/>
    <x v="9"/>
    <x v="0"/>
    <d v="1899-12-30T02:10:00"/>
    <d v="2026-04-17T20:15:00"/>
    <d v="2026-04-17T22:30:00"/>
    <d v="1899-12-30T02:15:00"/>
  </r>
  <r>
    <n v="1126"/>
    <s v="A. ROVINA"/>
    <d v="1899-12-30T22:30:00"/>
    <x v="155"/>
    <s v="SELLADORA 2"/>
    <s v="Puntual"/>
    <s v="Cuchilla se le parte un tornillo que genera la presión y ajusta la base"/>
    <d v="1899-12-30T06:30:00"/>
    <d v="1899-12-30T09:00:00"/>
    <x v="148"/>
    <s v="Mecánica"/>
    <s v="Se encuentran pines guias de cilindros de ajuste de cuchilla con tornillos M4 X 20mm partidos, se extraen tornillos y se remplazan, se realiza montaje y se entrega para arranque"/>
    <x v="169"/>
    <s v="NA"/>
    <x v="2"/>
    <x v="0"/>
    <d v="1899-12-30T02:30:00"/>
    <d v="2026-04-17T22:30:00"/>
    <d v="2026-04-18T09:00:00"/>
    <d v="1899-12-30T10:30:00"/>
  </r>
  <r>
    <n v="1127"/>
    <s v="S. PATIÑO"/>
    <d v="1899-12-30T07:30:00"/>
    <x v="156"/>
    <s v="EXTRUSORA 2"/>
    <s v="Puntual"/>
    <s v="Dosificador no funciona"/>
    <d v="1899-12-30T07:30:00"/>
    <d v="1899-12-30T08:00:00"/>
    <x v="148"/>
    <s v="Eléctrica"/>
    <s v="Se realiza inspección y se encuentran contactos NC y NO en malas condiciones y por ello no realizo enclavamiento el contactor de alimetnación al variador, se remplazan y queda operativo"/>
    <x v="170"/>
    <s v="NA"/>
    <x v="2"/>
    <x v="0"/>
    <d v="1899-12-30T00:30:00"/>
    <d v="2026-04-18T07:30:00"/>
    <d v="2026-04-18T08:00:00"/>
    <d v="1899-12-30T00:30:00"/>
  </r>
  <r>
    <n v="1128"/>
    <s v="S. PATIÑO"/>
    <d v="1899-12-30T09:30:00"/>
    <x v="156"/>
    <s v="EXTRUSORA 2"/>
    <s v="Puntual"/>
    <s v="Rotación no arranca"/>
    <d v="1899-12-30T09:30:00"/>
    <d v="1899-12-30T10:00:00"/>
    <x v="148"/>
    <s v="Eléctrica"/>
    <s v="Se realiza inspeccióne eléctrica, se encuentra protección disparandose por corto, se realiza seguimiento y se encuentra cable de potencia aterrizado, se ajusta y se aisla cableado y se entrega operativo, se genero parada de maquina"/>
    <x v="1"/>
    <s v="NA"/>
    <x v="2"/>
    <x v="0"/>
    <d v="1899-12-30T00:30:00"/>
    <d v="2026-04-18T09:30:00"/>
    <d v="2026-04-18T10:00:00"/>
    <d v="1899-12-30T00:30:00"/>
  </r>
  <r>
    <n v="1129"/>
    <m/>
    <m/>
    <x v="3"/>
    <m/>
    <m/>
    <m/>
    <m/>
    <m/>
    <x v="3"/>
    <m/>
    <m/>
    <x v="4"/>
    <m/>
    <x v="4"/>
    <x v="1"/>
    <d v="1899-12-30T00:00:00"/>
    <d v="1899-12-30T00:00:00"/>
    <d v="1899-12-30T00:00:00"/>
    <d v="1899-12-30T00:00:00"/>
  </r>
  <r>
    <n v="1130"/>
    <s v="S. PATIÑO"/>
    <d v="1899-12-30T13:00:00"/>
    <x v="156"/>
    <s v="EXTRUSORA 2"/>
    <s v="Puntual"/>
    <s v="Fallo en temperatura molde"/>
    <d v="1899-12-30T13:00:00"/>
    <d v="1899-12-30T13:20:00"/>
    <x v="148"/>
    <s v="Eléctrica"/>
    <s v="Se realiza inspección y se encuentra contacto de contactor con punto caliente, se revisa conexión y se entrega operativo"/>
    <x v="1"/>
    <s v="NA"/>
    <x v="2"/>
    <x v="0"/>
    <d v="1899-12-30T00:20:00"/>
    <d v="2026-04-18T13:00:00"/>
    <d v="2026-04-18T13:20:00"/>
    <d v="1899-12-30T00:20:00"/>
  </r>
  <r>
    <n v="1131"/>
    <s v="S. PATIÑO"/>
    <d v="1899-12-30T16:00:00"/>
    <x v="156"/>
    <s v="EXTRUSORA 2"/>
    <s v="Puntual"/>
    <s v="Motor dosificador no arranca"/>
    <d v="1899-12-30T16:00:00"/>
    <d v="1899-12-30T17:00:00"/>
    <x v="148"/>
    <s v="Mecánica"/>
    <s v="Se realiza inspección al motor, se inspecciona estado de rodamientos, ajuste y conexiones eléctricas, se realizan pruebas y funciona se realiza montaje y se deja en operación"/>
    <x v="1"/>
    <s v="NA"/>
    <x v="2"/>
    <x v="0"/>
    <d v="1899-12-30T01:00:00"/>
    <d v="2026-04-18T16:00:00"/>
    <d v="2026-04-18T17:00:00"/>
    <d v="1899-12-30T01:00:00"/>
  </r>
  <r>
    <n v="1132"/>
    <s v="F. SANCHEZ"/>
    <d v="1899-12-30T10:30:00"/>
    <x v="157"/>
    <s v="EXTRUSORA 5"/>
    <s v="Puntual"/>
    <s v="Problemas con el molde las temperaturas no calientan, se dispara el breaker"/>
    <d v="1899-12-30T10:30:00"/>
    <d v="1899-12-30T11:20:00"/>
    <x v="149"/>
    <s v="Eléctrica"/>
    <s v="Se verifica conexiones, cables sueltos, se torquea quedando con alimentación empieza subir temperatura queda en seguimiento"/>
    <x v="1"/>
    <s v="NA"/>
    <x v="1"/>
    <x v="0"/>
    <d v="1899-12-30T00:50:00"/>
    <d v="2026-04-20T10:30:00"/>
    <d v="2026-04-20T11:20:00"/>
    <d v="1899-12-30T00:50:00"/>
  </r>
  <r>
    <n v="1133"/>
    <s v="J. PARDO"/>
    <d v="1899-12-30T12:00:00"/>
    <x v="157"/>
    <s v="IMPRESORA 1"/>
    <s v="Puntual"/>
    <s v="Corto eléctrico bomba"/>
    <d v="1899-12-30T12:00:00"/>
    <d v="1899-12-30T14:00:00"/>
    <x v="149"/>
    <s v="Eléctrica"/>
    <s v="Se cambia cable y encuhe CETAC o CEE tipo stick se ajusta conexiones, se verifica protección queda operativa_x000a_Prueba de consumos"/>
    <x v="171"/>
    <s v="NA"/>
    <x v="1"/>
    <x v="0"/>
    <d v="1899-12-30T02:00:00"/>
    <d v="2026-04-20T12:00:00"/>
    <d v="2026-04-20T14:00:00"/>
    <d v="1899-12-30T02:00:00"/>
  </r>
  <r>
    <n v="1134"/>
    <m/>
    <m/>
    <x v="3"/>
    <m/>
    <m/>
    <m/>
    <m/>
    <m/>
    <x v="3"/>
    <m/>
    <m/>
    <x v="4"/>
    <m/>
    <x v="4"/>
    <x v="1"/>
    <d v="1899-12-30T00:00:00"/>
    <d v="1899-12-30T00:00:00"/>
    <d v="1899-12-30T00:00:00"/>
    <d v="1899-12-30T00:00:00"/>
  </r>
  <r>
    <n v="1135"/>
    <m/>
    <m/>
    <x v="3"/>
    <m/>
    <m/>
    <m/>
    <m/>
    <m/>
    <x v="3"/>
    <m/>
    <m/>
    <x v="4"/>
    <m/>
    <x v="4"/>
    <x v="1"/>
    <d v="1899-12-30T00:00:00"/>
    <d v="1899-12-30T00:00:00"/>
    <d v="1899-12-30T00:00:00"/>
    <d v="1899-12-30T00:00:00"/>
  </r>
  <r>
    <n v="1136"/>
    <s v="F. SANCHEZ"/>
    <d v="1899-12-30T17:50:00"/>
    <x v="157"/>
    <s v="EXTRUSORA 2"/>
    <s v="Puntual"/>
    <s v="Zona del molde no calienta"/>
    <d v="1899-12-30T18:10:00"/>
    <d v="1899-12-30T19:00:00"/>
    <x v="149"/>
    <s v="Eléctrica"/>
    <s v="Se encuentra temperatura baja en controlador molde, se inspecciono y se encuentra contacto e conector en fallo, se cambio contactor (32A), se realizan pruebas temperatura llego a setpoint y se entrega para arranque"/>
    <x v="172"/>
    <s v="NA"/>
    <x v="2"/>
    <x v="0"/>
    <d v="1899-12-30T00:50:00"/>
    <d v="2026-04-20T17:50:00"/>
    <d v="2026-04-20T19:00:00"/>
    <d v="1899-12-30T01:10:00"/>
  </r>
  <r>
    <n v="1137"/>
    <m/>
    <m/>
    <x v="3"/>
    <m/>
    <m/>
    <m/>
    <m/>
    <m/>
    <x v="3"/>
    <m/>
    <m/>
    <x v="4"/>
    <m/>
    <x v="4"/>
    <x v="1"/>
    <d v="1899-12-30T00:00:00"/>
    <d v="1899-12-30T00:00:00"/>
    <d v="1899-12-30T00:00:00"/>
    <d v="1899-12-30T00:00:00"/>
  </r>
  <r>
    <n v="1138"/>
    <s v="J. RINCON"/>
    <d v="1899-12-30T01:15:00"/>
    <x v="158"/>
    <s v="IMPRESORA 1"/>
    <s v="Puntual"/>
    <s v="Falla embobinador"/>
    <d v="1899-12-30T10:20:00"/>
    <d v="1899-12-30T03:00:00"/>
    <x v="150"/>
    <s v="Eléctrica"/>
    <s v="Se encuentra fallo en bobinador se revisa circuito de control, de accionamiento de tambor y bobinador ya que no habilita la maquina para arrancar, se realizan ajustes en componentes eléctricos del circuito, cambio de componentes en mal estado, ajuste de conexiones eléctricas, inspección de tableros de control, se realizan pruebas y se entrega operativa"/>
    <x v="173"/>
    <s v="NA"/>
    <x v="2"/>
    <x v="0"/>
    <n v="-0.30555555555555558"/>
    <d v="2026-04-21T01:15:00"/>
    <d v="2026-04-22T03:00:00"/>
    <d v="1899-12-31T01:45:00"/>
  </r>
  <r>
    <n v="1139"/>
    <s v="D. BUESACO"/>
    <d v="1899-12-30T13:45:00"/>
    <x v="158"/>
    <s v="SELLADORA 1"/>
    <s v="Puntual"/>
    <s v="Bolsa se queda en las uñas"/>
    <d v="1899-12-30T13:45:00"/>
    <d v="1899-12-30T18:00:00"/>
    <x v="151"/>
    <s v="Neúmatica"/>
    <s v="Se realiza comprobación de entreadas de aire, valvulas neúmaticas, se toma consumo en solenoides, queda hacer seguimiento en el turno, se ajusta conteo para minimizar paradas"/>
    <x v="1"/>
    <s v="NA"/>
    <x v="1"/>
    <x v="0"/>
    <d v="1899-12-30T04:15:00"/>
    <d v="2026-04-21T13:45:00"/>
    <d v="2026-04-21T18:00:00"/>
    <d v="1899-12-30T04:15:00"/>
  </r>
  <r>
    <n v="1140"/>
    <m/>
    <m/>
    <x v="3"/>
    <m/>
    <m/>
    <m/>
    <m/>
    <m/>
    <x v="3"/>
    <m/>
    <m/>
    <x v="4"/>
    <m/>
    <x v="4"/>
    <x v="1"/>
    <d v="1899-12-30T00:00:00"/>
    <d v="1899-12-30T00:00:00"/>
    <d v="1899-12-30T00:00:00"/>
    <d v="1899-12-30T00:00:00"/>
  </r>
  <r>
    <n v="1141"/>
    <m/>
    <m/>
    <x v="3"/>
    <m/>
    <m/>
    <m/>
    <m/>
    <m/>
    <x v="3"/>
    <m/>
    <m/>
    <x v="4"/>
    <m/>
    <x v="4"/>
    <x v="1"/>
    <d v="1899-12-30T00:00:00"/>
    <d v="1899-12-30T00:00:00"/>
    <d v="1899-12-30T00:00:00"/>
    <d v="1899-12-30T00:00:00"/>
  </r>
  <r>
    <n v="1142"/>
    <m/>
    <m/>
    <x v="3"/>
    <m/>
    <m/>
    <m/>
    <m/>
    <m/>
    <x v="3"/>
    <m/>
    <m/>
    <x v="4"/>
    <m/>
    <x v="4"/>
    <x v="1"/>
    <d v="1899-12-30T00:00:00"/>
    <d v="1899-12-30T00:00:00"/>
    <d v="1899-12-30T00:00:00"/>
    <d v="1899-12-30T00:00:00"/>
  </r>
  <r>
    <n v="1143"/>
    <m/>
    <m/>
    <x v="3"/>
    <m/>
    <m/>
    <m/>
    <m/>
    <m/>
    <x v="3"/>
    <m/>
    <m/>
    <x v="4"/>
    <m/>
    <x v="4"/>
    <x v="1"/>
    <d v="1899-12-30T00:00:00"/>
    <d v="1899-12-30T00:00:00"/>
    <d v="1899-12-30T00:00:00"/>
    <d v="1899-12-30T00:00:00"/>
  </r>
  <r>
    <n v="1144"/>
    <m/>
    <m/>
    <x v="3"/>
    <m/>
    <m/>
    <m/>
    <m/>
    <m/>
    <x v="3"/>
    <m/>
    <m/>
    <x v="4"/>
    <m/>
    <x v="4"/>
    <x v="1"/>
    <d v="1899-12-30T00:00:00"/>
    <d v="1899-12-30T00:00:00"/>
    <d v="1899-12-30T00:00:00"/>
    <d v="1899-12-30T00:00:00"/>
  </r>
  <r>
    <n v="1145"/>
    <m/>
    <m/>
    <x v="3"/>
    <m/>
    <m/>
    <m/>
    <m/>
    <m/>
    <x v="3"/>
    <m/>
    <m/>
    <x v="4"/>
    <m/>
    <x v="4"/>
    <x v="1"/>
    <d v="1899-12-30T00:00:00"/>
    <d v="1899-12-30T00:00:00"/>
    <d v="1899-12-30T00:00:00"/>
    <d v="1899-12-30T00:00:00"/>
  </r>
  <r>
    <n v="1146"/>
    <m/>
    <m/>
    <x v="3"/>
    <m/>
    <m/>
    <m/>
    <m/>
    <m/>
    <x v="3"/>
    <m/>
    <m/>
    <x v="4"/>
    <m/>
    <x v="4"/>
    <x v="1"/>
    <d v="1899-12-30T00:00:00"/>
    <d v="1899-12-30T00:00:00"/>
    <d v="1899-12-30T00:00:00"/>
    <d v="1899-12-30T00:00:00"/>
  </r>
  <r>
    <n v="1147"/>
    <m/>
    <m/>
    <x v="3"/>
    <m/>
    <m/>
    <m/>
    <m/>
    <m/>
    <x v="3"/>
    <m/>
    <m/>
    <x v="4"/>
    <m/>
    <x v="4"/>
    <x v="1"/>
    <d v="1899-12-30T00:00:00"/>
    <d v="1899-12-30T00:00:00"/>
    <d v="1899-12-30T00:00:00"/>
    <d v="1899-12-30T00:00:00"/>
  </r>
  <r>
    <n v="1148"/>
    <m/>
    <m/>
    <x v="3"/>
    <m/>
    <m/>
    <m/>
    <m/>
    <m/>
    <x v="3"/>
    <m/>
    <m/>
    <x v="4"/>
    <m/>
    <x v="4"/>
    <x v="1"/>
    <d v="1899-12-30T00:00:00"/>
    <d v="1899-12-30T00:00:00"/>
    <d v="1899-12-30T00:00:00"/>
    <d v="1899-12-30T00:00:00"/>
  </r>
  <r>
    <n v="1149"/>
    <m/>
    <m/>
    <x v="3"/>
    <m/>
    <m/>
    <m/>
    <m/>
    <m/>
    <x v="3"/>
    <m/>
    <m/>
    <x v="4"/>
    <m/>
    <x v="4"/>
    <x v="1"/>
    <d v="1899-12-30T00:00:00"/>
    <d v="1899-12-30T00:00:00"/>
    <d v="1899-12-30T00:00:00"/>
    <d v="1899-12-30T00:00:00"/>
  </r>
  <r>
    <n v="1150"/>
    <m/>
    <m/>
    <x v="3"/>
    <m/>
    <m/>
    <m/>
    <m/>
    <m/>
    <x v="3"/>
    <m/>
    <m/>
    <x v="4"/>
    <m/>
    <x v="4"/>
    <x v="1"/>
    <d v="1899-12-30T00:00:00"/>
    <d v="1899-12-30T00:00:00"/>
    <d v="1899-12-30T00:00:00"/>
    <d v="1899-12-30T00:00:00"/>
  </r>
  <r>
    <n v="1151"/>
    <m/>
    <m/>
    <x v="3"/>
    <m/>
    <m/>
    <m/>
    <m/>
    <m/>
    <x v="3"/>
    <m/>
    <m/>
    <x v="4"/>
    <m/>
    <x v="4"/>
    <x v="1"/>
    <d v="1899-12-30T00:00:00"/>
    <d v="1899-12-30T00:00:00"/>
    <d v="1899-12-30T00:00:00"/>
    <d v="1899-12-30T00:00:00"/>
  </r>
  <r>
    <n v="1152"/>
    <m/>
    <m/>
    <x v="3"/>
    <m/>
    <m/>
    <m/>
    <m/>
    <m/>
    <x v="3"/>
    <m/>
    <m/>
    <x v="4"/>
    <m/>
    <x v="4"/>
    <x v="1"/>
    <d v="1899-12-30T00:00:00"/>
    <d v="1899-12-30T00:00:00"/>
    <d v="1899-12-30T00:00:00"/>
    <d v="1899-12-30T00:00:00"/>
  </r>
  <r>
    <n v="1153"/>
    <m/>
    <m/>
    <x v="3"/>
    <m/>
    <m/>
    <m/>
    <m/>
    <m/>
    <x v="3"/>
    <m/>
    <m/>
    <x v="4"/>
    <m/>
    <x v="4"/>
    <x v="1"/>
    <d v="1899-12-30T00:00:00"/>
    <d v="1899-12-30T00:00:00"/>
    <d v="1899-12-30T00:00:00"/>
    <d v="1899-12-30T00:00:00"/>
  </r>
  <r>
    <n v="1154"/>
    <m/>
    <m/>
    <x v="3"/>
    <m/>
    <m/>
    <m/>
    <m/>
    <m/>
    <x v="3"/>
    <m/>
    <m/>
    <x v="4"/>
    <m/>
    <x v="4"/>
    <x v="1"/>
    <d v="1899-12-30T00:00:00"/>
    <d v="1899-12-30T00:00:00"/>
    <d v="1899-12-30T00:00:00"/>
    <d v="1899-12-30T00:00:00"/>
  </r>
  <r>
    <n v="1155"/>
    <m/>
    <m/>
    <x v="3"/>
    <m/>
    <m/>
    <m/>
    <m/>
    <m/>
    <x v="3"/>
    <m/>
    <m/>
    <x v="4"/>
    <m/>
    <x v="4"/>
    <x v="1"/>
    <d v="1899-12-30T00:00:00"/>
    <d v="1899-12-30T00:00:00"/>
    <d v="1899-12-30T00:00:00"/>
    <d v="1899-12-30T00:00:00"/>
  </r>
  <r>
    <n v="1156"/>
    <m/>
    <m/>
    <x v="3"/>
    <m/>
    <m/>
    <m/>
    <m/>
    <m/>
    <x v="3"/>
    <m/>
    <m/>
    <x v="4"/>
    <m/>
    <x v="4"/>
    <x v="1"/>
    <d v="1899-12-30T00:00:00"/>
    <d v="1899-12-30T00:00:00"/>
    <d v="1899-12-30T00:00:00"/>
    <d v="1899-12-30T00:00:00"/>
  </r>
  <r>
    <n v="1157"/>
    <m/>
    <m/>
    <x v="3"/>
    <m/>
    <m/>
    <m/>
    <m/>
    <m/>
    <x v="3"/>
    <m/>
    <m/>
    <x v="4"/>
    <m/>
    <x v="4"/>
    <x v="1"/>
    <d v="1899-12-30T00:00:00"/>
    <d v="1899-12-30T00:00:00"/>
    <d v="1899-12-30T00:00:00"/>
    <d v="1899-12-30T00:00:00"/>
  </r>
  <r>
    <n v="1158"/>
    <m/>
    <m/>
    <x v="3"/>
    <m/>
    <m/>
    <m/>
    <m/>
    <m/>
    <x v="3"/>
    <m/>
    <m/>
    <x v="4"/>
    <m/>
    <x v="4"/>
    <x v="1"/>
    <d v="1899-12-30T00:00:00"/>
    <d v="1899-12-30T00:00:00"/>
    <d v="1899-12-30T00:00:00"/>
    <d v="1899-12-30T00:00:00"/>
  </r>
  <r>
    <n v="1159"/>
    <m/>
    <m/>
    <x v="3"/>
    <m/>
    <m/>
    <m/>
    <m/>
    <m/>
    <x v="3"/>
    <m/>
    <m/>
    <x v="4"/>
    <m/>
    <x v="4"/>
    <x v="1"/>
    <d v="1899-12-30T00:00:00"/>
    <d v="1899-12-30T00:00:00"/>
    <d v="1899-12-30T00:00:00"/>
    <d v="1899-12-30T00:00:00"/>
  </r>
  <r>
    <n v="1160"/>
    <m/>
    <m/>
    <x v="3"/>
    <m/>
    <m/>
    <m/>
    <m/>
    <m/>
    <x v="3"/>
    <m/>
    <m/>
    <x v="4"/>
    <m/>
    <x v="4"/>
    <x v="1"/>
    <d v="1899-12-30T00:00:00"/>
    <d v="1899-12-30T00:00:00"/>
    <d v="1899-12-30T00:00:00"/>
    <d v="1899-12-30T00:00:00"/>
  </r>
  <r>
    <n v="1161"/>
    <m/>
    <m/>
    <x v="3"/>
    <m/>
    <m/>
    <m/>
    <m/>
    <m/>
    <x v="3"/>
    <m/>
    <m/>
    <x v="4"/>
    <m/>
    <x v="4"/>
    <x v="1"/>
    <d v="1899-12-30T00:00:00"/>
    <d v="1899-12-30T00:00:00"/>
    <d v="1899-12-30T00:00:00"/>
    <d v="1899-12-30T00:00:00"/>
  </r>
  <r>
    <n v="1162"/>
    <m/>
    <m/>
    <x v="3"/>
    <m/>
    <m/>
    <m/>
    <m/>
    <m/>
    <x v="3"/>
    <m/>
    <m/>
    <x v="4"/>
    <m/>
    <x v="4"/>
    <x v="1"/>
    <d v="1899-12-30T00:00:00"/>
    <d v="1899-12-30T00:00:00"/>
    <d v="1899-12-30T00:00:00"/>
    <d v="1899-12-30T00:00:00"/>
  </r>
  <r>
    <n v="1163"/>
    <m/>
    <m/>
    <x v="3"/>
    <m/>
    <m/>
    <m/>
    <m/>
    <m/>
    <x v="3"/>
    <m/>
    <m/>
    <x v="4"/>
    <m/>
    <x v="4"/>
    <x v="1"/>
    <d v="1899-12-30T00:00:00"/>
    <d v="1899-12-30T00:00:00"/>
    <d v="1899-12-30T00:00:00"/>
    <d v="1899-12-30T00:00:00"/>
  </r>
  <r>
    <n v="1164"/>
    <m/>
    <m/>
    <x v="3"/>
    <m/>
    <m/>
    <m/>
    <m/>
    <m/>
    <x v="3"/>
    <m/>
    <m/>
    <x v="4"/>
    <m/>
    <x v="4"/>
    <x v="1"/>
    <d v="1899-12-30T00:00:00"/>
    <d v="1899-12-30T00:00:00"/>
    <d v="1899-12-30T00:00:00"/>
    <d v="1899-12-30T00:00:00"/>
  </r>
  <r>
    <n v="1165"/>
    <m/>
    <m/>
    <x v="3"/>
    <m/>
    <m/>
    <m/>
    <m/>
    <m/>
    <x v="3"/>
    <m/>
    <m/>
    <x v="4"/>
    <m/>
    <x v="4"/>
    <x v="1"/>
    <d v="1899-12-30T00:00:00"/>
    <d v="1899-12-30T00:00:00"/>
    <d v="1899-12-30T00:00:00"/>
    <d v="1899-12-30T00:00:00"/>
  </r>
  <r>
    <n v="1166"/>
    <m/>
    <m/>
    <x v="3"/>
    <m/>
    <m/>
    <m/>
    <m/>
    <m/>
    <x v="3"/>
    <m/>
    <m/>
    <x v="4"/>
    <m/>
    <x v="4"/>
    <x v="1"/>
    <d v="1899-12-30T00:00:00"/>
    <d v="1899-12-30T00:00:00"/>
    <d v="1899-12-30T00:00:00"/>
    <d v="1899-12-30T00:00:00"/>
  </r>
  <r>
    <n v="1167"/>
    <m/>
    <m/>
    <x v="3"/>
    <m/>
    <m/>
    <m/>
    <m/>
    <m/>
    <x v="3"/>
    <m/>
    <m/>
    <x v="4"/>
    <m/>
    <x v="4"/>
    <x v="1"/>
    <d v="1899-12-30T00:00:00"/>
    <d v="1899-12-30T00:00:00"/>
    <d v="1899-12-30T00:00:00"/>
    <d v="1899-12-30T00:00:00"/>
  </r>
  <r>
    <n v="1168"/>
    <m/>
    <m/>
    <x v="3"/>
    <m/>
    <m/>
    <m/>
    <m/>
    <m/>
    <x v="3"/>
    <m/>
    <m/>
    <x v="4"/>
    <m/>
    <x v="4"/>
    <x v="1"/>
    <d v="1899-12-30T00:00:00"/>
    <d v="1899-12-30T00:00:00"/>
    <d v="1899-12-30T00:00:00"/>
    <d v="1899-12-30T00:00:00"/>
  </r>
  <r>
    <n v="1169"/>
    <m/>
    <m/>
    <x v="3"/>
    <m/>
    <m/>
    <m/>
    <m/>
    <m/>
    <x v="3"/>
    <m/>
    <m/>
    <x v="4"/>
    <m/>
    <x v="4"/>
    <x v="1"/>
    <d v="1899-12-30T00:00:00"/>
    <d v="1899-12-30T00:00:00"/>
    <d v="1899-12-30T00:00:00"/>
    <d v="1899-12-30T00:00:00"/>
  </r>
  <r>
    <n v="1170"/>
    <m/>
    <m/>
    <x v="3"/>
    <m/>
    <m/>
    <m/>
    <m/>
    <m/>
    <x v="3"/>
    <m/>
    <m/>
    <x v="4"/>
    <m/>
    <x v="4"/>
    <x v="1"/>
    <d v="1899-12-30T00:00:00"/>
    <d v="1899-12-30T00:00:00"/>
    <d v="1899-12-30T00:00:00"/>
    <d v="1899-12-30T00:00:00"/>
  </r>
  <r>
    <n v="1171"/>
    <m/>
    <m/>
    <x v="3"/>
    <m/>
    <m/>
    <m/>
    <m/>
    <m/>
    <x v="3"/>
    <m/>
    <m/>
    <x v="4"/>
    <m/>
    <x v="4"/>
    <x v="1"/>
    <d v="1899-12-30T00:00:00"/>
    <d v="1899-12-30T00:00:00"/>
    <d v="1899-12-30T00:00:00"/>
    <d v="1899-12-30T00:00:00"/>
  </r>
  <r>
    <n v="1172"/>
    <m/>
    <m/>
    <x v="3"/>
    <m/>
    <m/>
    <m/>
    <m/>
    <m/>
    <x v="3"/>
    <m/>
    <m/>
    <x v="4"/>
    <m/>
    <x v="4"/>
    <x v="1"/>
    <d v="1899-12-30T00:00:00"/>
    <d v="1899-12-30T00:00:00"/>
    <d v="1899-12-30T00:00:00"/>
    <d v="1899-12-30T00:00:00"/>
  </r>
  <r>
    <n v="1173"/>
    <m/>
    <m/>
    <x v="3"/>
    <m/>
    <m/>
    <m/>
    <m/>
    <m/>
    <x v="3"/>
    <m/>
    <m/>
    <x v="4"/>
    <m/>
    <x v="4"/>
    <x v="1"/>
    <d v="1899-12-30T00:00:00"/>
    <d v="1899-12-30T00:00:00"/>
    <d v="1899-12-30T00:00:00"/>
    <d v="1899-12-30T00:00:00"/>
  </r>
  <r>
    <n v="1174"/>
    <m/>
    <m/>
    <x v="3"/>
    <m/>
    <m/>
    <m/>
    <m/>
    <m/>
    <x v="3"/>
    <m/>
    <m/>
    <x v="4"/>
    <m/>
    <x v="4"/>
    <x v="1"/>
    <d v="1899-12-30T00:00:00"/>
    <d v="1899-12-30T00:00:00"/>
    <d v="1899-12-30T00:00:00"/>
    <d v="1899-12-30T00:00:00"/>
  </r>
  <r>
    <n v="1175"/>
    <m/>
    <m/>
    <x v="3"/>
    <m/>
    <m/>
    <m/>
    <m/>
    <m/>
    <x v="3"/>
    <m/>
    <m/>
    <x v="4"/>
    <m/>
    <x v="4"/>
    <x v="1"/>
    <d v="1899-12-30T00:00:00"/>
    <d v="1899-12-30T00:00:00"/>
    <d v="1899-12-30T00:00:00"/>
    <d v="1899-12-30T00:00:00"/>
  </r>
  <r>
    <n v="1176"/>
    <m/>
    <m/>
    <x v="3"/>
    <m/>
    <m/>
    <m/>
    <m/>
    <m/>
    <x v="3"/>
    <m/>
    <m/>
    <x v="4"/>
    <m/>
    <x v="4"/>
    <x v="1"/>
    <d v="1899-12-30T00:00:00"/>
    <d v="1899-12-30T00:00:00"/>
    <d v="1899-12-30T00:00:00"/>
    <d v="1899-12-30T00:00:00"/>
  </r>
  <r>
    <n v="1177"/>
    <m/>
    <m/>
    <x v="3"/>
    <m/>
    <m/>
    <m/>
    <m/>
    <m/>
    <x v="3"/>
    <m/>
    <m/>
    <x v="4"/>
    <m/>
    <x v="4"/>
    <x v="1"/>
    <d v="1899-12-30T00:00:00"/>
    <d v="1899-12-30T00:00:00"/>
    <d v="1899-12-30T00:00:00"/>
    <d v="1899-12-30T00:00:00"/>
  </r>
  <r>
    <n v="1178"/>
    <m/>
    <m/>
    <x v="3"/>
    <m/>
    <m/>
    <m/>
    <m/>
    <m/>
    <x v="3"/>
    <m/>
    <m/>
    <x v="4"/>
    <m/>
    <x v="4"/>
    <x v="1"/>
    <d v="1899-12-30T00:00:00"/>
    <d v="1899-12-30T00:00:00"/>
    <d v="1899-12-30T00:00:00"/>
    <d v="1899-12-30T00:00:00"/>
  </r>
  <r>
    <n v="1179"/>
    <m/>
    <m/>
    <x v="3"/>
    <m/>
    <m/>
    <m/>
    <m/>
    <m/>
    <x v="3"/>
    <m/>
    <m/>
    <x v="4"/>
    <m/>
    <x v="4"/>
    <x v="1"/>
    <d v="1899-12-30T00:00:00"/>
    <d v="1899-12-30T00:00:00"/>
    <d v="1899-12-30T00:00:00"/>
    <d v="1899-12-30T00:00:00"/>
  </r>
  <r>
    <n v="1180"/>
    <m/>
    <m/>
    <x v="3"/>
    <m/>
    <m/>
    <m/>
    <m/>
    <m/>
    <x v="3"/>
    <m/>
    <m/>
    <x v="4"/>
    <m/>
    <x v="4"/>
    <x v="1"/>
    <d v="1899-12-30T00:00:00"/>
    <d v="1899-12-30T00:00:00"/>
    <d v="1899-12-30T00:00:00"/>
    <d v="1899-12-30T00:00:00"/>
  </r>
  <r>
    <n v="1181"/>
    <m/>
    <m/>
    <x v="3"/>
    <m/>
    <m/>
    <m/>
    <m/>
    <m/>
    <x v="3"/>
    <m/>
    <m/>
    <x v="4"/>
    <m/>
    <x v="4"/>
    <x v="1"/>
    <d v="1899-12-30T00:00:00"/>
    <d v="1899-12-30T00:00:00"/>
    <d v="1899-12-30T00:00:00"/>
    <d v="1899-12-30T00:00:00"/>
  </r>
  <r>
    <n v="1182"/>
    <m/>
    <m/>
    <x v="3"/>
    <m/>
    <m/>
    <m/>
    <m/>
    <m/>
    <x v="3"/>
    <m/>
    <m/>
    <x v="4"/>
    <m/>
    <x v="4"/>
    <x v="1"/>
    <d v="1899-12-30T00:00:00"/>
    <d v="1899-12-30T00:00:00"/>
    <d v="1899-12-30T00:00:00"/>
    <d v="1899-12-30T00:00:00"/>
  </r>
  <r>
    <n v="1183"/>
    <m/>
    <m/>
    <x v="3"/>
    <m/>
    <m/>
    <m/>
    <m/>
    <m/>
    <x v="3"/>
    <m/>
    <m/>
    <x v="4"/>
    <m/>
    <x v="4"/>
    <x v="1"/>
    <d v="1899-12-30T00:00:00"/>
    <d v="1899-12-30T00:00:00"/>
    <d v="1899-12-30T00:00:00"/>
    <d v="1899-12-30T00:00:00"/>
  </r>
  <r>
    <n v="1184"/>
    <m/>
    <m/>
    <x v="3"/>
    <m/>
    <m/>
    <m/>
    <m/>
    <m/>
    <x v="3"/>
    <m/>
    <m/>
    <x v="4"/>
    <m/>
    <x v="4"/>
    <x v="1"/>
    <d v="1899-12-30T00:00:00"/>
    <d v="1899-12-30T00:00:00"/>
    <d v="1899-12-30T00:00:00"/>
    <d v="1899-12-30T00:00:00"/>
  </r>
  <r>
    <n v="1185"/>
    <m/>
    <m/>
    <x v="3"/>
    <m/>
    <m/>
    <m/>
    <m/>
    <m/>
    <x v="3"/>
    <m/>
    <m/>
    <x v="4"/>
    <m/>
    <x v="4"/>
    <x v="1"/>
    <d v="1899-12-30T00:00:00"/>
    <d v="1899-12-30T00:00:00"/>
    <d v="1899-12-30T00:00:00"/>
    <d v="1899-12-30T00:00:00"/>
  </r>
  <r>
    <n v="1186"/>
    <m/>
    <m/>
    <x v="3"/>
    <m/>
    <m/>
    <m/>
    <m/>
    <m/>
    <x v="3"/>
    <m/>
    <m/>
    <x v="4"/>
    <m/>
    <x v="4"/>
    <x v="1"/>
    <d v="1899-12-30T00:00:00"/>
    <d v="1899-12-30T00:00:00"/>
    <d v="1899-12-30T00:00:00"/>
    <d v="1899-12-30T00:00:00"/>
  </r>
  <r>
    <n v="1187"/>
    <m/>
    <m/>
    <x v="3"/>
    <m/>
    <m/>
    <m/>
    <m/>
    <m/>
    <x v="3"/>
    <m/>
    <m/>
    <x v="4"/>
    <m/>
    <x v="4"/>
    <x v="1"/>
    <d v="1899-12-30T00:00:00"/>
    <d v="1899-12-30T00:00:00"/>
    <d v="1899-12-30T00:00:00"/>
    <d v="1899-12-30T00:00:00"/>
  </r>
  <r>
    <n v="1188"/>
    <m/>
    <m/>
    <x v="3"/>
    <m/>
    <m/>
    <m/>
    <m/>
    <m/>
    <x v="3"/>
    <m/>
    <m/>
    <x v="4"/>
    <m/>
    <x v="4"/>
    <x v="1"/>
    <d v="1899-12-30T00:00:00"/>
    <d v="1899-12-30T00:00:00"/>
    <d v="1899-12-30T00:00:00"/>
    <d v="1899-12-30T00:00:00"/>
  </r>
  <r>
    <n v="1189"/>
    <m/>
    <m/>
    <x v="3"/>
    <m/>
    <m/>
    <m/>
    <m/>
    <m/>
    <x v="3"/>
    <m/>
    <m/>
    <x v="4"/>
    <m/>
    <x v="4"/>
    <x v="1"/>
    <d v="1899-12-30T00:00:00"/>
    <d v="1899-12-30T00:00:00"/>
    <d v="1899-12-30T00:00:00"/>
    <d v="1899-12-30T00:00:00"/>
  </r>
  <r>
    <n v="1190"/>
    <m/>
    <m/>
    <x v="3"/>
    <m/>
    <m/>
    <m/>
    <m/>
    <m/>
    <x v="3"/>
    <m/>
    <m/>
    <x v="4"/>
    <m/>
    <x v="4"/>
    <x v="1"/>
    <d v="1899-12-30T00:00:00"/>
    <d v="1899-12-30T00:00:00"/>
    <d v="1899-12-30T00:00:00"/>
    <d v="1899-12-30T00:00:00"/>
  </r>
  <r>
    <n v="1191"/>
    <m/>
    <m/>
    <x v="3"/>
    <m/>
    <m/>
    <m/>
    <m/>
    <m/>
    <x v="3"/>
    <m/>
    <m/>
    <x v="4"/>
    <m/>
    <x v="4"/>
    <x v="1"/>
    <d v="1899-12-30T00:00:00"/>
    <d v="1899-12-30T00:00:00"/>
    <d v="1899-12-30T00:00:00"/>
    <d v="1899-12-30T00:00:00"/>
  </r>
  <r>
    <n v="1192"/>
    <m/>
    <m/>
    <x v="3"/>
    <m/>
    <m/>
    <m/>
    <m/>
    <m/>
    <x v="3"/>
    <m/>
    <m/>
    <x v="4"/>
    <m/>
    <x v="4"/>
    <x v="1"/>
    <d v="1899-12-30T00:00:00"/>
    <d v="1899-12-30T00:00:00"/>
    <d v="1899-12-30T00:00:00"/>
    <d v="1899-12-30T00:00:00"/>
  </r>
  <r>
    <n v="1193"/>
    <m/>
    <m/>
    <x v="3"/>
    <m/>
    <m/>
    <m/>
    <m/>
    <m/>
    <x v="3"/>
    <m/>
    <m/>
    <x v="4"/>
    <m/>
    <x v="4"/>
    <x v="1"/>
    <d v="1899-12-30T00:00:00"/>
    <d v="1899-12-30T00:00:00"/>
    <d v="1899-12-30T00:00:00"/>
    <d v="1899-12-30T00:00:00"/>
  </r>
  <r>
    <n v="1194"/>
    <m/>
    <m/>
    <x v="3"/>
    <m/>
    <m/>
    <m/>
    <m/>
    <m/>
    <x v="3"/>
    <m/>
    <m/>
    <x v="4"/>
    <m/>
    <x v="4"/>
    <x v="1"/>
    <d v="1899-12-30T00:00:00"/>
    <d v="1899-12-30T00:00:00"/>
    <d v="1899-12-30T00:00:00"/>
    <d v="1899-12-30T00:00:00"/>
  </r>
  <r>
    <n v="1195"/>
    <m/>
    <m/>
    <x v="3"/>
    <m/>
    <m/>
    <m/>
    <m/>
    <m/>
    <x v="3"/>
    <m/>
    <m/>
    <x v="4"/>
    <m/>
    <x v="4"/>
    <x v="1"/>
    <d v="1899-12-30T00:00:00"/>
    <d v="1899-12-30T00:00:00"/>
    <d v="1899-12-30T00:00:00"/>
    <d v="1899-12-30T00:00:00"/>
  </r>
  <r>
    <n v="1196"/>
    <m/>
    <m/>
    <x v="3"/>
    <m/>
    <m/>
    <m/>
    <m/>
    <m/>
    <x v="3"/>
    <m/>
    <m/>
    <x v="4"/>
    <m/>
    <x v="4"/>
    <x v="1"/>
    <d v="1899-12-30T00:00:00"/>
    <d v="1899-12-30T00:00:00"/>
    <d v="1899-12-30T00:00:00"/>
    <d v="1899-12-30T00:00:00"/>
  </r>
  <r>
    <n v="1197"/>
    <m/>
    <m/>
    <x v="3"/>
    <m/>
    <m/>
    <m/>
    <m/>
    <m/>
    <x v="3"/>
    <m/>
    <m/>
    <x v="4"/>
    <m/>
    <x v="4"/>
    <x v="1"/>
    <d v="1899-12-30T00:00:00"/>
    <d v="1899-12-30T00:00:00"/>
    <d v="1899-12-30T00:00:00"/>
    <d v="1899-12-30T00:00:00"/>
  </r>
  <r>
    <n v="1198"/>
    <m/>
    <m/>
    <x v="3"/>
    <m/>
    <m/>
    <m/>
    <m/>
    <m/>
    <x v="3"/>
    <m/>
    <m/>
    <x v="4"/>
    <m/>
    <x v="4"/>
    <x v="1"/>
    <d v="1899-12-30T00:00:00"/>
    <d v="1899-12-30T00:00:00"/>
    <d v="1899-12-30T00:00:00"/>
    <d v="1899-12-30T00:00:00"/>
  </r>
  <r>
    <n v="1199"/>
    <m/>
    <m/>
    <x v="3"/>
    <m/>
    <m/>
    <m/>
    <m/>
    <m/>
    <x v="3"/>
    <m/>
    <m/>
    <x v="4"/>
    <m/>
    <x v="4"/>
    <x v="1"/>
    <d v="1899-12-30T00:00:00"/>
    <d v="1899-12-30T00:00:00"/>
    <d v="1899-12-30T00:00:00"/>
    <d v="1899-12-30T00:00:00"/>
  </r>
  <r>
    <n v="1200"/>
    <m/>
    <m/>
    <x v="3"/>
    <m/>
    <m/>
    <m/>
    <m/>
    <m/>
    <x v="3"/>
    <m/>
    <m/>
    <x v="4"/>
    <m/>
    <x v="4"/>
    <x v="1"/>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TPM"/>
    <s v="NOMBRE DE QUIEN REPORTA"/>
    <m/>
    <x v="3"/>
    <s v="MÁQUINA "/>
    <s v="TIPO FALLA"/>
    <s v="DESCIPCIÓN "/>
    <m/>
    <m/>
    <x v="3"/>
    <s v="TIPO INTERVENCIÓN"/>
    <s v="ACCIÓN TOMADA"/>
    <x v="174"/>
    <s v="INSUMOS UTILIZADOS"/>
    <x v="16"/>
    <x v="3"/>
    <d v="1899-12-30T00:00:00"/>
    <d v="1899-12-30T00:00:00"/>
    <d v="1899-12-30T00:00:00"/>
    <d v="1899-12-30T00:00:00"/>
  </r>
  <r>
    <s v="E1"/>
    <s v="D. CUESTA"/>
    <d v="1899-12-30T20:39:00"/>
    <x v="120"/>
    <s v="EXTRUSORA 5"/>
    <s v="Puntual"/>
    <s v="Coex #5 presenta varias alarmas y se apaga los husillos A-B-C falla en el alimentador A"/>
    <d v="1899-12-30T20:40:00"/>
    <d v="1899-12-30T22:10:00"/>
    <x v="152"/>
    <s v="Eléctrica"/>
    <s v="Sensor brazo alimentador con sensor mal reparado y en corto, se toma prestado un sensor de la selladora #4 temporalmente quedando OK. Se requiere RQ para compra de sensores según muestra"/>
    <x v="175"/>
    <s v="NA"/>
    <x v="3"/>
    <x v="0"/>
    <d v="1899-12-30T01:30:00"/>
    <d v="2026-02-21T20:39:00"/>
    <d v="2026-02-21T22:10:00"/>
    <d v="1899-12-30T01:31:00"/>
  </r>
  <r>
    <s v="E10"/>
    <s v="E. BELLO"/>
    <d v="1899-12-30T06:15:00"/>
    <x v="24"/>
    <s v="Otro"/>
    <s v="Puntual"/>
    <s v="Resistencia en mal estado, el cubrimiento echa chispa"/>
    <m/>
    <m/>
    <x v="3"/>
    <m/>
    <m/>
    <x v="4"/>
    <m/>
    <x v="4"/>
    <x v="2"/>
    <d v="1899-12-30T00:00:00"/>
    <d v="2025-11-25T06:15:00"/>
    <d v="1899-12-30T00:00:00"/>
    <n v="-45986.260416666664"/>
  </r>
  <r>
    <s v="E1090"/>
    <m/>
    <m/>
    <x v="3"/>
    <m/>
    <m/>
    <m/>
    <m/>
    <m/>
    <x v="3"/>
    <m/>
    <m/>
    <x v="4"/>
    <m/>
    <x v="4"/>
    <x v="1"/>
    <d v="1899-12-30T00:00:00"/>
    <d v="1899-12-30T00:00:00"/>
    <d v="1899-12-30T00:00:00"/>
    <d v="1899-12-30T00:00:00"/>
  </r>
  <r>
    <s v="E1091"/>
    <m/>
    <m/>
    <x v="3"/>
    <m/>
    <m/>
    <m/>
    <m/>
    <m/>
    <x v="3"/>
    <m/>
    <m/>
    <x v="4"/>
    <m/>
    <x v="4"/>
    <x v="1"/>
    <d v="1899-12-30T00:00:00"/>
    <d v="1899-12-30T00:00:00"/>
    <d v="1899-12-30T00:00:00"/>
    <d v="1899-12-30T00:00:00"/>
  </r>
  <r>
    <s v="E1092"/>
    <m/>
    <m/>
    <x v="3"/>
    <m/>
    <m/>
    <m/>
    <m/>
    <m/>
    <x v="3"/>
    <m/>
    <m/>
    <x v="4"/>
    <m/>
    <x v="4"/>
    <x v="1"/>
    <d v="1899-12-30T00:00:00"/>
    <d v="1899-12-30T00:00:00"/>
    <d v="1899-12-30T00:00:00"/>
    <d v="1899-12-30T00:00:00"/>
  </r>
  <r>
    <s v="E1093"/>
    <m/>
    <m/>
    <x v="3"/>
    <m/>
    <m/>
    <m/>
    <m/>
    <m/>
    <x v="3"/>
    <m/>
    <m/>
    <x v="4"/>
    <m/>
    <x v="4"/>
    <x v="1"/>
    <d v="1899-12-30T00:00:00"/>
    <d v="1899-12-30T00:00:00"/>
    <d v="1899-12-30T00:00:00"/>
    <d v="1899-12-30T00:00:00"/>
  </r>
  <r>
    <s v="E1094"/>
    <m/>
    <m/>
    <x v="3"/>
    <m/>
    <m/>
    <m/>
    <m/>
    <m/>
    <x v="3"/>
    <m/>
    <m/>
    <x v="4"/>
    <m/>
    <x v="4"/>
    <x v="1"/>
    <d v="1899-12-30T00:00:00"/>
    <d v="1899-12-30T00:00:00"/>
    <d v="1899-12-30T00:00:00"/>
    <d v="1899-12-30T00:00:00"/>
  </r>
  <r>
    <s v="E1095"/>
    <m/>
    <m/>
    <x v="3"/>
    <m/>
    <m/>
    <m/>
    <m/>
    <m/>
    <x v="3"/>
    <m/>
    <m/>
    <x v="4"/>
    <m/>
    <x v="4"/>
    <x v="1"/>
    <d v="1899-12-30T00:00:00"/>
    <d v="1899-12-30T00:00:00"/>
    <d v="1899-12-30T00:00:00"/>
    <d v="1899-12-30T00:00:00"/>
  </r>
  <r>
    <s v="E1096"/>
    <s v="S. CARDENAL"/>
    <d v="1899-12-30T09:30:00"/>
    <x v="151"/>
    <s v="SELLADORA 2"/>
    <s v="Puntual"/>
    <s v="Base de perforadores esta torcida y hace falta tornillo y ruercas "/>
    <d v="1899-12-30T09:30:00"/>
    <d v="1899-12-30T10:00:00"/>
    <x v="141"/>
    <s v="Mecánica"/>
    <s v="Se apoya a operario a ajuste de base perforación de precorte, se realizan pruebas, se instalas 2 tornillos M6 X 30mm y 3 tuercas M6_x000a_Se requieren mas tornillos y tuercas"/>
    <x v="176"/>
    <s v="NA"/>
    <x v="2"/>
    <x v="0"/>
    <d v="1899-12-30T00:30:00"/>
    <d v="2026-03-30T09:30:00"/>
    <d v="2026-03-30T10:00:00"/>
    <d v="1899-12-30T00:30:00"/>
  </r>
  <r>
    <s v="E1097"/>
    <m/>
    <m/>
    <x v="3"/>
    <m/>
    <m/>
    <m/>
    <m/>
    <m/>
    <x v="3"/>
    <m/>
    <m/>
    <x v="4"/>
    <m/>
    <x v="4"/>
    <x v="1"/>
    <d v="1899-12-30T00:00:00"/>
    <d v="1899-12-30T00:00:00"/>
    <d v="1899-12-30T00:00:00"/>
    <d v="1899-12-30T00:00:00"/>
  </r>
  <r>
    <s v="E1098"/>
    <m/>
    <m/>
    <x v="3"/>
    <m/>
    <m/>
    <m/>
    <m/>
    <m/>
    <x v="3"/>
    <m/>
    <m/>
    <x v="4"/>
    <m/>
    <x v="4"/>
    <x v="1"/>
    <d v="1899-12-30T00:00:00"/>
    <d v="1899-12-30T00:00:00"/>
    <d v="1899-12-30T00:00:00"/>
    <d v="1899-12-30T00:00:00"/>
  </r>
  <r>
    <s v="E1099"/>
    <s v="H. TRIANA"/>
    <d v="1899-12-30T11:50:00"/>
    <x v="159"/>
    <s v="EXTRUSORA 2"/>
    <s v="Puntual"/>
    <s v="Zona del tornillo interior 50° por encima de lo establecido"/>
    <d v="1899-12-30T11:55:00"/>
    <d v="1899-12-30T12:10:00"/>
    <x v="153"/>
    <s v="Eléctrica"/>
    <s v="Se cambia relé de estado solido"/>
    <x v="177"/>
    <s v="NA"/>
    <x v="9"/>
    <x v="0"/>
    <d v="1899-12-30T00:15:00"/>
    <d v="2026-04-10T11:50:00"/>
    <d v="2026-04-10T12:10:00"/>
    <d v="1899-12-30T00:20:00"/>
  </r>
  <r>
    <s v="E1100"/>
    <s v="F. SANCHEZ"/>
    <d v="1899-12-30T06:15:00"/>
    <x v="159"/>
    <s v="EXTRUSORA 5"/>
    <s v="Puntual"/>
    <s v="Sensor de la tolva 4 de la B_x000a_No tiene"/>
    <d v="1899-12-30T06:30:00"/>
    <d v="1899-12-30T06:45:00"/>
    <x v="153"/>
    <s v="Eléctrica"/>
    <s v="Se coloca sensor este se toma de la tolva A4 ya que no se cuenta con otro. Ya se solicito hace un mes"/>
    <x v="1"/>
    <s v="NA"/>
    <x v="9"/>
    <x v="0"/>
    <d v="1899-12-30T00:15:00"/>
    <d v="2026-04-10T06:15:00"/>
    <d v="2026-04-10T06:45:00"/>
    <d v="1899-12-30T00:30:00"/>
  </r>
  <r>
    <s v="E1101"/>
    <m/>
    <m/>
    <x v="3"/>
    <m/>
    <m/>
    <m/>
    <m/>
    <m/>
    <x v="3"/>
    <m/>
    <m/>
    <x v="4"/>
    <m/>
    <x v="4"/>
    <x v="1"/>
    <d v="1899-12-30T00:00:00"/>
    <d v="1899-12-30T00:00:00"/>
    <d v="1899-12-30T00:00:00"/>
    <d v="1899-12-30T00:00:00"/>
  </r>
  <r>
    <s v="E1102"/>
    <s v="J. SILVA"/>
    <d v="1899-12-30T16:25:00"/>
    <x v="151"/>
    <s v="EXTRUSORA 3"/>
    <s v="Puntual"/>
    <s v="Daño en manga interior del tratador"/>
    <m/>
    <m/>
    <x v="3"/>
    <m/>
    <s v="Fabricación funda de tratador, se necesita fabricar no hay en stock, medidas Dext56mm, Dint 50mm, 1.1m longitud"/>
    <x v="4"/>
    <m/>
    <x v="4"/>
    <x v="2"/>
    <d v="1899-12-30T00:00:00"/>
    <d v="2026-03-30T16:25:00"/>
    <d v="1899-12-30T00:00:00"/>
    <n v="-46111.684027777781"/>
  </r>
  <r>
    <s v="E1103"/>
    <m/>
    <m/>
    <x v="3"/>
    <m/>
    <m/>
    <m/>
    <m/>
    <m/>
    <x v="3"/>
    <m/>
    <m/>
    <x v="4"/>
    <m/>
    <x v="4"/>
    <x v="1"/>
    <d v="1899-12-30T00:00:00"/>
    <d v="1899-12-30T00:00:00"/>
    <d v="1899-12-30T00:00:00"/>
    <d v="1899-12-30T00:00:00"/>
  </r>
  <r>
    <s v="E1104"/>
    <m/>
    <m/>
    <x v="3"/>
    <m/>
    <m/>
    <m/>
    <m/>
    <m/>
    <x v="3"/>
    <m/>
    <m/>
    <x v="4"/>
    <m/>
    <x v="4"/>
    <x v="1"/>
    <d v="1899-12-30T00:00:00"/>
    <d v="1899-12-30T00:00:00"/>
    <d v="1899-12-30T00:00:00"/>
    <d v="1899-12-30T00:00:00"/>
  </r>
  <r>
    <s v="E1105"/>
    <m/>
    <m/>
    <x v="3"/>
    <m/>
    <m/>
    <m/>
    <m/>
    <m/>
    <x v="3"/>
    <m/>
    <m/>
    <x v="4"/>
    <m/>
    <x v="4"/>
    <x v="1"/>
    <d v="1899-12-30T00:00:00"/>
    <d v="1899-12-30T00:00:00"/>
    <d v="1899-12-30T00:00:00"/>
    <d v="1899-12-30T00:00:00"/>
  </r>
  <r>
    <s v="E1106"/>
    <m/>
    <m/>
    <x v="3"/>
    <m/>
    <m/>
    <m/>
    <m/>
    <m/>
    <x v="3"/>
    <m/>
    <m/>
    <x v="4"/>
    <m/>
    <x v="4"/>
    <x v="1"/>
    <d v="1899-12-30T00:00:00"/>
    <d v="1899-12-30T00:00:00"/>
    <d v="1899-12-30T00:00:00"/>
    <d v="1899-12-30T00:00:00"/>
  </r>
  <r>
    <s v="E1107"/>
    <m/>
    <m/>
    <x v="3"/>
    <m/>
    <m/>
    <m/>
    <m/>
    <m/>
    <x v="3"/>
    <m/>
    <m/>
    <x v="4"/>
    <m/>
    <x v="4"/>
    <x v="1"/>
    <d v="1899-12-30T00:00:00"/>
    <d v="1899-12-30T00:00:00"/>
    <d v="1899-12-30T00:00:00"/>
    <d v="1899-12-30T00:00:00"/>
  </r>
  <r>
    <s v="E1108"/>
    <m/>
    <m/>
    <x v="3"/>
    <m/>
    <m/>
    <m/>
    <m/>
    <m/>
    <x v="3"/>
    <m/>
    <m/>
    <x v="4"/>
    <m/>
    <x v="4"/>
    <x v="1"/>
    <d v="1899-12-30T00:00:00"/>
    <d v="1899-12-30T00:00:00"/>
    <d v="1899-12-30T00:00:00"/>
    <d v="1899-12-30T00:00:00"/>
  </r>
  <r>
    <s v="E1109"/>
    <s v="J. RINCON"/>
    <d v="1899-12-30T18:40:00"/>
    <x v="160"/>
    <s v="IMPRESORA 1"/>
    <s v="Puntual"/>
    <s v="Correa de los motores_x000a_Se daña por segunda vez 22:36"/>
    <d v="1899-12-30T18:40:00"/>
    <d v="1899-12-30T01:00:00"/>
    <x v="154"/>
    <s v="Mecánica"/>
    <s v="Se encuentra polea de transmisión de embobinador superior suelto,se instala nuevo prisioneros, se da ajuste y queda operativo_x000a_Fallo nuevamente 22:38 reporte 23:0 en tiempo de comida tecnico, interveción 23:15_x000a_Se dosmonta polea, se extrae prisionero, se rectifica rosca M8 de prisionero de la polea, se instala prisionero M8 X 30mm, se realiza montaje y pruebasen vacio, se entrga operativo"/>
    <x v="178"/>
    <s v="NA"/>
    <x v="2"/>
    <x v="0"/>
    <n v="-0.73611111111111116"/>
    <d v="2026-04-08T18:40:00"/>
    <d v="2026-04-09T01:00:00"/>
    <d v="1899-12-30T06:20:00"/>
  </r>
  <r>
    <s v="E1110"/>
    <s v="E. REYES"/>
    <d v="1899-12-30T03:26:00"/>
    <x v="161"/>
    <s v="SELLADORA 2"/>
    <s v="Puntual"/>
    <s v="Corto en cable"/>
    <d v="1899-12-30T03:27:00"/>
    <d v="1899-12-30T04:00:00"/>
    <x v="155"/>
    <s v="Eléctrica"/>
    <s v="Se remplaza terminal, se aisla y quedo OK"/>
    <x v="1"/>
    <s v="NA"/>
    <x v="9"/>
    <x v="0"/>
    <d v="1899-12-30T00:33:00"/>
    <d v="2026-04-01T03:26:00"/>
    <d v="2026-04-01T04:00:00"/>
    <d v="1899-12-30T00:34:00"/>
  </r>
  <r>
    <s v="E1111"/>
    <s v="E. REYES"/>
    <d v="1899-12-30T05:00:00"/>
    <x v="162"/>
    <s v="SELLADORA 1"/>
    <s v="Puntual"/>
    <s v="Cilindro perforador"/>
    <d v="1899-12-30T05:00:00"/>
    <d v="1899-12-30T05:15:00"/>
    <x v="131"/>
    <s v="Neúmatica"/>
    <s v="Se realiza cambio de cilindro en perforadores por rasgado, se da ajuste en el soporte"/>
    <x v="179"/>
    <s v="NA"/>
    <x v="1"/>
    <x v="0"/>
    <d v="1899-12-30T00:15:00"/>
    <d v="2026-04-03T05:00:00"/>
    <d v="2026-04-03T05:15:00"/>
    <d v="1899-12-30T00:15:00"/>
  </r>
  <r>
    <s v="E1112"/>
    <m/>
    <m/>
    <x v="3"/>
    <m/>
    <m/>
    <m/>
    <m/>
    <m/>
    <x v="3"/>
    <m/>
    <m/>
    <x v="4"/>
    <m/>
    <x v="4"/>
    <x v="1"/>
    <d v="1899-12-30T00:00:00"/>
    <d v="1899-12-30T00:00:00"/>
    <d v="1899-12-30T00:00:00"/>
    <d v="1899-12-30T00:00:00"/>
  </r>
  <r>
    <s v="E1113"/>
    <m/>
    <m/>
    <x v="3"/>
    <m/>
    <m/>
    <m/>
    <m/>
    <m/>
    <x v="3"/>
    <m/>
    <m/>
    <x v="4"/>
    <m/>
    <x v="4"/>
    <x v="1"/>
    <d v="1899-12-30T00:00:00"/>
    <d v="1899-12-30T00:00:00"/>
    <d v="1899-12-30T00:00:00"/>
    <d v="1899-12-30T00:00:00"/>
  </r>
  <r>
    <s v="E1114"/>
    <m/>
    <m/>
    <x v="3"/>
    <m/>
    <m/>
    <m/>
    <m/>
    <m/>
    <x v="3"/>
    <m/>
    <m/>
    <x v="4"/>
    <m/>
    <x v="4"/>
    <x v="1"/>
    <d v="1899-12-30T00:00:00"/>
    <d v="1899-12-30T00:00:00"/>
    <d v="1899-12-30T00:00:00"/>
    <d v="1899-12-30T00:00:00"/>
  </r>
  <r>
    <s v="E1115"/>
    <m/>
    <m/>
    <x v="3"/>
    <m/>
    <m/>
    <m/>
    <m/>
    <m/>
    <x v="3"/>
    <m/>
    <m/>
    <x v="4"/>
    <m/>
    <x v="4"/>
    <x v="1"/>
    <d v="1899-12-30T00:00:00"/>
    <d v="1899-12-30T00:00:00"/>
    <d v="1899-12-30T00:00:00"/>
    <d v="1899-12-30T00:00:00"/>
  </r>
  <r>
    <s v="E1116"/>
    <m/>
    <m/>
    <x v="3"/>
    <m/>
    <m/>
    <m/>
    <m/>
    <m/>
    <x v="3"/>
    <m/>
    <m/>
    <x v="4"/>
    <m/>
    <x v="4"/>
    <x v="1"/>
    <d v="1899-12-30T00:00:00"/>
    <d v="1899-12-30T00:00:00"/>
    <d v="1899-12-30T00:00:00"/>
    <d v="1899-12-30T00:00:00"/>
  </r>
  <r>
    <s v="E1117"/>
    <m/>
    <m/>
    <x v="3"/>
    <m/>
    <m/>
    <m/>
    <m/>
    <m/>
    <x v="3"/>
    <m/>
    <m/>
    <x v="4"/>
    <m/>
    <x v="4"/>
    <x v="1"/>
    <d v="1899-12-30T00:00:00"/>
    <d v="1899-12-30T00:00:00"/>
    <d v="1899-12-30T00:00:00"/>
    <d v="1899-12-30T00:00:00"/>
  </r>
  <r>
    <s v="E1118"/>
    <m/>
    <m/>
    <x v="3"/>
    <m/>
    <m/>
    <m/>
    <m/>
    <m/>
    <x v="3"/>
    <m/>
    <m/>
    <x v="4"/>
    <m/>
    <x v="4"/>
    <x v="1"/>
    <d v="1899-12-30T00:00:00"/>
    <d v="1899-12-30T00:00:00"/>
    <d v="1899-12-30T00:00:00"/>
    <d v="1899-12-30T00:00:00"/>
  </r>
  <r>
    <s v="E1119"/>
    <m/>
    <m/>
    <x v="3"/>
    <m/>
    <m/>
    <m/>
    <m/>
    <m/>
    <x v="3"/>
    <m/>
    <m/>
    <x v="4"/>
    <m/>
    <x v="4"/>
    <x v="1"/>
    <d v="1899-12-30T00:00:00"/>
    <d v="1899-12-30T00:00:00"/>
    <d v="1899-12-30T00:00:00"/>
    <d v="1899-12-30T00:00:00"/>
  </r>
  <r>
    <s v="E1120"/>
    <m/>
    <m/>
    <x v="3"/>
    <m/>
    <m/>
    <m/>
    <m/>
    <m/>
    <x v="3"/>
    <m/>
    <m/>
    <x v="4"/>
    <m/>
    <x v="4"/>
    <x v="1"/>
    <d v="1899-12-30T00:00:00"/>
    <d v="1899-12-30T00:00:00"/>
    <d v="1899-12-30T00:00:00"/>
    <d v="1899-12-30T00:00:00"/>
  </r>
  <r>
    <s v="E1121"/>
    <m/>
    <m/>
    <x v="3"/>
    <m/>
    <m/>
    <m/>
    <m/>
    <m/>
    <x v="3"/>
    <m/>
    <m/>
    <x v="4"/>
    <m/>
    <x v="4"/>
    <x v="1"/>
    <d v="1899-12-30T00:00:00"/>
    <d v="1899-12-30T00:00:00"/>
    <d v="1899-12-30T00:00:00"/>
    <d v="1899-12-30T00:00:00"/>
  </r>
  <r>
    <s v="E1122"/>
    <s v="D. BUESACO"/>
    <d v="1899-12-30T09:10:00"/>
    <x v="163"/>
    <s v="SELLADORA 2"/>
    <s v="Puntual"/>
    <s v="Cuchilla"/>
    <d v="1899-12-30T09:33:00"/>
    <d v="1899-12-30T09:42:00"/>
    <x v="156"/>
    <s v="Mecánica"/>
    <s v="Afilamento de cuchilla quedo filo OK"/>
    <x v="1"/>
    <s v="NA"/>
    <x v="9"/>
    <x v="0"/>
    <d v="1899-12-30T00:09:00"/>
    <d v="2026-04-04T09:10:00"/>
    <d v="2026-04-04T09:42:00"/>
    <d v="1899-12-30T00:32:00"/>
  </r>
  <r>
    <s v="E1123"/>
    <m/>
    <m/>
    <x v="3"/>
    <m/>
    <m/>
    <m/>
    <m/>
    <m/>
    <x v="3"/>
    <m/>
    <m/>
    <x v="4"/>
    <m/>
    <x v="4"/>
    <x v="1"/>
    <d v="1899-12-30T00:00:00"/>
    <d v="1899-12-30T00:00:00"/>
    <d v="1899-12-30T00:00:00"/>
    <d v="1899-12-30T00:00:00"/>
  </r>
  <r>
    <s v="E1124"/>
    <m/>
    <m/>
    <x v="3"/>
    <m/>
    <m/>
    <m/>
    <m/>
    <m/>
    <x v="3"/>
    <m/>
    <m/>
    <x v="4"/>
    <m/>
    <x v="4"/>
    <x v="1"/>
    <d v="1899-12-30T00:00:00"/>
    <d v="1899-12-30T00:00:00"/>
    <d v="1899-12-30T00:00:00"/>
    <d v="1899-12-30T00:00:00"/>
  </r>
  <r>
    <s v="E1125"/>
    <m/>
    <m/>
    <x v="3"/>
    <m/>
    <m/>
    <m/>
    <m/>
    <m/>
    <x v="3"/>
    <m/>
    <m/>
    <x v="4"/>
    <m/>
    <x v="4"/>
    <x v="1"/>
    <d v="1899-12-30T00:00:00"/>
    <d v="1899-12-30T00:00:00"/>
    <d v="1899-12-30T00:00:00"/>
    <d v="1899-12-30T00:00:00"/>
  </r>
  <r>
    <s v="E1126"/>
    <s v="L. MIRANDA"/>
    <d v="1899-12-30T18:20:00"/>
    <x v="163"/>
    <s v="EXTRUSORA 2"/>
    <s v="Puntual"/>
    <s v="Prensa del embobinador esta partido (arrastre)"/>
    <m/>
    <m/>
    <x v="3"/>
    <m/>
    <s v="Se realiza desmonte de rodillo conducido de prensa, se encuentra espigo partido, se requiere servicio externo coex parada"/>
    <x v="4"/>
    <m/>
    <x v="4"/>
    <x v="2"/>
    <d v="1899-12-30T00:00:00"/>
    <d v="2026-04-04T18:20:00"/>
    <d v="1899-12-30T00:00:00"/>
    <n v="-46116.763888888891"/>
  </r>
  <r>
    <s v="E1127"/>
    <s v="D. ARRIETA"/>
    <d v="1899-12-30T20:08:00"/>
    <x v="162"/>
    <s v="IMPRESORA 1"/>
    <s v="Puntual"/>
    <s v="Rodamiento del seguro del eje embobinador"/>
    <d v="1899-12-30T20:08:00"/>
    <d v="1899-12-30T20:30:00"/>
    <x v="131"/>
    <s v="Mecánica"/>
    <s v="Se realiza cambio de tornillo tuerca y arandelas, se da ajuste al rodamiento"/>
    <x v="180"/>
    <s v="NA"/>
    <x v="1"/>
    <x v="0"/>
    <d v="1899-12-30T00:22:00"/>
    <d v="2026-04-03T20:08:00"/>
    <d v="2026-04-03T20:30:00"/>
    <d v="1899-12-30T00:22:00"/>
  </r>
  <r>
    <s v="E1128"/>
    <s v="D. ARRIETA"/>
    <d v="1899-12-30T21:00:00"/>
    <x v="164"/>
    <s v="IMPRESORA 1"/>
    <s v="Puntual"/>
    <s v="Daño en rodamiento"/>
    <d v="1899-12-30T21:00:00"/>
    <d v="1899-12-30T21:30:00"/>
    <x v="157"/>
    <s v="Mecánica"/>
    <s v="Se realiza cambio de 2 rodamientos KR22 - PP - A (Seguidor de leva de unidad #2) desembobinador inferior"/>
    <x v="181"/>
    <s v="NA"/>
    <x v="2"/>
    <x v="0"/>
    <d v="1899-12-30T00:30:00"/>
    <d v="2026-04-05T21:00:00"/>
    <d v="2026-04-05T21:30:00"/>
    <d v="1899-12-30T00:30:00"/>
  </r>
  <r>
    <s v="E1129"/>
    <s v="M. MARTINEZ"/>
    <d v="1899-12-30T01:00:00"/>
    <x v="165"/>
    <s v="SELLADORA 2"/>
    <s v="Puntual"/>
    <s v="Calibración tornillo de presión_x000a_Ajuste rodamiento eje de tensión de correas"/>
    <d v="1899-12-30T01:10:00"/>
    <d v="1899-12-30T01:50:00"/>
    <x v="158"/>
    <s v="Mecánica"/>
    <s v="Se ajustan tuercas de tornillo de presión para poder calibrar ser verifica rodamiento y se ajusta"/>
    <x v="1"/>
    <s v="NA"/>
    <x v="9"/>
    <x v="0"/>
    <d v="1899-12-30T00:40:00"/>
    <d v="2026-04-07T01:00:00"/>
    <d v="2026-04-07T01:50:00"/>
    <d v="1899-12-30T00:50:00"/>
  </r>
  <r>
    <s v="E1130"/>
    <s v="D. ARRIETA"/>
    <d v="1899-12-30T16:30:00"/>
    <x v="165"/>
    <s v="IMPRESORA 1"/>
    <s v="Puntual"/>
    <s v="Eje bobinador pinchado"/>
    <d v="1899-12-30T16:30:00"/>
    <d v="1899-12-30T17:13:00"/>
    <x v="158"/>
    <s v="Mecánica"/>
    <s v="Se realiza inspección de eje se observa fuga interna, se realiza cambio de eje y se entrega operativa"/>
    <x v="1"/>
    <s v="NA"/>
    <x v="2"/>
    <x v="0"/>
    <d v="1899-12-30T00:43:00"/>
    <d v="2026-04-07T16:30:00"/>
    <d v="2026-04-07T17:13:00"/>
    <d v="1899-12-30T00:43:00"/>
  </r>
  <r>
    <s v="E1131"/>
    <s v="A. ROVINA"/>
    <d v="1899-12-30T06:36:00"/>
    <x v="160"/>
    <s v="REFILADORA 1"/>
    <s v="Puntual"/>
    <s v="No embobina"/>
    <d v="1899-12-30T06:36:00"/>
    <d v="1899-12-30T09:00:00"/>
    <x v="159"/>
    <s v="Eléctrica"/>
    <s v="Se realiza seguimeitno y comprobación componentes eléctricos, se hace seguimiento contactor pegado, se soluciona queda operativo el equipo"/>
    <x v="1"/>
    <s v="NA"/>
    <x v="1"/>
    <x v="0"/>
    <d v="1899-12-30T02:24:00"/>
    <d v="2026-04-08T06:36:00"/>
    <d v="2026-04-08T09:00:00"/>
    <d v="1899-12-30T02:24:00"/>
  </r>
  <r>
    <s v="E1132"/>
    <m/>
    <m/>
    <x v="3"/>
    <m/>
    <m/>
    <m/>
    <m/>
    <m/>
    <x v="3"/>
    <m/>
    <m/>
    <x v="4"/>
    <m/>
    <x v="4"/>
    <x v="1"/>
    <d v="1899-12-30T00:00:00"/>
    <d v="1899-12-30T00:00:00"/>
    <d v="1899-12-30T00:00:00"/>
    <d v="1899-12-30T00:00:00"/>
  </r>
  <r>
    <s v="E1133"/>
    <m/>
    <m/>
    <x v="3"/>
    <m/>
    <m/>
    <m/>
    <m/>
    <m/>
    <x v="3"/>
    <m/>
    <m/>
    <x v="4"/>
    <m/>
    <x v="4"/>
    <x v="1"/>
    <d v="1899-12-30T00:00:00"/>
    <d v="1899-12-30T00:00:00"/>
    <d v="1899-12-30T00:00:00"/>
    <d v="1899-12-30T00:00:00"/>
  </r>
  <r>
    <s v="E1134"/>
    <m/>
    <m/>
    <x v="3"/>
    <m/>
    <m/>
    <m/>
    <m/>
    <m/>
    <x v="3"/>
    <m/>
    <m/>
    <x v="4"/>
    <m/>
    <x v="4"/>
    <x v="1"/>
    <d v="1899-12-30T00:00:00"/>
    <d v="1899-12-30T00:00:00"/>
    <d v="1899-12-30T00:00:00"/>
    <d v="1899-12-30T00:00:00"/>
  </r>
  <r>
    <s v="E1135"/>
    <s v="M. MARTINEZ"/>
    <d v="1899-12-30T01:00:00"/>
    <x v="159"/>
    <s v="SELLADORA 2"/>
    <s v="Puntual"/>
    <s v="Falla en correa de transmisión"/>
    <d v="1899-12-30T01:00:00"/>
    <d v="1899-12-30T02:30:00"/>
    <x v="153"/>
    <s v="Mecánica"/>
    <s v="Se encuentra polea de transmisión sin cuña, el espacio de la cuña M8 se encuentra con desgaste, se fabrica cuña a medida del desgaste, se rectifican roscas M8 para los prisioneros de la polea y se instala buje de posición , se arma sistema de transmisión, se realiza pruebas y queda en operación"/>
    <x v="1"/>
    <s v="NA"/>
    <x v="2"/>
    <x v="0"/>
    <d v="1899-12-30T01:30:00"/>
    <d v="2026-04-10T01:00:00"/>
    <d v="2026-04-10T02:30:00"/>
    <d v="1899-12-30T01:30:00"/>
  </r>
  <r>
    <s v="E1136"/>
    <s v="H. TRIANA"/>
    <d v="1899-12-30T13:23:00"/>
    <x v="165"/>
    <s v="EXTRUSORA 2"/>
    <s v="Puntual"/>
    <s v="Temperatura baja en barril"/>
    <d v="1899-12-30T13:30:00"/>
    <d v="1899-12-30T13:50:00"/>
    <x v="158"/>
    <s v="Eléctrica"/>
    <s v="Se encuentra contactor de potencia en falla con punto caliente, se corrige fallo quedando operativo"/>
    <x v="1"/>
    <s v="NA"/>
    <x v="5"/>
    <x v="0"/>
    <d v="1899-12-30T00:20:00"/>
    <d v="2026-04-07T13:23:00"/>
    <d v="2026-04-07T13:50:00"/>
    <d v="1899-12-30T00:27:00"/>
  </r>
  <r>
    <s v="E1137"/>
    <s v="L. GARZON"/>
    <d v="1899-12-30T19:15:00"/>
    <x v="166"/>
    <s v="SELLADORA 2"/>
    <s v="Puntual"/>
    <s v="Se suelta rodillo y daño de rodamiento en el mismp corea del servo suelto"/>
    <d v="1899-12-30T19:15:00"/>
    <d v="1899-12-30T20:10:00"/>
    <x v="154"/>
    <s v="Mecánica"/>
    <s v="Se da ajuste a rodillo #22, se necesita repuesto para cambio, se ajusta polea de transmisión de prensa ya que se suelta y queda sin cuña"/>
    <x v="1"/>
    <s v="NA"/>
    <x v="2"/>
    <x v="0"/>
    <d v="1899-12-30T00:55:00"/>
    <d v="2026-04-09T19:15:00"/>
    <d v="2026-04-09T20:10:00"/>
    <d v="1899-12-30T00:55:00"/>
  </r>
  <r>
    <s v="E1138"/>
    <s v="D. SANCHEZ"/>
    <d v="1899-12-30T06:00:00"/>
    <x v="167"/>
    <s v="Corta cores"/>
    <s v="Puntual"/>
    <s v="Falla en la corta cores daño de la pera"/>
    <d v="1899-12-30T06:20:00"/>
    <d v="1899-12-30T07:25:00"/>
    <x v="3"/>
    <s v="Mecánica"/>
    <s v="Se instala tornillo y tuerca M12 para ajuste de pera del contactor"/>
    <x v="182"/>
    <s v="NA"/>
    <x v="2"/>
    <x v="0"/>
    <d v="1899-12-30T01:05:00"/>
    <d v="2026-03-31T06:00:00"/>
    <d v="1899-12-30T07:25:00"/>
    <n v="-46111.940972222219"/>
  </r>
  <r>
    <s v="E1139"/>
    <m/>
    <m/>
    <x v="3"/>
    <m/>
    <m/>
    <m/>
    <m/>
    <m/>
    <x v="3"/>
    <m/>
    <m/>
    <x v="4"/>
    <m/>
    <x v="4"/>
    <x v="1"/>
    <d v="1899-12-30T00:00:00"/>
    <d v="1899-12-30T00:00:00"/>
    <d v="1899-12-30T00:00:00"/>
    <d v="1899-12-30T00:00:00"/>
  </r>
  <r>
    <s v="E1140"/>
    <m/>
    <m/>
    <x v="3"/>
    <m/>
    <m/>
    <m/>
    <m/>
    <m/>
    <x v="3"/>
    <m/>
    <m/>
    <x v="4"/>
    <m/>
    <x v="4"/>
    <x v="1"/>
    <d v="1899-12-30T00:00:00"/>
    <d v="1899-12-30T00:00:00"/>
    <d v="1899-12-30T00:00:00"/>
    <d v="1899-12-30T00:00:00"/>
  </r>
  <r>
    <s v="E1141"/>
    <m/>
    <m/>
    <x v="3"/>
    <m/>
    <m/>
    <m/>
    <m/>
    <m/>
    <x v="3"/>
    <m/>
    <m/>
    <x v="4"/>
    <m/>
    <x v="4"/>
    <x v="1"/>
    <d v="1899-12-30T00:00:00"/>
    <d v="1899-12-30T00:00:00"/>
    <d v="1899-12-30T00:00:00"/>
    <d v="1899-12-30T00:00:00"/>
  </r>
  <r>
    <s v="E1142"/>
    <m/>
    <m/>
    <x v="3"/>
    <m/>
    <m/>
    <m/>
    <m/>
    <m/>
    <x v="3"/>
    <m/>
    <m/>
    <x v="4"/>
    <m/>
    <x v="4"/>
    <x v="1"/>
    <d v="1899-12-30T00:00:00"/>
    <d v="1899-12-30T00:00:00"/>
    <d v="1899-12-30T00:00:00"/>
    <d v="1899-12-30T00:00:00"/>
  </r>
  <r>
    <s v="E1143"/>
    <m/>
    <m/>
    <x v="3"/>
    <m/>
    <m/>
    <m/>
    <m/>
    <m/>
    <x v="3"/>
    <m/>
    <m/>
    <x v="4"/>
    <m/>
    <x v="4"/>
    <x v="1"/>
    <d v="1899-12-30T00:00:00"/>
    <d v="1899-12-30T00:00:00"/>
    <d v="1899-12-30T00:00:00"/>
    <d v="1899-12-30T00:00:00"/>
  </r>
  <r>
    <s v="E1144"/>
    <m/>
    <m/>
    <x v="3"/>
    <m/>
    <m/>
    <m/>
    <m/>
    <m/>
    <x v="3"/>
    <m/>
    <m/>
    <x v="4"/>
    <m/>
    <x v="4"/>
    <x v="1"/>
    <d v="1899-12-30T00:00:00"/>
    <d v="1899-12-30T00:00:00"/>
    <d v="1899-12-30T00:00:00"/>
    <d v="1899-12-30T00:00:00"/>
  </r>
  <r>
    <s v="E1145"/>
    <m/>
    <m/>
    <x v="3"/>
    <m/>
    <m/>
    <m/>
    <m/>
    <m/>
    <x v="3"/>
    <m/>
    <m/>
    <x v="4"/>
    <m/>
    <x v="4"/>
    <x v="1"/>
    <d v="1899-12-30T00:00:00"/>
    <d v="1899-12-30T00:00:00"/>
    <d v="1899-12-30T00:00:00"/>
    <d v="1899-12-30T00:00:00"/>
  </r>
  <r>
    <s v="E1146"/>
    <m/>
    <m/>
    <x v="3"/>
    <m/>
    <m/>
    <m/>
    <m/>
    <m/>
    <x v="3"/>
    <m/>
    <m/>
    <x v="4"/>
    <m/>
    <x v="4"/>
    <x v="1"/>
    <d v="1899-12-30T00:00:00"/>
    <d v="1899-12-30T00:00:00"/>
    <d v="1899-12-30T00:00:00"/>
    <d v="1899-12-30T00:00:00"/>
  </r>
  <r>
    <s v="E1147"/>
    <m/>
    <m/>
    <x v="3"/>
    <m/>
    <m/>
    <m/>
    <m/>
    <m/>
    <x v="3"/>
    <m/>
    <m/>
    <x v="4"/>
    <m/>
    <x v="4"/>
    <x v="1"/>
    <d v="1899-12-30T00:00:00"/>
    <d v="1899-12-30T00:00:00"/>
    <d v="1899-12-30T00:00:00"/>
    <d v="1899-12-30T00:00:00"/>
  </r>
  <r>
    <s v="E1148"/>
    <m/>
    <m/>
    <x v="3"/>
    <m/>
    <m/>
    <m/>
    <m/>
    <m/>
    <x v="3"/>
    <m/>
    <m/>
    <x v="4"/>
    <m/>
    <x v="4"/>
    <x v="1"/>
    <d v="1899-12-30T00:00:00"/>
    <d v="1899-12-30T00:00:00"/>
    <d v="1899-12-30T00:00:00"/>
    <d v="1899-12-30T00:00:00"/>
  </r>
  <r>
    <s v="E1149"/>
    <m/>
    <m/>
    <x v="3"/>
    <m/>
    <m/>
    <m/>
    <m/>
    <m/>
    <x v="3"/>
    <m/>
    <m/>
    <x v="4"/>
    <m/>
    <x v="4"/>
    <x v="1"/>
    <d v="1899-12-30T00:00:00"/>
    <d v="1899-12-30T00:00:00"/>
    <d v="1899-12-30T00:00:00"/>
    <d v="1899-12-30T00:00:00"/>
  </r>
  <r>
    <s v="E1150"/>
    <m/>
    <m/>
    <x v="3"/>
    <m/>
    <m/>
    <m/>
    <m/>
    <m/>
    <x v="3"/>
    <m/>
    <m/>
    <x v="4"/>
    <m/>
    <x v="4"/>
    <x v="1"/>
    <d v="1899-12-30T00:00:00"/>
    <d v="1899-12-30T00:00:00"/>
    <d v="1899-12-30T00:00:00"/>
    <d v="1899-12-30T00:00:00"/>
  </r>
  <r>
    <s v="E1151"/>
    <m/>
    <m/>
    <x v="3"/>
    <m/>
    <m/>
    <m/>
    <m/>
    <m/>
    <x v="3"/>
    <m/>
    <m/>
    <x v="4"/>
    <m/>
    <x v="4"/>
    <x v="1"/>
    <d v="1899-12-30T00:00:00"/>
    <d v="1899-12-30T00:00:00"/>
    <d v="1899-12-30T00:00:00"/>
    <d v="1899-12-30T00:00:00"/>
  </r>
  <r>
    <s v="E1152"/>
    <m/>
    <m/>
    <x v="3"/>
    <m/>
    <m/>
    <m/>
    <m/>
    <m/>
    <x v="3"/>
    <m/>
    <m/>
    <x v="4"/>
    <m/>
    <x v="4"/>
    <x v="1"/>
    <d v="1899-12-30T00:00:00"/>
    <d v="1899-12-30T00:00:00"/>
    <d v="1899-12-30T00:00:00"/>
    <d v="1899-12-30T00:00:00"/>
  </r>
  <r>
    <s v="E1153"/>
    <m/>
    <m/>
    <x v="3"/>
    <m/>
    <m/>
    <m/>
    <m/>
    <m/>
    <x v="3"/>
    <m/>
    <m/>
    <x v="4"/>
    <m/>
    <x v="4"/>
    <x v="1"/>
    <d v="1899-12-30T00:00:00"/>
    <d v="1899-12-30T00:00:00"/>
    <d v="1899-12-30T00:00:00"/>
    <d v="1899-12-30T00:00:00"/>
  </r>
  <r>
    <s v="E1154"/>
    <m/>
    <m/>
    <x v="3"/>
    <m/>
    <m/>
    <m/>
    <m/>
    <m/>
    <x v="3"/>
    <m/>
    <m/>
    <x v="4"/>
    <m/>
    <x v="4"/>
    <x v="1"/>
    <d v="1899-12-30T00:00:00"/>
    <d v="1899-12-30T00:00:00"/>
    <d v="1899-12-30T00:00:00"/>
    <d v="1899-12-30T00:00:00"/>
  </r>
  <r>
    <s v="E1155"/>
    <m/>
    <m/>
    <x v="3"/>
    <m/>
    <m/>
    <m/>
    <m/>
    <m/>
    <x v="3"/>
    <m/>
    <m/>
    <x v="4"/>
    <m/>
    <x v="4"/>
    <x v="1"/>
    <d v="1899-12-30T00:00:00"/>
    <d v="1899-12-30T00:00:00"/>
    <d v="1899-12-30T00:00:00"/>
    <d v="1899-12-30T00:00:00"/>
  </r>
  <r>
    <s v="E1156"/>
    <m/>
    <m/>
    <x v="3"/>
    <m/>
    <m/>
    <m/>
    <m/>
    <m/>
    <x v="3"/>
    <m/>
    <m/>
    <x v="4"/>
    <m/>
    <x v="4"/>
    <x v="1"/>
    <d v="1899-12-30T00:00:00"/>
    <d v="1899-12-30T00:00:00"/>
    <d v="1899-12-30T00:00:00"/>
    <d v="1899-12-30T00:00:00"/>
  </r>
  <r>
    <s v="E1157"/>
    <m/>
    <m/>
    <x v="3"/>
    <m/>
    <m/>
    <m/>
    <m/>
    <m/>
    <x v="3"/>
    <m/>
    <m/>
    <x v="4"/>
    <m/>
    <x v="4"/>
    <x v="1"/>
    <d v="1899-12-30T00:00:00"/>
    <d v="1899-12-30T00:00:00"/>
    <d v="1899-12-30T00:00:00"/>
    <d v="1899-12-30T00:00:00"/>
  </r>
  <r>
    <s v="E1158"/>
    <m/>
    <m/>
    <x v="3"/>
    <m/>
    <m/>
    <m/>
    <m/>
    <m/>
    <x v="3"/>
    <m/>
    <m/>
    <x v="4"/>
    <m/>
    <x v="4"/>
    <x v="1"/>
    <d v="1899-12-30T00:00:00"/>
    <d v="1899-12-30T00:00:00"/>
    <d v="1899-12-30T00:00:00"/>
    <d v="1899-12-30T00:00:00"/>
  </r>
  <r>
    <s v="E1159"/>
    <m/>
    <m/>
    <x v="3"/>
    <m/>
    <m/>
    <m/>
    <m/>
    <m/>
    <x v="3"/>
    <m/>
    <m/>
    <x v="4"/>
    <m/>
    <x v="4"/>
    <x v="1"/>
    <d v="1899-12-30T00:00:00"/>
    <d v="1899-12-30T00:00:00"/>
    <d v="1899-12-30T00:00:00"/>
    <d v="1899-12-30T00:00:00"/>
  </r>
  <r>
    <s v="E1160"/>
    <m/>
    <m/>
    <x v="3"/>
    <m/>
    <m/>
    <m/>
    <m/>
    <m/>
    <x v="3"/>
    <m/>
    <m/>
    <x v="4"/>
    <m/>
    <x v="4"/>
    <x v="1"/>
    <d v="1899-12-30T00:00:00"/>
    <d v="1899-12-30T00:00:00"/>
    <d v="1899-12-30T00:00:00"/>
    <d v="1899-12-30T00:00:00"/>
  </r>
  <r>
    <s v="E1161"/>
    <m/>
    <m/>
    <x v="3"/>
    <m/>
    <m/>
    <m/>
    <m/>
    <m/>
    <x v="3"/>
    <m/>
    <m/>
    <x v="4"/>
    <m/>
    <x v="4"/>
    <x v="1"/>
    <d v="1899-12-30T00:00:00"/>
    <d v="1899-12-30T00:00:00"/>
    <d v="1899-12-30T00:00:00"/>
    <d v="1899-12-30T00:00:00"/>
  </r>
  <r>
    <s v="E1162"/>
    <m/>
    <m/>
    <x v="3"/>
    <m/>
    <m/>
    <m/>
    <m/>
    <m/>
    <x v="3"/>
    <m/>
    <m/>
    <x v="4"/>
    <m/>
    <x v="4"/>
    <x v="1"/>
    <d v="1899-12-30T00:00:00"/>
    <d v="1899-12-30T00:00:00"/>
    <d v="1899-12-30T00:00:00"/>
    <d v="1899-12-30T00:00:00"/>
  </r>
  <r>
    <s v="E1163"/>
    <m/>
    <m/>
    <x v="3"/>
    <m/>
    <m/>
    <m/>
    <m/>
    <m/>
    <x v="3"/>
    <m/>
    <m/>
    <x v="4"/>
    <m/>
    <x v="4"/>
    <x v="1"/>
    <d v="1899-12-30T00:00:00"/>
    <d v="1899-12-30T00:00:00"/>
    <d v="1899-12-30T00:00:00"/>
    <d v="1899-12-30T00:00:00"/>
  </r>
  <r>
    <s v="E1164"/>
    <m/>
    <m/>
    <x v="3"/>
    <m/>
    <m/>
    <m/>
    <m/>
    <m/>
    <x v="3"/>
    <m/>
    <m/>
    <x v="4"/>
    <m/>
    <x v="4"/>
    <x v="1"/>
    <d v="1899-12-30T00:00:00"/>
    <d v="1899-12-30T00:00:00"/>
    <d v="1899-12-30T00:00:00"/>
    <d v="1899-12-30T00:00:00"/>
  </r>
  <r>
    <s v="E1165"/>
    <m/>
    <m/>
    <x v="3"/>
    <m/>
    <m/>
    <m/>
    <m/>
    <m/>
    <x v="3"/>
    <m/>
    <m/>
    <x v="4"/>
    <m/>
    <x v="4"/>
    <x v="1"/>
    <d v="1899-12-30T00:00:00"/>
    <d v="1899-12-30T00:00:00"/>
    <d v="1899-12-30T00:00:00"/>
    <d v="1899-12-30T00:00:00"/>
  </r>
  <r>
    <s v="E1166"/>
    <m/>
    <m/>
    <x v="3"/>
    <m/>
    <m/>
    <m/>
    <m/>
    <m/>
    <x v="3"/>
    <m/>
    <m/>
    <x v="4"/>
    <m/>
    <x v="4"/>
    <x v="1"/>
    <d v="1899-12-30T00:00:00"/>
    <d v="1899-12-30T00:00:00"/>
    <d v="1899-12-30T00:00:00"/>
    <d v="1899-12-30T00:00:00"/>
  </r>
  <r>
    <s v="E1167"/>
    <m/>
    <m/>
    <x v="3"/>
    <m/>
    <m/>
    <m/>
    <m/>
    <m/>
    <x v="3"/>
    <m/>
    <m/>
    <x v="4"/>
    <m/>
    <x v="4"/>
    <x v="1"/>
    <d v="1899-12-30T00:00:00"/>
    <d v="1899-12-30T00:00:00"/>
    <d v="1899-12-30T00:00:00"/>
    <d v="1899-12-30T00:00:00"/>
  </r>
  <r>
    <s v="E1168"/>
    <m/>
    <m/>
    <x v="3"/>
    <m/>
    <m/>
    <m/>
    <m/>
    <m/>
    <x v="3"/>
    <m/>
    <m/>
    <x v="4"/>
    <m/>
    <x v="4"/>
    <x v="1"/>
    <d v="1899-12-30T00:00:00"/>
    <d v="1899-12-30T00:00:00"/>
    <d v="1899-12-30T00:00:00"/>
    <d v="1899-12-30T00:00:00"/>
  </r>
  <r>
    <s v="E1169"/>
    <m/>
    <m/>
    <x v="3"/>
    <m/>
    <m/>
    <m/>
    <m/>
    <m/>
    <x v="3"/>
    <m/>
    <m/>
    <x v="4"/>
    <m/>
    <x v="4"/>
    <x v="1"/>
    <d v="1899-12-30T00:00:00"/>
    <d v="1899-12-30T00:00:00"/>
    <d v="1899-12-30T00:00:00"/>
    <d v="1899-12-30T00:00:00"/>
  </r>
  <r>
    <s v="E1170"/>
    <m/>
    <m/>
    <x v="3"/>
    <m/>
    <m/>
    <m/>
    <m/>
    <m/>
    <x v="3"/>
    <m/>
    <m/>
    <x v="4"/>
    <m/>
    <x v="4"/>
    <x v="1"/>
    <d v="1899-12-30T00:00:00"/>
    <d v="1899-12-30T00:00:00"/>
    <d v="1899-12-30T00:00:00"/>
    <d v="1899-12-30T00:00:00"/>
  </r>
  <r>
    <s v="E1171"/>
    <m/>
    <m/>
    <x v="3"/>
    <m/>
    <m/>
    <m/>
    <m/>
    <m/>
    <x v="3"/>
    <m/>
    <m/>
    <x v="4"/>
    <m/>
    <x v="4"/>
    <x v="1"/>
    <d v="1899-12-30T00:00:00"/>
    <d v="1899-12-30T00:00:00"/>
    <d v="1899-12-30T00:00:00"/>
    <d v="1899-12-30T00:00:00"/>
  </r>
  <r>
    <s v="E1172"/>
    <m/>
    <m/>
    <x v="3"/>
    <m/>
    <m/>
    <m/>
    <m/>
    <m/>
    <x v="3"/>
    <m/>
    <m/>
    <x v="4"/>
    <m/>
    <x v="4"/>
    <x v="1"/>
    <d v="1899-12-30T00:00:00"/>
    <d v="1899-12-30T00:00:00"/>
    <d v="1899-12-30T00:00:00"/>
    <d v="1899-12-30T00:00:00"/>
  </r>
  <r>
    <s v="E1173"/>
    <m/>
    <m/>
    <x v="3"/>
    <m/>
    <m/>
    <m/>
    <m/>
    <m/>
    <x v="3"/>
    <m/>
    <m/>
    <x v="4"/>
    <m/>
    <x v="4"/>
    <x v="1"/>
    <d v="1899-12-30T00:00:00"/>
    <d v="1899-12-30T00:00:00"/>
    <d v="1899-12-30T00:00:00"/>
    <d v="1899-12-30T00:00:00"/>
  </r>
  <r>
    <s v="E1174"/>
    <m/>
    <m/>
    <x v="3"/>
    <m/>
    <m/>
    <m/>
    <m/>
    <m/>
    <x v="3"/>
    <m/>
    <m/>
    <x v="4"/>
    <m/>
    <x v="4"/>
    <x v="1"/>
    <d v="1899-12-30T00:00:00"/>
    <d v="1899-12-30T00:00:00"/>
    <d v="1899-12-30T00:00:00"/>
    <d v="1899-12-30T00:00:00"/>
  </r>
  <r>
    <s v="E1175"/>
    <m/>
    <m/>
    <x v="3"/>
    <m/>
    <m/>
    <m/>
    <m/>
    <m/>
    <x v="3"/>
    <m/>
    <m/>
    <x v="4"/>
    <m/>
    <x v="4"/>
    <x v="1"/>
    <d v="1899-12-30T00:00:00"/>
    <d v="1899-12-30T00:00:00"/>
    <d v="1899-12-30T00:00:00"/>
    <d v="1899-12-30T00:00:00"/>
  </r>
  <r>
    <s v="E1176"/>
    <m/>
    <m/>
    <x v="3"/>
    <m/>
    <m/>
    <m/>
    <m/>
    <m/>
    <x v="3"/>
    <m/>
    <m/>
    <x v="4"/>
    <m/>
    <x v="4"/>
    <x v="1"/>
    <d v="1899-12-30T00:00:00"/>
    <d v="1899-12-30T00:00:00"/>
    <d v="1899-12-30T00:00:00"/>
    <d v="1899-12-30T00:00:00"/>
  </r>
  <r>
    <s v="E1177"/>
    <m/>
    <m/>
    <x v="3"/>
    <m/>
    <m/>
    <m/>
    <m/>
    <m/>
    <x v="3"/>
    <m/>
    <m/>
    <x v="4"/>
    <m/>
    <x v="4"/>
    <x v="1"/>
    <d v="1899-12-30T00:00:00"/>
    <d v="1899-12-30T00:00:00"/>
    <d v="1899-12-30T00:00:00"/>
    <d v="1899-12-30T00:00:00"/>
  </r>
  <r>
    <s v="E1178"/>
    <m/>
    <m/>
    <x v="3"/>
    <m/>
    <m/>
    <m/>
    <m/>
    <m/>
    <x v="3"/>
    <m/>
    <m/>
    <x v="4"/>
    <m/>
    <x v="4"/>
    <x v="1"/>
    <d v="1899-12-30T00:00:00"/>
    <d v="1899-12-30T00:00:00"/>
    <d v="1899-12-30T00:00:00"/>
    <d v="1899-12-30T00:00:00"/>
  </r>
  <r>
    <s v="E1179"/>
    <m/>
    <m/>
    <x v="3"/>
    <m/>
    <m/>
    <m/>
    <m/>
    <m/>
    <x v="3"/>
    <m/>
    <m/>
    <x v="4"/>
    <m/>
    <x v="4"/>
    <x v="1"/>
    <d v="1899-12-30T00:00:00"/>
    <d v="1899-12-30T00:00:00"/>
    <d v="1899-12-30T00:00:00"/>
    <d v="1899-12-30T00:00:00"/>
  </r>
  <r>
    <s v="E1180"/>
    <m/>
    <m/>
    <x v="3"/>
    <m/>
    <m/>
    <m/>
    <m/>
    <m/>
    <x v="3"/>
    <m/>
    <m/>
    <x v="4"/>
    <m/>
    <x v="4"/>
    <x v="1"/>
    <d v="1899-12-30T00:00:00"/>
    <d v="1899-12-30T00:00:00"/>
    <d v="1899-12-30T00:00:00"/>
    <d v="1899-12-30T00:00:00"/>
  </r>
  <r>
    <s v="E1181"/>
    <m/>
    <m/>
    <x v="3"/>
    <m/>
    <m/>
    <m/>
    <m/>
    <m/>
    <x v="3"/>
    <m/>
    <m/>
    <x v="4"/>
    <m/>
    <x v="4"/>
    <x v="1"/>
    <d v="1899-12-30T00:00:00"/>
    <d v="1899-12-30T00:00:00"/>
    <d v="1899-12-30T00:00:00"/>
    <d v="1899-12-30T00:00:00"/>
  </r>
  <r>
    <s v="E1182"/>
    <m/>
    <m/>
    <x v="3"/>
    <m/>
    <m/>
    <m/>
    <m/>
    <m/>
    <x v="3"/>
    <m/>
    <m/>
    <x v="4"/>
    <m/>
    <x v="4"/>
    <x v="1"/>
    <d v="1899-12-30T00:00:00"/>
    <d v="1899-12-30T00:00:00"/>
    <d v="1899-12-30T00:00:00"/>
    <d v="1899-12-30T00:00:00"/>
  </r>
  <r>
    <s v="E1183"/>
    <m/>
    <m/>
    <x v="3"/>
    <m/>
    <m/>
    <m/>
    <m/>
    <m/>
    <x v="3"/>
    <m/>
    <m/>
    <x v="4"/>
    <m/>
    <x v="4"/>
    <x v="1"/>
    <d v="1899-12-30T00:00:00"/>
    <d v="1899-12-30T00:00:00"/>
    <d v="1899-12-30T00:00:00"/>
    <d v="1899-12-30T00:00:00"/>
  </r>
  <r>
    <s v="E1184"/>
    <m/>
    <m/>
    <x v="3"/>
    <m/>
    <m/>
    <m/>
    <m/>
    <m/>
    <x v="3"/>
    <m/>
    <m/>
    <x v="4"/>
    <m/>
    <x v="4"/>
    <x v="1"/>
    <d v="1899-12-30T00:00:00"/>
    <d v="1899-12-30T00:00:00"/>
    <d v="1899-12-30T00:00:00"/>
    <d v="1899-12-30T00:00:00"/>
  </r>
  <r>
    <s v="E1185"/>
    <m/>
    <m/>
    <x v="3"/>
    <m/>
    <m/>
    <m/>
    <m/>
    <m/>
    <x v="3"/>
    <m/>
    <m/>
    <x v="4"/>
    <m/>
    <x v="4"/>
    <x v="1"/>
    <d v="1899-12-30T00:00:00"/>
    <d v="1899-12-30T00:00:00"/>
    <d v="1899-12-30T00:00:00"/>
    <d v="1899-12-30T00:00:00"/>
  </r>
  <r>
    <s v="E1186"/>
    <m/>
    <m/>
    <x v="3"/>
    <m/>
    <m/>
    <m/>
    <m/>
    <m/>
    <x v="3"/>
    <m/>
    <m/>
    <x v="4"/>
    <m/>
    <x v="4"/>
    <x v="1"/>
    <d v="1899-12-30T00:00:00"/>
    <d v="1899-12-30T00:00:00"/>
    <d v="1899-12-30T00:00:00"/>
    <d v="1899-12-30T00:00:00"/>
  </r>
  <r>
    <s v="E1187"/>
    <m/>
    <m/>
    <x v="3"/>
    <m/>
    <m/>
    <m/>
    <m/>
    <m/>
    <x v="3"/>
    <m/>
    <m/>
    <x v="4"/>
    <m/>
    <x v="4"/>
    <x v="1"/>
    <d v="1899-12-30T00:00:00"/>
    <d v="1899-12-30T00:00:00"/>
    <d v="1899-12-30T00:00:00"/>
    <d v="1899-12-30T00:00:00"/>
  </r>
  <r>
    <s v="E1188"/>
    <m/>
    <m/>
    <x v="3"/>
    <m/>
    <m/>
    <m/>
    <m/>
    <m/>
    <x v="3"/>
    <m/>
    <m/>
    <x v="4"/>
    <m/>
    <x v="4"/>
    <x v="1"/>
    <d v="1899-12-30T00:00:00"/>
    <d v="1899-12-30T00:00:00"/>
    <d v="1899-12-30T00:00:00"/>
    <d v="1899-12-30T00:00:00"/>
  </r>
  <r>
    <s v="E1189"/>
    <m/>
    <m/>
    <x v="3"/>
    <m/>
    <m/>
    <m/>
    <m/>
    <m/>
    <x v="3"/>
    <m/>
    <m/>
    <x v="4"/>
    <m/>
    <x v="4"/>
    <x v="1"/>
    <d v="1899-12-30T00:00:00"/>
    <d v="1899-12-30T00:00:00"/>
    <d v="1899-12-30T00:00:00"/>
    <d v="1899-12-30T00:00:00"/>
  </r>
  <r>
    <s v="E1190"/>
    <m/>
    <m/>
    <x v="3"/>
    <m/>
    <m/>
    <m/>
    <m/>
    <m/>
    <x v="3"/>
    <m/>
    <m/>
    <x v="4"/>
    <m/>
    <x v="4"/>
    <x v="1"/>
    <d v="1899-12-30T00:00:00"/>
    <d v="1899-12-30T00:00:00"/>
    <d v="1899-12-30T00:00:00"/>
    <d v="1899-12-30T00:00:00"/>
  </r>
  <r>
    <s v="E1191"/>
    <m/>
    <m/>
    <x v="3"/>
    <m/>
    <m/>
    <m/>
    <m/>
    <m/>
    <x v="3"/>
    <m/>
    <m/>
    <x v="4"/>
    <m/>
    <x v="4"/>
    <x v="1"/>
    <d v="1899-12-30T00:00:00"/>
    <d v="1899-12-30T00:00:00"/>
    <d v="1899-12-30T00:00:00"/>
    <d v="1899-12-30T00:00:00"/>
  </r>
  <r>
    <s v="E1192"/>
    <m/>
    <m/>
    <x v="3"/>
    <m/>
    <m/>
    <m/>
    <m/>
    <m/>
    <x v="3"/>
    <m/>
    <m/>
    <x v="4"/>
    <m/>
    <x v="4"/>
    <x v="1"/>
    <d v="1899-12-30T00:00:00"/>
    <d v="1899-12-30T00:00:00"/>
    <d v="1899-12-30T00:00:00"/>
    <d v="1899-12-30T00:00:00"/>
  </r>
  <r>
    <s v="E1193"/>
    <m/>
    <m/>
    <x v="3"/>
    <m/>
    <m/>
    <m/>
    <m/>
    <m/>
    <x v="3"/>
    <m/>
    <m/>
    <x v="4"/>
    <m/>
    <x v="4"/>
    <x v="1"/>
    <d v="1899-12-30T00:00:00"/>
    <d v="1899-12-30T00:00:00"/>
    <d v="1899-12-30T00:00:00"/>
    <d v="1899-12-30T00:00:00"/>
  </r>
  <r>
    <s v="E1194"/>
    <m/>
    <m/>
    <x v="3"/>
    <m/>
    <m/>
    <m/>
    <m/>
    <m/>
    <x v="3"/>
    <m/>
    <m/>
    <x v="4"/>
    <m/>
    <x v="4"/>
    <x v="1"/>
    <d v="1899-12-30T00:00:00"/>
    <d v="1899-12-30T00:00:00"/>
    <d v="1899-12-30T00:00:00"/>
    <d v="1899-12-30T00:00:00"/>
  </r>
  <r>
    <s v="E1195"/>
    <m/>
    <m/>
    <x v="3"/>
    <m/>
    <m/>
    <m/>
    <m/>
    <m/>
    <x v="3"/>
    <m/>
    <m/>
    <x v="4"/>
    <m/>
    <x v="4"/>
    <x v="1"/>
    <d v="1899-12-30T00:00:00"/>
    <d v="1899-12-30T00:00:00"/>
    <d v="1899-12-30T00:00:00"/>
    <d v="1899-12-30T00:00:00"/>
  </r>
  <r>
    <s v="E1196"/>
    <m/>
    <m/>
    <x v="3"/>
    <m/>
    <m/>
    <m/>
    <m/>
    <m/>
    <x v="3"/>
    <m/>
    <m/>
    <x v="4"/>
    <m/>
    <x v="4"/>
    <x v="1"/>
    <d v="1899-12-30T00:00:00"/>
    <d v="1899-12-30T00:00:00"/>
    <d v="1899-12-30T00:00:00"/>
    <d v="1899-12-30T00:00:00"/>
  </r>
  <r>
    <s v="E1197"/>
    <m/>
    <m/>
    <x v="3"/>
    <m/>
    <m/>
    <m/>
    <m/>
    <m/>
    <x v="3"/>
    <m/>
    <m/>
    <x v="4"/>
    <m/>
    <x v="4"/>
    <x v="1"/>
    <d v="1899-12-30T00:00:00"/>
    <d v="1899-12-30T00:00:00"/>
    <d v="1899-12-30T00:00:00"/>
    <d v="1899-12-30T00:00:00"/>
  </r>
  <r>
    <s v="E1198"/>
    <m/>
    <m/>
    <x v="3"/>
    <m/>
    <m/>
    <m/>
    <m/>
    <m/>
    <x v="3"/>
    <m/>
    <m/>
    <x v="4"/>
    <m/>
    <x v="4"/>
    <x v="1"/>
    <d v="1899-12-30T00:00:00"/>
    <d v="1899-12-30T00:00:00"/>
    <d v="1899-12-30T00:00:00"/>
    <d v="1899-12-30T00:00:00"/>
  </r>
  <r>
    <s v="E1199"/>
    <m/>
    <m/>
    <x v="3"/>
    <m/>
    <m/>
    <m/>
    <m/>
    <m/>
    <x v="3"/>
    <m/>
    <m/>
    <x v="4"/>
    <m/>
    <x v="4"/>
    <x v="1"/>
    <d v="1899-12-30T00:00:00"/>
    <d v="1899-12-30T00:00:00"/>
    <d v="1899-12-30T00:00:00"/>
    <d v="1899-12-30T00:00:00"/>
  </r>
  <r>
    <s v="E1200"/>
    <m/>
    <m/>
    <x v="3"/>
    <m/>
    <m/>
    <m/>
    <m/>
    <m/>
    <x v="3"/>
    <m/>
    <m/>
    <x v="4"/>
    <m/>
    <x v="4"/>
    <x v="1"/>
    <d v="1899-12-30T00:00:00"/>
    <d v="1899-12-30T00:00:00"/>
    <d v="1899-12-30T00:00:00"/>
    <d v="1899-12-30T00:00:00"/>
  </r>
  <r>
    <s v="E2"/>
    <s v="D. CUESTA"/>
    <d v="1899-12-30T22:40:00"/>
    <x v="120"/>
    <s v="EXTRUSORA 5"/>
    <s v="Puntual"/>
    <s v="Flautas desalienadas"/>
    <d v="1899-12-30T22:40:00"/>
    <d v="1899-12-30T23:00:00"/>
    <x v="152"/>
    <s v="Mecánica"/>
    <s v="Se alinean flautas de torre ya que se encuentran desalineadas, se da ajuste y se entrega maquina para arranque "/>
    <x v="1"/>
    <s v="NA"/>
    <x v="2"/>
    <x v="0"/>
    <d v="1899-12-30T00:20:00"/>
    <d v="2026-02-21T22:40:00"/>
    <d v="2026-02-21T23:00:00"/>
    <d v="1899-12-30T00:20:00"/>
  </r>
  <r>
    <s v="E3"/>
    <s v="D. CUESTA"/>
    <d v="1899-12-30T22:10:00"/>
    <x v="120"/>
    <s v="EXTRUSORA 5"/>
    <s v="Puntual"/>
    <s v="Revisar corona no sube tampoco baja"/>
    <d v="1899-12-30T22:10:00"/>
    <d v="1899-12-30T22:40:00"/>
    <x v="152"/>
    <s v="Mecánica"/>
    <s v="Se encuentra cadena de transmisión de reductor salido y sin candado, se alinean piñones, se monta cadena, se instala candado y se realizan pruebas en vacio"/>
    <x v="1"/>
    <s v="NA"/>
    <x v="2"/>
    <x v="0"/>
    <d v="1899-12-30T00:30:00"/>
    <d v="2026-02-21T22:10:00"/>
    <d v="2026-02-21T22:40:00"/>
    <d v="1899-12-30T00:30:00"/>
  </r>
  <r>
    <s v="E4"/>
    <s v="S. CARDENAL"/>
    <d v="1899-12-30T23:15:00"/>
    <x v="120"/>
    <s v="SELLADORA 2"/>
    <s v="Puntual"/>
    <s v="El transportador tiene un ruido"/>
    <d v="1899-12-30T23:15:00"/>
    <d v="1899-12-30T02:45:00"/>
    <x v="160"/>
    <s v="Mecánica"/>
    <s v="Se encuentra sistema de transportador con sonido anormal, se procede a desarmar para encontrar el fallo, se encuentra rodamiento sin lubricación de eje inferior de transmisión, se procede a limpieza y lubricación, se arma nuevamente"/>
    <x v="1"/>
    <s v="NA"/>
    <x v="2"/>
    <x v="0"/>
    <n v="-0.85416666666666663"/>
    <d v="2026-02-21T23:15:00"/>
    <d v="2026-02-22T02:45:00"/>
    <d v="1899-12-30T03:30:00"/>
  </r>
  <r>
    <s v="E5"/>
    <m/>
    <m/>
    <x v="3"/>
    <m/>
    <m/>
    <m/>
    <m/>
    <m/>
    <x v="3"/>
    <m/>
    <m/>
    <x v="4"/>
    <m/>
    <x v="4"/>
    <x v="1"/>
    <d v="1899-12-30T00:00:00"/>
    <d v="1899-12-30T00:00:00"/>
    <d v="1899-12-30T00:00:00"/>
    <d v="1899-12-30T00:00:00"/>
  </r>
  <r>
    <s v="E6"/>
    <s v="S. PATIÑO"/>
    <d v="1899-12-30T22:30:00"/>
    <x v="168"/>
    <s v="EXTRUSORA 4"/>
    <s v="Puntual"/>
    <s v="Variador del halador no enciende"/>
    <d v="1899-12-30T22:35:00"/>
    <d v="1899-12-30T22:45:00"/>
    <x v="160"/>
    <s v="Eléctrica"/>
    <s v="Se reseteo y se enciende nuevamente variador quedando operativo"/>
    <x v="1"/>
    <s v="NA"/>
    <x v="2"/>
    <x v="0"/>
    <d v="1899-12-30T00:10:00"/>
    <d v="2026-02-22T22:30:00"/>
    <d v="2026-02-22T22:45:00"/>
    <d v="1899-12-30T00:15:00"/>
  </r>
  <r>
    <s v="E7"/>
    <s v="F. SANCHEZ"/>
    <d v="1899-12-30T18:00:00"/>
    <x v="168"/>
    <s v="EXTRUSORA 5"/>
    <s v="Puntual"/>
    <s v="Temperatura del molde no estaba calentando y mando de temperatura de presiones desconectado"/>
    <d v="1899-12-30T18:00:00"/>
    <d v="1899-12-30T18:40:00"/>
    <x v="160"/>
    <s v="Eléctrica"/>
    <s v="Temperatura para 1 molde bajo el setpoint, se encuentra breaker disparado, se resetea y se toma lectura de consumo, se da espera a que suba la temperatura. Conector sensor temperatura portamallas tornillo A desconectado y por ello no mostraba lectura"/>
    <x v="1"/>
    <s v="NA"/>
    <x v="2"/>
    <x v="0"/>
    <d v="1899-12-30T00:40:00"/>
    <d v="2026-02-22T18:00:00"/>
    <d v="2026-02-22T18:40:00"/>
    <d v="1899-12-30T00:40:00"/>
  </r>
  <r>
    <s v="E8"/>
    <s v="L. GARZON"/>
    <d v="1899-12-30T15:20:00"/>
    <x v="60"/>
    <s v="SELLADORA 2"/>
    <s v="Puntual"/>
    <s v="Se parte tornillo soporte perforadores"/>
    <d v="1899-12-30T15:20:00"/>
    <d v="1899-12-30T15:35:00"/>
    <x v="28"/>
    <s v="Mecánica"/>
    <s v="Se encuentra tornillo partido, se extrae y se instalo tornillo M8 x 30mm, se da ajuste y quedo en operación"/>
    <x v="183"/>
    <s v="NA"/>
    <x v="2"/>
    <x v="0"/>
    <d v="1899-12-30T00:15:00"/>
    <d v="2025-12-12T15:20:00"/>
    <d v="2025-12-12T15:35:00"/>
    <d v="1899-12-30T00:15:00"/>
  </r>
  <r>
    <s v="E9"/>
    <s v="E. BELLO"/>
    <d v="1899-12-30T06:50:00"/>
    <x v="62"/>
    <s v="Otro"/>
    <s v="Puntual"/>
    <s v="Se reventaron las coreas de el molino"/>
    <d v="1899-12-30T07:45:00"/>
    <d v="1899-12-30T08:45:00"/>
    <x v="46"/>
    <s v="Mecánica"/>
    <s v="Se realizo cambio de 4 correas de transmisión del molino de peletizadora"/>
    <x v="184"/>
    <s v="NA"/>
    <x v="2"/>
    <x v="0"/>
    <d v="1899-12-30T01:00:00"/>
    <d v="2025-12-15T06:50:00"/>
    <d v="2025-12-15T08:45:00"/>
    <d v="1899-12-30T01:55: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s v="Etiquetas de fila"/>
    <m/>
    <x v="3"/>
    <m/>
    <m/>
    <m/>
    <m/>
    <m/>
    <x v="3"/>
    <m/>
    <m/>
    <x v="4"/>
    <m/>
    <x v="4"/>
    <x v="1"/>
    <d v="1899-12-30T00:00:00"/>
    <d v="1899-12-30T00:00:00"/>
    <d v="1899-12-30T00:00:00"/>
    <d v="1899-12-30T00:00:00"/>
  </r>
  <r>
    <m/>
    <s v="C. ORTEGA"/>
    <m/>
    <x v="3"/>
    <m/>
    <m/>
    <m/>
    <m/>
    <m/>
    <x v="3"/>
    <m/>
    <m/>
    <x v="4"/>
    <m/>
    <x v="4"/>
    <x v="1"/>
    <d v="1899-12-30T00:00:00"/>
    <d v="1899-12-30T00:00:00"/>
    <d v="1899-12-30T00:00:00"/>
    <d v="1899-12-30T00:00:00"/>
  </r>
  <r>
    <m/>
    <s v="D. BAUTISTA"/>
    <m/>
    <x v="3"/>
    <m/>
    <m/>
    <m/>
    <m/>
    <m/>
    <x v="3"/>
    <m/>
    <m/>
    <x v="4"/>
    <m/>
    <x v="4"/>
    <x v="1"/>
    <d v="1899-12-30T00:00:00"/>
    <d v="1899-12-30T00:00:00"/>
    <d v="1899-12-30T00:00:00"/>
    <d v="1899-12-30T00:00:00"/>
  </r>
  <r>
    <m/>
    <s v="L. CASTILLA"/>
    <m/>
    <x v="3"/>
    <m/>
    <m/>
    <m/>
    <m/>
    <m/>
    <x v="3"/>
    <m/>
    <m/>
    <x v="4"/>
    <m/>
    <x v="4"/>
    <x v="1"/>
    <d v="1899-12-30T00:00:00"/>
    <d v="1899-12-30T00:00:00"/>
    <d v="1899-12-30T00:00:00"/>
    <d v="1899-12-30T00:00:00"/>
  </r>
  <r>
    <m/>
    <s v="L. FLOREZ"/>
    <m/>
    <x v="3"/>
    <m/>
    <m/>
    <m/>
    <m/>
    <m/>
    <x v="3"/>
    <m/>
    <m/>
    <x v="4"/>
    <m/>
    <x v="4"/>
    <x v="1"/>
    <d v="1899-12-30T00:00:00"/>
    <d v="1899-12-30T00:00:00"/>
    <d v="1899-12-30T00:00:00"/>
    <d v="1899-12-30T00:00:00"/>
  </r>
  <r>
    <m/>
    <s v="O. DUARTE"/>
    <m/>
    <x v="3"/>
    <m/>
    <m/>
    <m/>
    <m/>
    <m/>
    <x v="3"/>
    <m/>
    <m/>
    <x v="4"/>
    <m/>
    <x v="4"/>
    <x v="1"/>
    <d v="1899-12-30T00:00:00"/>
    <d v="1899-12-30T00:00:00"/>
    <d v="1899-12-30T00:00:00"/>
    <d v="1899-12-30T00:00:00"/>
  </r>
  <r>
    <m/>
    <s v="(en blanco)"/>
    <m/>
    <x v="3"/>
    <m/>
    <m/>
    <m/>
    <m/>
    <m/>
    <x v="3"/>
    <m/>
    <m/>
    <x v="4"/>
    <m/>
    <x v="4"/>
    <x v="1"/>
    <d v="1899-12-30T00:00:00"/>
    <d v="1899-12-30T00:00:00"/>
    <d v="1899-12-30T00:00:00"/>
    <d v="1899-12-30T00:00:00"/>
  </r>
  <r>
    <m/>
    <s v="Total general"/>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s v="Etiquetas de fila"/>
    <m/>
    <x v="3"/>
    <m/>
    <m/>
    <m/>
    <m/>
    <m/>
    <x v="3"/>
    <m/>
    <m/>
    <x v="4"/>
    <m/>
    <x v="4"/>
    <x v="1"/>
    <d v="1899-12-30T00:00:00"/>
    <d v="1899-12-30T00:00:00"/>
    <d v="1899-12-30T00:00:00"/>
    <d v="1899-12-30T00:00:00"/>
  </r>
  <r>
    <m/>
    <s v="C. ORTEGA"/>
    <m/>
    <x v="3"/>
    <m/>
    <m/>
    <m/>
    <m/>
    <m/>
    <x v="3"/>
    <m/>
    <m/>
    <x v="4"/>
    <m/>
    <x v="4"/>
    <x v="1"/>
    <d v="1899-12-30T00:00:00"/>
    <d v="1899-12-30T00:00:00"/>
    <d v="1899-12-30T00:00:00"/>
    <d v="1899-12-30T00:00:00"/>
  </r>
  <r>
    <m/>
    <s v="D. BAUTISTA"/>
    <m/>
    <x v="3"/>
    <m/>
    <m/>
    <m/>
    <m/>
    <m/>
    <x v="3"/>
    <m/>
    <m/>
    <x v="4"/>
    <m/>
    <x v="4"/>
    <x v="1"/>
    <d v="1899-12-30T00:00:00"/>
    <d v="1899-12-30T00:00:00"/>
    <d v="1899-12-30T00:00:00"/>
    <d v="1899-12-30T00:00:00"/>
  </r>
  <r>
    <m/>
    <s v="L. CASTILLA"/>
    <m/>
    <x v="3"/>
    <m/>
    <m/>
    <m/>
    <m/>
    <m/>
    <x v="3"/>
    <m/>
    <m/>
    <x v="4"/>
    <m/>
    <x v="4"/>
    <x v="1"/>
    <d v="1899-12-30T00:00:00"/>
    <d v="1899-12-30T00:00:00"/>
    <d v="1899-12-30T00:00:00"/>
    <d v="1899-12-30T00:00:00"/>
  </r>
  <r>
    <m/>
    <s v="L. FLOREZ"/>
    <m/>
    <x v="3"/>
    <m/>
    <m/>
    <m/>
    <m/>
    <m/>
    <x v="3"/>
    <m/>
    <m/>
    <x v="4"/>
    <m/>
    <x v="4"/>
    <x v="1"/>
    <d v="1899-12-30T00:00:00"/>
    <d v="1899-12-30T00:00:00"/>
    <d v="1899-12-30T00:00:00"/>
    <d v="1899-12-30T00:00:00"/>
  </r>
  <r>
    <m/>
    <s v="NA"/>
    <m/>
    <x v="3"/>
    <m/>
    <m/>
    <m/>
    <m/>
    <m/>
    <x v="3"/>
    <m/>
    <m/>
    <x v="4"/>
    <m/>
    <x v="4"/>
    <x v="1"/>
    <d v="1899-12-30T00:00:00"/>
    <d v="1899-12-30T00:00:00"/>
    <d v="1899-12-30T00:00:00"/>
    <d v="1899-12-30T00:00:00"/>
  </r>
  <r>
    <m/>
    <s v="O. DUARTE"/>
    <m/>
    <x v="3"/>
    <m/>
    <m/>
    <m/>
    <m/>
    <m/>
    <x v="3"/>
    <m/>
    <m/>
    <x v="4"/>
    <m/>
    <x v="4"/>
    <x v="1"/>
    <d v="1899-12-30T00:00:00"/>
    <d v="1899-12-30T00:00:00"/>
    <d v="1899-12-30T00:00:00"/>
    <d v="1899-12-30T00:00:00"/>
  </r>
  <r>
    <m/>
    <s v="(en blanco)"/>
    <m/>
    <x v="3"/>
    <m/>
    <m/>
    <m/>
    <m/>
    <m/>
    <x v="3"/>
    <m/>
    <m/>
    <x v="4"/>
    <m/>
    <x v="4"/>
    <x v="1"/>
    <d v="1899-12-30T00:00:00"/>
    <d v="1899-12-30T00:00:00"/>
    <d v="1899-12-30T00:00:00"/>
    <d v="1899-12-30T00:00:00"/>
  </r>
  <r>
    <m/>
    <s v="Total general"/>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r>
    <m/>
    <m/>
    <m/>
    <x v="3"/>
    <m/>
    <m/>
    <m/>
    <m/>
    <m/>
    <x v="3"/>
    <m/>
    <m/>
    <x v="4"/>
    <m/>
    <x v="4"/>
    <x v="1"/>
    <d v="1899-12-30T00:00:00"/>
    <d v="1899-12-30T00:00:00"/>
    <d v="1899-12-30T00:00:00"/>
    <d v="1899-12-30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n v="1"/>
    <s v="S. CARDENAL"/>
    <d v="1899-12-30T06:50:00"/>
    <x v="0"/>
    <x v="0"/>
    <s v="Puntual"/>
    <s v="La tuerca que aprieta el teflon esta dañada."/>
    <d v="1899-12-30T07:30:00"/>
    <d v="1899-12-30T07:40:00"/>
    <d v="2025-10-28T00:00:00"/>
    <s v="Mecánica"/>
    <s v="Se cambia tuerca 5/16 porque se daño el paso, se cambia por una nueva."/>
    <s v="2 tuercas"/>
    <s v="NA"/>
    <s v="C. ORTEGA"/>
    <x v="0"/>
  </r>
  <r>
    <n v="2"/>
    <s v="S. CARDENAL"/>
    <d v="1899-12-30T07:45:00"/>
    <x v="0"/>
    <x v="0"/>
    <s v="Repetitiva"/>
    <s v="La cuchilla se baja sola"/>
    <d v="1899-12-30T07:43:00"/>
    <d v="1899-12-30T07:59:00"/>
    <d v="2025-10-28T00:00:00"/>
    <s v="Mecánica"/>
    <s v="Se le da 1/4 de vuelta al freno del motor de abajo para que sostenga la leva."/>
    <s v="NA"/>
    <s v="NA"/>
    <s v="C. ORTEGA"/>
    <x v="0"/>
  </r>
  <r>
    <n v="3"/>
    <s v="H. TRIANA"/>
    <d v="1899-12-30T15:20:00"/>
    <x v="0"/>
    <x v="1"/>
    <s v="Repetitiva"/>
    <s v="Se solicita retirar torta de los discos de rotación."/>
    <d v="1899-12-30T15:30:00"/>
    <d v="1899-12-30T16:00:00"/>
    <d v="2025-10-28T00:00:00"/>
    <s v="Mecánica"/>
    <s v="Retiro de material residuo torta discos de rotación."/>
    <s v="NA"/>
    <s v="Cinta de alta temperatura"/>
    <s v="O. DUARTE"/>
    <x v="0"/>
  </r>
  <r>
    <n v="4"/>
    <s v="L. GARZON"/>
    <d v="1899-12-30T20:20:00"/>
    <x v="0"/>
    <x v="2"/>
    <s v="Puntual"/>
    <s v="La cuchilla estaba suelta."/>
    <d v="1899-12-30T20:20:00"/>
    <d v="1899-12-30T20:40:00"/>
    <d v="2025-10-28T00:00:00"/>
    <s v="Mecánica"/>
    <s v="Se ajustan prisioneros de ajuste de mordaza. "/>
    <s v="NA"/>
    <s v="NA"/>
    <s v="D. BAUTISTA"/>
    <x v="0"/>
  </r>
  <r>
    <n v="5"/>
    <s v="D. CUESTA"/>
    <d v="1899-12-30T04:00:00"/>
    <x v="1"/>
    <x v="3"/>
    <s v="Puntual"/>
    <s v="Revisar zona de temperatura zona exterior del tornillo."/>
    <d v="1899-12-30T04:00:00"/>
    <d v="1899-12-30T04:30:00"/>
    <d v="2025-10-29T00:00:00"/>
    <s v="Eléctrica"/>
    <s v="Se realiza inspección a los componentes como controlador, rele y termocupla, se realiza calibración de termocupla."/>
    <s v="NA"/>
    <s v="NA"/>
    <s v="L. CASTILLA"/>
    <x v="0"/>
  </r>
  <r>
    <n v="6"/>
    <s v="S. CARDENAL"/>
    <d v="1899-12-30T12:50:00"/>
    <x v="1"/>
    <x v="4"/>
    <s v="Puntual"/>
    <s v="Carretes del transportadora rompen bolsa y se queda atrapada. "/>
    <d v="1899-12-30T13:00:00"/>
    <d v="1899-12-30T13:43:00"/>
    <d v="2025-10-29T00:00:00"/>
    <s v="Mecánica"/>
    <s v="Se ajustan rodillos con corredera a la salida del transportador tornillo no roscaba, se cambia por otro."/>
    <s v="Tornillo 5/16 por 2&quot;"/>
    <s v="NA"/>
    <s v="C. ORTEGA"/>
    <x v="0"/>
  </r>
  <r>
    <n v="7"/>
    <s v="A. CESPEDES"/>
    <d v="1899-12-30T00:25:00"/>
    <x v="2"/>
    <x v="0"/>
    <s v="Puntual"/>
    <s v="Transportador no prende."/>
    <d v="1899-12-30T00:25:00"/>
    <d v="1899-12-30T01:15:00"/>
    <d v="2025-10-30T00:00:00"/>
    <s v="Mecánica"/>
    <s v="Se inspecciona el transportador encontrando el rodamiento averiado y se realiza cambio quedando bien."/>
    <s v="1 Rodamiento 6064 zz NR"/>
    <s v="NA"/>
    <s v="L. CASTILLA"/>
    <x v="0"/>
  </r>
  <r>
    <n v="8"/>
    <s v="J. LUCAS"/>
    <d v="1899-12-30T07:25:00"/>
    <x v="2"/>
    <x v="0"/>
    <s v="Puntual"/>
    <s v="Bolsa se rompe en los carretes por falta de carretes."/>
    <d v="1899-12-30T07:40:00"/>
    <d v="1899-12-30T08:40:00"/>
    <d v="2025-10-30T00:00:00"/>
    <s v="Mecánica"/>
    <s v="Lubricar carretes y correr un espacio para cubrir los que se rompieron."/>
    <s v="NA"/>
    <s v="Lubricante"/>
    <s v="O. DUARTE"/>
    <x v="0"/>
  </r>
  <r>
    <n v="9"/>
    <s v="J. LUCAS"/>
    <d v="1899-12-30T10:50:00"/>
    <x v="2"/>
    <x v="0"/>
    <s v="Puntual"/>
    <s v="La cuchilla se baja sola y no se sostiene arriba"/>
    <d v="1899-12-30T10:50:00"/>
    <d v="1899-12-30T11:13:00"/>
    <d v="2025-10-30T00:00:00"/>
    <s v="Mecánica"/>
    <s v="Ajuste del freno motor cuchilla no se mantenia estable quedando operativa. "/>
    <s v="NA"/>
    <s v="NA"/>
    <s v="O. DUARTE"/>
    <x v="0"/>
  </r>
  <r>
    <n v="10"/>
    <m/>
    <m/>
    <x v="3"/>
    <x v="5"/>
    <m/>
    <m/>
    <m/>
    <m/>
    <m/>
    <m/>
    <m/>
    <m/>
    <m/>
    <m/>
    <x v="1"/>
  </r>
  <r>
    <n v="11"/>
    <m/>
    <m/>
    <x v="3"/>
    <x v="5"/>
    <m/>
    <m/>
    <m/>
    <m/>
    <m/>
    <m/>
    <m/>
    <m/>
    <m/>
    <m/>
    <x v="1"/>
  </r>
  <r>
    <n v="12"/>
    <m/>
    <m/>
    <x v="3"/>
    <x v="5"/>
    <m/>
    <m/>
    <m/>
    <m/>
    <m/>
    <m/>
    <m/>
    <m/>
    <m/>
    <m/>
    <x v="1"/>
  </r>
  <r>
    <n v="13"/>
    <s v="L. GARZON"/>
    <d v="1899-12-30T17:50:00"/>
    <x v="2"/>
    <x v="4"/>
    <s v="Puntual"/>
    <s v="Se para máquina para afilar y limpiar cuhilla."/>
    <d v="1899-12-30T17:50:00"/>
    <d v="1899-12-30T20:40:00"/>
    <d v="2025-10-30T00:00:00"/>
    <s v="Mecánica"/>
    <s v="Se realiza proceso para afilar la cuchilla por daño en el material."/>
    <s v="NA"/>
    <s v="NA"/>
    <s v="D. BAUTISTA"/>
    <x v="0"/>
  </r>
  <r>
    <n v="14"/>
    <s v="A. MIRANDA"/>
    <d v="1899-12-30T17:40:00"/>
    <x v="2"/>
    <x v="6"/>
    <s v="Puntual"/>
    <s v="Fallo en molino de refile."/>
    <d v="1899-12-30T17:40:00"/>
    <d v="1899-12-30T18:20:00"/>
    <d v="2025-10-30T00:00:00"/>
    <s v="Mecánica"/>
    <s v="Se presento atascamiento de ducto de refile, se desmonta ducto y se retira atascamiento, nuevamente se instala y se realizan pruebas."/>
    <s v="NA"/>
    <s v="NA"/>
    <s v="D. BAUTISTA"/>
    <x v="0"/>
  </r>
  <r>
    <n v="15"/>
    <s v="D. CUESTA"/>
    <d v="1899-12-30T19:00:00"/>
    <x v="2"/>
    <x v="3"/>
    <s v="Puntual"/>
    <s v="Corto en cable de rotación."/>
    <d v="1899-12-30T19:00:00"/>
    <d v="1899-12-30T19:10:00"/>
    <d v="2025-10-30T00:00:00"/>
    <s v="Eléctrica"/>
    <s v="Se instala 30 cm de cinta de fibra de vidrio."/>
    <s v="NA"/>
    <s v="NA"/>
    <s v="D. BAUTISTA"/>
    <x v="0"/>
  </r>
  <r>
    <n v="16"/>
    <m/>
    <m/>
    <x v="3"/>
    <x v="5"/>
    <m/>
    <m/>
    <m/>
    <m/>
    <m/>
    <m/>
    <m/>
    <m/>
    <m/>
    <m/>
    <x v="1"/>
  </r>
  <r>
    <n v="17"/>
    <m/>
    <m/>
    <x v="3"/>
    <x v="5"/>
    <m/>
    <m/>
    <m/>
    <m/>
    <m/>
    <m/>
    <m/>
    <m/>
    <m/>
    <m/>
    <x v="1"/>
  </r>
  <r>
    <n v="18"/>
    <s v="L. GARZON"/>
    <d v="1899-12-30T17:30:00"/>
    <x v="4"/>
    <x v="0"/>
    <s v="Repetitiva"/>
    <s v="Rollo en transportador."/>
    <d v="1899-12-30T18:00:00"/>
    <d v="1899-12-30T21:30:00"/>
    <d v="2025-10-31T00:00:00"/>
    <s v="Mecánica"/>
    <s v="Se encuentra variador transportador en rollo, se reinicia y se realiza seguimiento ya que falla continuo."/>
    <s v="NA"/>
    <s v="NA"/>
    <s v="D. BAUTISTA"/>
    <x v="0"/>
  </r>
  <r>
    <n v="19"/>
    <s v="K. RAMOS"/>
    <d v="1899-12-30T21:30:00"/>
    <x v="5"/>
    <x v="6"/>
    <s v="Puntual"/>
    <s v="Tablero superior no abria"/>
    <d v="1899-12-30T21:30:00"/>
    <d v="1899-12-30T22:15:00"/>
    <d v="2025-11-01T00:00:00"/>
    <s v="Eléctrica"/>
    <s v="Se realiza continuidad a cables de tablero encontrando 2 abiertos, se colocan 2 cables directos temporalmente para poder abrir las paletas."/>
    <s v="NA"/>
    <s v="NA"/>
    <s v="L. CASTILLA"/>
    <x v="0"/>
  </r>
  <r>
    <n v="20"/>
    <s v="R. CUESTA"/>
    <d v="1899-12-30T23:45:00"/>
    <x v="6"/>
    <x v="7"/>
    <s v="Puntual"/>
    <s v="Piñon del eje neumatico se partio la soldadura."/>
    <d v="1899-12-30T23:45:00"/>
    <d v="1899-12-30T00:10:00"/>
    <d v="2025-11-03T00:00:00"/>
    <s v="Mecánica"/>
    <s v="Se aplica soldadura para sujeción de piñon matriz de eje embobinador."/>
    <s v="Disco flap y Soldadura 6013"/>
    <s v="NA"/>
    <s v="D. BAUTISTA"/>
    <x v="0"/>
  </r>
  <r>
    <n v="21"/>
    <s v="H. TRIANA"/>
    <d v="1899-12-30T13:00:00"/>
    <x v="7"/>
    <x v="8"/>
    <s v="Repetitiva"/>
    <s v="Cambio de tornillos bristol"/>
    <d v="1899-12-30T13:00:00"/>
    <d v="1899-12-30T13:40:00"/>
    <d v="2025-11-04T00:00:00"/>
    <s v="Mecánica"/>
    <s v="Se machuelea número 10 para ajustar prisioneros que no roscaban."/>
    <s v="Prisioneros 10X15mm"/>
    <s v="NA"/>
    <s v="C. ORTEGA"/>
    <x v="0"/>
  </r>
  <r>
    <n v="22"/>
    <s v="K. RAMOS"/>
    <d v="1899-12-30T21:32:00"/>
    <x v="7"/>
    <x v="6"/>
    <s v="Puntual"/>
    <s v="Calibración de celdas de carga."/>
    <d v="1899-12-30T21:32:00"/>
    <d v="1899-12-30T23:30:00"/>
    <d v="2025-11-04T00:00:00"/>
    <s v="Mecánica"/>
    <s v="Se realiza calibración de caldas de carga con masa de 20kg"/>
    <s v="NA"/>
    <s v="NA"/>
    <s v="D. BAUTISTA"/>
    <x v="0"/>
  </r>
  <r>
    <n v="23"/>
    <s v="O. ALVAREZ"/>
    <d v="1899-12-30T08:40:00"/>
    <x v="8"/>
    <x v="9"/>
    <s v="Puntual"/>
    <s v="Escape en la barra "/>
    <m/>
    <d v="1899-12-30T08:45:00"/>
    <d v="2025-11-05T00:00:00"/>
    <s v="Neumática"/>
    <s v="Se aplica silicona en el prisionero y queda operativa."/>
    <s v="NA"/>
    <s v="Silicona"/>
    <s v="O. DUARTE"/>
    <x v="0"/>
  </r>
  <r>
    <n v="24"/>
    <m/>
    <m/>
    <x v="3"/>
    <x v="5"/>
    <m/>
    <m/>
    <m/>
    <m/>
    <m/>
    <m/>
    <m/>
    <m/>
    <m/>
    <m/>
    <x v="1"/>
  </r>
  <r>
    <n v="25"/>
    <s v="L. GARZON"/>
    <d v="1899-12-30T00:28:00"/>
    <x v="9"/>
    <x v="0"/>
    <s v="Puntual"/>
    <s v="Se para carretes de salida bolsa."/>
    <d v="1899-12-30T00:18:00"/>
    <d v="1899-12-30T00:38:00"/>
    <d v="2025-11-06T00:00:00"/>
    <s v="Mecánica"/>
    <s v="Se encuentra sistema de carretes atascado, se alinean carretes y se realiza pruebas de funcionamiento."/>
    <s v="NA"/>
    <s v="NA"/>
    <s v="D. BAUTISTA"/>
    <x v="0"/>
  </r>
  <r>
    <n v="26"/>
    <s v="A. ROVINA"/>
    <d v="1899-12-30T12:30:00"/>
    <x v="8"/>
    <x v="10"/>
    <s v="Repetitiva"/>
    <s v="Modificación de castañas"/>
    <m/>
    <m/>
    <m/>
    <m/>
    <m/>
    <m/>
    <m/>
    <m/>
    <x v="2"/>
  </r>
  <r>
    <n v="27"/>
    <s v="D. ARRIETA"/>
    <d v="1899-12-30T18:10:00"/>
    <x v="8"/>
    <x v="7"/>
    <s v="Puntual"/>
    <s v="Rodillo loco del desembobinador se paro."/>
    <d v="1899-12-30T18:10:00"/>
    <d v="1899-12-30T21:00:00"/>
    <d v="2025-11-05T00:00:00"/>
    <s v="Mecánica"/>
    <s v="Se cae rodillo de impresora, se amarra con zuncho esta dañado la parte del prisionero."/>
    <s v="NA"/>
    <s v="NA"/>
    <s v="C. ORTEGA"/>
    <x v="0"/>
  </r>
  <r>
    <n v="28"/>
    <s v="E. BOREA"/>
    <d v="1899-12-30T07:24:00"/>
    <x v="8"/>
    <x v="11"/>
    <s v="Puntual"/>
    <s v="No arranca tornillo de alimentación de la tolva"/>
    <d v="1899-12-30T01:15:00"/>
    <d v="1899-12-30T01:30:00"/>
    <d v="2025-11-06T00:00:00"/>
    <s v="Eléctrica"/>
    <s v="Se realiza inspección de circuito eléctrico de control de motor, se encuentra cableado desconectado, se conecta nuevamente y se realizan pruebas."/>
    <s v="NA"/>
    <s v="NA"/>
    <s v="D. BAUTISTA"/>
    <x v="0"/>
  </r>
  <r>
    <n v="29"/>
    <s v="A. MIRANDA"/>
    <d v="1899-12-30T14:00:00"/>
    <x v="8"/>
    <x v="6"/>
    <s v="Repetitiva"/>
    <s v="Fallo en variador del tornillo B."/>
    <d v="1899-12-30T14:00:00"/>
    <d v="1899-12-30T23:00:00"/>
    <d v="2025-11-05T00:00:00"/>
    <s v="Eléctrica"/>
    <s v="Se instala ventilador de respaldo para el variador de frecuencia a 220v, se requiere cambio de ventilador para refrigeración."/>
    <s v="NA"/>
    <s v="NA"/>
    <s v="D. BAUTISTA"/>
    <x v="0"/>
  </r>
  <r>
    <n v="30"/>
    <s v="A. CEPEDES"/>
    <d v="1899-12-30T06:00:00"/>
    <x v="9"/>
    <x v="0"/>
    <s v="Puntual"/>
    <s v="Se cae rodillo del transportador."/>
    <d v="1899-12-30T06:15:00"/>
    <d v="1899-12-30T06:40:00"/>
    <d v="2025-11-06T00:00:00"/>
    <s v="Mecánica"/>
    <s v="Se extrae tornillo roto y se ajusta el rodillo, se hacen pruebas."/>
    <s v="Tornillos y arandelas."/>
    <s v="NA"/>
    <s v="O. DUARTE"/>
    <x v="0"/>
  </r>
  <r>
    <n v="31"/>
    <s v="D. BUESACO"/>
    <d v="1899-12-30T07:00:00"/>
    <x v="9"/>
    <x v="12"/>
    <s v="Puntual"/>
    <s v="Falla en carrete, se frena transportador de salida."/>
    <d v="1899-12-30T07:05:00"/>
    <d v="1899-12-30T07:42:00"/>
    <d v="2025-11-06T00:00:00"/>
    <s v="Eléctrica"/>
    <s v="Revisión del variador, toma de parametros, reinicio de equipo varias veces, se realizan pruebas."/>
    <s v="NA"/>
    <s v="NA"/>
    <s v="O. DUARTE"/>
    <x v="0"/>
  </r>
  <r>
    <n v="32"/>
    <s v="O. VALENCIA"/>
    <d v="1899-12-30T06:00:00"/>
    <x v="10"/>
    <x v="11"/>
    <s v="Puntual"/>
    <s v="Cableado suelto en resistencias del cable filtros."/>
    <d v="1899-12-30T07:40:00"/>
    <d v="1899-12-30T08:51:00"/>
    <d v="2025-11-07T00:00:00"/>
    <s v="Eléctrica"/>
    <s v="Se realiza intervención en resistencias desconectadas, se desenergiza, se empalma con borneras recubrimiento cinta de alta temperatura."/>
    <s v="Cinta alta temperatura, borneras."/>
    <s v="NA"/>
    <s v="O. DUARTE"/>
    <x v="0"/>
  </r>
  <r>
    <n v="33"/>
    <s v="D. SANCHEZ"/>
    <d v="1899-12-30T20:18:00"/>
    <x v="9"/>
    <x v="13"/>
    <s v="Puntual"/>
    <s v="Se solicita el cambio de la iluminaria ya que se encuentra en mal estado y genera molestias visuales a los operarios de sellado."/>
    <m/>
    <m/>
    <m/>
    <m/>
    <m/>
    <m/>
    <m/>
    <m/>
    <x v="2"/>
  </r>
  <r>
    <n v="34"/>
    <s v="J. MIRANDA"/>
    <d v="1899-12-30T22:30:00"/>
    <x v="9"/>
    <x v="14"/>
    <s v="Puntual"/>
    <s v="Motor de la tolva del pigmento esta fallando, no esta consumiendo lo que se programa, consume más de lo que debe consumir."/>
    <m/>
    <m/>
    <m/>
    <m/>
    <m/>
    <m/>
    <m/>
    <m/>
    <x v="2"/>
  </r>
  <r>
    <n v="35"/>
    <s v="L. GARZON"/>
    <d v="1899-12-30T00:27:00"/>
    <x v="10"/>
    <x v="15"/>
    <s v="Repetitiva"/>
    <s v="Daño en el transportador."/>
    <d v="1899-12-30T00:27:00"/>
    <d v="1899-12-30T01:00:00"/>
    <d v="2025-11-07T00:00:00"/>
    <s v="Mecánica"/>
    <s v="Se tensiona rodillo tensor de correas de transportador."/>
    <s v="NA"/>
    <s v="NA"/>
    <s v="D. BAUTISTA"/>
    <x v="0"/>
  </r>
  <r>
    <n v="36"/>
    <s v="C. CASTRO"/>
    <d v="1899-12-30T04:00:00"/>
    <x v="10"/>
    <x v="10"/>
    <s v="Repetitiva"/>
    <s v="Cambiar rodillos para refilar papel, acondicionar castañas de bobinadores."/>
    <d v="1899-12-30T04:00:00"/>
    <d v="1899-12-30T04:40:00"/>
    <d v="2025-11-07T00:00:00"/>
    <s v="Mecánica"/>
    <s v="Se instalan rodillos de corto para trabajar papel, se adecuan castañas de bobinadores para refilar papel."/>
    <s v="NA"/>
    <s v="NA"/>
    <s v="D. BAUTISTA"/>
    <x v="0"/>
  </r>
  <r>
    <n v="37"/>
    <s v="R. CUSIA"/>
    <d v="1899-12-30T08:20:00"/>
    <x v="10"/>
    <x v="7"/>
    <s v="Puntual"/>
    <s v="Diferencial con cable roto del control"/>
    <d v="1899-12-30T08:30:00"/>
    <d v="1899-12-30T09:00:00"/>
    <d v="2025-11-07T00:00:00"/>
    <s v="Eléctrica"/>
    <s v="Cables averiados, se corta 30cm para sacar parte averiada y se realiza empalme nuevamente quedando OK."/>
    <s v="Cable para reemplazar"/>
    <s v="NA"/>
    <s v="L. CASTILLA"/>
    <x v="0"/>
  </r>
  <r>
    <n v="38"/>
    <m/>
    <m/>
    <x v="3"/>
    <x v="5"/>
    <m/>
    <m/>
    <m/>
    <m/>
    <m/>
    <m/>
    <m/>
    <m/>
    <m/>
    <m/>
    <x v="1"/>
  </r>
  <r>
    <n v="39"/>
    <m/>
    <m/>
    <x v="3"/>
    <x v="5"/>
    <m/>
    <m/>
    <m/>
    <m/>
    <m/>
    <m/>
    <m/>
    <m/>
    <m/>
    <m/>
    <x v="1"/>
  </r>
  <r>
    <n v="40"/>
    <s v="F. SANCHEZ"/>
    <d v="1899-12-30T16:58:00"/>
    <x v="10"/>
    <x v="6"/>
    <s v="Puntual"/>
    <s v="Problemas para cuadrar tabular variación de medida de 15 centimetros + o - por el IBC, no se mantiene la medida estantar."/>
    <m/>
    <m/>
    <m/>
    <m/>
    <m/>
    <m/>
    <m/>
    <m/>
    <x v="2"/>
  </r>
  <r>
    <n v="41"/>
    <s v="F. SANCHEZ"/>
    <d v="1899-12-30T16:53:00"/>
    <x v="10"/>
    <x v="6"/>
    <s v="Puntual"/>
    <s v="Paletas en mal funcionamiento, partidas, tienen juego, no estabilizan para poder cuadrar fuelle."/>
    <m/>
    <m/>
    <m/>
    <m/>
    <m/>
    <m/>
    <m/>
    <m/>
    <x v="2"/>
  </r>
  <r>
    <n v="42"/>
    <s v="D. BUESACO"/>
    <d v="1899-12-30T07:40:00"/>
    <x v="11"/>
    <x v="0"/>
    <s v="Puntual"/>
    <s v="Material sale por la mitad."/>
    <d v="1899-12-30T07:40:00"/>
    <d v="1899-12-30T08:50:00"/>
    <d v="2025-11-08T00:00:00"/>
    <s v="Mecánica"/>
    <s v="Aplicar soldadura, cambio de tornillo de polea tensora, ajuste de correa y se realizan pruebas de funcionamiento."/>
    <s v="Tornillo 8 mm."/>
    <s v="Soldadura"/>
    <s v="O. DUARTE"/>
    <x v="0"/>
  </r>
  <r>
    <n v="43"/>
    <s v="E. REYES"/>
    <d v="1899-12-30T14:00:00"/>
    <x v="11"/>
    <x v="16"/>
    <s v="Repetitiva"/>
    <s v="Afilar cuchilla"/>
    <d v="1899-12-30T14:00:00"/>
    <d v="1899-12-30T14:30:00"/>
    <d v="2025-11-08T00:00:00"/>
    <s v="Mecánica"/>
    <s v="Afilar cuchilla, se deja enfriar, se hace pruebas."/>
    <s v="NA"/>
    <s v="NA"/>
    <s v="O. DUARTE"/>
    <x v="0"/>
  </r>
  <r>
    <n v="44"/>
    <s v="NA"/>
    <d v="1899-12-30T00:25:00"/>
    <x v="12"/>
    <x v="7"/>
    <s v="Puntual"/>
    <s v="Registro lateral en mal estado se paro por llevar pieza al taller para su reparación."/>
    <d v="1899-12-30T00:25:00"/>
    <d v="1899-12-30T02:20:00"/>
    <d v="2025-11-09T00:00:00"/>
    <s v="Mecánica"/>
    <s v="Se repara registro lateral se colocan tornillos, se vuelve aramar."/>
    <s v="NA"/>
    <s v="NA"/>
    <s v="C. ORTEGA"/>
    <x v="0"/>
  </r>
  <r>
    <n v="45"/>
    <s v="H. TRIANA"/>
    <d v="1899-12-30T06:40:00"/>
    <x v="13"/>
    <x v="3"/>
    <s v="Puntual"/>
    <s v="Porta mallas inferior no calienta."/>
    <d v="1899-12-30T06:40:00"/>
    <d v="1899-12-30T07:00:00"/>
    <d v="2025-11-10T00:00:00"/>
    <s v="Eléctrica"/>
    <s v="Se realiza inspección y se encuentra cable de conexión partido, se reconecta y se deja el equipo calentando."/>
    <s v="NA"/>
    <s v="NA"/>
    <s v="D. BAUTISTA"/>
    <x v="0"/>
  </r>
  <r>
    <n v="46"/>
    <s v="A. POVIRA"/>
    <d v="1899-12-30T07:45:00"/>
    <x v="13"/>
    <x v="17"/>
    <s v="Puntual"/>
    <s v="Eje de embobinador se pincha."/>
    <d v="1899-12-30T07:50:00"/>
    <d v="1899-12-30T08:40:00"/>
    <d v="2025-11-10T00:00:00"/>
    <s v="Mecánica"/>
    <s v="Se encuentra fuga en prisioneros de ajuste, se realiza aplicación de silicona y ajuste, queda en observación."/>
    <s v="NA"/>
    <s v="NA"/>
    <s v="D. BAUTISTA"/>
    <x v="0"/>
  </r>
  <r>
    <n v="47"/>
    <s v="A. POVIRA"/>
    <d v="1899-12-30T08:30:00"/>
    <x v="13"/>
    <x v="10"/>
    <s v="Repetitiva"/>
    <s v="Cambio de castañas y prensa."/>
    <d v="1899-12-30T08:50:00"/>
    <d v="1899-12-30T09:13:00"/>
    <d v="2025-11-10T00:00:00"/>
    <s v="Mecánica"/>
    <s v="Se realiza cambio de rodillos pisador para trabajar plastico y se ajustan las castañas para operar."/>
    <s v="NA"/>
    <s v="NA"/>
    <s v="D. BAUTISTA"/>
    <x v="0"/>
  </r>
  <r>
    <n v="48"/>
    <s v="D. PARDO"/>
    <d v="1899-12-30T12:20:00"/>
    <x v="13"/>
    <x v="7"/>
    <s v="Puntual"/>
    <s v="Se parten dos tornillos."/>
    <d v="1899-12-30T12:20:00"/>
    <d v="1899-12-30T12:30:00"/>
    <d v="2025-11-10T00:00:00"/>
    <s v="Mecánica"/>
    <s v="Se encuentran 2 tornillos M8 partidos, se extraen y se reemplazan, quedando operativo."/>
    <s v="2 Tornillos M8"/>
    <s v="NA"/>
    <s v="D. BAUTISTA"/>
    <x v="0"/>
  </r>
  <r>
    <n v="49"/>
    <s v="D. CUESTA"/>
    <d v="1899-12-30T21:10:00"/>
    <x v="13"/>
    <x v="14"/>
    <s v="Puntual"/>
    <s v="Se esta calibrando porque ele material sale con puntos descalibrados, se mira que la corona esta un poco caida."/>
    <d v="1899-12-30T21:10:00"/>
    <d v="1899-12-30T21:40:00"/>
    <d v="2025-11-10T00:00:00"/>
    <s v="Mecánica"/>
    <s v="Se coloca nivel en el molde y presenta desnivel, se realiza calibración con nivel quedando OK."/>
    <s v="NA"/>
    <s v="NA"/>
    <s v="L. CASTILLA"/>
    <x v="0"/>
  </r>
  <r>
    <n v="50"/>
    <s v="J. CORREA"/>
    <d v="1899-12-30T13:00:00"/>
    <x v="14"/>
    <x v="18"/>
    <s v="Puntual"/>
    <s v="Se revienta correa y se esta derritiendo el material en eje inferior interno."/>
    <d v="1899-12-30T13:00:00"/>
    <d v="1899-12-30T15:00:00"/>
    <d v="2025-11-11T00:00:00"/>
    <s v="Mecánica"/>
    <s v="Se cambian correas de mezcladora, se da tensión para que la transmisión inicie."/>
    <s v="Correa 45"/>
    <s v="NA"/>
    <s v="C. ORTEGA"/>
    <x v="0"/>
  </r>
  <r>
    <n v="51"/>
    <m/>
    <m/>
    <x v="3"/>
    <x v="5"/>
    <m/>
    <m/>
    <m/>
    <m/>
    <m/>
    <m/>
    <m/>
    <m/>
    <m/>
    <m/>
    <x v="1"/>
  </r>
  <r>
    <n v="52"/>
    <s v="R. MEJIA"/>
    <d v="1899-12-30T15:20:00"/>
    <x v="14"/>
    <x v="7"/>
    <s v="Puntual"/>
    <s v="Cable diferencial izquierdo se partio solo funciona lado derecho."/>
    <d v="1899-12-30T15:30:00"/>
    <d v="1899-12-30T17:20:00"/>
    <d v="2025-11-11T00:00:00"/>
    <s v="Eléctrica"/>
    <s v="Cable abierto desprendidos de bornera, muy cortos, se corre reserva y se empalman."/>
    <s v="NA"/>
    <s v="NA"/>
    <s v="L. CASTILLA"/>
    <x v="0"/>
  </r>
  <r>
    <n v="53"/>
    <s v="J. MIRANDA"/>
    <d v="1899-12-30T16:40:00"/>
    <x v="14"/>
    <x v="1"/>
    <s v="Puntual"/>
    <s v="Se frena la prensa por favor revisar."/>
    <d v="1899-12-30T17:50:00"/>
    <d v="1899-12-30T18:20:00"/>
    <d v="2025-11-11T00:00:00"/>
    <s v="Eléctrica"/>
    <s v="Se revisa circuito encontrando conductor con punto caliente, se realiza ajuste quedando OK."/>
    <s v="NA"/>
    <s v="NA"/>
    <s v="L. CASTILLA"/>
    <x v="0"/>
  </r>
  <r>
    <n v="54"/>
    <s v="R. MEJIA"/>
    <d v="1899-12-30T17:00:00"/>
    <x v="14"/>
    <x v="7"/>
    <s v="Puntual"/>
    <s v="Parada para arreglar bobinador ya que el rodamiento se partio."/>
    <d v="1899-12-30T17:00:00"/>
    <d v="1899-12-30T17:20:00"/>
    <d v="2025-11-11T00:00:00"/>
    <s v="Mecánica"/>
    <s v="Rodamiento guia rodillo embobinador averiado, se realiza desmonte para cambio quedando OK."/>
    <s v="NA"/>
    <s v="NA"/>
    <s v="L. CASTILLA"/>
    <x v="0"/>
  </r>
  <r>
    <n v="55"/>
    <s v="C. BARAJAS"/>
    <d v="1899-12-30T21:30:00"/>
    <x v="14"/>
    <x v="2"/>
    <s v="Puntual"/>
    <s v="El servo arrastra demasiado el material."/>
    <d v="1899-12-30T21:30:00"/>
    <d v="1899-12-30T21:45:00"/>
    <d v="2025-11-11T00:00:00"/>
    <s v="Eléctrica"/>
    <s v="Sensorde balanza averiado, se ajusta y se deja OK."/>
    <s v="NA"/>
    <s v="NA"/>
    <s v="L. CASTILLA"/>
    <x v="0"/>
  </r>
  <r>
    <n v="56"/>
    <s v="D. CUESTA"/>
    <d v="1899-12-30T23:50:00"/>
    <x v="14"/>
    <x v="3"/>
    <s v="Puntual"/>
    <s v="Se para extrusora 4 por fuga de material."/>
    <m/>
    <m/>
    <m/>
    <m/>
    <m/>
    <m/>
    <m/>
    <m/>
    <x v="2"/>
  </r>
  <r>
    <n v="57"/>
    <m/>
    <m/>
    <x v="3"/>
    <x v="5"/>
    <m/>
    <m/>
    <m/>
    <m/>
    <m/>
    <m/>
    <m/>
    <m/>
    <m/>
    <m/>
    <x v="1"/>
  </r>
  <r>
    <n v="58"/>
    <s v="Y. BERNAL"/>
    <d v="1899-12-30T07:51:00"/>
    <x v="15"/>
    <x v="18"/>
    <s v="Puntual"/>
    <s v="Mezcladora capa externa con fricción interna en el tornillo, esta derritiendo la resina."/>
    <d v="1899-12-30T07:51:00"/>
    <d v="1899-12-30T10:09:00"/>
    <d v="2025-11-18T00:00:00"/>
    <s v="Mecánica"/>
    <s v="Se cambian empaques, se limpia rodamientos, se lubrica rodamientos y chumaceras."/>
    <s v="Chumacera f208"/>
    <s v="Empaques"/>
    <s v="C. ORTEGA"/>
    <x v="0"/>
  </r>
  <r>
    <n v="59"/>
    <s v="H. TRIANA"/>
    <d v="1899-12-30T15:30:00"/>
    <x v="16"/>
    <x v="3"/>
    <s v="Puntual"/>
    <s v="Falla grafilador."/>
    <d v="1899-12-30T15:30:00"/>
    <d v="1899-12-30T18:00:00"/>
    <d v="2025-11-12T00:00:00"/>
    <s v="Mecánica"/>
    <s v="Se desmonta motor para inspección en transmisión, se ajusta y se realizan pruebas, se tiene en seguimiento."/>
    <s v="NA"/>
    <s v="NA"/>
    <s v="D. BAUTISTA"/>
    <x v="0"/>
  </r>
  <r>
    <n v="60"/>
    <s v="C. CASTRO"/>
    <d v="1899-12-30T18:00:00"/>
    <x v="16"/>
    <x v="10"/>
    <s v="Puntual"/>
    <s v="Daño en la manguera del embobinador superior y en el tornillo que soporta la punta de la manguera."/>
    <m/>
    <m/>
    <m/>
    <m/>
    <m/>
    <m/>
    <m/>
    <m/>
    <x v="2"/>
  </r>
  <r>
    <n v="61"/>
    <s v="D. CUESTA"/>
    <d v="1899-12-30T20:17:00"/>
    <x v="16"/>
    <x v="1"/>
    <s v="Puntual"/>
    <s v="Se para prensa."/>
    <m/>
    <m/>
    <m/>
    <m/>
    <m/>
    <m/>
    <m/>
    <m/>
    <x v="2"/>
  </r>
  <r>
    <n v="62"/>
    <s v="F. SANCHEZ"/>
    <d v="1899-12-30T20:20:00"/>
    <x v="16"/>
    <x v="6"/>
    <s v="Puntual"/>
    <s v="Clavo se queda pegado del alimentador cuando se hace el cambio de bobina del embobinador 2."/>
    <d v="1899-12-30T21:20:00"/>
    <d v="1899-12-30T21:40:00"/>
    <d v="2025-11-12T00:00:00"/>
    <s v="Mecánica"/>
    <s v="Se realizo ajuste de tornilleria y lubricación a pieza de desplazamiento, se realiza seguimiento."/>
    <s v="NA"/>
    <s v="NA"/>
    <s v="D. BAUTISTA"/>
    <x v="0"/>
  </r>
  <r>
    <n v="63"/>
    <s v="F. SANCHEZ"/>
    <d v="1899-12-30T23:50:00"/>
    <x v="16"/>
    <x v="6"/>
    <s v="Puntual"/>
    <s v="Prisioneros de la segunda barra del embobinador 2 en mal estado, se sueltan y comienzan a fallar."/>
    <d v="1899-12-30T23:50:00"/>
    <d v="1899-12-30T02:00:00"/>
    <d v="2025-11-12T00:00:00"/>
    <s v="Mecánica"/>
    <s v="Se cambian prisioneros M8 dañados."/>
    <s v="2 Prisioneros M8."/>
    <s v="NA"/>
    <s v="C. ORTEGA"/>
    <x v="0"/>
  </r>
  <r>
    <n v="64"/>
    <s v="W. SANDOVAL"/>
    <d v="1899-12-30T07:00:00"/>
    <x v="17"/>
    <x v="10"/>
    <s v="Puntual"/>
    <s v="Mangueras de ejes embobinadores pinchadas."/>
    <d v="1899-12-30T07:00:00"/>
    <d v="1899-12-30T09:50:00"/>
    <d v="2025-11-13T00:00:00"/>
    <s v="Neumática"/>
    <s v="Se hizo cambio de mangueras, se extraen tornillos, se reconstruye pisador y queda operativo."/>
    <s v="Manguera 16mm, tornillos."/>
    <s v="Felpa"/>
    <s v="O. DUARTE"/>
    <x v="0"/>
  </r>
  <r>
    <n v="65"/>
    <s v="R. OLIVARES"/>
    <d v="1899-12-30T09:00:00"/>
    <x v="17"/>
    <x v="19"/>
    <s v="Puntual"/>
    <s v="Se safa el tornillo que soporta la barra de los perforadores."/>
    <d v="1899-12-30T09:00:00"/>
    <d v="1899-12-30T09:50:00"/>
    <d v="2025-11-13T00:00:00"/>
    <s v="Mecánica"/>
    <s v="Se ajusta tornillo en rodillo perforador, se hace seguimiento, se asegura con un prisionero."/>
    <s v="NA"/>
    <s v="NA"/>
    <s v="O. DUARTE"/>
    <x v="0"/>
  </r>
  <r>
    <n v="66"/>
    <s v="H. TRIANA"/>
    <d v="1899-12-30T09:55:00"/>
    <x v="17"/>
    <x v="3"/>
    <s v="Repetitiva"/>
    <s v="Falla en embobinador, se detiene."/>
    <d v="1899-12-30T09:55:00"/>
    <d v="1899-12-30T10:55:00"/>
    <d v="2025-11-13T00:00:00"/>
    <s v="Mecánica"/>
    <s v="Se desmonta motorreductor, se cambian rodamientos de corona y sin fin, se entrega OK."/>
    <s v="2 rodaientos 6006 y 2 rodamientos 6205"/>
    <s v="NA"/>
    <s v="L. FLOREZ"/>
    <x v="0"/>
  </r>
  <r>
    <n v="67"/>
    <s v="R. OLIVARES"/>
    <d v="1899-12-30T15:30:00"/>
    <x v="17"/>
    <x v="6"/>
    <s v="Puntual"/>
    <s v="Los filtros de la bomba de vacio todos estan rotos y dañados."/>
    <m/>
    <m/>
    <m/>
    <m/>
    <m/>
    <m/>
    <m/>
    <m/>
    <x v="2"/>
  </r>
  <r>
    <n v="68"/>
    <m/>
    <m/>
    <x v="3"/>
    <x v="5"/>
    <m/>
    <m/>
    <m/>
    <m/>
    <m/>
    <m/>
    <m/>
    <m/>
    <m/>
    <m/>
    <x v="1"/>
  </r>
  <r>
    <n v="69"/>
    <s v="D. BUESACO"/>
    <d v="1899-12-30T14:00:00"/>
    <x v="18"/>
    <x v="0"/>
    <s v="Puntual"/>
    <s v="Rodillo esta muy alto y jala la bolsa."/>
    <d v="1899-12-30T19:00:00"/>
    <d v="1899-12-30T19:20:00"/>
    <d v="2025-11-14T00:00:00"/>
    <s v="Mecánica"/>
    <s v="Rodillo con tuercas ausente y levantado, se reponen tuercas y se calibra corrigiendo falla."/>
    <s v="2 tuercas"/>
    <s v="NA"/>
    <s v="L. CASTILLA"/>
    <x v="0"/>
  </r>
  <r>
    <n v="70"/>
    <s v="D. CUESTA"/>
    <d v="1899-12-30T20:08:00"/>
    <x v="18"/>
    <x v="1"/>
    <s v="Puntual"/>
    <s v="Corto en la extrusora."/>
    <d v="1899-12-30T20:08:00"/>
    <d v="1899-12-30T20:18:00"/>
    <d v="2025-11-14T00:00:00"/>
    <s v="Eléctrica"/>
    <s v="Conductor abierto por corto, se realiza empalme y se recubre con cinta tela fibra de vidrio, pendiente cambiar conductor."/>
    <s v="NA"/>
    <s v="NA"/>
    <s v="L. CASTILLA"/>
    <x v="0"/>
  </r>
  <r>
    <n v="71"/>
    <s v="R. OLIVARES"/>
    <d v="1899-12-30T15:20:00"/>
    <x v="19"/>
    <x v="6"/>
    <s v="Puntual"/>
    <s v="Falla carter tornillo A."/>
    <d v="1899-12-30T15:20:00"/>
    <d v="1899-12-30T15:30:00"/>
    <d v="2025-11-16T00:00:00"/>
    <s v="Mecánica"/>
    <s v="Se encuentra abierto carter cañon A, se requiere cambio de tapa de carter ya que se encuentra en mal estado y puede volver a fallar."/>
    <s v="NA"/>
    <s v="NA"/>
    <s v="D. BAUTISTA"/>
    <x v="0"/>
  </r>
  <r>
    <n v="72"/>
    <s v="D. ARRIETA"/>
    <d v="1899-12-30T22:35:00"/>
    <x v="20"/>
    <x v="7"/>
    <s v="Puntual"/>
    <s v="Correa del embobinador."/>
    <d v="1899-12-30T22:35:00"/>
    <d v="1899-12-30T00:00:00"/>
    <m/>
    <s v="Mecánica"/>
    <s v="Se desmontan las bases de polea y se monta correa quedando operativo."/>
    <s v="Correa 1120 XH"/>
    <s v="NA"/>
    <s v="L. CASTILLA"/>
    <x v="0"/>
  </r>
  <r>
    <n v="73"/>
    <s v="E. BELLO"/>
    <d v="1899-12-30T03:21:00"/>
    <x v="18"/>
    <x v="20"/>
    <s v="Puntual"/>
    <s v="Zona con temperatura baja. En porta malla."/>
    <d v="1899-12-30T15:40:00"/>
    <d v="1899-12-30T17:00:00"/>
    <d v="2025-11-14T00:00:00"/>
    <s v="Eléctrica"/>
    <s v="Resistencia averiada en terminales, se lleva hasta el taller planta 1, se realiza reparación colocando terminales y se realiza montaje."/>
    <s v="NA"/>
    <s v="NA"/>
    <s v="L. CASTILLA"/>
    <x v="0"/>
  </r>
  <r>
    <n v="74"/>
    <m/>
    <m/>
    <x v="3"/>
    <x v="5"/>
    <m/>
    <m/>
    <m/>
    <m/>
    <m/>
    <m/>
    <m/>
    <m/>
    <m/>
    <m/>
    <x v="1"/>
  </r>
  <r>
    <n v="75"/>
    <s v="A. CESPEDES"/>
    <d v="1899-12-30T18:10:00"/>
    <x v="15"/>
    <x v="0"/>
    <s v="Puntual"/>
    <s v="La cuchilla se cae."/>
    <d v="1899-12-30T18:10:00"/>
    <d v="1899-12-30T18:40:00"/>
    <d v="2025-11-18T00:00:00"/>
    <s v="Mecánica"/>
    <s v="Se realiza ajuste de pesos porque la cuchilla se cae cuando se detiene, se da 1/2 vuelta pero se tiene en seguimiento."/>
    <s v="NA"/>
    <s v="NA"/>
    <s v="D. BAUTISTA"/>
    <x v="0"/>
  </r>
  <r>
    <n v="76"/>
    <s v="D. ARRIETA"/>
    <d v="1899-12-30T06:00:00"/>
    <x v="15"/>
    <x v="15"/>
    <s v="Puntual"/>
    <s v="Rodamiento del embobinador."/>
    <d v="1899-12-30T06:00:00"/>
    <d v="1899-12-30T06:26:00"/>
    <d v="2025-11-18T00:00:00"/>
    <s v="Mecánica"/>
    <s v="Se cambia rodamiento por que estaba partido por uno nuevo."/>
    <s v="Rodamiento 6204 ZZ"/>
    <s v="NA"/>
    <s v="C. ORTEGA"/>
    <x v="0"/>
  </r>
  <r>
    <n v="77"/>
    <m/>
    <m/>
    <x v="3"/>
    <x v="5"/>
    <m/>
    <m/>
    <m/>
    <m/>
    <m/>
    <m/>
    <m/>
    <m/>
    <m/>
    <m/>
    <x v="1"/>
  </r>
  <r>
    <n v="78"/>
    <s v="D. CUESTA"/>
    <d v="1899-12-30T20:25:00"/>
    <x v="15"/>
    <x v="6"/>
    <s v="Puntual"/>
    <s v="Se para la máquina por el IBC, no estabiliza."/>
    <d v="1899-12-30T20:25:00"/>
    <d v="1899-12-30T21:10:00"/>
    <d v="2025-11-18T00:00:00"/>
    <s v="Mecánica"/>
    <s v="Se realiza inpección de manguera la cual se encuentra partida con un orificio, re empalma, se retira resina."/>
    <s v="NA"/>
    <s v="NA"/>
    <s v="D. BAUTISTA"/>
    <x v="0"/>
  </r>
  <r>
    <n v="79"/>
    <s v="DEISY"/>
    <d v="1899-12-30T03:00:00"/>
    <x v="21"/>
    <x v="0"/>
    <s v="Puntual"/>
    <s v="Se para transportador"/>
    <d v="1899-12-30T03:00:00"/>
    <d v="1899-12-30T05:30:00"/>
    <d v="2025-11-19T00:00:00"/>
    <s v="Eléctrica"/>
    <s v="Ajuste de prisioneros en piñones, revisión del motor presenta alta temperatura, lubricación, toma de consumos."/>
    <s v="NA"/>
    <s v="NA"/>
    <s v="O. DUARTE"/>
    <x v="0"/>
  </r>
  <r>
    <n v="80"/>
    <s v="D. ARRIETA"/>
    <d v="1899-12-30T15:00:00"/>
    <x v="21"/>
    <x v="7"/>
    <s v="Puntual"/>
    <s v="Se parte eje embobinador"/>
    <d v="1899-12-30T15:00:00"/>
    <d v="1899-12-30T16:00:00"/>
    <d v="2025-11-19T00:00:00"/>
    <s v="Mecánica"/>
    <s v="Se intercambia eje neumatico desembobinador por bobinador, se realiza cambio de piñon matriz y se instalo."/>
    <s v="Rodamiento 6205"/>
    <s v="NA"/>
    <s v="D. BAUTISTA"/>
    <x v="0"/>
  </r>
  <r>
    <n v="81"/>
    <s v="Y. BERNAL"/>
    <d v="1899-12-30T16:54:00"/>
    <x v="21"/>
    <x v="18"/>
    <s v="Repetitiva"/>
    <s v="Se evidencia resistencias quemadas capa externa, vibración y olor a caucho quemado."/>
    <d v="1899-12-30T16:55:00"/>
    <d v="1899-12-30T17:00:00"/>
    <d v="2025-11-19T00:00:00"/>
    <s v="Mecánica"/>
    <s v="Cambio de empaques debajo de la chumacera, se realizan nuevos por deterioro."/>
    <s v="Empaques para chumacera."/>
    <s v="NA"/>
    <s v="C. ORTEGA"/>
    <x v="0"/>
  </r>
  <r>
    <n v="82"/>
    <s v="S. CARDENAL"/>
    <d v="1899-12-30T11:30:00"/>
    <x v="21"/>
    <x v="13"/>
    <s v="Puntual"/>
    <s v="Máquina no prende."/>
    <d v="1899-12-30T16:00:00"/>
    <d v="1899-12-30T18:00:00"/>
    <d v="2025-11-19T00:00:00"/>
    <s v="Eléctrica"/>
    <s v="Máquina no habilitada, se realiza inpección de sensores de puertas, se revisan reles de seguridad y conexiones electricas, se cambia relevos de 24 DC."/>
    <s v="Reles 24VDC"/>
    <s v="NA"/>
    <s v="D. BAUTISTA"/>
    <x v="0"/>
  </r>
  <r>
    <n v="83"/>
    <s v="H. TRIANA"/>
    <d v="1899-12-30T19:49:00"/>
    <x v="21"/>
    <x v="15"/>
    <s v="Puntual"/>
    <s v="Falla embobinador delantero."/>
    <d v="1899-12-30T19:50:00"/>
    <d v="1899-12-30T20:00:00"/>
    <d v="2025-11-19T00:00:00"/>
    <s v="Eléctrica"/>
    <s v="Se realiza cambio de muletilla y contacto encendido de bobinador, se entrego operativo."/>
    <s v="NA"/>
    <s v="NA"/>
    <s v="D. BAUTISTA"/>
    <x v="0"/>
  </r>
  <r>
    <n v="84"/>
    <m/>
    <m/>
    <x v="3"/>
    <x v="5"/>
    <m/>
    <m/>
    <m/>
    <m/>
    <m/>
    <m/>
    <m/>
    <m/>
    <m/>
    <m/>
    <x v="1"/>
  </r>
  <r>
    <n v="85"/>
    <s v="R. MEJIA"/>
    <d v="1899-12-30T00:20:00"/>
    <x v="22"/>
    <x v="7"/>
    <s v="Puntual"/>
    <s v="Se daña rosca de las guardas o tapas de los rodillos porta clise, los tornillos quedan libres."/>
    <d v="1899-12-30T00:20:00"/>
    <d v="1899-12-30T00:40:00"/>
    <d v="2025-11-20T00:00:00"/>
    <s v="Mecánica"/>
    <s v="Se evidencia rosca helicil ausente, se rectifica rosca y reemplazo de rosca quedando OK."/>
    <s v="Helicoil M10 "/>
    <s v="NA"/>
    <s v="L. CASTILLA"/>
    <x v="0"/>
  </r>
  <r>
    <n v="86"/>
    <s v="J. MIRANDA"/>
    <d v="1899-12-30T12:41:00"/>
    <x v="22"/>
    <x v="21"/>
    <s v="Puntual"/>
    <s v="Zona del porta malla externo esta presentando falla."/>
    <d v="1899-12-30T13:15:00"/>
    <d v="1899-12-30T13:30:00"/>
    <d v="2025-11-20T00:00:00"/>
    <s v="Eléctrica"/>
    <s v="Termocupla averiada, se realiza cambio de termocupla y termoposo quedando OK."/>
    <s v="1 Termocupla tipo J"/>
    <s v="NA"/>
    <s v="L. CASTILLA"/>
    <x v="0"/>
  </r>
  <r>
    <n v="87"/>
    <s v="DEISY"/>
    <d v="1899-12-30T22:45:00"/>
    <x v="22"/>
    <x v="0"/>
    <s v="Puntual"/>
    <s v="Daño en perforadores."/>
    <d v="1899-12-30T22:45:00"/>
    <d v="1899-12-30T23:35:00"/>
    <d v="2025-11-20T00:00:00"/>
    <s v="Neumática"/>
    <s v="Electrovalvula averiada, se realiza cambio por una usada regular quedando OK. Tope de balancin superior ausente, se encuentra con tornillos partidos, se extraen y se reemplazan."/>
    <s v="1 Electrovalvula mono estable 5/2 y tornillos M8 V 30 mm"/>
    <s v="NA"/>
    <s v="L. CASTILLA"/>
    <x v="0"/>
  </r>
  <r>
    <n v="88"/>
    <s v="DEISY"/>
    <d v="1899-12-30T01:50:00"/>
    <x v="23"/>
    <x v="0"/>
    <s v="Puntual"/>
    <s v="Se rompe correa."/>
    <d v="1899-12-30T02:00:00"/>
    <d v="1899-12-30T02:15:00"/>
    <d v="2025-11-21T00:00:00"/>
    <s v="Mecánica"/>
    <s v="Correa de transmisión de prensas partida, se retira guarda y se realiza reemplazo de la correa."/>
    <s v="1 Correa 900H"/>
    <s v="NA"/>
    <s v="L. CASTILLA"/>
    <x v="0"/>
  </r>
  <r>
    <n v="89"/>
    <s v="L. MIRANDA"/>
    <d v="1899-12-30T19:30:00"/>
    <x v="22"/>
    <x v="3"/>
    <s v="Puntual"/>
    <s v="La cortina de seguridad presenta falla."/>
    <d v="1899-12-30T03:30:00"/>
    <d v="1899-12-30T04:10:00"/>
    <d v="2025-11-21T00:00:00"/>
    <s v="Eléctrica"/>
    <s v="Se alinean soportes, calibración cortinas quedando OK."/>
    <s v="NA"/>
    <s v="NA"/>
    <s v="L. CASTILLA"/>
    <x v="0"/>
  </r>
  <r>
    <n v="90"/>
    <m/>
    <m/>
    <x v="3"/>
    <x v="5"/>
    <m/>
    <m/>
    <m/>
    <m/>
    <m/>
    <m/>
    <m/>
    <m/>
    <m/>
    <m/>
    <x v="1"/>
  </r>
  <r>
    <n v="91"/>
    <s v="S. CARDENAL"/>
    <d v="1899-12-30T08:45:00"/>
    <x v="23"/>
    <x v="4"/>
    <s v="Puntual"/>
    <s v="Se daña rodillo."/>
    <d v="1899-12-30T08:45:00"/>
    <d v="1899-12-30T09:30:00"/>
    <d v="2025-11-21T00:00:00"/>
    <s v="Mecánica"/>
    <s v="Se cambia rodillo por daño de rodamientos."/>
    <s v="NA"/>
    <s v="NA"/>
    <s v="C. ORTEGA"/>
    <x v="0"/>
  </r>
  <r>
    <n v="92"/>
    <m/>
    <m/>
    <x v="3"/>
    <x v="5"/>
    <m/>
    <m/>
    <m/>
    <m/>
    <m/>
    <m/>
    <m/>
    <m/>
    <m/>
    <m/>
    <x v="1"/>
  </r>
  <r>
    <n v="93"/>
    <s v="J. PARADA"/>
    <d v="1899-12-30T10:00:00"/>
    <x v="23"/>
    <x v="7"/>
    <s v="Puntual"/>
    <s v="Se daña alineador."/>
    <d v="1899-12-30T10:00:00"/>
    <d v="1899-12-30T10:30:00"/>
    <d v="2025-11-21T00:00:00"/>
    <s v="Neumática"/>
    <s v="Se realiza ajuste a mordaza fife (alineador) quedando operativo."/>
    <s v="NA"/>
    <s v="NA"/>
    <s v="L. FLOREZ"/>
    <x v="0"/>
  </r>
  <r>
    <n v="94"/>
    <s v="R. MEJIA"/>
    <d v="1899-12-30T04:00:00"/>
    <x v="24"/>
    <x v="7"/>
    <s v="Puntual"/>
    <s v="Seguro bobinador dañado."/>
    <d v="1899-12-30T04:00:00"/>
    <d v="1899-12-30T04:20:00"/>
    <d v="2025-11-25T00:00:00"/>
    <s v="Mecánica"/>
    <s v="Se realiza cambio de seguro bobinador ya que la rosca se pierde de la mordaza de ajuste."/>
    <s v="NA"/>
    <s v="NA"/>
    <s v="D. BAUTISTA"/>
    <x v="0"/>
  </r>
  <r>
    <n v="95"/>
    <m/>
    <m/>
    <x v="3"/>
    <x v="5"/>
    <m/>
    <m/>
    <m/>
    <m/>
    <m/>
    <m/>
    <m/>
    <m/>
    <m/>
    <m/>
    <x v="1"/>
  </r>
  <r>
    <n v="96"/>
    <s v="F. SANCHEZ"/>
    <d v="1899-12-30T09:15:00"/>
    <x v="25"/>
    <x v="6"/>
    <s v="Puntual"/>
    <s v="Problemas con el rodillo donde van las ruedas con los clavos para hacer los huecos al material, se cae el rodillo."/>
    <d v="1899-12-30T09:15:00"/>
    <d v="1899-12-30T15:00:00"/>
    <d v="2025-11-23T00:00:00"/>
    <s v="Mecánica"/>
    <s v="Daño en pieza sostiene el rodillo, se desoldo, se cae el rodillo, se coloca nuevamente para no parar máquina, se ajusta prisionero."/>
    <s v="NA"/>
    <s v="NA"/>
    <s v="C. ORTEGA"/>
    <x v="0"/>
  </r>
  <r>
    <n v="97"/>
    <s v="F. SANCHEZ"/>
    <d v="1899-12-30T11:30:00"/>
    <x v="25"/>
    <x v="6"/>
    <s v="Puntual"/>
    <s v="Problemas con las cortinas de los embobinadores A y B, falla de lectura."/>
    <d v="1899-12-30T11:30:00"/>
    <d v="1899-12-30T15:00:00"/>
    <d v="2025-11-23T00:00:00"/>
    <s v="Mecánica"/>
    <s v="Se ajusta cortinas pero no estan atornilladas, pendiente hacer soportes para atornillar cortinas a la base."/>
    <s v="NA"/>
    <s v="NA"/>
    <s v="C. ORTEGA"/>
    <x v="0"/>
  </r>
  <r>
    <n v="98"/>
    <s v="Y. BERNAL"/>
    <d v="1899-12-30T08:10:00"/>
    <x v="26"/>
    <x v="18"/>
    <s v="Repetitiva"/>
    <s v="Se solicita revisión porque se apaga cada 10 segundos la mezcladora externa."/>
    <d v="1899-12-30T08:10:00"/>
    <d v="1899-12-30T08:30:00"/>
    <d v="2025-11-24T00:00:00"/>
    <s v="Eléctrica"/>
    <s v="Se encuentra temporizadorpara apagado automatico y se ajusta para mas tiempo."/>
    <s v="NA"/>
    <s v="NA"/>
    <s v="L. FLOREZ"/>
    <x v="0"/>
  </r>
  <r>
    <n v="99"/>
    <s v="Y. BERNAL"/>
    <d v="1899-12-30T11:25:00"/>
    <x v="26"/>
    <x v="18"/>
    <s v="Repetitiva"/>
    <s v="Se apaga constantemente el mezclador externo, se informa a mtto."/>
    <d v="1899-12-30T11:30:00"/>
    <m/>
    <d v="2025-11-24T00:00:00"/>
    <s v="Eléctrica"/>
    <s v="Se desmonta chumacera para limpieza y se inspecciona temporizador y presenta falla ."/>
    <m/>
    <m/>
    <m/>
    <x v="2"/>
  </r>
  <r>
    <n v="100"/>
    <s v="D. ZAMORA"/>
    <d v="1899-12-30T14:35:00"/>
    <x v="26"/>
    <x v="10"/>
    <s v="Repetitiva"/>
    <s v="La felpa se mete entre la manguera lo que hace que el core coja mayor tensión con el material y quede atrapado entre las castañas."/>
    <d v="1899-12-30T14:35:00"/>
    <d v="1899-12-30T14:55:00"/>
    <d v="2025-11-24T00:00:00"/>
    <s v="Neumática"/>
    <s v="Se desmontan las castañas y se realiza cambio de felpa."/>
    <s v="NA"/>
    <s v="NA"/>
    <s v="L. CASTILLA"/>
    <x v="0"/>
  </r>
  <r>
    <n v="101"/>
    <s v="L. GARZON"/>
    <d v="1899-12-30T13:06:00"/>
    <x v="13"/>
    <x v="11"/>
    <s v="Puntual"/>
    <s v="Se desconecta cable del pedal de troque."/>
    <d v="1899-12-30T13:06:00"/>
    <d v="1899-12-30T13:16:00"/>
    <d v="2025-11-10T00:00:00"/>
    <s v="Eléctrica"/>
    <s v="Se encuentra cable de pedal de accionamiento del troque desconectado, se realiza conexión."/>
    <s v="NA"/>
    <s v="NA"/>
    <s v="D. BAUTISTA"/>
    <x v="0"/>
  </r>
  <r>
    <n v="102"/>
    <s v="L. GARZON"/>
    <d v="1899-12-30T08:10:00"/>
    <x v="14"/>
    <x v="2"/>
    <s v="Puntual"/>
    <s v="Se para por destensión en correas transportadoras. "/>
    <d v="1899-12-30T08:10:00"/>
    <d v="1899-12-30T12:30:00"/>
    <d v="2025-11-11T00:00:00"/>
    <s v="Mecánica"/>
    <s v="Se da más tensión repetidamente para ajustar correas."/>
    <s v="NA"/>
    <s v="NA"/>
    <s v="D. BAUTISTA"/>
    <x v="0"/>
  </r>
  <r>
    <n v="103"/>
    <s v="Y. SIUTA"/>
    <d v="1899-12-30T14:00:00"/>
    <x v="16"/>
    <x v="11"/>
    <s v="Puntual"/>
    <s v="Baño tapado"/>
    <d v="1899-12-30T14:30:00"/>
    <d v="1899-12-30T14:50:00"/>
    <d v="2025-11-12T00:00:00"/>
    <s v="NA"/>
    <s v="Se aplica diablo rojo para destapar el baño."/>
    <s v="NA"/>
    <s v="Diablo rojo"/>
    <s v="M. PEREZ"/>
    <x v="0"/>
  </r>
  <r>
    <n v="104"/>
    <s v="Y. SIUTA"/>
    <d v="1899-12-30T10:30:00"/>
    <x v="17"/>
    <x v="11"/>
    <s v="Puntual"/>
    <s v="Acondicionar cuarto de rodillos y taller de mantenimiento para impedir el ingreso de voladores._x000a_Según instrucción dada a Jorge Fontecha"/>
    <d v="1899-12-30T07:00:00"/>
    <d v="1899-12-30T07:40:00"/>
    <d v="2025-11-18T00:00:00"/>
    <s v="Mecánica"/>
    <s v="Se tapa con polisombra y espuma de poliuterano expansiva los espacios donde pueden ingresar los insectos."/>
    <s v="NA"/>
    <s v="Espuma y polisombra."/>
    <s v="J. FONTECHA"/>
    <x v="2"/>
  </r>
  <r>
    <n v="105"/>
    <s v="Y. SIUTA"/>
    <d v="1899-12-30T07:00:00"/>
    <x v="17"/>
    <x v="22"/>
    <s v="Puntual"/>
    <s v="Realizar mueble para bolsas de contramuestras de calidad."/>
    <m/>
    <m/>
    <m/>
    <m/>
    <m/>
    <m/>
    <m/>
    <m/>
    <x v="2"/>
  </r>
  <r>
    <n v="106"/>
    <s v="L. GARZON"/>
    <d v="1899-12-30T07:44:00"/>
    <x v="18"/>
    <x v="2"/>
    <s v="Puntual"/>
    <s v="Falla en pantalla"/>
    <d v="1899-12-30T07:44:00"/>
    <d v="1899-12-30T07:55:00"/>
    <d v="2025-11-14T00:00:00"/>
    <s v="Eléctrica"/>
    <s v="Se encuentra sensor de la pelicula accionado, se realiza ajuste y quedo operativo."/>
    <s v="NA"/>
    <s v="NA"/>
    <s v="D. BAUTISTA"/>
    <x v="0"/>
  </r>
  <r>
    <n v="107"/>
    <s v="P. JEREZ"/>
    <d v="1899-12-30T12:24:00"/>
    <x v="21"/>
    <x v="22"/>
    <s v="Puntual"/>
    <s v="Toma corriente no sirve, no da energia."/>
    <m/>
    <m/>
    <m/>
    <m/>
    <m/>
    <m/>
    <m/>
    <m/>
    <x v="2"/>
  </r>
  <r>
    <n v="108"/>
    <s v="Y. SIUTA"/>
    <d v="1899-12-30T07:00:00"/>
    <x v="26"/>
    <x v="22"/>
    <s v="Puntual"/>
    <s v="Revisión de equipo termoencogido, presenta  ruidos en el ventilador al iniciar calentamiento."/>
    <m/>
    <m/>
    <m/>
    <m/>
    <m/>
    <m/>
    <m/>
    <m/>
    <x v="2"/>
  </r>
  <r>
    <n v="109"/>
    <s v="Y. SIUTA"/>
    <d v="1899-12-30T10:00:00"/>
    <x v="27"/>
    <x v="22"/>
    <s v="Puntual"/>
    <s v="Selladora de laboratorio No tiene temperatura uniforme, validar la opción de construir un equipo nuevo o dejar a punto la maquina actual"/>
    <m/>
    <m/>
    <m/>
    <m/>
    <s v="Se implementa selladora para muestras de calidad, se capacita personal y se hace entrega"/>
    <m/>
    <m/>
    <s v="J. FONTECHA"/>
    <x v="0"/>
  </r>
  <r>
    <n v="110"/>
    <s v="Y. SIUTA"/>
    <d v="1899-12-30T10:00:00"/>
    <x v="27"/>
    <x v="11"/>
    <s v="Puntual"/>
    <s v="Daño de soporte bascula compactado, requiere soldadura de soporte._x000a_Implementar soporte de protección para evitar futuros daños"/>
    <d v="1899-12-30T09:00:00"/>
    <d v="1899-12-30T12:00:00"/>
    <d v="2025-11-12T00:00:00"/>
    <s v="Mecánica"/>
    <s v="Se ancla bascula compactado"/>
    <s v="NA"/>
    <s v="NA"/>
    <s v="M. PEREZ"/>
    <x v="0"/>
  </r>
  <r>
    <n v="111"/>
    <m/>
    <m/>
    <x v="3"/>
    <x v="5"/>
    <m/>
    <m/>
    <m/>
    <m/>
    <m/>
    <m/>
    <m/>
    <m/>
    <m/>
    <m/>
    <x v="1"/>
  </r>
  <r>
    <n v="112"/>
    <s v="P. JEREZ"/>
    <d v="1899-12-30T09:09:00"/>
    <x v="28"/>
    <x v="22"/>
    <s v="Puntual"/>
    <s v="Equipos del laboratorio no encienden, revisión toma."/>
    <d v="1899-12-30T09:25:00"/>
    <d v="1899-12-30T09:40:00"/>
    <d v="2025-12-20T00:00:00"/>
    <s v="Eléctrica"/>
    <s v="Tomas GFCI activan protección al momento de encender, el equipo de retracción, se coloca toma temporalmente y se solicita RQ para cambio de tomas."/>
    <s v="1 Toma corriente"/>
    <s v="NA"/>
    <s v="L. CASTILLA"/>
    <x v="0"/>
  </r>
  <r>
    <n v="113"/>
    <s v="P. JEREZ"/>
    <m/>
    <x v="29"/>
    <x v="22"/>
    <s v="Puntual"/>
    <s v="Reparación entre paños muebles de calidad"/>
    <m/>
    <m/>
    <m/>
    <m/>
    <m/>
    <m/>
    <m/>
    <m/>
    <x v="2"/>
  </r>
  <r>
    <n v="114"/>
    <s v="J. BRICEÑO"/>
    <d v="1899-12-30T16:03:00"/>
    <x v="30"/>
    <x v="7"/>
    <s v="Puntual"/>
    <s v="Eje pinchado"/>
    <d v="1899-12-30T16:05:00"/>
    <d v="1899-12-30T16:25:00"/>
    <d v="2026-02-01T00:00:00"/>
    <s v="Neúmatica"/>
    <s v="Se inspeccionan mangueras encontrandose una con fisuras, se realiza cambio quedando OK"/>
    <s v="Manguera"/>
    <s v="NA"/>
    <s v="L. CASTILLA"/>
    <x v="0"/>
  </r>
  <r>
    <n v="115"/>
    <s v="A. MENDOZA"/>
    <d v="1899-12-30T22:15:00"/>
    <x v="31"/>
    <x v="11"/>
    <s v="Puntual"/>
    <s v="Toma corriente no funciona en area de laboratorio"/>
    <m/>
    <m/>
    <m/>
    <m/>
    <m/>
    <m/>
    <m/>
    <m/>
    <x v="2"/>
  </r>
  <r>
    <n v="116"/>
    <s v="D. CUESTA"/>
    <d v="1899-12-30T00:25:00"/>
    <x v="32"/>
    <x v="9"/>
    <s v="Puntual"/>
    <s v="Tornillo daño la rosca no ajusta la manzana para apretar apretar el rollo"/>
    <m/>
    <d v="1899-12-30T01:00:00"/>
    <m/>
    <m/>
    <s v="Se repaza por marchos M10_x000a_Se cambia tornillo por roscado dañado"/>
    <s v="1X Tornillo M10"/>
    <s v="NA"/>
    <s v="O. DUARTE"/>
    <x v="0"/>
  </r>
  <r>
    <n v="117"/>
    <m/>
    <m/>
    <x v="3"/>
    <x v="5"/>
    <m/>
    <m/>
    <m/>
    <m/>
    <m/>
    <m/>
    <m/>
    <m/>
    <m/>
    <m/>
    <x v="1"/>
  </r>
  <r>
    <n v="118"/>
    <s v="H. TRIANA"/>
    <d v="1899-12-30T00:00:00"/>
    <x v="33"/>
    <x v="8"/>
    <s v="Puntual"/>
    <s v="Se cae silicona en las manijasquemadas"/>
    <d v="1899-12-30T00:00:00"/>
    <d v="1899-12-30T01:03:00"/>
    <d v="2026-04-30T00:00:00"/>
    <s v="Mecánica"/>
    <s v="Se hace aplicación de silicona alta temperatura, se deja secar por tiempo de 40 minutos"/>
    <s v="NA"/>
    <s v="Silicona alta temperatura"/>
    <s v="O. DUARTE"/>
    <x v="0"/>
  </r>
  <r>
    <n v="119"/>
    <s v="F. SANCHEZ"/>
    <d v="1899-12-30T22:30:00"/>
    <x v="34"/>
    <x v="6"/>
    <s v="Puntual"/>
    <s v="Problemas con los clavos de los huecos no perforan"/>
    <d v="1899-12-30T06:00:00"/>
    <m/>
    <m/>
    <s v="Mecánica"/>
    <s v="Se realiza afilado de clavos y montaje de sistema de perforaciones, se realizan pruebas y se entrega en operación 7:45_x000a_Se tiene en seguimiento el resto del turno"/>
    <s v="NA"/>
    <s v="NA"/>
    <s v="D. BAUTISTA"/>
    <x v="2"/>
  </r>
  <r>
    <n v="120"/>
    <s v="H. TRIANA"/>
    <d v="1899-12-30T10:00:00"/>
    <x v="33"/>
    <x v="8"/>
    <s v="Puntual"/>
    <s v="Fallo hecha ccandela el tratador"/>
    <d v="1899-12-30T10:00:00"/>
    <d v="1899-12-30T14:30:00"/>
    <d v="2026-04-30T00:00:00"/>
    <s v="Mecánica"/>
    <s v="Se desmontan rodillos del tratador para inspección visual los cuales se observan en mal estado para operación 10:00 -&gt; 11:00_x000a_Se realizo montaje de ejes a los rodillos vulcanizados y se realizo montaje en maquina entregandoselo a producción 13:00 -&gt; 14:30"/>
    <s v="NA"/>
    <s v="NA"/>
    <s v="D. BAUTISTA"/>
    <x v="0"/>
  </r>
  <r>
    <n v="121"/>
    <m/>
    <m/>
    <x v="3"/>
    <x v="5"/>
    <m/>
    <m/>
    <m/>
    <m/>
    <m/>
    <m/>
    <m/>
    <m/>
    <m/>
    <m/>
    <x v="1"/>
  </r>
  <r>
    <n v="122"/>
    <m/>
    <m/>
    <x v="3"/>
    <x v="5"/>
    <m/>
    <m/>
    <m/>
    <m/>
    <m/>
    <m/>
    <m/>
    <m/>
    <m/>
    <m/>
    <x v="1"/>
  </r>
  <r>
    <n v="123"/>
    <m/>
    <m/>
    <x v="3"/>
    <x v="5"/>
    <m/>
    <m/>
    <m/>
    <m/>
    <m/>
    <m/>
    <m/>
    <m/>
    <m/>
    <m/>
    <x v="1"/>
  </r>
  <r>
    <n v="124"/>
    <m/>
    <m/>
    <x v="3"/>
    <x v="5"/>
    <m/>
    <m/>
    <m/>
    <m/>
    <m/>
    <m/>
    <m/>
    <m/>
    <m/>
    <m/>
    <x v="1"/>
  </r>
  <r>
    <n v="125"/>
    <m/>
    <m/>
    <x v="3"/>
    <x v="5"/>
    <m/>
    <m/>
    <m/>
    <m/>
    <m/>
    <m/>
    <m/>
    <m/>
    <m/>
    <m/>
    <x v="1"/>
  </r>
  <r>
    <n v="126"/>
    <m/>
    <m/>
    <x v="3"/>
    <x v="5"/>
    <m/>
    <m/>
    <m/>
    <m/>
    <m/>
    <m/>
    <m/>
    <m/>
    <m/>
    <m/>
    <x v="1"/>
  </r>
  <r>
    <n v="127"/>
    <m/>
    <m/>
    <x v="3"/>
    <x v="5"/>
    <m/>
    <m/>
    <m/>
    <m/>
    <m/>
    <m/>
    <m/>
    <m/>
    <m/>
    <m/>
    <x v="1"/>
  </r>
  <r>
    <n v="128"/>
    <m/>
    <m/>
    <x v="3"/>
    <x v="5"/>
    <m/>
    <m/>
    <m/>
    <m/>
    <m/>
    <m/>
    <m/>
    <m/>
    <m/>
    <m/>
    <x v="1"/>
  </r>
  <r>
    <n v="129"/>
    <m/>
    <m/>
    <x v="3"/>
    <x v="5"/>
    <m/>
    <m/>
    <m/>
    <m/>
    <m/>
    <m/>
    <m/>
    <m/>
    <m/>
    <m/>
    <x v="1"/>
  </r>
  <r>
    <n v="130"/>
    <m/>
    <m/>
    <x v="3"/>
    <x v="5"/>
    <m/>
    <m/>
    <m/>
    <m/>
    <m/>
    <m/>
    <m/>
    <m/>
    <m/>
    <m/>
    <x v="1"/>
  </r>
  <r>
    <n v="131"/>
    <m/>
    <m/>
    <x v="3"/>
    <x v="5"/>
    <m/>
    <m/>
    <m/>
    <m/>
    <m/>
    <m/>
    <m/>
    <m/>
    <m/>
    <m/>
    <x v="1"/>
  </r>
  <r>
    <n v="132"/>
    <m/>
    <m/>
    <x v="3"/>
    <x v="5"/>
    <m/>
    <m/>
    <m/>
    <m/>
    <m/>
    <m/>
    <m/>
    <m/>
    <m/>
    <m/>
    <x v="1"/>
  </r>
  <r>
    <n v="133"/>
    <m/>
    <m/>
    <x v="3"/>
    <x v="5"/>
    <m/>
    <m/>
    <m/>
    <m/>
    <m/>
    <m/>
    <m/>
    <m/>
    <m/>
    <m/>
    <x v="1"/>
  </r>
  <r>
    <n v="134"/>
    <m/>
    <m/>
    <x v="3"/>
    <x v="5"/>
    <m/>
    <m/>
    <m/>
    <m/>
    <m/>
    <m/>
    <m/>
    <m/>
    <m/>
    <m/>
    <x v="1"/>
  </r>
  <r>
    <n v="135"/>
    <m/>
    <m/>
    <x v="3"/>
    <x v="5"/>
    <m/>
    <m/>
    <m/>
    <m/>
    <m/>
    <m/>
    <m/>
    <m/>
    <m/>
    <m/>
    <x v="1"/>
  </r>
  <r>
    <n v="136"/>
    <m/>
    <m/>
    <x v="3"/>
    <x v="5"/>
    <m/>
    <m/>
    <m/>
    <m/>
    <m/>
    <m/>
    <m/>
    <m/>
    <m/>
    <m/>
    <x v="1"/>
  </r>
  <r>
    <n v="137"/>
    <m/>
    <m/>
    <x v="3"/>
    <x v="5"/>
    <m/>
    <m/>
    <m/>
    <m/>
    <m/>
    <m/>
    <m/>
    <m/>
    <m/>
    <m/>
    <x v="1"/>
  </r>
  <r>
    <n v="138"/>
    <m/>
    <m/>
    <x v="3"/>
    <x v="5"/>
    <m/>
    <m/>
    <m/>
    <m/>
    <m/>
    <m/>
    <m/>
    <m/>
    <m/>
    <m/>
    <x v="1"/>
  </r>
  <r>
    <n v="139"/>
    <m/>
    <m/>
    <x v="3"/>
    <x v="5"/>
    <m/>
    <m/>
    <m/>
    <m/>
    <m/>
    <m/>
    <m/>
    <m/>
    <m/>
    <m/>
    <x v="1"/>
  </r>
  <r>
    <n v="140"/>
    <m/>
    <m/>
    <x v="3"/>
    <x v="5"/>
    <m/>
    <m/>
    <m/>
    <m/>
    <m/>
    <m/>
    <m/>
    <m/>
    <m/>
    <m/>
    <x v="1"/>
  </r>
  <r>
    <n v="141"/>
    <m/>
    <m/>
    <x v="3"/>
    <x v="5"/>
    <m/>
    <m/>
    <m/>
    <m/>
    <m/>
    <m/>
    <m/>
    <m/>
    <m/>
    <m/>
    <x v="1"/>
  </r>
  <r>
    <n v="142"/>
    <m/>
    <m/>
    <x v="3"/>
    <x v="5"/>
    <m/>
    <m/>
    <m/>
    <m/>
    <m/>
    <m/>
    <m/>
    <m/>
    <m/>
    <m/>
    <x v="1"/>
  </r>
  <r>
    <n v="143"/>
    <m/>
    <m/>
    <x v="3"/>
    <x v="5"/>
    <m/>
    <m/>
    <m/>
    <m/>
    <m/>
    <m/>
    <m/>
    <m/>
    <m/>
    <m/>
    <x v="1"/>
  </r>
  <r>
    <n v="144"/>
    <m/>
    <m/>
    <x v="3"/>
    <x v="5"/>
    <m/>
    <m/>
    <m/>
    <m/>
    <m/>
    <m/>
    <m/>
    <m/>
    <m/>
    <m/>
    <x v="1"/>
  </r>
  <r>
    <n v="145"/>
    <m/>
    <m/>
    <x v="3"/>
    <x v="5"/>
    <m/>
    <m/>
    <m/>
    <m/>
    <m/>
    <m/>
    <m/>
    <m/>
    <m/>
    <m/>
    <x v="1"/>
  </r>
  <r>
    <n v="146"/>
    <m/>
    <m/>
    <x v="3"/>
    <x v="5"/>
    <m/>
    <m/>
    <m/>
    <m/>
    <m/>
    <m/>
    <m/>
    <m/>
    <m/>
    <m/>
    <x v="1"/>
  </r>
  <r>
    <n v="147"/>
    <m/>
    <m/>
    <x v="3"/>
    <x v="5"/>
    <m/>
    <m/>
    <m/>
    <m/>
    <m/>
    <m/>
    <m/>
    <m/>
    <m/>
    <m/>
    <x v="1"/>
  </r>
  <r>
    <n v="148"/>
    <m/>
    <m/>
    <x v="3"/>
    <x v="5"/>
    <m/>
    <m/>
    <m/>
    <m/>
    <m/>
    <m/>
    <m/>
    <m/>
    <m/>
    <m/>
    <x v="1"/>
  </r>
  <r>
    <n v="149"/>
    <m/>
    <m/>
    <x v="3"/>
    <x v="5"/>
    <m/>
    <m/>
    <m/>
    <m/>
    <m/>
    <m/>
    <m/>
    <m/>
    <m/>
    <m/>
    <x v="1"/>
  </r>
  <r>
    <n v="150"/>
    <m/>
    <m/>
    <x v="3"/>
    <x v="5"/>
    <m/>
    <m/>
    <m/>
    <m/>
    <m/>
    <m/>
    <m/>
    <m/>
    <m/>
    <m/>
    <x v="1"/>
  </r>
  <r>
    <n v="151"/>
    <m/>
    <m/>
    <x v="3"/>
    <x v="5"/>
    <m/>
    <m/>
    <m/>
    <m/>
    <m/>
    <m/>
    <m/>
    <m/>
    <m/>
    <m/>
    <x v="1"/>
  </r>
  <r>
    <n v="152"/>
    <m/>
    <m/>
    <x v="3"/>
    <x v="5"/>
    <m/>
    <m/>
    <m/>
    <m/>
    <m/>
    <m/>
    <m/>
    <m/>
    <m/>
    <m/>
    <x v="1"/>
  </r>
  <r>
    <n v="153"/>
    <m/>
    <m/>
    <x v="3"/>
    <x v="5"/>
    <m/>
    <m/>
    <m/>
    <m/>
    <m/>
    <m/>
    <m/>
    <m/>
    <m/>
    <m/>
    <x v="1"/>
  </r>
  <r>
    <n v="154"/>
    <m/>
    <m/>
    <x v="3"/>
    <x v="5"/>
    <m/>
    <m/>
    <m/>
    <m/>
    <m/>
    <m/>
    <m/>
    <m/>
    <m/>
    <m/>
    <x v="1"/>
  </r>
  <r>
    <n v="155"/>
    <m/>
    <m/>
    <x v="3"/>
    <x v="5"/>
    <m/>
    <m/>
    <m/>
    <m/>
    <m/>
    <m/>
    <m/>
    <m/>
    <m/>
    <m/>
    <x v="1"/>
  </r>
  <r>
    <n v="156"/>
    <m/>
    <m/>
    <x v="3"/>
    <x v="5"/>
    <m/>
    <m/>
    <m/>
    <m/>
    <m/>
    <m/>
    <m/>
    <m/>
    <m/>
    <m/>
    <x v="1"/>
  </r>
  <r>
    <n v="157"/>
    <m/>
    <m/>
    <x v="3"/>
    <x v="5"/>
    <m/>
    <m/>
    <m/>
    <m/>
    <m/>
    <m/>
    <m/>
    <m/>
    <m/>
    <m/>
    <x v="1"/>
  </r>
  <r>
    <n v="158"/>
    <m/>
    <m/>
    <x v="3"/>
    <x v="5"/>
    <m/>
    <m/>
    <m/>
    <m/>
    <m/>
    <m/>
    <m/>
    <m/>
    <m/>
    <m/>
    <x v="1"/>
  </r>
  <r>
    <n v="159"/>
    <m/>
    <m/>
    <x v="3"/>
    <x v="5"/>
    <m/>
    <m/>
    <m/>
    <m/>
    <m/>
    <m/>
    <m/>
    <m/>
    <m/>
    <m/>
    <x v="1"/>
  </r>
  <r>
    <n v="160"/>
    <m/>
    <m/>
    <x v="3"/>
    <x v="5"/>
    <m/>
    <m/>
    <m/>
    <m/>
    <m/>
    <m/>
    <m/>
    <m/>
    <m/>
    <m/>
    <x v="1"/>
  </r>
  <r>
    <n v="161"/>
    <m/>
    <m/>
    <x v="3"/>
    <x v="5"/>
    <m/>
    <m/>
    <m/>
    <m/>
    <m/>
    <m/>
    <m/>
    <m/>
    <m/>
    <m/>
    <x v="1"/>
  </r>
  <r>
    <n v="162"/>
    <m/>
    <m/>
    <x v="3"/>
    <x v="5"/>
    <m/>
    <m/>
    <m/>
    <m/>
    <m/>
    <m/>
    <m/>
    <m/>
    <m/>
    <m/>
    <x v="1"/>
  </r>
  <r>
    <n v="163"/>
    <m/>
    <m/>
    <x v="3"/>
    <x v="5"/>
    <m/>
    <m/>
    <m/>
    <m/>
    <m/>
    <m/>
    <m/>
    <m/>
    <m/>
    <m/>
    <x v="1"/>
  </r>
  <r>
    <n v="164"/>
    <m/>
    <m/>
    <x v="3"/>
    <x v="5"/>
    <m/>
    <m/>
    <m/>
    <m/>
    <m/>
    <m/>
    <m/>
    <m/>
    <m/>
    <m/>
    <x v="1"/>
  </r>
  <r>
    <n v="165"/>
    <m/>
    <m/>
    <x v="3"/>
    <x v="5"/>
    <m/>
    <m/>
    <m/>
    <m/>
    <m/>
    <m/>
    <m/>
    <m/>
    <m/>
    <m/>
    <x v="1"/>
  </r>
  <r>
    <n v="166"/>
    <m/>
    <m/>
    <x v="3"/>
    <x v="5"/>
    <m/>
    <m/>
    <m/>
    <m/>
    <m/>
    <m/>
    <m/>
    <m/>
    <m/>
    <m/>
    <x v="1"/>
  </r>
  <r>
    <n v="167"/>
    <m/>
    <m/>
    <x v="3"/>
    <x v="5"/>
    <m/>
    <m/>
    <m/>
    <m/>
    <m/>
    <m/>
    <m/>
    <m/>
    <m/>
    <m/>
    <x v="1"/>
  </r>
  <r>
    <n v="168"/>
    <m/>
    <m/>
    <x v="3"/>
    <x v="5"/>
    <m/>
    <m/>
    <m/>
    <m/>
    <m/>
    <m/>
    <m/>
    <m/>
    <m/>
    <m/>
    <x v="1"/>
  </r>
  <r>
    <n v="169"/>
    <m/>
    <m/>
    <x v="3"/>
    <x v="5"/>
    <m/>
    <m/>
    <m/>
    <m/>
    <m/>
    <m/>
    <m/>
    <m/>
    <m/>
    <m/>
    <x v="1"/>
  </r>
  <r>
    <n v="170"/>
    <m/>
    <m/>
    <x v="3"/>
    <x v="5"/>
    <m/>
    <m/>
    <m/>
    <m/>
    <m/>
    <m/>
    <m/>
    <m/>
    <m/>
    <m/>
    <x v="1"/>
  </r>
  <r>
    <n v="171"/>
    <m/>
    <m/>
    <x v="3"/>
    <x v="5"/>
    <m/>
    <m/>
    <m/>
    <m/>
    <m/>
    <m/>
    <m/>
    <m/>
    <m/>
    <m/>
    <x v="1"/>
  </r>
  <r>
    <n v="172"/>
    <m/>
    <m/>
    <x v="3"/>
    <x v="5"/>
    <m/>
    <m/>
    <m/>
    <m/>
    <m/>
    <m/>
    <m/>
    <m/>
    <m/>
    <m/>
    <x v="1"/>
  </r>
  <r>
    <n v="173"/>
    <m/>
    <m/>
    <x v="3"/>
    <x v="5"/>
    <m/>
    <m/>
    <m/>
    <m/>
    <m/>
    <m/>
    <m/>
    <m/>
    <m/>
    <m/>
    <x v="1"/>
  </r>
  <r>
    <n v="174"/>
    <m/>
    <m/>
    <x v="3"/>
    <x v="5"/>
    <m/>
    <m/>
    <m/>
    <m/>
    <m/>
    <m/>
    <m/>
    <m/>
    <m/>
    <m/>
    <x v="1"/>
  </r>
  <r>
    <n v="175"/>
    <m/>
    <m/>
    <x v="3"/>
    <x v="5"/>
    <m/>
    <m/>
    <m/>
    <m/>
    <m/>
    <m/>
    <m/>
    <m/>
    <m/>
    <m/>
    <x v="1"/>
  </r>
  <r>
    <n v="176"/>
    <m/>
    <m/>
    <x v="3"/>
    <x v="5"/>
    <m/>
    <m/>
    <m/>
    <m/>
    <m/>
    <m/>
    <m/>
    <m/>
    <m/>
    <m/>
    <x v="1"/>
  </r>
  <r>
    <n v="177"/>
    <m/>
    <m/>
    <x v="3"/>
    <x v="5"/>
    <m/>
    <m/>
    <m/>
    <m/>
    <m/>
    <m/>
    <m/>
    <m/>
    <m/>
    <m/>
    <x v="1"/>
  </r>
  <r>
    <n v="178"/>
    <m/>
    <m/>
    <x v="3"/>
    <x v="5"/>
    <m/>
    <m/>
    <m/>
    <m/>
    <m/>
    <m/>
    <m/>
    <m/>
    <m/>
    <m/>
    <x v="1"/>
  </r>
  <r>
    <n v="179"/>
    <m/>
    <m/>
    <x v="3"/>
    <x v="5"/>
    <m/>
    <m/>
    <m/>
    <m/>
    <m/>
    <m/>
    <m/>
    <m/>
    <m/>
    <m/>
    <x v="1"/>
  </r>
  <r>
    <n v="180"/>
    <m/>
    <m/>
    <x v="3"/>
    <x v="5"/>
    <m/>
    <m/>
    <m/>
    <m/>
    <m/>
    <m/>
    <m/>
    <m/>
    <m/>
    <m/>
    <x v="1"/>
  </r>
  <r>
    <n v="181"/>
    <m/>
    <m/>
    <x v="3"/>
    <x v="5"/>
    <m/>
    <m/>
    <m/>
    <m/>
    <m/>
    <m/>
    <m/>
    <m/>
    <m/>
    <m/>
    <x v="1"/>
  </r>
  <r>
    <n v="182"/>
    <m/>
    <m/>
    <x v="3"/>
    <x v="5"/>
    <m/>
    <m/>
    <m/>
    <m/>
    <m/>
    <m/>
    <m/>
    <m/>
    <m/>
    <m/>
    <x v="1"/>
  </r>
  <r>
    <n v="183"/>
    <m/>
    <m/>
    <x v="3"/>
    <x v="5"/>
    <m/>
    <m/>
    <m/>
    <m/>
    <m/>
    <m/>
    <m/>
    <m/>
    <m/>
    <m/>
    <x v="1"/>
  </r>
  <r>
    <n v="184"/>
    <m/>
    <m/>
    <x v="3"/>
    <x v="5"/>
    <m/>
    <m/>
    <m/>
    <m/>
    <m/>
    <m/>
    <m/>
    <m/>
    <m/>
    <m/>
    <x v="1"/>
  </r>
  <r>
    <n v="185"/>
    <m/>
    <m/>
    <x v="3"/>
    <x v="5"/>
    <m/>
    <m/>
    <m/>
    <m/>
    <m/>
    <m/>
    <m/>
    <m/>
    <m/>
    <m/>
    <x v="1"/>
  </r>
  <r>
    <n v="186"/>
    <m/>
    <m/>
    <x v="3"/>
    <x v="5"/>
    <m/>
    <m/>
    <m/>
    <m/>
    <m/>
    <m/>
    <m/>
    <m/>
    <m/>
    <m/>
    <x v="1"/>
  </r>
  <r>
    <n v="187"/>
    <m/>
    <m/>
    <x v="3"/>
    <x v="5"/>
    <m/>
    <m/>
    <m/>
    <m/>
    <m/>
    <m/>
    <m/>
    <m/>
    <m/>
    <m/>
    <x v="1"/>
  </r>
  <r>
    <n v="188"/>
    <m/>
    <m/>
    <x v="3"/>
    <x v="5"/>
    <m/>
    <m/>
    <m/>
    <m/>
    <m/>
    <m/>
    <m/>
    <m/>
    <m/>
    <m/>
    <x v="1"/>
  </r>
  <r>
    <n v="189"/>
    <m/>
    <m/>
    <x v="3"/>
    <x v="5"/>
    <m/>
    <m/>
    <m/>
    <m/>
    <m/>
    <m/>
    <m/>
    <m/>
    <m/>
    <m/>
    <x v="1"/>
  </r>
  <r>
    <n v="190"/>
    <m/>
    <m/>
    <x v="3"/>
    <x v="5"/>
    <m/>
    <m/>
    <m/>
    <m/>
    <m/>
    <m/>
    <m/>
    <m/>
    <m/>
    <m/>
    <x v="1"/>
  </r>
  <r>
    <n v="191"/>
    <m/>
    <m/>
    <x v="3"/>
    <x v="5"/>
    <m/>
    <m/>
    <m/>
    <m/>
    <m/>
    <m/>
    <m/>
    <m/>
    <m/>
    <m/>
    <x v="1"/>
  </r>
  <r>
    <n v="201"/>
    <s v="J. PINZÓN"/>
    <d v="1899-12-30T11:47:00"/>
    <x v="8"/>
    <x v="11"/>
    <s v="Puntual"/>
    <s v="Compra e instalación de reflectores o lamparas, para la parte perimetral de la bodega, ruta de evacuación muy oscuro. Revisar la posibilidad de sensores de movimiento."/>
    <m/>
    <m/>
    <m/>
    <m/>
    <m/>
    <m/>
    <m/>
    <m/>
    <x v="2"/>
  </r>
  <r>
    <n v="202"/>
    <s v="A. VIRGUEZ"/>
    <d v="1899-12-30T07:00:00"/>
    <x v="8"/>
    <x v="11"/>
    <s v="Puntual"/>
    <s v="Se requiere reparar bateria del elevador de rollos ya que se encuentra operando conectado el equipo."/>
    <d v="1899-12-30T10:00:00"/>
    <d v="1899-12-30T10:30:00"/>
    <d v="2025-11-05T00:00:00"/>
    <s v="Eléctrica"/>
    <s v="Se reemplaza la baterial al equipo ya que estaba dañada."/>
    <s v="Bateria"/>
    <s v="NA"/>
    <s v="J. FONTECHA"/>
    <x v="0"/>
  </r>
  <r>
    <n v="203"/>
    <s v="A. VIRGUEZ"/>
    <d v="1899-12-30T07:00:00"/>
    <x v="8"/>
    <x v="11"/>
    <s v="Puntual"/>
    <s v="Se requiere reemplazar la lampara colgante que esta ubicada en el area de sellado."/>
    <m/>
    <m/>
    <m/>
    <m/>
    <m/>
    <m/>
    <m/>
    <m/>
    <x v="2"/>
  </r>
  <r>
    <n v="204"/>
    <s v="A. VIRGUEZ"/>
    <d v="1899-12-30T07:00:00"/>
    <x v="8"/>
    <x v="11"/>
    <s v="Puntual"/>
    <s v="Se requiere realizar mejora en proceso de secado del material a peletizar por medio del ventilador ya que genera derrame de agua."/>
    <m/>
    <m/>
    <m/>
    <m/>
    <m/>
    <m/>
    <m/>
    <m/>
    <x v="2"/>
  </r>
  <r>
    <n v="205"/>
    <s v="A. VIRGUEZ"/>
    <d v="1899-12-30T07:00:00"/>
    <x v="8"/>
    <x v="11"/>
    <s v="Puntual"/>
    <s v="Se requiere adecuar el cuarto que se encuentra junto al muelle para llevar acabo la atención de AT."/>
    <m/>
    <m/>
    <m/>
    <m/>
    <m/>
    <m/>
    <m/>
    <m/>
    <x v="2"/>
  </r>
  <r>
    <n v="206"/>
    <s v="J. PINZÓN"/>
    <d v="1899-12-30T07:00:00"/>
    <x v="21"/>
    <x v="11"/>
    <s v="Puntual"/>
    <s v="Instalación paros de emergencia de todas las máquinas cerca del área de manipulación."/>
    <m/>
    <m/>
    <m/>
    <m/>
    <m/>
    <m/>
    <m/>
    <m/>
    <x v="2"/>
  </r>
  <r>
    <n v="207"/>
    <s v="A. VIRGUEZ"/>
    <d v="1899-12-30T07:00:00"/>
    <x v="24"/>
    <x v="11"/>
    <s v="Puntual"/>
    <s v="Se solicita realizar una revisión y ajuste de las guardas de las trampas de roedores, ya que algunas se encuentran sueltas."/>
    <d v="1899-12-30T07:00:00"/>
    <d v="1899-12-30T08:00:00"/>
    <d v="2025-12-12T00:00:00"/>
    <s v="Mecánica"/>
    <s v="Se justan trampas de los roedores"/>
    <s v="NA"/>
    <s v="NA"/>
    <s v="M. PEREZ"/>
    <x v="0"/>
  </r>
  <r>
    <n v="208"/>
    <s v="J. PINZÓN"/>
    <d v="1899-12-30T15:30:00"/>
    <x v="35"/>
    <x v="11"/>
    <s v="Puntual"/>
    <s v="Se requiere instalación eléctrica independiente para la lampara atrapa insectos."/>
    <d v="1899-12-30T10:00:00"/>
    <d v="1899-12-30T12:00:00"/>
    <d v="2025-11-23T00:00:00"/>
    <s v="Eléctrica"/>
    <s v="Se dejan en paralelo la conexión de las lamparas e independientes al interruptor."/>
    <s v="NA"/>
    <s v="NA"/>
    <s v="M. PEREZ"/>
    <x v="0"/>
  </r>
  <r>
    <n v="209"/>
    <s v="A. VIRGUEZ"/>
    <d v="1899-12-30T07:00:00"/>
    <x v="26"/>
    <x v="6"/>
    <s v="Puntual"/>
    <s v="Se requiere ajustar la tapa del piso de refile."/>
    <m/>
    <m/>
    <m/>
    <m/>
    <m/>
    <m/>
    <m/>
    <m/>
    <x v="1"/>
  </r>
  <r>
    <n v="210"/>
    <s v="A. VIRGUEZ"/>
    <d v="1899-12-30T02:30:00"/>
    <x v="20"/>
    <x v="11"/>
    <s v="Puntual"/>
    <s v="Compra e instalación de manija para ventanas en el área administrativa. 2."/>
    <m/>
    <m/>
    <m/>
    <m/>
    <m/>
    <m/>
    <m/>
    <m/>
    <x v="2"/>
  </r>
  <r>
    <n v="211"/>
    <s v="J. PINZÓN"/>
    <d v="1899-12-30T03:05:00"/>
    <x v="36"/>
    <x v="11"/>
    <s v="Puntual"/>
    <s v="Mantenimiento a la puerta corrediza de la cafeteria."/>
    <d v="1899-12-30T08:00:00"/>
    <d v="1899-12-30T10:00:00"/>
    <d v="2025-12-03T00:00:00"/>
    <s v="Mecánica"/>
    <s v="Se cambian rodamientos inferiores de la puerta y se lubrica con grasa."/>
    <s v="NA"/>
    <s v="NA"/>
    <s v="M. PEREZ"/>
    <x v="0"/>
  </r>
  <r>
    <n v="212"/>
    <s v="A. VIRGUEZ"/>
    <d v="1899-12-30T06:00:00"/>
    <x v="37"/>
    <x v="11"/>
    <s v="Puntual"/>
    <s v="Se requiere reubicar lampara del muelle, la blanca, se tiene que bajar y conectarla ya que el proveedor indica que esta muy elevada."/>
    <d v="1899-12-30T07:00:00"/>
    <d v="1899-12-30T09:00:00"/>
    <d v="2025-12-11T00:00:00"/>
    <s v="Mecánica"/>
    <s v="Se fija más abajo la lampara, y se corre el cartel, queda operativa."/>
    <s v="NA"/>
    <s v="NA"/>
    <s v="M. PEREZ"/>
    <x v="0"/>
  </r>
  <r>
    <n v="213"/>
    <s v="A. VIRGUEZ"/>
    <m/>
    <x v="37"/>
    <x v="11"/>
    <s v="Puntual"/>
    <s v="Se requiere instalar la puerta del control de tacos en el area de peletizado"/>
    <m/>
    <m/>
    <m/>
    <m/>
    <m/>
    <m/>
    <m/>
    <m/>
    <x v="2"/>
  </r>
  <r>
    <n v="214"/>
    <s v="A. VIRGUEZ"/>
    <m/>
    <x v="38"/>
    <x v="11"/>
    <s v="Puntual"/>
    <s v="Se solicita arreglo y mejora de la caja de madera donde se disponen los residuos de los cores cuando se cortan"/>
    <m/>
    <m/>
    <m/>
    <m/>
    <m/>
    <m/>
    <m/>
    <m/>
    <x v="2"/>
  </r>
  <r>
    <n v="215"/>
    <s v="A. VIRGUEZ"/>
    <m/>
    <x v="39"/>
    <x v="11"/>
    <s v="Puntual"/>
    <s v="Se requiere ajuste de la caja de breaker que se encuentra al lado de la mezcladora, ya que se evidencia inclinación para un costado"/>
    <m/>
    <m/>
    <m/>
    <m/>
    <m/>
    <m/>
    <m/>
    <m/>
    <x v="2"/>
  </r>
  <r>
    <n v="216"/>
    <s v="A. VIRGUEZ"/>
    <m/>
    <x v="39"/>
    <x v="11"/>
    <s v="Puntual"/>
    <s v="Se requiere realicen arreglo de gabinete de aseo en el area de extrusión"/>
    <m/>
    <m/>
    <m/>
    <m/>
    <m/>
    <m/>
    <m/>
    <m/>
    <x v="0"/>
  </r>
  <r>
    <n v="217"/>
    <m/>
    <m/>
    <x v="3"/>
    <x v="5"/>
    <s v="Puntual"/>
    <m/>
    <m/>
    <m/>
    <m/>
    <m/>
    <m/>
    <m/>
    <m/>
    <m/>
    <x v="1"/>
  </r>
  <r>
    <n v="218"/>
    <s v="A. VIRGUEZ"/>
    <m/>
    <x v="40"/>
    <x v="11"/>
    <s v="Puntual"/>
    <s v="Se requiere cambio de material de escalera de impresión por material resistente antideslizante"/>
    <m/>
    <m/>
    <m/>
    <m/>
    <m/>
    <m/>
    <m/>
    <m/>
    <x v="2"/>
  </r>
  <r>
    <n v="219"/>
    <s v="A. VIRGUEZ"/>
    <m/>
    <x v="41"/>
    <x v="11"/>
    <s v="Puntual"/>
    <s v="Se requiere fabricar e instalar guarda para trampa de roedores en el muelle #2"/>
    <m/>
    <m/>
    <m/>
    <m/>
    <m/>
    <m/>
    <m/>
    <m/>
    <x v="2"/>
  </r>
  <r>
    <n v="220"/>
    <s v="A. VIRGUEZ"/>
    <m/>
    <x v="41"/>
    <x v="11"/>
    <s v="Puntual"/>
    <s v="Se requiere reparación de ventana de la bodega de peletizado"/>
    <m/>
    <m/>
    <m/>
    <m/>
    <m/>
    <m/>
    <m/>
    <m/>
    <x v="2"/>
  </r>
  <r>
    <n v="221"/>
    <s v="A. VIRGUEZ"/>
    <m/>
    <x v="42"/>
    <x v="11"/>
    <s v="Puntual"/>
    <s v="Se requiere arreglo de la cerradura perilla de la puerta de la oficina de producción"/>
    <m/>
    <m/>
    <m/>
    <m/>
    <m/>
    <m/>
    <m/>
    <m/>
    <x v="2"/>
  </r>
  <r>
    <n v="222"/>
    <s v="J. CONTRERAS"/>
    <m/>
    <x v="43"/>
    <x v="11"/>
    <s v="Puntual"/>
    <s v="Manija de sisterna baño bodega de peletizado dañada"/>
    <m/>
    <m/>
    <m/>
    <m/>
    <m/>
    <m/>
    <m/>
    <m/>
    <x v="2"/>
  </r>
  <r>
    <n v="223"/>
    <s v="A. VIRGUEZ"/>
    <m/>
    <x v="44"/>
    <x v="6"/>
    <s v="Puntual"/>
    <s v="Se requiere aislar cables que estan en el motor del centro de la coestrusora"/>
    <m/>
    <m/>
    <m/>
    <m/>
    <m/>
    <m/>
    <m/>
    <m/>
    <x v="2"/>
  </r>
  <r>
    <n v="224"/>
    <s v="A. VIRGUEZ"/>
    <m/>
    <x v="44"/>
    <x v="23"/>
    <s v="Puntual"/>
    <s v="Se requiere reparación de la puerta de la caja de los breaker en el molino pequeño de la peletizadora"/>
    <m/>
    <m/>
    <m/>
    <m/>
    <m/>
    <m/>
    <m/>
    <m/>
    <x v="2"/>
  </r>
  <r>
    <n v="225"/>
    <s v="A. VIRGUEZ"/>
    <m/>
    <x v="45"/>
    <x v="11"/>
    <s v="Puntual"/>
    <s v="Se solicita realicen cambio de la toma corriente , interructor del cuarto rodillo"/>
    <m/>
    <m/>
    <m/>
    <m/>
    <m/>
    <m/>
    <m/>
    <m/>
    <x v="2"/>
  </r>
  <r>
    <n v="226"/>
    <s v="A. VIRGUEZ"/>
    <m/>
    <x v="45"/>
    <x v="11"/>
    <s v="Puntual"/>
    <s v="Se solicita reparen conexión eléctrica que se encuentra en la parte superior de la pared del muelle #2"/>
    <m/>
    <m/>
    <m/>
    <m/>
    <m/>
    <m/>
    <m/>
    <m/>
    <x v="2"/>
  </r>
  <r>
    <n v="227"/>
    <s v="A. VIRGUEZ"/>
    <m/>
    <x v="46"/>
    <x v="6"/>
    <s v="Puntual"/>
    <s v="Se requeire instalar la tapa de la caja de breaker de la coextrusora #5 que se encuentra caida"/>
    <m/>
    <m/>
    <m/>
    <m/>
    <m/>
    <m/>
    <m/>
    <m/>
    <x v="1"/>
  </r>
  <r>
    <n v="228"/>
    <m/>
    <m/>
    <x v="3"/>
    <x v="5"/>
    <m/>
    <m/>
    <m/>
    <m/>
    <m/>
    <m/>
    <m/>
    <m/>
    <m/>
    <m/>
    <x v="1"/>
  </r>
  <r>
    <n v="229"/>
    <s v="L. GALVIS"/>
    <d v="1899-12-30T03:44:00"/>
    <x v="47"/>
    <x v="11"/>
    <s v="Puntual"/>
    <s v="Se solicita soporte de camilla del area de peletizado"/>
    <m/>
    <m/>
    <m/>
    <m/>
    <m/>
    <m/>
    <m/>
    <m/>
    <x v="2"/>
  </r>
  <r>
    <n v="230"/>
    <s v="A. VIRGUEZ"/>
    <m/>
    <x v="48"/>
    <x v="11"/>
    <s v="Puntual"/>
    <s v="Se solicita realizar la instalación de los tableros de seguridad en cada una de las areas"/>
    <m/>
    <m/>
    <m/>
    <m/>
    <m/>
    <m/>
    <m/>
    <m/>
    <x v="2"/>
  </r>
  <r>
    <n v="231"/>
    <m/>
    <m/>
    <x v="3"/>
    <x v="5"/>
    <m/>
    <m/>
    <m/>
    <m/>
    <m/>
    <m/>
    <m/>
    <m/>
    <m/>
    <m/>
    <x v="1"/>
  </r>
  <r>
    <n v="232"/>
    <m/>
    <m/>
    <x v="3"/>
    <x v="5"/>
    <m/>
    <m/>
    <m/>
    <m/>
    <m/>
    <m/>
    <m/>
    <m/>
    <m/>
    <m/>
    <x v="1"/>
  </r>
  <r>
    <n v="233"/>
    <m/>
    <m/>
    <x v="3"/>
    <x v="5"/>
    <m/>
    <m/>
    <m/>
    <m/>
    <m/>
    <m/>
    <m/>
    <m/>
    <m/>
    <m/>
    <x v="1"/>
  </r>
  <r>
    <n v="234"/>
    <m/>
    <m/>
    <x v="3"/>
    <x v="5"/>
    <m/>
    <m/>
    <m/>
    <m/>
    <m/>
    <m/>
    <m/>
    <m/>
    <m/>
    <m/>
    <x v="1"/>
  </r>
  <r>
    <n v="235"/>
    <m/>
    <m/>
    <x v="3"/>
    <x v="5"/>
    <m/>
    <m/>
    <m/>
    <m/>
    <m/>
    <m/>
    <m/>
    <m/>
    <m/>
    <m/>
    <x v="1"/>
  </r>
  <r>
    <n v="236"/>
    <m/>
    <m/>
    <x v="3"/>
    <x v="5"/>
    <m/>
    <m/>
    <m/>
    <m/>
    <m/>
    <m/>
    <m/>
    <m/>
    <m/>
    <m/>
    <x v="1"/>
  </r>
  <r>
    <n v="237"/>
    <m/>
    <m/>
    <x v="3"/>
    <x v="5"/>
    <m/>
    <m/>
    <m/>
    <m/>
    <m/>
    <m/>
    <m/>
    <m/>
    <m/>
    <m/>
    <x v="1"/>
  </r>
  <r>
    <n v="238"/>
    <m/>
    <m/>
    <x v="3"/>
    <x v="5"/>
    <m/>
    <m/>
    <m/>
    <m/>
    <m/>
    <m/>
    <m/>
    <m/>
    <m/>
    <m/>
    <x v="1"/>
  </r>
  <r>
    <n v="239"/>
    <m/>
    <m/>
    <x v="3"/>
    <x v="5"/>
    <m/>
    <m/>
    <m/>
    <m/>
    <m/>
    <m/>
    <m/>
    <m/>
    <m/>
    <m/>
    <x v="1"/>
  </r>
  <r>
    <n v="240"/>
    <m/>
    <m/>
    <x v="3"/>
    <x v="5"/>
    <m/>
    <m/>
    <m/>
    <m/>
    <m/>
    <m/>
    <m/>
    <m/>
    <m/>
    <m/>
    <x v="1"/>
  </r>
  <r>
    <n v="241"/>
    <m/>
    <m/>
    <x v="3"/>
    <x v="5"/>
    <m/>
    <m/>
    <m/>
    <m/>
    <m/>
    <m/>
    <m/>
    <m/>
    <m/>
    <m/>
    <x v="1"/>
  </r>
  <r>
    <n v="242"/>
    <m/>
    <m/>
    <x v="3"/>
    <x v="5"/>
    <m/>
    <m/>
    <m/>
    <m/>
    <m/>
    <m/>
    <m/>
    <m/>
    <m/>
    <m/>
    <x v="1"/>
  </r>
  <r>
    <n v="243"/>
    <m/>
    <m/>
    <x v="3"/>
    <x v="5"/>
    <m/>
    <m/>
    <m/>
    <m/>
    <m/>
    <m/>
    <m/>
    <m/>
    <m/>
    <m/>
    <x v="1"/>
  </r>
  <r>
    <n v="244"/>
    <m/>
    <m/>
    <x v="3"/>
    <x v="5"/>
    <m/>
    <m/>
    <m/>
    <m/>
    <m/>
    <m/>
    <m/>
    <m/>
    <m/>
    <m/>
    <x v="1"/>
  </r>
  <r>
    <n v="245"/>
    <m/>
    <m/>
    <x v="3"/>
    <x v="5"/>
    <m/>
    <m/>
    <m/>
    <m/>
    <m/>
    <m/>
    <m/>
    <m/>
    <m/>
    <m/>
    <x v="1"/>
  </r>
  <r>
    <n v="246"/>
    <m/>
    <m/>
    <x v="3"/>
    <x v="5"/>
    <m/>
    <m/>
    <m/>
    <m/>
    <m/>
    <m/>
    <m/>
    <m/>
    <m/>
    <m/>
    <x v="1"/>
  </r>
  <r>
    <n v="247"/>
    <m/>
    <m/>
    <x v="3"/>
    <x v="5"/>
    <m/>
    <m/>
    <m/>
    <m/>
    <m/>
    <m/>
    <m/>
    <m/>
    <m/>
    <m/>
    <x v="1"/>
  </r>
  <r>
    <n v="248"/>
    <m/>
    <m/>
    <x v="3"/>
    <x v="5"/>
    <m/>
    <m/>
    <m/>
    <m/>
    <m/>
    <m/>
    <m/>
    <m/>
    <m/>
    <m/>
    <x v="1"/>
  </r>
  <r>
    <n v="249"/>
    <m/>
    <m/>
    <x v="3"/>
    <x v="5"/>
    <m/>
    <m/>
    <m/>
    <m/>
    <m/>
    <m/>
    <m/>
    <m/>
    <m/>
    <m/>
    <x v="1"/>
  </r>
  <r>
    <n v="250"/>
    <m/>
    <m/>
    <x v="3"/>
    <x v="5"/>
    <m/>
    <m/>
    <m/>
    <m/>
    <m/>
    <m/>
    <m/>
    <m/>
    <m/>
    <m/>
    <x v="1"/>
  </r>
  <r>
    <n v="251"/>
    <m/>
    <m/>
    <x v="3"/>
    <x v="5"/>
    <m/>
    <m/>
    <m/>
    <m/>
    <m/>
    <m/>
    <m/>
    <m/>
    <m/>
    <m/>
    <x v="1"/>
  </r>
  <r>
    <n v="252"/>
    <m/>
    <m/>
    <x v="3"/>
    <x v="5"/>
    <m/>
    <m/>
    <m/>
    <m/>
    <m/>
    <m/>
    <m/>
    <m/>
    <m/>
    <m/>
    <x v="1"/>
  </r>
  <r>
    <n v="253"/>
    <m/>
    <m/>
    <x v="3"/>
    <x v="5"/>
    <m/>
    <m/>
    <m/>
    <m/>
    <m/>
    <m/>
    <m/>
    <m/>
    <m/>
    <m/>
    <x v="1"/>
  </r>
  <r>
    <n v="254"/>
    <m/>
    <m/>
    <x v="3"/>
    <x v="5"/>
    <m/>
    <m/>
    <m/>
    <m/>
    <m/>
    <m/>
    <m/>
    <m/>
    <m/>
    <m/>
    <x v="1"/>
  </r>
  <r>
    <n v="255"/>
    <m/>
    <m/>
    <x v="3"/>
    <x v="5"/>
    <m/>
    <m/>
    <m/>
    <m/>
    <m/>
    <m/>
    <m/>
    <m/>
    <m/>
    <m/>
    <x v="1"/>
  </r>
  <r>
    <n v="256"/>
    <m/>
    <m/>
    <x v="3"/>
    <x v="5"/>
    <m/>
    <m/>
    <m/>
    <m/>
    <m/>
    <m/>
    <m/>
    <m/>
    <m/>
    <m/>
    <x v="1"/>
  </r>
  <r>
    <n v="257"/>
    <m/>
    <m/>
    <x v="3"/>
    <x v="5"/>
    <m/>
    <m/>
    <m/>
    <m/>
    <m/>
    <m/>
    <m/>
    <m/>
    <m/>
    <m/>
    <x v="1"/>
  </r>
  <r>
    <n v="258"/>
    <m/>
    <m/>
    <x v="3"/>
    <x v="5"/>
    <m/>
    <m/>
    <m/>
    <m/>
    <m/>
    <m/>
    <m/>
    <m/>
    <m/>
    <m/>
    <x v="1"/>
  </r>
  <r>
    <n v="259"/>
    <m/>
    <m/>
    <x v="3"/>
    <x v="5"/>
    <m/>
    <m/>
    <m/>
    <m/>
    <m/>
    <m/>
    <m/>
    <m/>
    <m/>
    <m/>
    <x v="1"/>
  </r>
  <r>
    <n v="260"/>
    <m/>
    <m/>
    <x v="3"/>
    <x v="5"/>
    <m/>
    <m/>
    <m/>
    <m/>
    <m/>
    <m/>
    <m/>
    <m/>
    <m/>
    <m/>
    <x v="1"/>
  </r>
  <r>
    <n v="261"/>
    <m/>
    <m/>
    <x v="3"/>
    <x v="5"/>
    <m/>
    <m/>
    <m/>
    <m/>
    <m/>
    <m/>
    <m/>
    <m/>
    <m/>
    <m/>
    <x v="1"/>
  </r>
  <r>
    <n v="262"/>
    <m/>
    <m/>
    <x v="3"/>
    <x v="5"/>
    <m/>
    <m/>
    <m/>
    <m/>
    <m/>
    <m/>
    <m/>
    <m/>
    <m/>
    <m/>
    <x v="1"/>
  </r>
  <r>
    <n v="263"/>
    <m/>
    <m/>
    <x v="3"/>
    <x v="5"/>
    <m/>
    <m/>
    <m/>
    <m/>
    <m/>
    <m/>
    <m/>
    <m/>
    <m/>
    <m/>
    <x v="1"/>
  </r>
  <r>
    <n v="264"/>
    <m/>
    <m/>
    <x v="3"/>
    <x v="5"/>
    <m/>
    <m/>
    <m/>
    <m/>
    <m/>
    <m/>
    <m/>
    <m/>
    <m/>
    <m/>
    <x v="1"/>
  </r>
  <r>
    <n v="265"/>
    <m/>
    <m/>
    <x v="3"/>
    <x v="5"/>
    <m/>
    <m/>
    <m/>
    <m/>
    <m/>
    <m/>
    <m/>
    <m/>
    <m/>
    <m/>
    <x v="1"/>
  </r>
  <r>
    <n v="266"/>
    <m/>
    <m/>
    <x v="3"/>
    <x v="5"/>
    <m/>
    <m/>
    <m/>
    <m/>
    <m/>
    <m/>
    <m/>
    <m/>
    <m/>
    <m/>
    <x v="1"/>
  </r>
  <r>
    <n v="267"/>
    <m/>
    <m/>
    <x v="3"/>
    <x v="5"/>
    <m/>
    <m/>
    <m/>
    <m/>
    <m/>
    <m/>
    <m/>
    <m/>
    <m/>
    <m/>
    <x v="1"/>
  </r>
  <r>
    <n v="268"/>
    <m/>
    <m/>
    <x v="3"/>
    <x v="5"/>
    <m/>
    <m/>
    <m/>
    <m/>
    <m/>
    <m/>
    <m/>
    <m/>
    <m/>
    <m/>
    <x v="1"/>
  </r>
  <r>
    <n v="269"/>
    <m/>
    <m/>
    <x v="3"/>
    <x v="5"/>
    <m/>
    <m/>
    <m/>
    <m/>
    <m/>
    <m/>
    <m/>
    <m/>
    <m/>
    <m/>
    <x v="1"/>
  </r>
  <r>
    <n v="270"/>
    <m/>
    <m/>
    <x v="3"/>
    <x v="5"/>
    <m/>
    <m/>
    <m/>
    <m/>
    <m/>
    <m/>
    <m/>
    <m/>
    <m/>
    <m/>
    <x v="1"/>
  </r>
  <r>
    <n v="271"/>
    <m/>
    <m/>
    <x v="3"/>
    <x v="5"/>
    <m/>
    <m/>
    <m/>
    <m/>
    <m/>
    <m/>
    <m/>
    <m/>
    <m/>
    <m/>
    <x v="1"/>
  </r>
  <r>
    <n v="272"/>
    <m/>
    <m/>
    <x v="3"/>
    <x v="5"/>
    <m/>
    <m/>
    <m/>
    <m/>
    <m/>
    <m/>
    <m/>
    <m/>
    <m/>
    <m/>
    <x v="1"/>
  </r>
  <r>
    <n v="273"/>
    <m/>
    <m/>
    <x v="3"/>
    <x v="5"/>
    <m/>
    <m/>
    <m/>
    <m/>
    <m/>
    <m/>
    <m/>
    <m/>
    <m/>
    <m/>
    <x v="1"/>
  </r>
  <r>
    <n v="274"/>
    <m/>
    <m/>
    <x v="3"/>
    <x v="5"/>
    <m/>
    <m/>
    <m/>
    <m/>
    <m/>
    <m/>
    <m/>
    <m/>
    <m/>
    <m/>
    <x v="1"/>
  </r>
  <r>
    <n v="275"/>
    <m/>
    <m/>
    <x v="3"/>
    <x v="5"/>
    <m/>
    <m/>
    <m/>
    <m/>
    <m/>
    <m/>
    <m/>
    <m/>
    <m/>
    <m/>
    <x v="1"/>
  </r>
  <r>
    <n v="276"/>
    <m/>
    <m/>
    <x v="3"/>
    <x v="5"/>
    <m/>
    <m/>
    <m/>
    <m/>
    <m/>
    <m/>
    <m/>
    <m/>
    <m/>
    <m/>
    <x v="1"/>
  </r>
  <r>
    <n v="277"/>
    <m/>
    <m/>
    <x v="3"/>
    <x v="5"/>
    <m/>
    <m/>
    <m/>
    <m/>
    <m/>
    <m/>
    <m/>
    <m/>
    <m/>
    <m/>
    <x v="1"/>
  </r>
  <r>
    <n v="278"/>
    <m/>
    <m/>
    <x v="3"/>
    <x v="5"/>
    <m/>
    <m/>
    <m/>
    <m/>
    <m/>
    <m/>
    <m/>
    <m/>
    <m/>
    <m/>
    <x v="1"/>
  </r>
  <r>
    <n v="279"/>
    <m/>
    <m/>
    <x v="3"/>
    <x v="5"/>
    <m/>
    <m/>
    <m/>
    <m/>
    <m/>
    <m/>
    <m/>
    <m/>
    <m/>
    <m/>
    <x v="1"/>
  </r>
  <r>
    <n v="280"/>
    <m/>
    <m/>
    <x v="3"/>
    <x v="5"/>
    <m/>
    <m/>
    <m/>
    <m/>
    <m/>
    <m/>
    <m/>
    <m/>
    <m/>
    <m/>
    <x v="1"/>
  </r>
  <r>
    <n v="281"/>
    <m/>
    <m/>
    <x v="3"/>
    <x v="5"/>
    <m/>
    <m/>
    <m/>
    <m/>
    <m/>
    <m/>
    <m/>
    <m/>
    <m/>
    <m/>
    <x v="1"/>
  </r>
  <r>
    <n v="282"/>
    <m/>
    <m/>
    <x v="3"/>
    <x v="5"/>
    <m/>
    <m/>
    <m/>
    <m/>
    <m/>
    <m/>
    <m/>
    <m/>
    <m/>
    <m/>
    <x v="1"/>
  </r>
  <r>
    <n v="283"/>
    <m/>
    <m/>
    <x v="3"/>
    <x v="5"/>
    <m/>
    <m/>
    <m/>
    <m/>
    <m/>
    <m/>
    <m/>
    <m/>
    <m/>
    <m/>
    <x v="1"/>
  </r>
  <r>
    <n v="284"/>
    <m/>
    <m/>
    <x v="3"/>
    <x v="5"/>
    <m/>
    <m/>
    <m/>
    <m/>
    <m/>
    <m/>
    <m/>
    <m/>
    <m/>
    <m/>
    <x v="1"/>
  </r>
  <r>
    <n v="285"/>
    <m/>
    <m/>
    <x v="3"/>
    <x v="5"/>
    <m/>
    <m/>
    <m/>
    <m/>
    <m/>
    <m/>
    <m/>
    <m/>
    <m/>
    <m/>
    <x v="1"/>
  </r>
  <r>
    <n v="286"/>
    <m/>
    <m/>
    <x v="3"/>
    <x v="5"/>
    <m/>
    <m/>
    <m/>
    <m/>
    <m/>
    <m/>
    <m/>
    <m/>
    <m/>
    <m/>
    <x v="1"/>
  </r>
  <r>
    <n v="287"/>
    <m/>
    <m/>
    <x v="3"/>
    <x v="5"/>
    <m/>
    <m/>
    <m/>
    <m/>
    <m/>
    <m/>
    <m/>
    <m/>
    <m/>
    <m/>
    <x v="1"/>
  </r>
  <r>
    <n v="288"/>
    <m/>
    <m/>
    <x v="3"/>
    <x v="5"/>
    <m/>
    <m/>
    <m/>
    <m/>
    <m/>
    <m/>
    <m/>
    <m/>
    <m/>
    <m/>
    <x v="1"/>
  </r>
  <r>
    <n v="289"/>
    <m/>
    <m/>
    <x v="3"/>
    <x v="5"/>
    <m/>
    <m/>
    <m/>
    <m/>
    <m/>
    <m/>
    <m/>
    <m/>
    <m/>
    <m/>
    <x v="1"/>
  </r>
  <r>
    <n v="290"/>
    <m/>
    <m/>
    <x v="3"/>
    <x v="5"/>
    <m/>
    <m/>
    <m/>
    <m/>
    <m/>
    <m/>
    <m/>
    <m/>
    <m/>
    <m/>
    <x v="1"/>
  </r>
  <r>
    <n v="291"/>
    <m/>
    <m/>
    <x v="3"/>
    <x v="5"/>
    <m/>
    <m/>
    <m/>
    <m/>
    <m/>
    <m/>
    <m/>
    <m/>
    <m/>
    <m/>
    <x v="1"/>
  </r>
  <r>
    <n v="292"/>
    <m/>
    <m/>
    <x v="3"/>
    <x v="5"/>
    <m/>
    <m/>
    <m/>
    <m/>
    <m/>
    <m/>
    <m/>
    <m/>
    <m/>
    <m/>
    <x v="1"/>
  </r>
  <r>
    <n v="293"/>
    <m/>
    <m/>
    <x v="3"/>
    <x v="5"/>
    <m/>
    <m/>
    <m/>
    <m/>
    <m/>
    <m/>
    <m/>
    <m/>
    <m/>
    <m/>
    <x v="1"/>
  </r>
  <r>
    <n v="294"/>
    <m/>
    <m/>
    <x v="3"/>
    <x v="5"/>
    <m/>
    <m/>
    <m/>
    <m/>
    <m/>
    <m/>
    <m/>
    <m/>
    <m/>
    <m/>
    <x v="1"/>
  </r>
  <r>
    <n v="295"/>
    <m/>
    <m/>
    <x v="3"/>
    <x v="5"/>
    <m/>
    <m/>
    <m/>
    <m/>
    <m/>
    <m/>
    <m/>
    <m/>
    <m/>
    <m/>
    <x v="1"/>
  </r>
  <r>
    <n v="296"/>
    <m/>
    <m/>
    <x v="3"/>
    <x v="5"/>
    <m/>
    <m/>
    <m/>
    <m/>
    <m/>
    <m/>
    <m/>
    <m/>
    <m/>
    <m/>
    <x v="1"/>
  </r>
  <r>
    <n v="297"/>
    <m/>
    <m/>
    <x v="3"/>
    <x v="5"/>
    <m/>
    <m/>
    <m/>
    <m/>
    <m/>
    <m/>
    <m/>
    <m/>
    <m/>
    <m/>
    <x v="1"/>
  </r>
  <r>
    <n v="298"/>
    <m/>
    <m/>
    <x v="3"/>
    <x v="5"/>
    <m/>
    <m/>
    <m/>
    <m/>
    <m/>
    <m/>
    <m/>
    <m/>
    <m/>
    <m/>
    <x v="1"/>
  </r>
  <r>
    <n v="299"/>
    <m/>
    <m/>
    <x v="3"/>
    <x v="5"/>
    <m/>
    <m/>
    <m/>
    <m/>
    <m/>
    <m/>
    <m/>
    <m/>
    <m/>
    <m/>
    <x v="1"/>
  </r>
  <r>
    <n v="300"/>
    <m/>
    <m/>
    <x v="3"/>
    <x v="5"/>
    <m/>
    <m/>
    <m/>
    <m/>
    <m/>
    <m/>
    <m/>
    <m/>
    <m/>
    <m/>
    <x v="1"/>
  </r>
  <r>
    <n v="301"/>
    <s v="J. PARDO"/>
    <d v="1899-12-30T17:05:00"/>
    <x v="26"/>
    <x v="7"/>
    <s v="Puntual"/>
    <s v="Manila se sale."/>
    <d v="1899-12-30T17:05:00"/>
    <d v="1899-12-30T17:20:00"/>
    <d v="2025-11-24T00:00:00"/>
    <s v="Mecánica"/>
    <s v="Se coloca pasador clic plastico de manila registro."/>
    <s v="NA"/>
    <s v="NA"/>
    <s v="L. CASTILLA"/>
    <x v="0"/>
  </r>
  <r>
    <n v="302"/>
    <s v="S. CARDENAL"/>
    <d v="1899-12-30T15:00:00"/>
    <x v="26"/>
    <x v="0"/>
    <s v="Puntual"/>
    <s v="Correa dañada"/>
    <d v="1899-12-30T15:00:00"/>
    <d v="1899-12-30T16:00:00"/>
    <d v="2025-11-24T00:00:00"/>
    <s v="Mecánica"/>
    <s v="Se realiza montaje de correa y calibración de freno motor inferior."/>
    <s v="NA"/>
    <s v="NA"/>
    <s v="L. CASTILLA"/>
    <x v="0"/>
  </r>
  <r>
    <n v="303"/>
    <s v="S. CARDENAL"/>
    <d v="1899-12-30T17:50:00"/>
    <x v="26"/>
    <x v="0"/>
    <s v="Puntual"/>
    <s v="Máquina se para sola y aparece código 50."/>
    <d v="1899-12-30T18:00:00"/>
    <m/>
    <d v="2025-11-24T00:00:00"/>
    <s v="Eléctrica"/>
    <s v="Se encuentra falla de variador por sobre carga, se revisa y se desajusta el freno de motor para dejar mas libre el motor, se resetea, se presenta temperaturas altas, se desmonta freno y se pone a girar en vacio para descartar rodamientos, se da ajuste a las correas, se revisan conexiones. (El motor transportador se acciona con botones que no deberia)."/>
    <s v="NA"/>
    <s v="NA"/>
    <m/>
    <x v="2"/>
  </r>
  <r>
    <n v="304"/>
    <s v="R. MEJIA"/>
    <d v="1899-12-30T01:10:00"/>
    <x v="24"/>
    <x v="7"/>
    <s v="Puntual"/>
    <s v="Rodamiento brazo bobinador se sale ya esta con desgaste considerable."/>
    <d v="1899-12-30T01:13:00"/>
    <d v="1899-12-30T01:40:00"/>
    <d v="2025-11-24T00:00:00"/>
    <s v="Mecánica"/>
    <s v="Se instala buje de presión para ajustar en espacio para el rodamiento y se instala arandela con mayor diametro."/>
    <s v="Arandelas"/>
    <s v="NA"/>
    <s v="D. BAUTISTA"/>
    <x v="0"/>
  </r>
  <r>
    <n v="305"/>
    <m/>
    <m/>
    <x v="3"/>
    <x v="5"/>
    <m/>
    <m/>
    <m/>
    <m/>
    <m/>
    <m/>
    <m/>
    <m/>
    <m/>
    <m/>
    <x v="1"/>
  </r>
  <r>
    <n v="306"/>
    <m/>
    <m/>
    <x v="3"/>
    <x v="5"/>
    <m/>
    <m/>
    <m/>
    <m/>
    <m/>
    <m/>
    <m/>
    <m/>
    <m/>
    <m/>
    <x v="1"/>
  </r>
  <r>
    <n v="307"/>
    <s v="J. PARDO"/>
    <d v="1899-12-30T07:00:00"/>
    <x v="24"/>
    <x v="7"/>
    <s v="Puntual"/>
    <s v="Rodillo 58 torcido."/>
    <m/>
    <m/>
    <m/>
    <m/>
    <m/>
    <m/>
    <m/>
    <m/>
    <x v="2"/>
  </r>
  <r>
    <n v="308"/>
    <s v="L. MORALES"/>
    <d v="1899-12-30T07:00:00"/>
    <x v="24"/>
    <x v="24"/>
    <s v="Puntual"/>
    <s v="Falla en la corta core, tornillo se desliza."/>
    <m/>
    <m/>
    <m/>
    <m/>
    <m/>
    <m/>
    <m/>
    <m/>
    <x v="2"/>
  </r>
  <r>
    <n v="309"/>
    <s v="Y. BERNAL"/>
    <d v="1899-12-30T12:30:00"/>
    <x v="24"/>
    <x v="18"/>
    <s v="Repetitiva"/>
    <s v="Se presentan particulas que salen de la parte de debajo de la mezcladora externa. Se evidencia que el empaque esta dañado."/>
    <m/>
    <m/>
    <m/>
    <m/>
    <m/>
    <m/>
    <m/>
    <m/>
    <x v="2"/>
  </r>
  <r>
    <n v="310"/>
    <s v="C. BARAJAS"/>
    <d v="1899-12-30T13:30:00"/>
    <x v="24"/>
    <x v="2"/>
    <s v="Puntual"/>
    <s v="Variación en temperatura."/>
    <d v="1899-12-30T13:30:00"/>
    <d v="1899-12-30T14:00:00"/>
    <d v="2025-11-25T00:00:00"/>
    <s v="Eléctrica"/>
    <s v="Se ajusta termocupla, se entrega máquina trabajando."/>
    <s v="NA"/>
    <s v="NA"/>
    <s v="L. FLOREZ"/>
    <x v="0"/>
  </r>
  <r>
    <n v="311"/>
    <m/>
    <m/>
    <x v="3"/>
    <x v="5"/>
    <m/>
    <m/>
    <m/>
    <m/>
    <m/>
    <m/>
    <m/>
    <m/>
    <m/>
    <m/>
    <x v="1"/>
  </r>
  <r>
    <n v="312"/>
    <s v="K. RAMOS"/>
    <d v="1899-12-30T20:20:00"/>
    <x v="24"/>
    <x v="6"/>
    <s v="Puntual"/>
    <s v="Se quema contactor que abre el tablero."/>
    <d v="1899-12-30T20:20:00"/>
    <d v="1899-12-30T21:40:00"/>
    <d v="2025-11-25T00:00:00"/>
    <s v="Eléctrica"/>
    <s v="Se realiza inspección por salto de guardamotor, se realiza inspección de cableado, el cual esta en buen estado, se revisa conexión motor y se encuentra cable partido de conexión a bobina, se mide resistencia de bobinas y se observa desbalanceo, se abre paleta del tablero, se deja de forma manuel y se entrega para arranque."/>
    <s v="NA"/>
    <s v="NA"/>
    <s v="D. BAUTISTA"/>
    <x v="0"/>
  </r>
  <r>
    <n v="313"/>
    <m/>
    <m/>
    <x v="3"/>
    <x v="5"/>
    <m/>
    <m/>
    <m/>
    <m/>
    <m/>
    <m/>
    <m/>
    <m/>
    <m/>
    <m/>
    <x v="1"/>
  </r>
  <r>
    <n v="314"/>
    <s v="D. ZAMORA"/>
    <d v="1899-12-30T06:00:00"/>
    <x v="49"/>
    <x v="10"/>
    <s v="Repetitiva"/>
    <s v="Cambio de posicionamiento para las castañas"/>
    <d v="1899-12-30T06:10:00"/>
    <d v="1899-12-30T06:30:00"/>
    <d v="2025-11-26T00:00:00"/>
    <s v="Mecánica "/>
    <s v="Se realiza cambio de rodillos y organización, castañas superior e inferior."/>
    <s v="NA"/>
    <s v="NA"/>
    <s v="L. CASTILLA"/>
    <x v="0"/>
  </r>
  <r>
    <n v="315"/>
    <s v="J. PARDO"/>
    <d v="1899-12-30T07:00:00"/>
    <x v="49"/>
    <x v="7"/>
    <s v="Puntual"/>
    <s v="Daño en rodamientos embobinador."/>
    <d v="1899-12-30T07:10:00"/>
    <d v="1899-12-30T07:30:00"/>
    <d v="2025-11-26T00:00:00"/>
    <s v="Mecánica"/>
    <s v="Se realiza ajuste seguidor leva y cambio de tornillos."/>
    <s v="2 Tornillos M6 X 20mm."/>
    <s v="NA"/>
    <s v="L. CASTILLA"/>
    <x v="0"/>
  </r>
  <r>
    <n v="316"/>
    <m/>
    <m/>
    <x v="3"/>
    <x v="5"/>
    <m/>
    <m/>
    <m/>
    <m/>
    <m/>
    <m/>
    <m/>
    <m/>
    <m/>
    <m/>
    <x v="1"/>
  </r>
  <r>
    <n v="317"/>
    <s v="D. CUESTA"/>
    <d v="1899-12-30T08:35:00"/>
    <x v="49"/>
    <x v="1"/>
    <s v="Puntual"/>
    <s v="Se frena rodillo del embobinador y se enreda el material en el rodillo halador."/>
    <d v="1899-12-30T08:40:00"/>
    <d v="1899-12-30T09:30:00"/>
    <d v="2025-11-26T00:00:00"/>
    <s v="Eléctrica"/>
    <s v="Motor se apaga por sobrecarga, se establece a un voltaje 180V y trabaja con normalidad."/>
    <s v="NA"/>
    <s v="NA"/>
    <s v="L. CASTILLA"/>
    <x v="0"/>
  </r>
  <r>
    <n v="318"/>
    <s v="C. CASTRO"/>
    <d v="1899-12-30T18:30:00"/>
    <x v="49"/>
    <x v="10"/>
    <s v="Puntual"/>
    <s v="Motor refrigerante del freno bloqueado freno recalentado."/>
    <m/>
    <m/>
    <m/>
    <m/>
    <m/>
    <m/>
    <m/>
    <m/>
    <x v="2"/>
  </r>
  <r>
    <n v="319"/>
    <s v="L. GARZON"/>
    <d v="1899-12-30T05:00:00"/>
    <x v="50"/>
    <x v="16"/>
    <s v="Puntual"/>
    <s v="Daño en conexión eléctrica de la cuchilla."/>
    <d v="1899-12-30T05:00:00"/>
    <d v="1899-12-30T05:20:00"/>
    <d v="2025-11-27T00:00:00"/>
    <s v="Eléctrica"/>
    <s v="Empalmar cables de alimentación de cuchilla."/>
    <s v="Cinta aislante y alta temperatura"/>
    <s v="NA"/>
    <s v="O. DUARTE"/>
    <x v="0"/>
  </r>
  <r>
    <n v="320"/>
    <s v="L. GARZON"/>
    <d v="1899-12-30T22:00:00"/>
    <x v="50"/>
    <x v="4"/>
    <s v="Puntual"/>
    <s v="Rodillo se mueve con el transportador ya que estas quedan pegadas."/>
    <d v="1899-12-30T22:00:00"/>
    <d v="1899-12-30T23:00:00"/>
    <d v="2025-11-27T00:00:00"/>
    <s v="Mecánica"/>
    <s v="Se da ajuste a distancia de rodillos y tornilleria quedando operativo."/>
    <s v="NA"/>
    <s v="NA"/>
    <s v="O. DUARTE"/>
    <x v="0"/>
  </r>
  <r>
    <n v="321"/>
    <s v="L. GARZON"/>
    <d v="1899-12-30T22:00:00"/>
    <x v="50"/>
    <x v="12"/>
    <s v="Puntual"/>
    <s v="Daño en el rodamiento de las correas del motor del transportador."/>
    <d v="1899-12-30T22:00:00"/>
    <d v="1899-12-30T23:00:00"/>
    <d v="2025-11-27T00:00:00"/>
    <s v="Mecánica"/>
    <s v="Se encuentra transportador sin movimiento, se realiza inspección y se encuentra rodamiento de polea dañado, se desmonta y se realiza cambio. El eje presenta desgaste, se realiza plano para montaje de RQ."/>
    <s v="2 Rodamientos 6003"/>
    <s v="NA"/>
    <s v="D. BAUTISTA"/>
    <x v="0"/>
  </r>
  <r>
    <n v="322"/>
    <s v="C. CASTRO"/>
    <d v="1899-12-30T03:40:00"/>
    <x v="51"/>
    <x v="10"/>
    <s v="Repetitiva"/>
    <s v="Cambio de castañas para trabajo de papel."/>
    <d v="1899-12-30T04:00:00"/>
    <d v="1899-12-30T04:30:00"/>
    <d v="2025-11-28T00:00:00"/>
    <s v="Mecánica"/>
    <s v="Se modifican posiciones de castañas para trabajar papel por petición de producción."/>
    <s v="NA"/>
    <s v="NA"/>
    <s v="O. DUARTE"/>
    <x v="0"/>
  </r>
  <r>
    <n v="323"/>
    <s v="A. CESPEDES"/>
    <d v="1899-12-30T06:40:00"/>
    <x v="51"/>
    <x v="13"/>
    <s v="Puntual"/>
    <s v="Cambio de teflon"/>
    <d v="1899-12-30T06:40:00"/>
    <d v="1899-12-30T07:20:00"/>
    <d v="2025-11-28T00:00:00"/>
    <s v="Mecánica"/>
    <s v="Cambio de teflon"/>
    <s v="NA"/>
    <s v="NA"/>
    <s v="L. CASTILLA"/>
    <x v="0"/>
  </r>
  <r>
    <n v="324"/>
    <s v="D. ZAMORA"/>
    <d v="1899-12-30T08:40:00"/>
    <x v="35"/>
    <x v="10"/>
    <s v="Repetitiva"/>
    <s v="Cambio de castañas y de pisadores."/>
    <d v="1899-12-30T08:40:00"/>
    <d v="1899-12-30T09:00:00"/>
    <d v="2025-11-22T00:00:00"/>
    <s v="Mecánica"/>
    <s v="Calibración y organización de castañas."/>
    <s v="NA"/>
    <s v="NA"/>
    <s v="L. CASTILLA"/>
    <x v="0"/>
  </r>
  <r>
    <n v="325"/>
    <s v="D. ZAMORA"/>
    <d v="1899-12-30T14:10:00"/>
    <x v="51"/>
    <x v="10"/>
    <s v="Repetitiva"/>
    <s v="Se pincha la manguera del rebobinador superior."/>
    <d v="1899-12-30T14:10:00"/>
    <d v="1899-12-30T15:00:00"/>
    <d v="2025-11-28T00:00:00"/>
    <s v="Neumática"/>
    <s v="Manguera dañada se cambia a una nueva, se coloca recubrimiento de manguera."/>
    <s v="Manguera expansiva."/>
    <s v="NA"/>
    <s v="C. ORTEGA"/>
    <x v="0"/>
  </r>
  <r>
    <n v="326"/>
    <s v="M. MARTINEZ"/>
    <d v="1899-12-30T17:15:00"/>
    <x v="51"/>
    <x v="4"/>
    <s v="Puntual"/>
    <s v="La prensa no cierra."/>
    <d v="1899-12-30T17:15:00"/>
    <d v="1899-12-30T18:00:00"/>
    <d v="2025-11-28T00:00:00"/>
    <s v="Mecánica"/>
    <s v="La prensa se encuentra desalineada, se desmonta seguros y mordazas, se alinea y se da ajuste a pensa."/>
    <s v="NA"/>
    <s v="NA"/>
    <s v="D. BAUTISTA"/>
    <x v="0"/>
  </r>
  <r>
    <n v="327"/>
    <s v="J. PARDO"/>
    <d v="1899-12-30T19:10:00"/>
    <x v="51"/>
    <x v="7"/>
    <s v="Puntual"/>
    <s v="Rodamiento caido."/>
    <d v="1899-12-30T19:10:00"/>
    <d v="1899-12-30T19:30:00"/>
    <d v="2025-11-28T00:00:00"/>
    <s v="Mecánica"/>
    <s v="Se cambia rodamiento y buje en el soporte de bobinador ya que se encuentra dañado."/>
    <s v="1 Rodamiento 3202"/>
    <s v="NA"/>
    <s v="D. BAUTISTA"/>
    <x v="0"/>
  </r>
  <r>
    <n v="328"/>
    <s v="M. MARTINEZ"/>
    <d v="1899-12-30T18:25:00"/>
    <x v="51"/>
    <x v="2"/>
    <s v="Puntual"/>
    <s v="Falla en la fotocelda, no toma lectura."/>
    <d v="1899-12-30T18:25:00"/>
    <d v="1899-12-30T18:40:00"/>
    <d v="2025-11-28T00:00:00"/>
    <s v="Eléctrica"/>
    <s v="Se ajusta posición de fotocelda y se realizan pruebas en funcionamiento."/>
    <s v="NA"/>
    <s v="NA"/>
    <s v="D. BAUTISTA"/>
    <x v="0"/>
  </r>
  <r>
    <n v="329"/>
    <s v="D. ARIETA"/>
    <d v="1899-12-30T17:45:00"/>
    <x v="52"/>
    <x v="7"/>
    <s v="Puntual"/>
    <s v="Falla bomba neumatica"/>
    <d v="1899-12-30T18:00:00"/>
    <d v="1899-12-30T18:20:00"/>
    <d v="2025-11-29T00:00:00"/>
    <s v="Mecánica"/>
    <s v="Se realiza inspección de bomba neumatica ya que no genera succión ni subida de tinta, se realiza desmonte y los acoples se encuentran obstruidos por material, se ensambla y se prueba."/>
    <s v="NA"/>
    <s v="NA"/>
    <s v="D. BAUTISTA"/>
    <x v="0"/>
  </r>
  <r>
    <n v="330"/>
    <s v="D. CUESTA"/>
    <d v="1899-12-30T19:00:00"/>
    <x v="52"/>
    <x v="6"/>
    <s v="Puntual"/>
    <s v="Revisar rotación presentando falla"/>
    <d v="1899-12-30T19:00:00"/>
    <d v="1899-12-30T22:00:00"/>
    <d v="2025-11-29T00:00:00"/>
    <s v="Mecánica"/>
    <s v="Se encuentra falla en rotación, se realiza inspección y se encuentra que la rotación se frena, se evidencia un rodamiento frenado en la rotación y se cambia."/>
    <s v="1 Rodamiento MCFR 52AS"/>
    <s v="NA"/>
    <s v="D. BAUTISTA"/>
    <x v="0"/>
  </r>
  <r>
    <n v="331"/>
    <s v="D. CUESTA"/>
    <d v="1899-12-30T04:50:00"/>
    <x v="53"/>
    <x v="6"/>
    <s v="Puntual"/>
    <s v="Revisar barra se le sale el aire."/>
    <d v="1899-12-30T04:50:00"/>
    <d v="1899-12-30T05:10:00"/>
    <d v="2025-11-30T00:00:00"/>
    <s v="Neumática"/>
    <s v="Se encuentra fuga por valvula, se realiza limpieza a esta, se monto nuevamente y se realizan pruebas."/>
    <s v="NA"/>
    <s v="NA"/>
    <s v="D. BAUTISTA"/>
    <x v="0"/>
  </r>
  <r>
    <n v="332"/>
    <s v="A. CESPEDES"/>
    <d v="1899-12-30T12:20:00"/>
    <x v="53"/>
    <x v="12"/>
    <s v="Puntual"/>
    <s v="El material no avanza."/>
    <m/>
    <m/>
    <m/>
    <m/>
    <m/>
    <m/>
    <m/>
    <m/>
    <x v="2"/>
  </r>
  <r>
    <n v="333"/>
    <s v="DANIELA"/>
    <d v="1899-12-30T09:10:00"/>
    <x v="53"/>
    <x v="7"/>
    <s v="Puntual"/>
    <s v="Brazo de desembobinador."/>
    <d v="1899-12-30T09:10:00"/>
    <d v="1899-12-30T10:15:00"/>
    <d v="2025-11-30T00:00:00"/>
    <s v="Mecánica"/>
    <s v="Base brazo desembobinador inferior partido, se fabriica soporte y se traslada el superior al inferior, se ajustan tornillos de base brazo posterior que tambien se desajustaron."/>
    <s v="NA"/>
    <s v="NA"/>
    <s v="L. CASTILLA"/>
    <x v="0"/>
  </r>
  <r>
    <n v="334"/>
    <s v="F. SANCHEZ"/>
    <d v="1899-12-30T18:50:00"/>
    <x v="53"/>
    <x v="6"/>
    <s v="Puntual"/>
    <s v="Problemas para cerrar las paletas, no funcionaba para poder cerrar y abrir."/>
    <d v="1899-12-30T19:00:00"/>
    <d v="1899-12-30T21:30:00"/>
    <d v="2025-11-30T00:00:00"/>
    <s v="Eléctrica"/>
    <s v="Se realiza inspección de sistema de paletas inferiores, los cuales no abren ni cierran, se realizan pruebas, se evidencia cable de alimentación abierto, se realiza intercambio, se ajusta posición de las paletas y se realizan pruebas de funcionamiento."/>
    <s v="NA"/>
    <s v="NA"/>
    <s v="D. BAUTISTA"/>
    <x v="0"/>
  </r>
  <r>
    <n v="335"/>
    <s v="F. SANCHEZ"/>
    <d v="1899-12-30T18:50:00"/>
    <x v="53"/>
    <x v="6"/>
    <s v="Puntual"/>
    <s v="El motor de la paleta lado derecho esta que se cae, tiene las bases paridas."/>
    <m/>
    <m/>
    <m/>
    <m/>
    <m/>
    <m/>
    <m/>
    <m/>
    <x v="2"/>
  </r>
  <r>
    <n v="336"/>
    <s v="F. SANCHEZ"/>
    <d v="1899-12-30T20:20:00"/>
    <x v="53"/>
    <x v="6"/>
    <s v="Puntual"/>
    <s v="Tubo de la antiestatica se salio en el material al cambio de bobina del embobinador, ese tubo estaba en condiciones malas, no estaba funcionando, la estatica lleva tiempo sin funcionar."/>
    <d v="1899-12-30T20:30:00"/>
    <d v="1899-12-30T20:00:00"/>
    <d v="2025-11-30T00:00:00"/>
    <s v="Mecánica"/>
    <s v="Se apoya a retirar de la antiestatica atascada en la pelicula de bobinador A, se desconecta y se dejo en el taller. Se monta RQ para la reparación."/>
    <s v="NA"/>
    <s v="NA"/>
    <s v="D. BAUTISTA"/>
    <x v="0"/>
  </r>
  <r>
    <n v="337"/>
    <s v="J. MIRANDA"/>
    <d v="1899-12-30T07:40:00"/>
    <x v="54"/>
    <x v="15"/>
    <s v="NA"/>
    <s v="Falla en la temperatura del barril, no estabiliza."/>
    <d v="1899-12-30T07:40:00"/>
    <d v="1899-12-30T08:15:00"/>
    <d v="2025-12-01T00:00:00"/>
    <s v="Eléctrica"/>
    <s v="Se observa contactor pegado, se hace cambio, se revisa resistencia, se hace seguimiento."/>
    <s v="1 Contactor 32 A"/>
    <s v="NA"/>
    <s v="O. DUARTE"/>
    <x v="0"/>
  </r>
  <r>
    <n v="338"/>
    <s v="L. GARZON"/>
    <d v="1899-12-30T08:25:00"/>
    <x v="54"/>
    <x v="4"/>
    <s v="Puntual"/>
    <s v="Máquina se para y se apaga el tablero."/>
    <d v="1899-12-30T08:25:00"/>
    <d v="1899-12-30T08:40:00"/>
    <d v="2025-12-01T00:00:00"/>
    <s v="Eléctrica"/>
    <s v="Se ajusta conexión servoFriF, Se enciende y entrega trabajando."/>
    <s v="NA"/>
    <s v="NA"/>
    <s v="L. FLOREZ"/>
    <x v="0"/>
  </r>
  <r>
    <n v="339"/>
    <s v="J. MIRANDA"/>
    <d v="1899-12-30T06:00:00"/>
    <x v="55"/>
    <x v="3"/>
    <s v="Puntual"/>
    <s v="Prensa del embobinador se esta frenando"/>
    <m/>
    <m/>
    <m/>
    <m/>
    <m/>
    <m/>
    <m/>
    <m/>
    <x v="2"/>
  </r>
  <r>
    <n v="340"/>
    <s v="L. ANTONIO"/>
    <d v="1899-12-30T10:30:00"/>
    <x v="54"/>
    <x v="6"/>
    <s v="Puntual"/>
    <s v="Se para rotación continuamente."/>
    <m/>
    <m/>
    <m/>
    <m/>
    <m/>
    <m/>
    <m/>
    <m/>
    <x v="2"/>
  </r>
  <r>
    <n v="341"/>
    <s v="D. ARIETA"/>
    <d v="1899-12-30T10:30:00"/>
    <x v="54"/>
    <x v="7"/>
    <s v="Puntual"/>
    <s v="Control de mando (botones), esta para cambio."/>
    <m/>
    <m/>
    <m/>
    <s v="Eléctrica"/>
    <s v="Se observa botonera no optura se destapa se encuentran componentes rotos, se solicita cambio total pendiente"/>
    <m/>
    <m/>
    <m/>
    <x v="2"/>
  </r>
  <r>
    <n v="342"/>
    <s v="D. CUESTA"/>
    <d v="1899-12-30T11:15:00"/>
    <x v="54"/>
    <x v="7"/>
    <s v="Puntual"/>
    <s v="El pisador del embobinador."/>
    <d v="1899-12-30T11:25:00"/>
    <d v="1899-12-30T12:20:00"/>
    <d v="2025-12-01T00:00:00"/>
    <s v="Mecánica"/>
    <s v="Se observa tornillos rotos del pisador, se perforan y se extraen para el cambio, se repasa rosca."/>
    <s v="2 Tornillos M8 X 30 mm"/>
    <s v="NA"/>
    <s v="O. DUARTE"/>
    <x v="0"/>
  </r>
  <r>
    <n v="343"/>
    <s v="D. CUESTA"/>
    <d v="1899-12-30T01:40:00"/>
    <x v="36"/>
    <x v="1"/>
    <s v="Puntual"/>
    <s v="Revisar temperatura de la rotación."/>
    <d v="1899-12-30T01:40:00"/>
    <d v="1899-12-30T08:00:00"/>
    <d v="2025-12-02T00:00:00"/>
    <s v="Eléctrica"/>
    <s v="Se verifica conexión de termocuplas elevadas, se verifica que no este desconectada."/>
    <s v="NA"/>
    <s v="NA"/>
    <s v="C. ORTEGA"/>
    <x v="0"/>
  </r>
  <r>
    <n v="344"/>
    <s v="M. MARTINEZ"/>
    <d v="1899-12-30T00:01:00"/>
    <x v="36"/>
    <x v="4"/>
    <s v="Puntual"/>
    <s v="Termocupla y temperatura."/>
    <d v="1899-12-30T00:01:00"/>
    <d v="1899-12-30T02:00:00"/>
    <d v="2025-12-02T00:00:00"/>
    <s v="Eléctrica"/>
    <s v="Se verifican los 220V de salida en la termocupla inferior de 14A en el controlador marca 29°C y en la termocupla no se refleja ese valor."/>
    <s v="1 TERMOCUPLA"/>
    <s v="NA"/>
    <s v="C. ORTEGA"/>
    <x v="0"/>
  </r>
  <r>
    <n v="345"/>
    <s v="M. MARTINEZ"/>
    <d v="1899-12-30T03:00:00"/>
    <x v="36"/>
    <x v="4"/>
    <s v="Repetitiva"/>
    <s v="Correas sueltas."/>
    <d v="1899-12-30T03:00:00"/>
    <d v="1899-12-30T04:00:00"/>
    <d v="2025-12-02T00:00:00"/>
    <s v="Mecánica"/>
    <s v="Rodillo con poca tensión se coloca arandela, guaza para ajustar."/>
    <s v="1 ARANDELA, 1 GUAZA, 1 TORNILLO M6 X 40"/>
    <s v="NA"/>
    <s v="C. ORTEGA"/>
    <x v="0"/>
  </r>
  <r>
    <n v="346"/>
    <s v="O. VALENCIA"/>
    <d v="1899-12-30T10:16:00"/>
    <x v="36"/>
    <x v="11"/>
    <s v="Puntual"/>
    <s v="Daño en base del motoro secadora, Daño en caja del motor ajitador."/>
    <d v="1899-12-30T10:16:00"/>
    <d v="1899-12-30T11:22:00"/>
    <d v="2025-12-02T00:00:00"/>
    <s v="Mecánica"/>
    <s v="Se rectifican roscas e instalan tornillos nuevos, se entrga el equipo bien."/>
    <s v="NA"/>
    <s v="NA"/>
    <s v="L. FLOREZ"/>
    <x v="0"/>
  </r>
  <r>
    <n v="347"/>
    <s v="L. GARZON"/>
    <d v="1899-12-30T11:00:00"/>
    <x v="36"/>
    <x v="13"/>
    <s v="Puntual"/>
    <s v="Falla en el suministro de aire despues de haberse ido la energia eléctrica."/>
    <d v="1899-12-30T11:15:00"/>
    <d v="1899-12-30T12:00:00"/>
    <d v="2025-12-02T00:00:00"/>
    <s v="Eléctrica"/>
    <s v="Se encuentraa aire de flauta inferior directa, se realiza inspección de parametros y ajuste de conexiones."/>
    <s v="NA"/>
    <s v="NA"/>
    <s v="D. BAUTISTA"/>
    <x v="0"/>
  </r>
  <r>
    <n v="348"/>
    <s v="L. GARZON"/>
    <d v="1899-12-30T10:00:00"/>
    <x v="36"/>
    <x v="4"/>
    <s v="Puntual"/>
    <s v="Daño en el tornillo de rodillo del transportador."/>
    <d v="1899-12-30T10:00:00"/>
    <d v="1899-12-30T10:30:00"/>
    <d v="2025-12-02T00:00:00"/>
    <s v="Mecánica"/>
    <s v="Se ajusta tornillo con arandelas y se coloca tornillo de respaldo para que se mantenga."/>
    <s v="TORNILLOS Y ARANDELAS"/>
    <s v="NA"/>
    <s v="O. DUARTE"/>
    <x v="0"/>
  </r>
  <r>
    <n v="349"/>
    <s v="J. PARDO"/>
    <d v="1899-12-30T16:40:00"/>
    <x v="36"/>
    <x v="7"/>
    <s v="Puntual"/>
    <s v="Tornillo partido"/>
    <d v="1899-12-30T16:40:00"/>
    <d v="1899-12-30T17:00:00"/>
    <d v="2025-12-02T00:00:00"/>
    <s v="Mecánica"/>
    <s v="Manila con tornillo roto de desembobinador, se aplica soldadura quedando OK."/>
    <s v="NA"/>
    <s v="1 Soldadura."/>
    <s v="L. CASTILLA"/>
    <x v="0"/>
  </r>
  <r>
    <n v="350"/>
    <m/>
    <m/>
    <x v="3"/>
    <x v="5"/>
    <m/>
    <m/>
    <m/>
    <m/>
    <m/>
    <m/>
    <m/>
    <m/>
    <m/>
    <m/>
    <x v="1"/>
  </r>
  <r>
    <n v="351"/>
    <s v="H. TRIANA"/>
    <d v="1899-12-30T21:30:00"/>
    <x v="36"/>
    <x v="8"/>
    <s v="Puntual"/>
    <s v="Falla en las zona 1 del molde."/>
    <d v="1899-12-30T20:40:00"/>
    <d v="1899-12-30T21:10:00"/>
    <d v="2025-12-02T00:00:00"/>
    <s v="Eléctrica"/>
    <s v="Rele de estado solido averiado, se realiza cambio por uno nuevo."/>
    <s v="1 Rele de estado solido"/>
    <s v="NA"/>
    <s v="L. CASTILLA"/>
    <x v="0"/>
  </r>
  <r>
    <n v="352"/>
    <s v="O. ARRIETA"/>
    <d v="1899-12-30T01:43:00"/>
    <x v="56"/>
    <x v="7"/>
    <s v="Puntual"/>
    <s v="Rodamiento de el embobinador."/>
    <d v="1899-12-30T01:43:00"/>
    <d v="1899-12-30T02:00:00"/>
    <d v="2025-12-03T00:00:00"/>
    <s v="Mecánica"/>
    <s v="Se cambia rodamiento que se daño la jaula se saca y se devuelve a colocar ajustando tornillos."/>
    <s v="1 Rodamiento 3202"/>
    <s v="NA"/>
    <s v="C. ORTEGA"/>
    <x v="0"/>
  </r>
  <r>
    <n v="353"/>
    <m/>
    <m/>
    <x v="3"/>
    <x v="5"/>
    <m/>
    <m/>
    <m/>
    <m/>
    <m/>
    <m/>
    <m/>
    <m/>
    <m/>
    <m/>
    <x v="1"/>
  </r>
  <r>
    <n v="354"/>
    <s v="Y. BERNAL"/>
    <d v="1899-12-30T12:15:00"/>
    <x v="56"/>
    <x v="18"/>
    <s v="Puntual"/>
    <s v="Se reporta a mantenimiento correa porfuera del rodillo"/>
    <d v="1899-12-30T12:30:00"/>
    <d v="1899-12-30T01:00:00"/>
    <d v="2025-12-03T00:00:00"/>
    <s v="Mecánica"/>
    <s v="Se tensiona correa, se ajusta polea."/>
    <s v="NA"/>
    <s v="NA"/>
    <s v="O. DUARTE"/>
    <x v="0"/>
  </r>
  <r>
    <n v="355"/>
    <s v="K. RAMOS"/>
    <d v="1899-12-30T16:30:00"/>
    <x v="56"/>
    <x v="6"/>
    <s v="Puntual"/>
    <s v="Fallo en la pinza de lectura, se cae."/>
    <d v="1899-12-30T17:20:00"/>
    <d v="1899-12-30T18:50:00"/>
    <d v="2025-12-03T00:00:00"/>
    <s v="Mecánica"/>
    <s v="Pinza con soporte malobrado y conector roto, se rectifican roscas soporte y se construyen pines de acople quedando funcional."/>
    <s v="2 Tornillos M5 X 20mm"/>
    <s v="NA"/>
    <s v="L. CASTILLA"/>
    <x v="0"/>
  </r>
  <r>
    <n v="356"/>
    <s v="D. CUESTA"/>
    <d v="1899-12-30T23:30:00"/>
    <x v="56"/>
    <x v="8"/>
    <s v="Puntual"/>
    <s v="Revisar zona porta mallas exterior, no se para máquina."/>
    <d v="1899-12-30T23:35:00"/>
    <d v="1899-12-30T00:00:00"/>
    <d v="2025-12-03T00:00:00"/>
    <s v="Eléctrica"/>
    <s v="Termocupla no corresponde o es adecuada para la máquina, se realiza cambio por tipo J."/>
    <s v="1 Termocupla tipo J"/>
    <s v="NA"/>
    <s v="L. CASTILLA"/>
    <x v="0"/>
  </r>
  <r>
    <n v="357"/>
    <s v="D. ZAMORA"/>
    <d v="1899-12-30T23:50:00"/>
    <x v="56"/>
    <x v="10"/>
    <s v="Repetitiva"/>
    <s v="Cambio de castañas y de pisadores."/>
    <d v="1899-12-30T00:00:00"/>
    <d v="1899-12-30T00:20:00"/>
    <d v="2025-12-03T00:00:00"/>
    <s v="Mecánica"/>
    <s v="Cambio de rodillos y castañas."/>
    <s v="NA"/>
    <s v="NA"/>
    <s v="L. CASTILLA"/>
    <x v="0"/>
  </r>
  <r>
    <n v="358"/>
    <s v="D. ZAMORA"/>
    <d v="1899-12-30T02:40:00"/>
    <x v="57"/>
    <x v="10"/>
    <s v="Puntual"/>
    <s v="Se entorcha la manguera del rebobinador superior."/>
    <d v="1899-12-30T02:45:00"/>
    <d v="1899-12-30T03:15:00"/>
    <d v="2025-12-04T00:00:00"/>
    <s v="Mecánica"/>
    <s v="Manguera enrollada se desmontan castañas y se realiza cambio de felpa corrigiendo error."/>
    <s v="NA"/>
    <s v="NA"/>
    <s v="L. CASTILLA"/>
    <x v="0"/>
  </r>
  <r>
    <n v="359"/>
    <s v="S. CARDENAL"/>
    <d v="1899-12-30T03:30:00"/>
    <x v="57"/>
    <x v="4"/>
    <s v="Puntual"/>
    <s v="La cuchilla no sube."/>
    <d v="1899-12-30T03:30:00"/>
    <d v="1899-12-30T03:50:00"/>
    <d v="2025-12-04T00:00:00"/>
    <s v="Mecánica"/>
    <s v="Correas mordaza motor destensionados, se realiza calibración."/>
    <s v="NA"/>
    <s v="NA"/>
    <s v="L. CASTILLA"/>
    <x v="0"/>
  </r>
  <r>
    <n v="360"/>
    <m/>
    <m/>
    <x v="3"/>
    <x v="5"/>
    <m/>
    <m/>
    <m/>
    <m/>
    <m/>
    <m/>
    <m/>
    <m/>
    <m/>
    <m/>
    <x v="1"/>
  </r>
  <r>
    <n v="361"/>
    <s v="O. CESPEDES"/>
    <d v="1899-12-30T08:35:00"/>
    <x v="57"/>
    <x v="10"/>
    <s v="Puntual"/>
    <s v="Daño de máquina por motor, se esta recalentando."/>
    <d v="1899-12-30T09:00:00"/>
    <d v="1899-12-30T11:41:00"/>
    <d v="2025-12-04T00:00:00"/>
    <s v="Eléctrica"/>
    <s v="Se desmonta motor por recalentamiento, se hace cambio de rodamientos, se fabrica jaula y estator, se ajusta y se instala nuevamente."/>
    <s v="1 RODAMIENTO 6205  // 1 RODAMIENTO 6206 2Z."/>
    <s v="NA"/>
    <s v="O. DUARTE"/>
    <x v="0"/>
  </r>
  <r>
    <n v="362"/>
    <s v="A. CESPEDES"/>
    <d v="1899-12-30T14:30:00"/>
    <x v="7"/>
    <x v="4"/>
    <s v="Puntual"/>
    <s v="Daño en termocupla."/>
    <d v="1899-12-30T14:30:00"/>
    <d v="1899-12-30T15:15:00"/>
    <d v="2025-12-04T00:00:00"/>
    <s v="Eléctrica"/>
    <s v="Se extrae termocupla partida en la cuchilla."/>
    <s v="1 Termocupla"/>
    <s v="NA"/>
    <s v="O. DUARTE"/>
    <x v="0"/>
  </r>
  <r>
    <n v="363"/>
    <s v="K. RAMOS"/>
    <d v="1899-12-30T14:00:00"/>
    <x v="57"/>
    <x v="6"/>
    <s v="Puntual"/>
    <s v="Se pincha maquina y se pasa la pelicula para un solo lado, el auxiliar apaga los bobinadores y los vuelve a prender, generando que la pelicula se llevara el faisi para dentro y torcerlo."/>
    <d v="1899-12-30T14:00:00"/>
    <d v="1899-12-30T19:30:00"/>
    <d v="2025-12-04T00:00:00"/>
    <s v="Mecánica"/>
    <s v="Se encuentra pinza fife en malas condiciones, se realiza ajuste electronicamente de tarjeta, cableado y sistema fife."/>
    <s v="NA"/>
    <s v="NA"/>
    <s v="D. BAUTISTA"/>
    <x v="0"/>
  </r>
  <r>
    <n v="364"/>
    <s v="D. ZAMORA"/>
    <d v="1899-12-30T18:00:00"/>
    <x v="57"/>
    <x v="10"/>
    <s v="Puntual"/>
    <s v="Cambio de posición de las castañas."/>
    <d v="1899-12-30T18:10:00"/>
    <d v="1899-12-30T18:20:00"/>
    <d v="2025-12-04T00:00:00"/>
    <s v="Mecánica"/>
    <s v="Se realiza ajuste de castañas para reproceso, por peticion de producción."/>
    <s v="NA"/>
    <s v="NA"/>
    <s v="D. BAUTISTA"/>
    <x v="0"/>
  </r>
  <r>
    <n v="365"/>
    <s v="D. ZAMORA"/>
    <d v="1899-12-30T18:50:00"/>
    <x v="57"/>
    <x v="10"/>
    <s v="Repetitiva"/>
    <s v="Se pincha la manguera del rebobinador inferior."/>
    <d v="1899-12-30T19:00:00"/>
    <d v="1899-12-30T20:30:00"/>
    <d v="2025-12-04T00:00:00"/>
    <s v="Neumática"/>
    <s v="Se encuentra 2 mangueras fisuradas, se realiza el cambio, se cambia el recubrimiento, haciendo falta separadores de teflon en los dos embobinadores."/>
    <s v="Mnaguera expansiva."/>
    <s v="Felpa aislante."/>
    <s v="D. BAUTISTA"/>
    <x v="0"/>
  </r>
  <r>
    <n v="366"/>
    <s v="S. CARDENAL"/>
    <d v="1899-12-30T23:40:00"/>
    <x v="57"/>
    <x v="4"/>
    <s v="Puntual"/>
    <s v="Rodamiento dañado."/>
    <d v="1899-12-30T23:40:00"/>
    <d v="1899-12-30T00:00:00"/>
    <d v="2025-12-04T00:00:00"/>
    <s v="Mecánica"/>
    <s v="Se realiza cambio de rodamiento de eje deembobinador y se instala pin expandible."/>
    <s v="1 rodamiento NA6904-XL. 1 pin expamsivo 6mm X 50 mm."/>
    <s v="NA"/>
    <s v="D. BAUTISTA"/>
    <x v="0"/>
  </r>
  <r>
    <n v="367"/>
    <s v="J. PARDO"/>
    <d v="1899-12-30T20:30:00"/>
    <x v="57"/>
    <x v="7"/>
    <s v="Puntual"/>
    <s v="Bomba de tinta no arranca."/>
    <d v="1899-12-30T20:30:00"/>
    <d v="1899-12-30T20:45:00"/>
    <d v="2025-12-04T00:00:00"/>
    <s v="Neumática"/>
    <s v="Se encuentra bomba de tinta con manguera obstruida por material, se requiere un filtro para desconectar y evitar que se tape las mangueras."/>
    <s v="NA"/>
    <s v="NA"/>
    <s v="D. BAUTISTA"/>
    <x v="0"/>
  </r>
  <r>
    <n v="368"/>
    <s v="K. RAMOS"/>
    <d v="1899-12-30T23:50:00"/>
    <x v="57"/>
    <x v="6"/>
    <s v="Puntual"/>
    <s v="Fallo en pantalla."/>
    <d v="1899-12-30T00:00:00"/>
    <d v="1899-12-30T00:40:00"/>
    <d v="2025-12-04T00:00:00"/>
    <s v="Eléctrica"/>
    <s v="Se encuentra falla de ventiladores en torre de la pantalla, se desenebra la maquina, se revisan blowers de las flautas los cuales se observan en buen estado."/>
    <s v="NA"/>
    <s v="NA"/>
    <s v="D. BAUTISTA"/>
    <x v="0"/>
  </r>
  <r>
    <n v="369"/>
    <s v="S. CARDENAL"/>
    <d v="1899-12-30T03:00:00"/>
    <x v="58"/>
    <x v="4"/>
    <s v="Puntual"/>
    <s v="Se daña la puerta de la guarda."/>
    <d v="1899-12-30T03:00:00"/>
    <d v="1899-12-30T03:15:00"/>
    <d v="2025-12-05T00:00:00"/>
    <s v="Mecánica"/>
    <s v="Se parte bisagra de puerta de acceso a fotocelda y máquina se desabilita, se puentean sensores de presencia para poder trabajar, se deben cambiar las bisagras."/>
    <s v="NA"/>
    <s v="NA"/>
    <s v="D. BAUTISTA"/>
    <x v="0"/>
  </r>
  <r>
    <n v="370"/>
    <s v="J. PARDO"/>
    <d v="1899-12-30T04:00:00"/>
    <x v="58"/>
    <x v="7"/>
    <s v="Puntual"/>
    <s v="Se daña el eje mecánico."/>
    <d v="1899-12-30T04:00:00"/>
    <d v="1899-12-30T04:20:00"/>
    <d v="2025-12-05T00:00:00"/>
    <s v="Mecánica"/>
    <s v="Se ajusta piñon de eje y se solda para dar ajuste."/>
    <s v="NA"/>
    <s v="NA"/>
    <s v="D. BAUTISTA"/>
    <x v="0"/>
  </r>
  <r>
    <n v="371"/>
    <s v="D. MIRANDA"/>
    <d v="1899-12-30T08:09:00"/>
    <x v="58"/>
    <x v="21"/>
    <s v="Puntual"/>
    <s v="Cable suelto en el barril, afectando la temperatura."/>
    <d v="1899-12-30T08:20:00"/>
    <d v="1899-12-30T08:30:00"/>
    <d v="2025-12-05T00:00:00"/>
    <s v="Eléctrica"/>
    <s v="Terminal del circuito barril esta abierta, se realiza cambio y conexión quedando funcional."/>
    <s v="1 terminal tipo ojo #8."/>
    <s v="NA"/>
    <s v="L. CASTILLA"/>
    <x v="0"/>
  </r>
  <r>
    <n v="372"/>
    <s v="L. GARZON"/>
    <d v="1899-12-30T09:40:00"/>
    <x v="58"/>
    <x v="4"/>
    <s v="Puntual"/>
    <s v="Se apaga el tablero de la maquina y se apaga."/>
    <d v="1899-12-30T09:55:00"/>
    <d v="1899-12-30T10:05:00"/>
    <d v="2025-12-05T00:00:00"/>
    <s v="Eléctrica"/>
    <s v="Conector abierto o suelto en la pantalla, se realiza ajuste quedando funcional."/>
    <s v="NA"/>
    <s v="NA"/>
    <s v="L. CASTILLA"/>
    <x v="0"/>
  </r>
  <r>
    <n v="373"/>
    <s v="O. ALVAREZ"/>
    <d v="1899-12-30T16:30:00"/>
    <x v="58"/>
    <x v="9"/>
    <s v="Puntual"/>
    <s v="El flay no estaba leyendo."/>
    <d v="1899-12-30T16:30:00"/>
    <d v="1899-12-30T17:00:00"/>
    <d v="2025-12-05T00:00:00"/>
    <s v="Neumática"/>
    <s v="Parilla del paso del aceite pedido tuerca, se repone tuerca y se realiza calibración."/>
    <s v="1 tuerca M6."/>
    <s v="NA"/>
    <s v="L. CASTILLA"/>
    <x v="0"/>
  </r>
  <r>
    <n v="374"/>
    <s v="NA"/>
    <d v="1899-12-30T19:40:00"/>
    <x v="58"/>
    <x v="4"/>
    <s v="Puntual"/>
    <s v="Daño en varilla soporte precorte, la maquina se bloquea y se apaga sola."/>
    <d v="1899-12-30T19:40:00"/>
    <m/>
    <d v="2025-12-05T00:00:00"/>
    <s v="Mecánica"/>
    <s v="Se solda un tornillo con tuerca para dar ajuste, se hace seguimiento, falla el servo de control, se evidencia que presenta dañado el cable de datos."/>
    <s v="Tornillo M8 con tuerca"/>
    <s v="NA"/>
    <s v="NA"/>
    <x v="0"/>
  </r>
  <r>
    <n v="375"/>
    <s v="L. GARZON"/>
    <d v="1899-12-30T08:00:00"/>
    <x v="59"/>
    <x v="4"/>
    <s v="Repetitiva"/>
    <s v="La maquina se apaga el tablero y se para intermitente."/>
    <d v="1899-12-30T08:00:00"/>
    <d v="1899-12-30T14:15:00"/>
    <d v="2025-12-06T00:00:00"/>
    <s v="Eléctrica"/>
    <s v="Se encuentra fallando pantalla de control, se apaga y se reinicia, se realiza ajuste de conectores y limpieza, se tiene en seguimiento durante el turno."/>
    <s v="NA"/>
    <s v="NA"/>
    <s v="D. BAUTISTA"/>
    <x v="0"/>
  </r>
  <r>
    <n v="376"/>
    <s v="L. GARZON"/>
    <d v="1899-12-30T11:00:00"/>
    <x v="59"/>
    <x v="0"/>
    <s v="Puntual"/>
    <s v="Muletilla de transportador suelta."/>
    <d v="1899-12-30T10:50:00"/>
    <d v="1899-12-30T11:01:00"/>
    <d v="2025-12-06T00:00:00"/>
    <s v="Mecánica"/>
    <s v="Se encuentra muletilla de arranque del transportador con base partida, se realiza el cambio y se da ajuste."/>
    <s v="1 Base de muletilla."/>
    <s v="NA"/>
    <s v="D. BAUTISTA"/>
    <x v="0"/>
  </r>
  <r>
    <n v="377"/>
    <s v="J. GOMEZ"/>
    <d v="1899-12-30T07:30:00"/>
    <x v="59"/>
    <x v="24"/>
    <s v="Puntual"/>
    <s v="Tornillo y llave de ajuste de la mordaza en mal estado."/>
    <d v="1899-12-30T07:30:00"/>
    <d v="1899-12-30T08:00:00"/>
    <d v="2025-12-06T00:00:00"/>
    <s v="Mecánica"/>
    <s v="Se realiza cambio del tornillo de ajuste ya que perdio el cuadrante y se fabrica una llave T."/>
    <s v="1 llave bristol 3/8"/>
    <s v="NA"/>
    <s v="D. BAUTISTA"/>
    <x v="0"/>
  </r>
  <r>
    <n v="378"/>
    <s v="K. RAMOS"/>
    <d v="1899-12-30T09:00:00"/>
    <x v="59"/>
    <x v="6"/>
    <s v="Puntual"/>
    <s v="Brazo de alimentacion no sube."/>
    <d v="1899-12-30T09:00:00"/>
    <d v="1899-12-30T09:30:00"/>
    <d v="2025-12-06T00:00:00"/>
    <s v="Neumática"/>
    <s v="Se encuentran tornillos de ajuste de soporte del actuador de alimentación partidos, se extraen y se realiza el cambio."/>
    <s v="2 Tornillos M4 X 20 mm avellanados."/>
    <s v="NA"/>
    <s v="D. BAUTISTA"/>
    <x v="0"/>
  </r>
  <r>
    <n v="379"/>
    <s v="A. CESPEDES"/>
    <d v="1899-12-30T15:30:00"/>
    <x v="59"/>
    <x v="4"/>
    <s v="Repetitiva"/>
    <s v="Daño en el soporte del precorte."/>
    <d v="1899-12-30T15:30:00"/>
    <d v="1899-12-30T15:55:00"/>
    <d v="2025-12-06T00:00:00"/>
    <s v="Mecánica"/>
    <s v="Se parte el espigo de actuador del sistema de precorte, se realiza cambio de actuador."/>
    <s v="1 actuador DSBC-32-25-PPVA-N3"/>
    <s v="NA"/>
    <s v="D. BAUTISTA"/>
    <x v="0"/>
  </r>
  <r>
    <n v="380"/>
    <m/>
    <m/>
    <x v="3"/>
    <x v="5"/>
    <m/>
    <m/>
    <m/>
    <m/>
    <m/>
    <m/>
    <m/>
    <m/>
    <m/>
    <m/>
    <x v="1"/>
  </r>
  <r>
    <n v="381"/>
    <s v="K. RAMOS"/>
    <d v="1899-12-30T04:45:00"/>
    <x v="60"/>
    <x v="6"/>
    <s v="Puntual"/>
    <s v="La corona se cae"/>
    <m/>
    <m/>
    <m/>
    <m/>
    <m/>
    <m/>
    <m/>
    <m/>
    <x v="2"/>
  </r>
  <r>
    <n v="382"/>
    <s v="H. TRIANA"/>
    <d v="1899-12-30T00:10:00"/>
    <x v="61"/>
    <x v="1"/>
    <s v="Puntual"/>
    <s v="Falla en contactor en zona de rotación."/>
    <d v="1899-12-30T00:10:00"/>
    <d v="1899-12-30T00:30:00"/>
    <d v="2025-12-13T00:00:00"/>
    <s v="Eléctrica"/>
    <s v="Controlador averiado, se realiza cambio por uno nuevo quedando OK."/>
    <s v="1 Controlador de temperatura, 58006-85-240VAC."/>
    <s v="NA"/>
    <s v="L. CASTILLA"/>
    <x v="0"/>
  </r>
  <r>
    <n v="383"/>
    <s v="S. CARDENAL"/>
    <d v="1899-12-30T07:40:00"/>
    <x v="62"/>
    <x v="4"/>
    <s v="Puntual"/>
    <s v="Se cae base de los perforadores."/>
    <d v="1899-12-30T07:40:00"/>
    <d v="1899-12-30T09:00:00"/>
    <d v="2025-12-09T00:00:00"/>
    <s v="Mecánica"/>
    <s v="Se encuentra partido espigo de actuador, se realiza cambio de actuador y se instala tuerca de seguridad ya que la convencional se suelta con el movimiento, se instala varilla de sugeción de perforación faltante con tornillo."/>
    <s v="1 Tornillo M8, 1 Tuerca M8"/>
    <s v="NA"/>
    <s v="D. BAUTISTA"/>
    <x v="0"/>
  </r>
  <r>
    <n v="384"/>
    <m/>
    <m/>
    <x v="3"/>
    <x v="5"/>
    <m/>
    <m/>
    <m/>
    <m/>
    <m/>
    <m/>
    <m/>
    <m/>
    <m/>
    <m/>
    <x v="1"/>
  </r>
  <r>
    <n v="385"/>
    <m/>
    <m/>
    <x v="3"/>
    <x v="5"/>
    <m/>
    <m/>
    <m/>
    <m/>
    <m/>
    <m/>
    <m/>
    <m/>
    <m/>
    <m/>
    <x v="1"/>
  </r>
  <r>
    <n v="386"/>
    <s v="S. CARDENAL"/>
    <d v="1899-12-30T11:30:00"/>
    <x v="62"/>
    <x v="4"/>
    <s v="Puntual"/>
    <s v="Maquina se apaga sola"/>
    <d v="1899-12-30T11:30:00"/>
    <d v="1899-12-30T18:00:00"/>
    <d v="2025-12-09T00:00:00"/>
    <s v="Eléctrica"/>
    <s v="Se realizo ajuste de conexiones eléctricas, conectores y se aplica aire forzado._x000a_11:30-11:45_x000a_12:40-13:05_x000a_16:50-17:00_x000a_La falla continua ocasionalmente falla, en algunas ocasiones la operaria reseteo y arranco nuevamente"/>
    <s v="NA"/>
    <s v="NA"/>
    <s v="O. DUARTE"/>
    <x v="0"/>
  </r>
  <r>
    <n v="387"/>
    <s v="L. GARZON"/>
    <d v="1899-12-30T15:00:00"/>
    <x v="62"/>
    <x v="4"/>
    <s v="Puntual"/>
    <s v="Tornillos de ajuste de actuador sueltos"/>
    <d v="1899-12-30T15:00:00"/>
    <d v="1899-12-30T15:10:00"/>
    <d v="2025-12-09T00:00:00"/>
    <s v="Mecánica"/>
    <s v="Se da ajuste a tornillos de ajuste de actuador."/>
    <s v="NA"/>
    <s v="NA"/>
    <s v="D. BAUTISTA"/>
    <x v="0"/>
  </r>
  <r>
    <n v="388"/>
    <m/>
    <m/>
    <x v="3"/>
    <x v="5"/>
    <m/>
    <m/>
    <m/>
    <m/>
    <m/>
    <m/>
    <m/>
    <m/>
    <m/>
    <m/>
    <x v="1"/>
  </r>
  <r>
    <n v="389"/>
    <s v="F. SANCHEZ"/>
    <d v="1899-12-30T00:10:00"/>
    <x v="63"/>
    <x v="6"/>
    <s v="Puntual"/>
    <s v="Para la máquina por falla en velocidad."/>
    <d v="1899-12-30T00:10:00"/>
    <d v="1899-12-30T00:30:00"/>
    <d v="2025-12-10T00:00:00"/>
    <s v="Eléctrica"/>
    <s v="Se evidencia cableado de rotación en vias equivocadas, posiblemente por la limpieza programada, se reubican en sitio adecuado y se entrega OK."/>
    <s v="NA"/>
    <s v="NA"/>
    <s v="L. FLOREZ"/>
    <x v="0"/>
  </r>
  <r>
    <n v="390"/>
    <m/>
    <m/>
    <x v="3"/>
    <x v="5"/>
    <m/>
    <m/>
    <m/>
    <m/>
    <m/>
    <m/>
    <m/>
    <m/>
    <m/>
    <m/>
    <x v="1"/>
  </r>
  <r>
    <n v="391"/>
    <s v="S. PATIÑO"/>
    <d v="1899-12-30T08:00:00"/>
    <x v="63"/>
    <x v="1"/>
    <s v="Puntual"/>
    <s v="Tratador corona se apaga y al reiniciarlo no enciende"/>
    <m/>
    <m/>
    <m/>
    <m/>
    <m/>
    <m/>
    <m/>
    <m/>
    <x v="2"/>
  </r>
  <r>
    <n v="392"/>
    <m/>
    <m/>
    <x v="3"/>
    <x v="5"/>
    <m/>
    <m/>
    <m/>
    <m/>
    <m/>
    <m/>
    <m/>
    <m/>
    <m/>
    <m/>
    <x v="1"/>
  </r>
  <r>
    <n v="393"/>
    <s v="D. CUESTA"/>
    <m/>
    <x v="63"/>
    <x v="1"/>
    <s v="Puntual"/>
    <s v="Revisar tratador COEX 4"/>
    <d v="1899-12-30T19:00:00"/>
    <d v="1899-12-30T19:30:00"/>
    <d v="2025-12-10T00:00:00"/>
    <s v="Eléctrica"/>
    <s v="Se realizo inspección de alimentación 220 V a tratador, se realizan pruebas en vacio, quedo pendiente en operación ya que el operario en turno manifesto que se apaga"/>
    <s v="NA"/>
    <s v="NA"/>
    <s v="D. BAUTISTA"/>
    <x v="0"/>
  </r>
  <r>
    <n v="394"/>
    <s v="D. CUESTA"/>
    <d v="1899-12-30T22:30:00"/>
    <x v="63"/>
    <x v="8"/>
    <s v="Puntual"/>
    <s v="Cortar cuchillas para cuadrar tratador."/>
    <d v="1899-12-30T22:30:00"/>
    <d v="1899-12-30T23:30:00"/>
    <d v="2025-12-10T00:00:00"/>
    <s v="Mecánica"/>
    <s v="Se realiza reubicación de las cuchillas del tratador para cuadrar la referencia del material."/>
    <s v="NA"/>
    <s v="NA"/>
    <s v="D. BAUTISTA"/>
    <x v="0"/>
  </r>
  <r>
    <n v="395"/>
    <s v="D. ZAMORA"/>
    <d v="1899-12-30T03:55:00"/>
    <x v="37"/>
    <x v="10"/>
    <s v="Repetitiva"/>
    <s v="Cambio de posición de las castañas en rebobinador inferior."/>
    <d v="1899-12-30T03:55:00"/>
    <d v="1899-12-30T04:10:00"/>
    <d v="2025-12-11T00:00:00"/>
    <s v="Mecánica"/>
    <s v="Se realiza cambio de posición de castañas por petición de producción."/>
    <s v="NA"/>
    <s v="NA"/>
    <s v="D. BAUTISTA"/>
    <x v="0"/>
  </r>
  <r>
    <n v="396"/>
    <s v="E. REYES"/>
    <d v="1899-12-30T02:00:00"/>
    <x v="37"/>
    <x v="4"/>
    <s v="Puntual"/>
    <s v="Daño en soporte de los perforadores y varilla."/>
    <d v="1899-12-30T02:00:00"/>
    <d v="1899-12-30T02:30:00"/>
    <d v="2025-12-11T00:00:00"/>
    <s v="Mecánica"/>
    <s v="Se desmonta soporte de actuadores de los perforadores, se solda  ya que se encuentran partidos y se instala varilla que tensa el tornillo de sujeción  partido."/>
    <s v="NA"/>
    <s v="NA"/>
    <s v="D. BAUTISTA"/>
    <x v="0"/>
  </r>
  <r>
    <n v="397"/>
    <s v="K. RAMOS"/>
    <d v="1899-12-30T21:00:00"/>
    <x v="63"/>
    <x v="6"/>
    <s v="Puntual"/>
    <s v="Piñon de perforadores suelto."/>
    <d v="1899-12-30T21:00:00"/>
    <d v="1899-12-30T21:40:00"/>
    <d v="2025-12-10T00:00:00"/>
    <s v="Mecánica"/>
    <s v="Se encuentra buje de sujeción de piñon de perforadores sin prisioneros."/>
    <s v="NA"/>
    <s v="NA"/>
    <s v="D. BAUTISTA"/>
    <x v="0"/>
  </r>
  <r>
    <n v="398"/>
    <m/>
    <m/>
    <x v="3"/>
    <x v="5"/>
    <m/>
    <m/>
    <m/>
    <m/>
    <m/>
    <m/>
    <m/>
    <m/>
    <m/>
    <m/>
    <x v="1"/>
  </r>
  <r>
    <n v="399"/>
    <s v="D. ZAMORA"/>
    <d v="1899-12-30T04:00:00"/>
    <x v="64"/>
    <x v="10"/>
    <s v="Repetitiva"/>
    <s v="Cambio de posición de castañas y cambio de pisador."/>
    <d v="1899-12-30T04:00:00"/>
    <d v="1899-12-30T04:30:00"/>
    <d v="2025-12-12T00:00:00"/>
    <s v="Mecánica"/>
    <s v="Se realiza cambio de rodillo o pisador y posición de castañas."/>
    <s v="NA"/>
    <s v="NA"/>
    <s v="O. DUARTE"/>
    <x v="0"/>
  </r>
  <r>
    <n v="400"/>
    <s v="R. MEJIA"/>
    <d v="1899-12-30T02:10:00"/>
    <x v="64"/>
    <x v="7"/>
    <s v="Puntual"/>
    <s v="Se safa piñon de eje neumatico bobinador."/>
    <d v="1899-12-30T02:10:00"/>
    <d v="1899-12-30T02:30:00"/>
    <d v="2025-12-12T00:00:00"/>
    <s v="Mecánica"/>
    <s v="Se aplica soldadura a piñon eje bobinador."/>
    <s v="NA"/>
    <s v="Soldadura 308 de 1/8&quot;"/>
    <s v="O. DUARTE"/>
    <x v="0"/>
  </r>
  <r>
    <n v="401"/>
    <s v="R. MEJIA"/>
    <d v="1899-12-30T06:00:00"/>
    <x v="61"/>
    <x v="7"/>
    <s v="Puntual"/>
    <s v="Eje neumatico con escape."/>
    <d v="1899-12-30T06:00:00"/>
    <d v="1899-12-30T07:15:00"/>
    <d v="2025-12-13T00:00:00"/>
    <s v="Neumática"/>
    <s v="Se reemplaza la manguera con escape y queda operativa."/>
    <s v="Manguera de 16mm"/>
    <s v="NA"/>
    <s v="O. DUARTE"/>
    <x v="0"/>
  </r>
  <r>
    <n v="402"/>
    <s v="R. OLIVARES"/>
    <d v="1899-12-30T15:45:00"/>
    <x v="61"/>
    <x v="1"/>
    <s v="Puntual"/>
    <s v="El tratado estaba trabajando bien de un momento a otro hace corto y se apago."/>
    <d v="1899-12-30T18:00:00"/>
    <d v="1899-12-30T20:30:00"/>
    <d v="2025-12-13T00:00:00"/>
    <s v="Eléctrica"/>
    <s v="Se revisa tratador el cual presenta corto, se decide instalar el que esta en el taller, se entrega instalada y probado en vacio."/>
    <s v="NA"/>
    <s v="NA"/>
    <s v="D. BAUTISTA"/>
    <x v="0"/>
  </r>
  <r>
    <n v="403"/>
    <s v="R. MEJIA"/>
    <d v="1899-12-30T06:00:00"/>
    <x v="65"/>
    <x v="7"/>
    <s v="Puntual"/>
    <s v="Se paró la máquina por rodamiento bobinador."/>
    <d v="1899-12-30T06:10:00"/>
    <d v="1899-12-30T06:30:00"/>
    <d v="2025-12-14T00:00:00"/>
    <s v="Mecánica"/>
    <s v="Base porta seguidor de leva sufre desgaste. Perdiendo ajuste en el seguidor de leva, se fabrica arandela gruesa para evitar que se salga."/>
    <s v="NA"/>
    <s v="NA"/>
    <s v="L. CASTILLA"/>
    <x v="0"/>
  </r>
  <r>
    <n v="404"/>
    <s v="R. MEJIA"/>
    <d v="1899-12-30T14:00:00"/>
    <x v="65"/>
    <x v="7"/>
    <s v="Puntual"/>
    <s v="Se paró la máquina por daño en el sistema electrico de bobinador."/>
    <d v="1899-12-30T14:00:00"/>
    <d v="1899-12-30T16:00:00"/>
    <d v="2025-12-14T00:00:00"/>
    <s v="Eléctrica"/>
    <s v="Se inspecciona fusibles en general sin anomalias, se desmontan tarjetas de variador para inspección encontrando relevador averiado, se realiza cambio."/>
    <s v="1 relevador 24vdc"/>
    <s v="NA"/>
    <s v="L. CASTILLA"/>
    <x v="0"/>
  </r>
  <r>
    <n v="405"/>
    <s v="O. VALENCIA"/>
    <d v="1899-12-30T23:30:00"/>
    <x v="65"/>
    <x v="11"/>
    <s v="Puntual"/>
    <s v="Daño en soporte del motor del molino."/>
    <d v="1899-12-30T23:30:00"/>
    <d v="1899-12-30T03:40:00"/>
    <d v="2025-12-14T00:00:00"/>
    <s v="Mecánica"/>
    <s v="Se revisa el motor, se suelta completo, se aplica soldadura, se ajusta y se realizan pruebas."/>
    <s v="NA"/>
    <s v="Equipo de soldadura"/>
    <s v="O. DUARTE"/>
    <x v="0"/>
  </r>
  <r>
    <n v="406"/>
    <s v="S. CARDENAL"/>
    <d v="1899-12-30T16:20:00"/>
    <x v="66"/>
    <x v="0"/>
    <s v="Puntual"/>
    <s v="La máquina no trabaja porque hay que bajarle golpes."/>
    <d v="1899-12-30T16:30:00"/>
    <d v="1899-12-30T17:00:00"/>
    <d v="2025-12-15T00:00:00"/>
    <s v="Eléctrica"/>
    <s v="Se cambia parametros del variador de transportador para disminuir golpes de manera remota, se deja operativa."/>
    <s v="NA"/>
    <s v="NA"/>
    <s v="D. BAUTISTA"/>
    <x v="0"/>
  </r>
  <r>
    <n v="407"/>
    <s v="D. ARRIETA"/>
    <d v="1899-12-30T16:50:00"/>
    <x v="66"/>
    <x v="7"/>
    <s v="Puntual"/>
    <s v="Eje del embobinador se sale el aire"/>
    <d v="1899-12-30T16:50:00"/>
    <d v="1899-12-30T17:30:00"/>
    <d v="2025-12-15T00:00:00"/>
    <s v="Neumática"/>
    <s v="Se encuentran 2 mangueras fisuradas, se reparan y se entrega operativa."/>
    <s v="NA"/>
    <s v="NA"/>
    <s v="D. BAUTISTA"/>
    <x v="0"/>
  </r>
  <r>
    <n v="408"/>
    <s v="R. MEJIA"/>
    <d v="1899-12-30T18:40:00"/>
    <x v="66"/>
    <x v="7"/>
    <s v="Puntual"/>
    <s v="Parada de máquina por fuga de aire eje neumático bobinador."/>
    <d v="1899-12-30T18:40:00"/>
    <d v="1899-12-30T19:01:00"/>
    <d v="2025-12-15T00:00:00"/>
    <s v="Neumática"/>
    <s v="Manguera presenta fuga y muy corta, se realiza cambio por nueva queda operacional."/>
    <s v="1,5 m de manguera m8"/>
    <s v="NA"/>
    <s v="L. CASTILLA"/>
    <x v="0"/>
  </r>
  <r>
    <n v="409"/>
    <s v="K. RAMOS"/>
    <m/>
    <x v="67"/>
    <x v="6"/>
    <s v="Puntual"/>
    <s v="Pistola de aire del bobinador A se daño"/>
    <m/>
    <m/>
    <m/>
    <m/>
    <m/>
    <m/>
    <m/>
    <m/>
    <x v="2"/>
  </r>
  <r>
    <n v="410"/>
    <s v="H. TRIANA"/>
    <d v="1899-12-30T09:20:00"/>
    <x v="67"/>
    <x v="14"/>
    <s v="Puntual"/>
    <s v="Falla en el tratador"/>
    <d v="1899-12-30T09:20:00"/>
    <d v="1899-12-30T10:00:00"/>
    <d v="2025-12-16T00:00:00"/>
    <s v="Eléctrica"/>
    <s v="Se revisa tratador y se limpia, se retiran impuresas del material y queda operativa."/>
    <s v="NA"/>
    <s v="NA"/>
    <s v="O. DUARTE"/>
    <x v="0"/>
  </r>
  <r>
    <n v="411"/>
    <s v="L. MIRANDA"/>
    <d v="1899-12-30T14:35:00"/>
    <x v="67"/>
    <x v="6"/>
    <s v="Puntual"/>
    <s v="Presenta una falla en la rotación."/>
    <d v="1899-12-30T14:35:00"/>
    <d v="1899-12-30T17:00:00"/>
    <d v="2025-12-15T00:00:00"/>
    <s v="Eléctrica"/>
    <s v="se revisa rotación y se corrije el daño aislando un cable."/>
    <s v="1 metro cable encauchetado"/>
    <s v="NA"/>
    <s v="O. DUARTE"/>
    <x v="0"/>
  </r>
  <r>
    <n v="412"/>
    <s v="L. MIRANDA"/>
    <d v="1899-12-30T14:35:00"/>
    <x v="67"/>
    <x v="6"/>
    <s v="Puntual"/>
    <s v="Falla en el molino, no prende y esta oliendo a quemado."/>
    <d v="1899-12-30T14:35:00"/>
    <d v="1899-12-30T17:00:00"/>
    <d v="2025-12-16T00:00:00"/>
    <s v="Eléctrica"/>
    <s v="Se interviene tablero de control del tablero del molino, se evidencia el transformador quemado, se sustituye por otro provicionalmente."/>
    <s v=" 1 Transformador 220v- 24v"/>
    <s v="NA"/>
    <s v="O. DUARTE"/>
    <x v="0"/>
  </r>
  <r>
    <n v="413"/>
    <s v="D. ZAMORA"/>
    <d v="1899-12-30T17:00:00"/>
    <x v="67"/>
    <x v="10"/>
    <s v="Puntual"/>
    <s v="Se entorcha la manguera con la felpa de rebobinador superior."/>
    <d v="1899-12-30T17:00:00"/>
    <d v="1899-12-30T17:40:00"/>
    <d v="2025-12-16T00:00:00"/>
    <s v="Mecánica"/>
    <s v="Se desmontan las castañas, se desentorcha manguera y se cuadra felpa, se monta y se ajustan."/>
    <s v="NA"/>
    <s v="NA"/>
    <s v="O. DUARTE"/>
    <x v="0"/>
  </r>
  <r>
    <n v="414"/>
    <s v="D. CUESTA"/>
    <d v="1899-12-30T01:25:00"/>
    <x v="67"/>
    <x v="14"/>
    <s v="Puntual"/>
    <s v="Para cambio cuenta metro coex2"/>
    <d v="1899-12-30T01:25:00"/>
    <d v="1899-12-30T02:25:00"/>
    <d v="2025-12-16T00:00:00"/>
    <s v="Eléctrica"/>
    <s v="Se realiza cambio de contador ya que no funciona, se realiza cambio en cambio de referencia queda operativo."/>
    <s v="1 Contador CTEM-1P"/>
    <s v="NA"/>
    <s v="D. BAUTISTA"/>
    <x v="0"/>
  </r>
  <r>
    <n v="415"/>
    <m/>
    <m/>
    <x v="3"/>
    <x v="5"/>
    <m/>
    <m/>
    <m/>
    <m/>
    <m/>
    <m/>
    <m/>
    <m/>
    <m/>
    <m/>
    <x v="1"/>
  </r>
  <r>
    <n v="416"/>
    <s v="L. GARZON"/>
    <d v="1899-12-30T23:56:00"/>
    <x v="67"/>
    <x v="13"/>
    <s v="Puntual"/>
    <s v="Temperatura molesta por termocupla que no esta haciendo buen contacto."/>
    <d v="1899-12-30T00:00:00"/>
    <d v="1899-12-30T00:15:00"/>
    <d v="2025-12-16T00:00:00"/>
    <s v="Eléctrica"/>
    <s v="Se encuentra variando temperatura del setpoint, se encuentra conector con fallo, se ajusta conector y se realizan pruebas de funcionamiento."/>
    <s v="NA"/>
    <s v="NA"/>
    <s v="D. BAUTISTA"/>
    <x v="0"/>
  </r>
  <r>
    <n v="417"/>
    <s v="D. BUESACO"/>
    <d v="1899-12-30T11:35:00"/>
    <x v="68"/>
    <x v="0"/>
    <s v="Puntual"/>
    <s v="Fotocelda se le pide apoyo a mantenimiento por falla."/>
    <d v="1899-12-30T11:40:00"/>
    <d v="1899-12-30T14:15:00"/>
    <d v="2025-12-17T00:00:00"/>
    <s v="Eléctrica"/>
    <s v="Se revisa la fotocelda y se encuentra OK, se evidencia la prensa sin resorte, se repone y se realiza calibración, se realiza calibración prensa transportadora corrigiendo falla."/>
    <s v="NA"/>
    <s v="NA"/>
    <s v="L. CASTILLA"/>
    <x v="0"/>
  </r>
  <r>
    <n v="418"/>
    <s v="J. MIRANDA"/>
    <d v="1899-12-30T15:50:00"/>
    <x v="68"/>
    <x v="8"/>
    <s v="Puntual"/>
    <s v="Se quemo la manga de la coex3."/>
    <d v="1899-12-30T15:50:00"/>
    <d v="1899-12-30T16:20:00"/>
    <d v="2025-12-17T00:00:00"/>
    <s v="Neumática"/>
    <s v="Manguera inferior del tratador quemada, se realiza reparación con silicona roja temporalmente, queda operativa."/>
    <s v="NA"/>
    <s v="NA"/>
    <s v="L. CASTILLA"/>
    <x v="0"/>
  </r>
  <r>
    <n v="419"/>
    <s v="R. OLIVARES"/>
    <d v="1899-12-30T11:00:00"/>
    <x v="69"/>
    <x v="6"/>
    <s v="Puntual"/>
    <s v="Calibrar las celdas de carga."/>
    <d v="1899-12-30T11:00:00"/>
    <d v="1899-12-30T11:30:00"/>
    <d v="2025-12-18T00:00:00"/>
    <s v="Mecánica"/>
    <s v="Se realiza calibración de celdas de carga en embobinadores."/>
    <s v="NA"/>
    <s v="NA"/>
    <s v="D. BAUTISTA"/>
    <x v="0"/>
  </r>
  <r>
    <n v="420"/>
    <m/>
    <m/>
    <x v="3"/>
    <x v="5"/>
    <m/>
    <m/>
    <m/>
    <m/>
    <m/>
    <m/>
    <m/>
    <m/>
    <m/>
    <m/>
    <x v="1"/>
  </r>
  <r>
    <n v="421"/>
    <s v="F. SANCHEZ"/>
    <d v="1899-12-30T18:50:00"/>
    <x v="69"/>
    <x v="6"/>
    <s v="Puntual"/>
    <s v="Paleta del lado derecho no funciona para abrir y cerrar."/>
    <d v="1899-12-30T18:50:00"/>
    <d v="1899-12-30T19:20:00"/>
    <d v="2025-12-18T00:00:00"/>
    <s v="Eléctrica"/>
    <s v="Circuito de motor posterior al tablero con conductor abierto, se realiza cambio."/>
    <s v="NA"/>
    <s v="NA"/>
    <s v="L. CASTILLA"/>
    <x v="0"/>
  </r>
  <r>
    <n v="422"/>
    <s v="D. ZAMORA"/>
    <d v="1899-12-30T20:30:00"/>
    <x v="69"/>
    <x v="10"/>
    <s v="Puntual"/>
    <s v="Se entorcha la felpa con la manguera en el rebobinador superior."/>
    <d v="1899-12-30T20:35:00"/>
    <d v="1899-12-30T21:10:00"/>
    <d v="2025-12-18T00:00:00"/>
    <s v="Mecánica"/>
    <s v="Mangeras entorchadas, se desmontan castañas, se fabrican felpa para realizar cambio."/>
    <s v="NA"/>
    <s v="Felpa"/>
    <s v="L. CASTILLA"/>
    <x v="0"/>
  </r>
  <r>
    <n v="423"/>
    <s v="C. BARAJAS"/>
    <d v="1899-12-30T06:50:00"/>
    <x v="70"/>
    <x v="4"/>
    <s v="Puntual"/>
    <s v="Falla en la estática."/>
    <d v="1899-12-30T06:50:00"/>
    <d v="1899-12-30T07:40:00"/>
    <d v="2025-12-19T00:00:00"/>
    <s v="Eléctrica"/>
    <s v="Organizar circuito falla en tratador."/>
    <s v="NA"/>
    <s v="NA"/>
    <s v="O. DUARTE"/>
    <x v="0"/>
  </r>
  <r>
    <n v="424"/>
    <s v="H. TRIANA"/>
    <d v="1899-12-30T08:50:00"/>
    <x v="70"/>
    <x v="8"/>
    <s v="Puntual"/>
    <s v="Se daña el rodamiento de la varilla de embobinar rollos"/>
    <d v="1899-12-30T08:50:00"/>
    <d v="1899-12-30T09:45:00"/>
    <d v="2025-12-19T00:00:00"/>
    <s v="Mecánica"/>
    <s v="Se evidencia rodamiento mal estado, se hace cambio, se da ajuste y se entrga al operario"/>
    <s v="1x Rodamiento 600622"/>
    <s v="NA"/>
    <s v="O. DUARTE"/>
    <x v="0"/>
  </r>
  <r>
    <n v="425"/>
    <s v="S. CARDENAL"/>
    <d v="1899-12-30T17:00:00"/>
    <x v="70"/>
    <x v="0"/>
    <s v="Puntual"/>
    <s v="Correas sueltas"/>
    <d v="1899-12-30T17:00:00"/>
    <d v="1899-12-30T17:30:00"/>
    <d v="2025-12-19T00:00:00"/>
    <s v="Mecánica"/>
    <s v="Cambiar arandelas y ajustar tornillos"/>
    <s v="Arandelas"/>
    <s v="NA"/>
    <s v="O. DUARTE"/>
    <x v="1"/>
  </r>
  <r>
    <n v="426"/>
    <s v="D. ZAMORA"/>
    <d v="1899-12-30T22:20:00"/>
    <x v="70"/>
    <x v="10"/>
    <m/>
    <s v="Se entorcha con la felpa del rebobinador superior"/>
    <d v="1899-12-30T22:20:00"/>
    <d v="1899-12-30T22:40:00"/>
    <d v="2025-12-19T00:00:00"/>
    <s v="Mecánica"/>
    <s v="Se realiza desmonte de castañas de bobinador superior y se acomodan mangueras neúmaticas del eje, se arma nuevamente, no se genera parada, se interviene en tiempo de refrigerio del operario"/>
    <s v="NA"/>
    <s v="NA"/>
    <s v="D. BAUTISTA"/>
    <x v="0"/>
  </r>
  <r>
    <n v="427"/>
    <s v="D. CUESTA"/>
    <d v="1899-12-30T00:20:00"/>
    <x v="28"/>
    <x v="1"/>
    <s v="Puntual"/>
    <s v="Coex #3 hace corto en las mangas"/>
    <d v="1899-12-30T00:20:00"/>
    <d v="1899-12-30T03:00:00"/>
    <d v="2025-12-20T00:00:00"/>
    <s v="Mecánica"/>
    <s v="Se encuentran mangas quemadas por exposición al arco sin pelicula, se retira material y se realiza limpieza, se requiere montar RQ para cambio de mangas ya que estan quemadas"/>
    <s v="NA"/>
    <s v="NA"/>
    <s v="D. BAUTISTA"/>
    <x v="0"/>
  </r>
  <r>
    <n v="428"/>
    <s v="L. GARZON"/>
    <d v="1899-12-30T22:00:00"/>
    <x v="70"/>
    <x v="0"/>
    <s v="Puntual"/>
    <s v="Rodillo de transportador sin tornillo"/>
    <d v="1899-12-30T22:00:00"/>
    <d v="1899-12-30T22:12:00"/>
    <d v="2025-12-19T00:00:00"/>
    <s v="Mecánica"/>
    <s v="Se realiza instalación de tornillo M6 x 20mm de sujeción de rodillo tensor del transportador"/>
    <s v="1x Tornillo M6 x 20mm"/>
    <s v="NA"/>
    <s v="D. BAUTISTA"/>
    <x v="0"/>
  </r>
  <r>
    <n v="429"/>
    <s v="E. BOHORQUEZ"/>
    <d v="1899-12-30T11:45:00"/>
    <x v="71"/>
    <x v="5"/>
    <s v="Puntual"/>
    <s v="Falla en el transportador"/>
    <d v="1899-12-30T11:45:00"/>
    <d v="1899-12-30T12:05:00"/>
    <d v="2025-12-30T00:00:00"/>
    <s v="Eléctrica"/>
    <s v="Se encuentra muletillo de accionamiento desacoplado, se dio ajuste y se realizan pruebas de arranque del transportador, se graduo frecuencia de variador de cuchillo para bajar golpes de 30 a 11.7 Hz"/>
    <s v="NA"/>
    <s v="NA"/>
    <s v="D. BAUTISTA"/>
    <x v="0"/>
  </r>
  <r>
    <n v="430"/>
    <s v="D. ZAMORA"/>
    <d v="1899-12-30T03:00:00"/>
    <x v="28"/>
    <x v="10"/>
    <s v="Puntual"/>
    <s v="Se pincha manguera del rebobinador superior"/>
    <d v="1899-12-30T03:15:00"/>
    <d v="1899-12-30T03:25:00"/>
    <d v="2025-12-20T00:00:00"/>
    <s v="Mecánica"/>
    <s v="Se encuentra mangueros atascados, se acomodan posición de los mangueros y se realizan pruebas quedando operativo"/>
    <s v="NA"/>
    <s v="NA"/>
    <s v="D. BAUTISTA"/>
    <x v="0"/>
  </r>
  <r>
    <n v="431"/>
    <s v="M. NIVIA"/>
    <d v="1899-12-30T03:50:00"/>
    <x v="28"/>
    <x v="11"/>
    <s v="Puntual"/>
    <s v="Mordaza de corta cores no ajusto"/>
    <d v="1899-12-30T03:50:00"/>
    <d v="1899-12-30T04:20:00"/>
    <d v="2025-12-20T00:00:00"/>
    <s v="Mecánica"/>
    <s v="Se encuentra rosca rodada de ajuste de mordaza, se instala tuerca para todnillo 5/16"/>
    <s v="NA"/>
    <s v="NA"/>
    <s v="D. BAUTISTA"/>
    <x v="0"/>
  </r>
  <r>
    <n v="432"/>
    <s v="D. ZAMORA"/>
    <d v="1899-12-30T14:15:00"/>
    <x v="28"/>
    <x v="10"/>
    <s v="Puntual"/>
    <s v="Se encuentra la manguera con la felpa del rebobinador superior"/>
    <d v="1899-12-30T19:15:00"/>
    <d v="1899-12-30T19:50:00"/>
    <d v="2025-12-20T00:00:00"/>
    <s v="Neumática"/>
    <s v="Se revisan mangueras, se desentorchan, se ajusta felpa y castañas, se hace prueba de fuga"/>
    <s v="NA"/>
    <s v="NA"/>
    <s v="O. DUARTE"/>
    <x v="0"/>
  </r>
  <r>
    <n v="433"/>
    <s v="J. MIRANDA"/>
    <d v="1899-12-30T23:50:00"/>
    <x v="28"/>
    <x v="14"/>
    <s v="Puntual"/>
    <s v="Zonas de los tornillos estan mal elaborados"/>
    <m/>
    <m/>
    <m/>
    <m/>
    <s v="Se revisa motor aire forzado el cual se encuentra desfasado, se realizan pruebas en vacio y no arranca, se deja maquina sin aire forzado ya que no tenemos respuesta"/>
    <s v="NA"/>
    <s v="NA"/>
    <m/>
    <x v="2"/>
  </r>
  <r>
    <n v="434"/>
    <s v="H. ZEA"/>
    <d v="1899-12-30T07:00:00"/>
    <x v="72"/>
    <x v="11"/>
    <m/>
    <s v="Corta cores no ajusto"/>
    <d v="1899-12-30T07:00:00"/>
    <d v="1899-12-30T07:30:00"/>
    <d v="2025-12-21T00:00:00"/>
    <s v="Mecánica"/>
    <s v="Se encuentra rosca de ajuste de mordaza de ajuste partida, se remplaza tuerca"/>
    <s v="NA"/>
    <s v="NA"/>
    <s v="D. BAUTISTA"/>
    <x v="0"/>
  </r>
  <r>
    <n v="435"/>
    <s v="A. MIRANDA"/>
    <d v="1899-12-30T06:30:00"/>
    <x v="72"/>
    <x v="6"/>
    <m/>
    <s v="Se alarma porque brazo no sube"/>
    <d v="1899-12-30T06:30:00"/>
    <d v="1899-12-30T07:00:00"/>
    <d v="2025-12-21T00:00:00"/>
    <s v="Mecánica / Neumática"/>
    <s v="Brazo de descarga no sube, se cambia racor m6 x 1/4 y se lubrica soporte, se genero parada de máquina"/>
    <m/>
    <m/>
    <s v="D. BAUTISTA"/>
    <x v="0"/>
  </r>
  <r>
    <n v="436"/>
    <s v="L. GARZON"/>
    <d v="1899-12-30T03:17:00"/>
    <x v="72"/>
    <x v="0"/>
    <s v="Puntual"/>
    <s v="Daño en transportador"/>
    <d v="1899-12-30T03:17:00"/>
    <d v="1899-12-30T03:30:00"/>
    <d v="2025-12-22T00:00:00"/>
    <s v="Mecánica"/>
    <s v="Tornillo rodillo trasportador partido, se retira tornillo averiado y se remplaza quedando operacional"/>
    <s v="NA"/>
    <s v="NA"/>
    <s v="L. CASTILLA"/>
    <x v="0"/>
  </r>
  <r>
    <n v="437"/>
    <s v="E. BELLO"/>
    <d v="1899-12-30T09:30:00"/>
    <x v="72"/>
    <x v="11"/>
    <m/>
    <s v="Corto en tablero de tornillo de alimentación"/>
    <d v="1899-12-30T09:30:00"/>
    <d v="1899-12-30T10:00:00"/>
    <d v="2025-12-21T00:00:00"/>
    <s v="Eléctrica"/>
    <s v="Se encuentra cable de control de conexión de muletilla en mal estado, se realiza cambio de cable muletilla y se realizan pruebas quedando operancional"/>
    <s v="NA"/>
    <s v="NA"/>
    <s v="D. BAUTISTA"/>
    <x v="0"/>
  </r>
  <r>
    <n v="438"/>
    <m/>
    <m/>
    <x v="3"/>
    <x v="5"/>
    <m/>
    <m/>
    <m/>
    <m/>
    <m/>
    <m/>
    <m/>
    <m/>
    <m/>
    <m/>
    <x v="1"/>
  </r>
  <r>
    <n v="439"/>
    <s v="L. GARZON"/>
    <d v="1899-12-30T04:30:00"/>
    <x v="73"/>
    <x v="4"/>
    <s v="Puntual"/>
    <s v="Problema con temperatura de la cuchilla se baja"/>
    <d v="1899-12-30T04:30:00"/>
    <d v="1899-12-30T04:40:00"/>
    <d v="2025-12-22T00:00:00"/>
    <s v="Eléctrica"/>
    <s v="Protección de circuito de resistencia activada,se inspecciona circuito, no se encuentra anomalia"/>
    <s v="NA"/>
    <s v="NA"/>
    <s v="L. CASTILLA"/>
    <x v="0"/>
  </r>
  <r>
    <n v="440"/>
    <m/>
    <m/>
    <x v="3"/>
    <x v="5"/>
    <m/>
    <m/>
    <m/>
    <m/>
    <m/>
    <m/>
    <m/>
    <m/>
    <m/>
    <m/>
    <x v="1"/>
  </r>
  <r>
    <n v="441"/>
    <m/>
    <m/>
    <x v="3"/>
    <x v="5"/>
    <m/>
    <m/>
    <m/>
    <m/>
    <m/>
    <m/>
    <m/>
    <m/>
    <m/>
    <m/>
    <x v="1"/>
  </r>
  <r>
    <n v="442"/>
    <s v="S. CARDENAL"/>
    <d v="1899-12-30T18:40:00"/>
    <x v="74"/>
    <x v="0"/>
    <m/>
    <s v="El brazo del balancin se cayo"/>
    <d v="1899-12-30T18:40:00"/>
    <d v="1899-12-30T19:00:00"/>
    <d v="2025-12-26T00:00:00"/>
    <s v="Mecánica"/>
    <s v="Se conecta manguera en piston neumático y se ajusta con tornillos 6mm que faltaba"/>
    <s v="NA"/>
    <s v="Tornillo 6mm"/>
    <s v="O. DUARTE"/>
    <x v="0"/>
  </r>
  <r>
    <n v="443"/>
    <s v="B. RODRIGUEZ"/>
    <d v="1899-12-30T23:30:00"/>
    <x v="3"/>
    <x v="11"/>
    <m/>
    <s v="No ajustaba manzana de la cortadora de cores"/>
    <m/>
    <m/>
    <m/>
    <s v="Mecánica"/>
    <s v="Se cambia tornillo de ajuste, se cambia tuerca, se aplica soldadura, se solda estria de fijación"/>
    <s v="NA"/>
    <s v="NA"/>
    <s v="O. DUARTE"/>
    <x v="0"/>
  </r>
  <r>
    <n v="444"/>
    <s v="C. BARAJAS"/>
    <d v="1899-12-30T03:04:00"/>
    <x v="75"/>
    <x v="2"/>
    <m/>
    <s v="Levantamiento en uña (falla)"/>
    <d v="1899-12-30T03:04:00"/>
    <d v="1899-12-30T03:10:00"/>
    <d v="2025-12-27T00:00:00"/>
    <s v="Mecánica"/>
    <s v="Se reubico posición de uña de flautas inferiores"/>
    <s v="NA"/>
    <s v="NA"/>
    <s v="D. BAUTISTA"/>
    <x v="0"/>
  </r>
  <r>
    <n v="445"/>
    <s v="C. BARAJAS"/>
    <d v="1899-12-30T15:15:00"/>
    <x v="75"/>
    <x v="2"/>
    <m/>
    <s v="Se rompe base de los perforadores"/>
    <d v="1899-12-30T15:15:00"/>
    <d v="1899-12-30T16:20:00"/>
    <d v="2025-12-27T00:00:00"/>
    <s v="Mecánica"/>
    <s v="Se encuentra soporte de perforadores partido, se soldó soporte, se reinstalo y quedo en operación"/>
    <s v="NA"/>
    <s v="NA"/>
    <s v="D. BAUTISTA"/>
    <x v="0"/>
  </r>
  <r>
    <n v="446"/>
    <s v="D. BUESACO"/>
    <d v="1899-12-30T16:20:00"/>
    <x v="75"/>
    <x v="0"/>
    <m/>
    <s v="Daño de carretes en operación"/>
    <d v="1899-12-30T16:20:00"/>
    <d v="1899-12-30T17:30:00"/>
    <d v="2025-12-27T00:00:00"/>
    <s v="Mecánica"/>
    <s v="Material se atasco en los carretes y en el momento de extraerlo se rompen 6 carretes. Se realizo desmonte de sistema carretes, se reubican posición de carretes y se cambia rodamiento 6002, se instalo y quedo operativo"/>
    <s v="NA"/>
    <s v="NA"/>
    <s v="D. BAUTISTA"/>
    <x v="0"/>
  </r>
  <r>
    <n v="447"/>
    <s v="D. BUESACO"/>
    <d v="1899-12-30T20:50:00"/>
    <x v="76"/>
    <x v="0"/>
    <m/>
    <s v="Falla perforadores"/>
    <d v="1899-12-30T20:50:00"/>
    <d v="1899-12-30T21:10:00"/>
    <d v="2025-12-28T00:00:00"/>
    <s v="Mecánica"/>
    <s v="Se instaló tornillo m10 x 35mm de ajuste de actuador de perforadores ya que se parte, quedó en operación"/>
    <s v="NA"/>
    <s v="Tornillo m10 x 35mm"/>
    <s v="D. BAUTISTA"/>
    <x v="0"/>
  </r>
  <r>
    <n v="448"/>
    <s v="L. GARZON"/>
    <d v="1899-12-30T06:10:00"/>
    <x v="76"/>
    <x v="4"/>
    <m/>
    <s v="Falla en cilindro de perforadores"/>
    <d v="1899-12-30T06:10:00"/>
    <d v="1899-12-30T06:55:00"/>
    <d v="2025-12-28T00:00:00"/>
    <s v="Mecánica"/>
    <s v="Se le einstala tuerca para dar ajuste en presiona piston de perforadores"/>
    <s v="NA"/>
    <s v="NA"/>
    <s v="O. DUARTE"/>
    <x v="0"/>
  </r>
  <r>
    <n v="449"/>
    <s v="S. CARDENAL"/>
    <d v="1899-12-30T01:50:00"/>
    <x v="77"/>
    <x v="0"/>
    <m/>
    <s v="Botón del transportador se solto"/>
    <d v="1899-12-30T01:30:00"/>
    <d v="1899-12-30T02:05:00"/>
    <d v="2025-12-29T00:00:00"/>
    <s v="Mecánica"/>
    <s v="Se encuentra muletilla de arranque de transportador desacoplada, se realiza ajuste y se entrega operativo"/>
    <s v="NA"/>
    <s v="NA"/>
    <s v="D. BAUTISTA"/>
    <x v="0"/>
  </r>
  <r>
    <n v="450"/>
    <s v="S. CARDENAL"/>
    <d v="1899-12-30T03:10:00"/>
    <x v="77"/>
    <x v="4"/>
    <m/>
    <s v="Flautas se doblaron"/>
    <d v="1899-12-30T03:10:00"/>
    <d v="1899-12-30T03:50:00"/>
    <d v="2025-12-29T00:00:00"/>
    <s v="Mecánica"/>
    <s v="Se enderezan uñas de las flautas"/>
    <s v="NA"/>
    <s v="NA"/>
    <s v="D. BAUTISTA"/>
    <x v="0"/>
  </r>
  <r>
    <n v="451"/>
    <s v="R. MEJIA"/>
    <d v="1899-12-30T04:10:00"/>
    <x v="77"/>
    <x v="7"/>
    <s v="Puntual"/>
    <s v="Diferencial no responde "/>
    <d v="1899-12-30T04:10:00"/>
    <d v="1899-12-30T05:30:00"/>
    <d v="2025-12-29T00:00:00"/>
    <s v="Eléctrica"/>
    <s v="Se realizo inspección a circuito eléctrico de control de accionamiento, se encuentran en buen estado los componentes, se encuentra cable del control abierto ( de control a circuito diferencial) se remplazo cable y quedo operacional"/>
    <s v="NA"/>
    <s v="NA"/>
    <s v="D. BAUTISTA"/>
    <x v="0"/>
  </r>
  <r>
    <n v="452"/>
    <m/>
    <m/>
    <x v="3"/>
    <x v="5"/>
    <m/>
    <m/>
    <m/>
    <m/>
    <m/>
    <m/>
    <m/>
    <m/>
    <m/>
    <m/>
    <x v="1"/>
  </r>
  <r>
    <n v="453"/>
    <s v="H. TRIANA"/>
    <d v="1899-12-30T05:25:00"/>
    <x v="77"/>
    <x v="1"/>
    <s v="Repetitiva"/>
    <s v="Quitar torta en coex #4"/>
    <d v="1899-12-30T09:00:00"/>
    <d v="1899-12-30T09:45:00"/>
    <d v="2025-12-30T00:00:00"/>
    <s v="Mecánica"/>
    <s v="Se retiro exceso de torta rotación coex 4, se conecta cable portamallas suelto, quedo listo para arrancar"/>
    <s v="NA"/>
    <s v="NA"/>
    <s v="D. BAUTISTA"/>
    <x v="0"/>
  </r>
  <r>
    <n v="454"/>
    <s v="J. PARDO"/>
    <d v="1899-12-30T16:00:00"/>
    <x v="77"/>
    <x v="7"/>
    <m/>
    <s v="Daño en diferencial"/>
    <d v="1899-12-30T06:00:00"/>
    <d v="1899-12-30T08:20:00"/>
    <d v="2025-12-30T00:00:00"/>
    <s v="Eléctrica"/>
    <s v="Se recibe turno con la novedad, se realiza inspección de cableado de control de funcionamiento, se adecuan cableados de comunicación entre los dis diferenciales, ya que se encuentra uno abierto y uno intercambiado y ademas contacto NC de final de carrea up de polipasto abierto, se realizan pruebas, se armo nuevamente, se cambio control y cable mando, quedo en operacio"/>
    <s v="NA"/>
    <s v="NA"/>
    <s v="D. BAUTISTA"/>
    <x v="0"/>
  </r>
  <r>
    <n v="455"/>
    <s v="R. OLIVARES"/>
    <d v="1899-12-30T20:40:00"/>
    <x v="77"/>
    <x v="6"/>
    <m/>
    <s v="Fuga de agua manguera de la transmision, tornillo ¨B¨ y corto del succionador de refile"/>
    <d v="1899-12-30T20:40:00"/>
    <d v="1899-12-30T21:12:00"/>
    <d v="2025-12-29T00:00:00"/>
    <s v="Eléctrica"/>
    <s v="Se realiza empalme en cableado succionador del refile, presento corto, se ajusto manguera en caja tornillo ¨B¨"/>
    <s v="NA"/>
    <s v="NA"/>
    <s v="O. DUARTE"/>
    <x v="0"/>
  </r>
  <r>
    <n v="456"/>
    <s v="O. ALVARES"/>
    <d v="1899-12-30T15:45:00"/>
    <x v="78"/>
    <x v="2"/>
    <s v="Puntual"/>
    <s v="Corto en el bloyer"/>
    <d v="1899-12-30T15:50:00"/>
    <d v="1899-12-30T16:00:00"/>
    <d v="2025-01-05T00:00:00"/>
    <s v="Eléctrica"/>
    <s v="Aislamiento de corto y reparación"/>
    <s v="NA"/>
    <s v="Cinta aislante"/>
    <s v="J. SILVA"/>
    <x v="0"/>
  </r>
  <r>
    <n v="457"/>
    <s v="H. TRIANA"/>
    <d v="1899-12-30T15:50:00"/>
    <x v="71"/>
    <x v="14"/>
    <s v="Repetitiva"/>
    <s v="Recalentamiento en tornillos, se suben 60 grados aprox"/>
    <m/>
    <m/>
    <m/>
    <m/>
    <m/>
    <m/>
    <m/>
    <m/>
    <x v="2"/>
  </r>
  <r>
    <n v="458"/>
    <s v="H. TRIANA"/>
    <d v="1899-12-30T06:06:00"/>
    <x v="79"/>
    <x v="14"/>
    <s v="Puntual"/>
    <s v="Tornillos dañados de la tolva interior"/>
    <m/>
    <m/>
    <m/>
    <s v="Mecánica"/>
    <s v="Se revisa roscas se rectifica y se cambia tornillares, se da ajuste"/>
    <s v="NA"/>
    <s v="Tornillos m6 x 50 mm"/>
    <s v="O. DUARTE"/>
    <x v="0"/>
  </r>
  <r>
    <n v="459"/>
    <s v="R. OLIVARES"/>
    <d v="1899-12-30T18:20:00"/>
    <x v="71"/>
    <x v="8"/>
    <m/>
    <s v="Son de la voquilla del molde coex 3 no esta calentando"/>
    <d v="1899-12-30T18:25:00"/>
    <d v="1899-12-30T19:08:00"/>
    <d v="2025-12-30T00:00:00"/>
    <s v="Eléctrica"/>
    <s v="Reconexión de resistencia ya que estaba haciendo mal contacto"/>
    <s v="NA"/>
    <s v="NA"/>
    <s v="J. SILVA"/>
    <x v="0"/>
  </r>
  <r>
    <n v="460"/>
    <s v="R. OLIVARES"/>
    <d v="1899-12-30T20:30:00"/>
    <x v="71"/>
    <x v="8"/>
    <m/>
    <s v="Son del molde coex 3 se recalento y no baja la temperatura"/>
    <d v="1899-12-30T21:50:00"/>
    <d v="1899-12-30T22:10:00"/>
    <d v="2025-12-30T00:00:00"/>
    <s v="Eléctrica"/>
    <s v="Cambió de rele estado solido"/>
    <s v="Relé estado solido XSSR - DA2440W1"/>
    <s v="Relé estado solido XSSR - DA2440W1"/>
    <s v="J. SILVA"/>
    <x v="0"/>
  </r>
  <r>
    <n v="461"/>
    <s v="R. MEJIA"/>
    <d v="1899-12-30T22:00:00"/>
    <x v="71"/>
    <x v="7"/>
    <m/>
    <s v="Los adaptadores del porta elisé se salen dejando rodamiento en el aire provocando falla en la compresión"/>
    <d v="1899-12-30T22:11:00"/>
    <d v="1899-12-30T22:30:00"/>
    <d v="2025-12-30T00:00:00"/>
    <s v="Mecánica"/>
    <s v="Aplicar trabarosca para que no se corra de sitio"/>
    <s v="NA"/>
    <s v="Trabarosca"/>
    <s v="J. SILVA"/>
    <x v="0"/>
  </r>
  <r>
    <n v="462"/>
    <s v="R. MEJIA"/>
    <d v="1899-12-30T00:10:00"/>
    <x v="71"/>
    <x v="7"/>
    <m/>
    <s v="Se daño rodamiento bobinador exactamente el rodamiento donde se va el eje neumatico"/>
    <d v="1899-12-30T12:30:00"/>
    <d v="1899-12-30T01:08:00"/>
    <m/>
    <s v="Mecánica"/>
    <s v="Cambios reemplazar rodamiento"/>
    <s v="Rodamiento"/>
    <s v="Rodamiento"/>
    <s v="J. SILVA"/>
    <x v="0"/>
  </r>
  <r>
    <n v="463"/>
    <s v="R. MEJIA"/>
    <d v="1899-12-30T01:53:00"/>
    <x v="79"/>
    <x v="7"/>
    <m/>
    <s v="Problemas con la diferencial"/>
    <d v="1899-12-30T02:10:00"/>
    <d v="1899-12-30T08:30:00"/>
    <d v="2026-01-02T00:00:00"/>
    <s v="Mecánica"/>
    <s v="Se revisa la diferencial de diagnostico, es atascamiento por daño en el resorte de presion lado izquierdo, se debe bajar todo el diferencial/ para su cambio"/>
    <s v="NA"/>
    <s v="NA"/>
    <s v="J. SILVA Y D. BAUITISTA"/>
    <x v="0"/>
  </r>
  <r>
    <n v="464"/>
    <s v="R. OLIVARES"/>
    <d v="1899-12-30T00:30:00"/>
    <x v="79"/>
    <x v="6"/>
    <m/>
    <s v="Se apago el chiller y la maquina coex 5 se empezo a calentar y a descalibrar"/>
    <d v="1899-12-30T00:35:00"/>
    <d v="1899-12-30T08:00:00"/>
    <d v="2026-01-02T00:00:00"/>
    <s v="Eléctrica"/>
    <s v="Se revisa chiller, se identifica alarma, se hace procedimiento para reset pero no se resetea por multiples resets"/>
    <s v="NA"/>
    <s v="NA"/>
    <s v="J. SILVA"/>
    <x v="0"/>
  </r>
  <r>
    <n v="465"/>
    <s v="S. CARDENAL"/>
    <d v="1899-12-30T06:20:00"/>
    <x v="80"/>
    <x v="4"/>
    <m/>
    <s v="Rodillo del transportador dañado"/>
    <d v="1899-12-30T06:30:00"/>
    <d v="1899-12-30T07:00:00"/>
    <d v="2026-01-02T00:00:00"/>
    <s v="Mecánica"/>
    <s v="Se interviene maquina 6:30, se realizo desmonte y cambio de rodamiento 6001, se realiza montaje quedo en operación"/>
    <s v="NA"/>
    <s v="NA"/>
    <s v="D. BAUTISTA"/>
    <x v="0"/>
  </r>
  <r>
    <n v="466"/>
    <s v="S. CARDENAL"/>
    <d v="1899-12-30T09:10:00"/>
    <x v="80"/>
    <x v="4"/>
    <m/>
    <s v="Rodillo antes del halador dañado"/>
    <d v="1899-12-30T09:40:00"/>
    <d v="1899-12-30T09:55:00"/>
    <d v="2026-01-02T00:00:00"/>
    <s v="Mecánica"/>
    <s v="Rodillo dañado, se interviene, ajusta posición de rodamientos y se instalo pin segger 8mm, quedo en operación"/>
    <s v="NA"/>
    <s v="NA"/>
    <s v="D. BAUTISTA"/>
    <x v="0"/>
  </r>
  <r>
    <n v="467"/>
    <s v="B. GAITAN"/>
    <d v="1899-12-30T10:15:00"/>
    <x v="80"/>
    <x v="11"/>
    <s v="Repetitiva"/>
    <s v="Fuga de liquido de frenos, rueda de tracción izquierda de equipo inactivo montacarga, IAC planta 2"/>
    <d v="1899-12-30T07:00:00"/>
    <d v="1899-12-30T09:00:00"/>
    <d v="2026-01-02T00:00:00"/>
    <s v="Mecánica"/>
    <s v="Se recibe al proveedor para revisar los frenos, queda operativa"/>
    <s v="NA"/>
    <s v="NA"/>
    <s v="O. DUARTE"/>
    <x v="0"/>
  </r>
  <r>
    <n v="468"/>
    <s v="B. GAITAN"/>
    <d v="1899-12-30T10:15:00"/>
    <x v="80"/>
    <x v="11"/>
    <s v="Repetitiva"/>
    <s v="Desprendimiento parrilla protectora carro portahorquillas, se evidencia que esta partida, montacarga electrica planta 1"/>
    <m/>
    <m/>
    <m/>
    <m/>
    <m/>
    <m/>
    <m/>
    <m/>
    <x v="1"/>
  </r>
  <r>
    <n v="469"/>
    <s v="R. OLIVARES"/>
    <d v="1899-12-30T08:30:00"/>
    <x v="80"/>
    <x v="6"/>
    <s v="Puntual"/>
    <s v="Correa halador partida"/>
    <d v="1899-12-30T08:30:00"/>
    <d v="1899-12-30T09:30:00"/>
    <d v="2026-01-02T00:00:00"/>
    <s v="Mecánica"/>
    <s v="Queda parada por falta de correas en el inventario_x000a_Se busca correa de backout en el taller, se encuentra, se hace requisición para la compra equipo"/>
    <s v="NA"/>
    <s v="NA"/>
    <s v="O. DUARTE"/>
    <x v="2"/>
  </r>
  <r>
    <n v="470"/>
    <s v="R. ALVARES"/>
    <d v="1899-12-30T08:30:00"/>
    <x v="80"/>
    <x v="3"/>
    <m/>
    <s v="Correas de molino de refile dañadas"/>
    <d v="1899-12-30T08:30:00"/>
    <d v="1899-12-30T09:10:00"/>
    <d v="2026-01-02T00:00:00"/>
    <s v="Mecánica"/>
    <s v="Se realizo cambio de correas B38(x3), se realizan pruebas en vacio y quedo listo para arranque"/>
    <s v="Correas B38"/>
    <s v="Correas B38"/>
    <s v="D. BAUTISTA"/>
    <x v="0"/>
  </r>
  <r>
    <n v="471"/>
    <s v="L. GALVIS"/>
    <d v="1899-12-30T08:05:00"/>
    <x v="80"/>
    <x v="21"/>
    <m/>
    <s v="No enciende el variador del halador"/>
    <d v="1899-12-30T08:05:00"/>
    <d v="1899-12-30T08:25:00"/>
    <d v="2026-01-02T00:00:00"/>
    <s v="Mecánica"/>
    <s v="Se realizo ajuste de conexiones electricas, se realizo reset y quedo en operación"/>
    <s v="NA"/>
    <s v="NA"/>
    <s v="D. BAUTISTA"/>
    <x v="0"/>
  </r>
  <r>
    <n v="472"/>
    <s v="S. CARDENAL"/>
    <d v="1899-12-30T12:20:00"/>
    <x v="80"/>
    <x v="4"/>
    <m/>
    <s v="Termocupla dañada"/>
    <d v="1899-12-30T12:20:00"/>
    <d v="1899-12-30T12:30:00"/>
    <d v="2026-01-02T00:00:00"/>
    <s v="Electrica"/>
    <s v="Se realizo cambio de termocupla tipo j de mordaza superior, quedo en operación"/>
    <s v="NA"/>
    <s v="NA"/>
    <s v="J. SILVA"/>
    <x v="0"/>
  </r>
  <r>
    <n v="473"/>
    <m/>
    <m/>
    <x v="3"/>
    <x v="5"/>
    <m/>
    <m/>
    <m/>
    <m/>
    <m/>
    <m/>
    <m/>
    <m/>
    <m/>
    <m/>
    <x v="1"/>
  </r>
  <r>
    <n v="474"/>
    <s v="H. TRIANA"/>
    <m/>
    <x v="80"/>
    <x v="11"/>
    <s v="Puntual"/>
    <s v="Falla bascula"/>
    <m/>
    <m/>
    <m/>
    <m/>
    <m/>
    <m/>
    <m/>
    <m/>
    <x v="2"/>
  </r>
  <r>
    <n v="475"/>
    <s v="S. CARDENAL"/>
    <d v="1899-12-30T06:30:00"/>
    <x v="42"/>
    <x v="4"/>
    <m/>
    <s v="Termocupla partida y rodillo pegando a las correas"/>
    <m/>
    <d v="1899-12-30T11:30:00"/>
    <d v="2026-01-03T00:00:00"/>
    <s v="Mecánica"/>
    <s v="Ajustar altura del rodillo, cambio de termocupla, se hace nuevamente roscado, ajustE y pruebas"/>
    <s v="NA"/>
    <s v="Termocupla y tornillos 5mmx 20mm"/>
    <s v="O. DUARTE"/>
    <x v="0"/>
  </r>
  <r>
    <n v="476"/>
    <s v="R. OLIVARES"/>
    <d v="1899-12-30T18:30:00"/>
    <x v="42"/>
    <x v="8"/>
    <m/>
    <s v="Son 2 portamallas interior no sube temperatura"/>
    <d v="1899-12-30T18:30:00"/>
    <d v="1899-12-30T19:30:00"/>
    <d v="2026-01-03T00:00:00"/>
    <s v="Eléctrica"/>
    <s v="Se cambia control temperatura, termocupla, relé estado solido, se toman consumos, esta sobre parametros de trabajo, se hace seguimiento. Se revisa circuito de control y de potencia, se ajustan conexiones, se parametriza controlador para operar con SSR y poder cerrar el circuito con el rele estado solido"/>
    <m/>
    <s v="Pinza amperimetrica, destornilladores"/>
    <s v="O. DUARTE"/>
    <x v="0"/>
  </r>
  <r>
    <n v="477"/>
    <s v="Y. BERNAL"/>
    <d v="1899-12-30T17:30:00"/>
    <x v="42"/>
    <x v="11"/>
    <s v="Repetitiva"/>
    <s v="Se reporta cambio de empaque y mantenimiento general de chumaseras, mezclador externo y revisar ruido fuerte al encender mezclador"/>
    <d v="1899-12-30T20:00:00"/>
    <d v="1899-12-30T21:00:00"/>
    <d v="2026-01-03T00:00:00"/>
    <s v="Mecánica"/>
    <s v="Se realizo cambio de chumacera UCF 208-S7 , inferior , se fabrico empaque en papel humedo y se instalo, se tensionan correas de transmisión y se lubrica chumacera superio, se realizan pruebas"/>
    <s v="NA"/>
    <s v="NA"/>
    <s v="D. BAUTISTA"/>
    <x v="0"/>
  </r>
  <r>
    <n v="478"/>
    <s v="S. CARDENAL"/>
    <d v="1899-12-30T07:40:00"/>
    <x v="81"/>
    <x v="13"/>
    <m/>
    <s v="Racor dañado de un perforador"/>
    <d v="1899-12-30T08:35:00"/>
    <d v="1899-12-30T08:45:00"/>
    <d v="2026-01-04T00:00:00"/>
    <s v="Mecánica"/>
    <s v="Racor M6 averiado, se realiza cambio por nuevo quedando OK, se atiende despues de la hora en TPM por intervención"/>
    <s v="Racor M6 x1"/>
    <s v="NA"/>
    <s v="L. CASTILLA"/>
    <x v="0"/>
  </r>
  <r>
    <n v="479"/>
    <s v="L. GALVIS"/>
    <d v="1899-12-30T07:30:00"/>
    <x v="81"/>
    <x v="11"/>
    <m/>
    <s v="Motor no arranca del tornillo con una falla en el variador"/>
    <d v="1899-12-30T07:30:00"/>
    <d v="1899-12-30T12:10:00"/>
    <d v="2026-01-04T00:00:00"/>
    <s v="Eléctrica"/>
    <s v="Variador presenta fallas por corto, se inspecciona circuito encontrando ventilador, ventilación forzada motor tornillo, se desmonta y se colocan aspas que se tenian en stock del motor COEX5 quedando OK"/>
    <s v="Aspas unidad"/>
    <s v="NA"/>
    <s v="L. CASTILLA"/>
    <x v="0"/>
  </r>
  <r>
    <n v="480"/>
    <s v="M. MARTINEZ"/>
    <d v="1899-12-30T20:45:00"/>
    <x v="81"/>
    <x v="0"/>
    <m/>
    <s v="Rodillos y carretes no giran"/>
    <d v="1899-12-30T20:45:00"/>
    <d v="1899-12-30T21:15:00"/>
    <d v="2026-01-04T00:00:00"/>
    <s v="Mecánica"/>
    <s v="Se ajustan piñones en ejes de carretes, quedan operativos"/>
    <s v="NA"/>
    <s v="NA"/>
    <s v="O. DUARTE"/>
    <x v="0"/>
  </r>
  <r>
    <n v="481"/>
    <s v="O. VALENCIA"/>
    <m/>
    <x v="81"/>
    <x v="11"/>
    <s v="Puntual"/>
    <s v="Daño en agitador de tolva alimentación extrusora"/>
    <m/>
    <m/>
    <m/>
    <s v="Mecánica"/>
    <s v="Se revisa, se encuentra daño en caja reductora de agitador tolva alimentación"/>
    <s v="NA"/>
    <s v="NA"/>
    <m/>
    <x v="2"/>
  </r>
  <r>
    <n v="482"/>
    <s v="C. BARAJAS"/>
    <d v="1899-12-30T07:00:00"/>
    <x v="78"/>
    <x v="2"/>
    <m/>
    <s v="Falla en termocupla"/>
    <d v="1899-12-30T07:00:00"/>
    <d v="1899-12-30T07:30:00"/>
    <d v="2026-01-05T00:00:00"/>
    <s v="Eléctrica"/>
    <s v="Se realizo cambio de termocupla"/>
    <s v="NA"/>
    <s v="Termocupla"/>
    <s v="D. BAUTITA"/>
    <x v="0"/>
  </r>
  <r>
    <n v="483"/>
    <s v="H. TRIANA"/>
    <d v="1899-12-30T19:00:00"/>
    <x v="82"/>
    <x v="14"/>
    <m/>
    <s v="Cable de conexión resistencia molde hizo corto"/>
    <d v="1899-12-30T19:00:00"/>
    <d v="1899-12-30T19:20:00"/>
    <d v="2026-01-06T00:00:00"/>
    <s v="Eléctrica"/>
    <s v="Se encuentra cable de conexción de resistencia de molde desconectado y sin terminal, se instalo terminal de ojo y se coloco en operación"/>
    <s v="NA"/>
    <s v="NA"/>
    <s v="D. BAUTITA"/>
    <x v="0"/>
  </r>
  <r>
    <n v="484"/>
    <s v="R. MEJIA"/>
    <d v="1899-12-30T08:40:00"/>
    <x v="78"/>
    <x v="7"/>
    <s v="Puntual"/>
    <s v="Seguro del eje rebobinador se le partieron los tornillos"/>
    <d v="1899-12-30T08:50:00"/>
    <d v="1899-12-30T09:30:00"/>
    <d v="2026-01-05T00:00:00"/>
    <s v="Mecánica"/>
    <s v="Se remplaza tornillo, se debe hacer roca ya que quedo una mitad adentro"/>
    <s v="Tornillo M10"/>
    <s v="Tornillo m10"/>
    <s v="J. SILVA Y D. BAUITISTA"/>
    <x v="0"/>
  </r>
  <r>
    <n v="485"/>
    <s v="S. CARDENAL"/>
    <d v="1899-12-30T14:55:00"/>
    <x v="78"/>
    <x v="0"/>
    <m/>
    <s v="Servo no aprieta"/>
    <d v="1899-12-30T15:00:00"/>
    <d v="1899-12-30T15:30:00"/>
    <d v="2026-01-05T00:00:00"/>
    <s v="Mecánica"/>
    <s v="Se instalo tornillo avellanado M10 x 20 mm, de resorte de ajuste de mordaza de servo, quedo en operación"/>
    <s v="Tornillo M10 x 20mm"/>
    <s v="NA"/>
    <s v="D. BAUTISTA"/>
    <x v="0"/>
  </r>
  <r>
    <n v="486"/>
    <m/>
    <m/>
    <x v="3"/>
    <x v="5"/>
    <m/>
    <m/>
    <m/>
    <m/>
    <m/>
    <m/>
    <m/>
    <m/>
    <m/>
    <m/>
    <x v="1"/>
  </r>
  <r>
    <n v="487"/>
    <s v="L. GARZON"/>
    <d v="1899-12-30T01:05:00"/>
    <x v="82"/>
    <x v="4"/>
    <m/>
    <s v="Maquina se apaga constantemente"/>
    <d v="1899-12-30T01:05:00"/>
    <d v="1899-12-30T01:20:00"/>
    <d v="2026-01-06T00:00:00"/>
    <s v="Eléctrica"/>
    <s v="Se realiza reset a la maquina y se hace ajuste a conectores de pantalla"/>
    <s v="NA"/>
    <s v="NA"/>
    <s v="L. CASTILLA"/>
    <x v="0"/>
  </r>
  <r>
    <n v="488"/>
    <s v="R. MEJIA"/>
    <d v="1899-12-30T11:25:00"/>
    <x v="82"/>
    <x v="7"/>
    <m/>
    <s v="Quedo inactiva la impresora, no funciona para arrancar e imprimir"/>
    <d v="1899-12-30T11:25:00"/>
    <m/>
    <d v="2026-01-06T00:00:00"/>
    <s v="Eléctrica"/>
    <s v="Se verifica la falla encontrando dos conectores de potencia y 2 pulsadores de control averiados"/>
    <s v="2 Pulsadores y 2 contactores 2A"/>
    <s v="NA"/>
    <s v="L. FLOREZ"/>
    <x v="0"/>
  </r>
  <r>
    <n v="489"/>
    <m/>
    <m/>
    <x v="3"/>
    <x v="5"/>
    <m/>
    <m/>
    <m/>
    <m/>
    <m/>
    <m/>
    <m/>
    <m/>
    <m/>
    <m/>
    <x v="1"/>
  </r>
  <r>
    <n v="490"/>
    <s v="H. TRIANA"/>
    <d v="1899-12-30T18:20:00"/>
    <x v="82"/>
    <x v="14"/>
    <m/>
    <s v="Se solicitan tornillos para molde, Tornillo de molde no suelta ya que no se cuenta con llave"/>
    <d v="1899-12-30T18:20:00"/>
    <d v="1899-12-30T20:00:00"/>
    <d v="2026-01-06T00:00:00"/>
    <s v="Mecánica"/>
    <s v="Se entregan 5 tornillos M14 con fabricación de lo pinta para ajuste en molde. Se encuentra tornillo de molde con cuadrante rodado, tornillo 9/16 x 2´´, se solda cuadrante a tornillo ya que no contamos con stock de esta referencia, se requiere rectifica las roscas de este molde"/>
    <s v="NA"/>
    <s v="NA"/>
    <s v="D. BAUTISTA"/>
    <x v="0"/>
  </r>
  <r>
    <n v="491"/>
    <s v="S. PATIÑO"/>
    <d v="1899-12-30T20:00:00"/>
    <x v="82"/>
    <x v="6"/>
    <m/>
    <s v="Brazo de alimentación no retorna"/>
    <d v="1899-12-30T20:30:00"/>
    <d v="1899-12-30T21:00:00"/>
    <d v="2026-01-06T00:00:00"/>
    <s v="Mecánica"/>
    <s v="Se realizo ajuste y lubricación de guia de brazo de alimentaciónya que no esta retornando, no generó para y quedó en operación"/>
    <s v="NA"/>
    <s v="NA"/>
    <s v="D. BAUTISTA"/>
    <x v="0"/>
  </r>
  <r>
    <n v="492"/>
    <s v="H. TRIANA"/>
    <d v="1899-12-30T21:40:00"/>
    <x v="82"/>
    <x v="14"/>
    <m/>
    <s v="Temperatura molde baja"/>
    <d v="1899-12-30T21:40:00"/>
    <d v="1899-12-30T22:00:00"/>
    <d v="2026-01-06T00:00:00"/>
    <s v="Eléctrica"/>
    <s v="Se realiza cambió de relé estado solido ya que se encuentra dañado, abierto, se realizan pruebas y quedo en operación"/>
    <s v="NA"/>
    <s v="NA"/>
    <s v="D. BAUTISTA"/>
    <x v="0"/>
  </r>
  <r>
    <n v="493"/>
    <s v="H. TRIANA"/>
    <d v="1899-12-30T05:00:00"/>
    <x v="83"/>
    <x v="14"/>
    <s v="Puntual"/>
    <s v="Revisar rodillo banana, que presenta bote y arruga material"/>
    <m/>
    <m/>
    <m/>
    <m/>
    <m/>
    <m/>
    <m/>
    <m/>
    <x v="2"/>
  </r>
  <r>
    <n v="494"/>
    <s v="Y. BERNAL"/>
    <d v="1899-12-30T09:20:00"/>
    <x v="83"/>
    <x v="11"/>
    <s v="Repetitiva"/>
    <s v="Se reporta a mantenimiento por recalentamiento de amterial mezclador externo"/>
    <m/>
    <m/>
    <m/>
    <m/>
    <m/>
    <m/>
    <m/>
    <m/>
    <x v="2"/>
  </r>
  <r>
    <n v="495"/>
    <s v="K. RAMOS"/>
    <d v="1899-12-30T11:10:00"/>
    <x v="83"/>
    <x v="6"/>
    <s v="Puntual"/>
    <s v="Falla en el corte de la pelicual"/>
    <m/>
    <m/>
    <m/>
    <m/>
    <m/>
    <m/>
    <m/>
    <m/>
    <x v="2"/>
  </r>
  <r>
    <n v="496"/>
    <s v="S. CARDENAL"/>
    <d v="1899-12-30T18:20:00"/>
    <x v="83"/>
    <x v="4"/>
    <m/>
    <s v="Bse de perforadores desoldada y  tornilleria en mal estado"/>
    <d v="1899-12-30T18:20:00"/>
    <d v="1899-12-30T19:15:00"/>
    <d v="2026-01-06T00:00:00"/>
    <s v="Mecánica"/>
    <s v="Se aplica soldadura, se refuerza con platinas, se extraen tornillos rotos y se cambia los que estan en mal estado"/>
    <s v="Tornillos 8mm x 30 mm"/>
    <s v="Soldadura "/>
    <s v="O. DUARTE"/>
    <x v="0"/>
  </r>
  <r>
    <n v="497"/>
    <s v="H. TRIANA"/>
    <d v="1899-12-30T06:40:00"/>
    <x v="29"/>
    <x v="14"/>
    <s v="Puntual"/>
    <s v="No enciende el tratador"/>
    <d v="1899-12-30T06:40:00"/>
    <d v="1899-12-30T08:30:00"/>
    <d v="2026-01-08T00:00:00"/>
    <s v="Eléctrica"/>
    <s v="Se intercambia tratador coex 4 a coex 2, ya que no deja subir potencia, se reviso y no se encuentra la falla, quedo trabajando coex 02, con el tratador de coex 04, se entrega 8:05, se realizo acompañamiento en el arranque hasta 8:30"/>
    <s v="NA"/>
    <s v="NA"/>
    <s v="D. BAUTISTA"/>
    <x v="0"/>
  </r>
  <r>
    <n v="498"/>
    <s v="R. OLIVARES"/>
    <d v="1899-12-30T08:30:00"/>
    <x v="29"/>
    <x v="6"/>
    <s v="Puntual"/>
    <s v="Zona 10 tornillo A baja temperatura"/>
    <d v="1899-12-30T08:40:00"/>
    <d v="1899-12-30T09:00:00"/>
    <d v="2026-01-08T00:00:00"/>
    <s v="Eléctrica"/>
    <s v="Se encuentra zona baja temperatura se inspecciona estado conectores resistencia y rele estado solido ya que breaker esta disparado, se reseteo y se realiza seguimiento"/>
    <s v="NA"/>
    <s v="NA"/>
    <s v="D. BAUTISTA"/>
    <x v="0"/>
  </r>
  <r>
    <n v="499"/>
    <s v="C. BARAJAS"/>
    <d v="1899-12-30T11:25:00"/>
    <x v="29"/>
    <x v="0"/>
    <s v="Puntual"/>
    <s v="Daño en la base de los perforadores"/>
    <d v="1899-12-30T11:25:00"/>
    <d v="1899-12-30T11:45:00"/>
    <d v="2026-01-08T00:00:00"/>
    <s v="Mecánica"/>
    <s v="Se cambió tornillo M10 x 20mm"/>
    <s v="Tornillo M10 x 20 mm"/>
    <s v="NA"/>
    <s v="D. BAUTISTA"/>
    <x v="0"/>
  </r>
  <r>
    <n v="500"/>
    <s v="L. GARZON"/>
    <d v="1899-12-30T23:40:00"/>
    <x v="29"/>
    <x v="4"/>
    <s v="Puntual"/>
    <s v="Se solicita sacar filo a la cuchilla e instalar termocupla"/>
    <d v="1899-12-30T23:50:00"/>
    <d v="1899-12-30T00:10:00"/>
    <d v="2026-01-09T00:00:00"/>
    <s v="Eléctrica"/>
    <s v="Se remplaza la termocupla ya que la otra estaba dañada y se afilo la cuhcilla"/>
    <s v="NA"/>
    <s v="Termocupla"/>
    <s v="J. SILVA"/>
    <x v="0"/>
  </r>
  <r>
    <n v="501"/>
    <s v="H. TRIANA"/>
    <d v="1899-12-30T17:00:00"/>
    <x v="29"/>
    <x v="14"/>
    <s v="Puntual"/>
    <s v="Falla en temperaturas"/>
    <d v="1899-12-30T17:00:00"/>
    <d v="1899-12-30T17:50:00"/>
    <d v="2026-01-08T00:00:00"/>
    <s v="Eléctrica"/>
    <s v="Revisión de relé estado solido operativo, revisión resistencias operativas, revisión cableado, no se encuentra en mal estado. Contactor se evidencia que se pega y no se enclava bien, se despega, queda en seguimiento"/>
    <s v="NA"/>
    <s v="NA"/>
    <s v="O. DUARTE"/>
    <x v="0"/>
  </r>
  <r>
    <n v="502"/>
    <s v="J. BRICEÑO"/>
    <d v="1899-12-30T21:52:00"/>
    <x v="29"/>
    <x v="7"/>
    <m/>
    <s v="Acople de bomba electrica roto"/>
    <d v="1899-12-30T21:53:00"/>
    <d v="1899-12-30T21:59:00"/>
    <d v="2026-01-08T00:00:00"/>
    <s v="Mecánica"/>
    <s v="Se desvara con otro registro de una bomba deshabilitada, queda OK"/>
    <s v="NA"/>
    <s v="NA"/>
    <s v="J. SILVA"/>
    <x v="0"/>
  </r>
  <r>
    <n v="503"/>
    <s v="B. RODRIGUEZ"/>
    <d v="1899-12-30T22:30:00"/>
    <x v="83"/>
    <x v="11"/>
    <m/>
    <s v="La corona se traba al moverla"/>
    <d v="1899-12-30T22:30:00"/>
    <d v="1899-12-30T23:30:00"/>
    <d v="2026-01-01T00:00:00"/>
    <s v="Mecánica"/>
    <s v="Se realiza pulido de tubo de soporte de corona para quitar defectos por mala manipulación al momento de ajustar"/>
    <s v="NA"/>
    <s v="NA"/>
    <s v="J. SILVA"/>
    <x v="0"/>
  </r>
  <r>
    <n v="504"/>
    <s v="K. RAMOS"/>
    <d v="1899-12-30T00:10:00"/>
    <x v="84"/>
    <x v="6"/>
    <m/>
    <s v="Molino atascado en codo de la tuberia"/>
    <d v="1899-12-30T00:11:00"/>
    <d v="1899-12-30T00:15:00"/>
    <d v="2026-01-09T00:00:00"/>
    <s v="Mecánica"/>
    <s v="Se revisa molino, se destrava y se deja funcionando"/>
    <s v="NA"/>
    <s v="NS"/>
    <s v="J. SILVA"/>
    <x v="0"/>
  </r>
  <r>
    <n v="505"/>
    <m/>
    <d v="1899-12-30T03:12:00"/>
    <x v="84"/>
    <x v="7"/>
    <m/>
    <s v="Se salio rodillo lado bobinador"/>
    <d v="1899-12-30T03:15:00"/>
    <d v="1899-12-30T03:30:00"/>
    <d v="2026-01-09T00:00:00"/>
    <s v="Mecánica"/>
    <s v="Encajar el rodillo en el soporte y darle ajuste para que no se salga"/>
    <s v="NA"/>
    <s v="NA"/>
    <s v="J. SILVA"/>
    <x v="0"/>
  </r>
  <r>
    <n v="506"/>
    <s v="R. MEJIA"/>
    <d v="1899-12-30T04:20:00"/>
    <x v="84"/>
    <x v="7"/>
    <m/>
    <s v="Se desliza rodillo loco seguido al eje neumatico de bobinador"/>
    <d v="1899-12-30T04:20:00"/>
    <d v="1899-12-30T04:50:00"/>
    <d v="2026-01-09T00:00:00"/>
    <s v="Mecánica"/>
    <s v="Se revisa, se encuentra que este con vaiven por falta de tornillos"/>
    <s v="Tornillos m4"/>
    <s v="NA"/>
    <m/>
    <x v="0"/>
  </r>
  <r>
    <n v="507"/>
    <s v="E. REYES"/>
    <d v="1899-12-30T06:40:00"/>
    <x v="84"/>
    <x v="13"/>
    <m/>
    <s v="El material se enreda en las uñas y daño en la termocupla"/>
    <d v="1899-12-30T06:40:00"/>
    <d v="1899-12-30T08:40:00"/>
    <d v="2026-01-09T00:00:00"/>
    <s v="Mecánica, Eléctrica"/>
    <s v="Cambio de conector termocupla, cambio de termopaso termocupla, Ajuste de flautas caidas se realiza torque a tornillos, se realiza reset variador mordaza"/>
    <s v="Termocupla"/>
    <s v="NA"/>
    <s v="L. CASTILLA"/>
    <x v="0"/>
  </r>
  <r>
    <n v="508"/>
    <s v="E. REYES"/>
    <d v="1899-12-30T11:10:00"/>
    <x v="84"/>
    <x v="4"/>
    <m/>
    <s v="Cilindro suelto"/>
    <d v="1899-12-30T11:10:00"/>
    <d v="1899-12-30T11:40:00"/>
    <d v="2026-01-09T00:00:00"/>
    <s v="Mecánica"/>
    <s v="Cilindro mal armado, tornillos faltantes, se remplaza quedando OK"/>
    <s v="4x Tornillos M6 x 30"/>
    <s v="NA"/>
    <s v="L. CASTILLA"/>
    <x v="0"/>
  </r>
  <r>
    <n v="509"/>
    <s v="J. PARDO"/>
    <d v="1899-12-30T07:35:00"/>
    <x v="84"/>
    <x v="7"/>
    <s v="Puntual"/>
    <s v="Se cae rodillo metalico (1) _x000a_Desgaste 18-03-2026"/>
    <d v="1899-12-30T07:35:00"/>
    <d v="1899-12-30T08:35:00"/>
    <d v="2026-03-27T00:00:00"/>
    <s v="Mecánica"/>
    <s v="Se arregla soporte de rodillo ya que se encuentra con zuncho sujetando mal, se le instala unas abrazaderas metalicas y queda OK"/>
    <s v="2x Abrazadera Media luna 1/2&quot;"/>
    <s v="NA"/>
    <s v="J. SILVA"/>
    <x v="0"/>
  </r>
  <r>
    <n v="510"/>
    <m/>
    <m/>
    <x v="3"/>
    <x v="5"/>
    <m/>
    <m/>
    <m/>
    <m/>
    <m/>
    <m/>
    <m/>
    <m/>
    <m/>
    <m/>
    <x v="1"/>
  </r>
  <r>
    <n v="511"/>
    <m/>
    <m/>
    <x v="3"/>
    <x v="5"/>
    <m/>
    <m/>
    <m/>
    <m/>
    <m/>
    <m/>
    <m/>
    <m/>
    <m/>
    <m/>
    <x v="1"/>
  </r>
  <r>
    <n v="512"/>
    <s v="S. CARDENAL"/>
    <d v="1899-12-30T19:10:00"/>
    <x v="84"/>
    <x v="0"/>
    <m/>
    <s v="Correa alimentadora del servo destencionada"/>
    <d v="1899-12-30T19:10:00"/>
    <d v="1899-12-30T19:25:00"/>
    <d v="2026-01-09T00:00:00"/>
    <s v="Mecánica"/>
    <s v="Se revisa correa del servo, se encuentra destensionada , se corrige quedando operativa"/>
    <s v="NA"/>
    <s v="NA"/>
    <s v="O. DUARTE"/>
    <x v="0"/>
  </r>
  <r>
    <n v="513"/>
    <s v="W. SANDOVAL"/>
    <d v="1899-12-30T19:30:00"/>
    <x v="84"/>
    <x v="25"/>
    <m/>
    <s v="Daño en el tensor de eje embobinador superior"/>
    <d v="1899-12-30T19:40:00"/>
    <d v="1899-12-30T01:10:00"/>
    <d v="2026-01-10T00:00:00"/>
    <s v="Mecánica"/>
    <s v="Se hace cambio de discos de corte y se cambia tornillo en eje de embobinado, se debe hacer seguimiento ya que tiende a botar el eje"/>
    <s v="Tornillo M12 x 30mm, Arandela para ajuste por desgaste"/>
    <s v="NA"/>
    <s v="J. SILVA"/>
    <x v="0"/>
  </r>
  <r>
    <n v="514"/>
    <s v="R. MEJIA"/>
    <d v="1899-12-30T20:35:00"/>
    <x v="84"/>
    <x v="7"/>
    <s v="Puntual"/>
    <s v="Se daño guia que engrana con el piñon del eje neumatico del debobinador"/>
    <d v="1899-12-30T20:35:00"/>
    <d v="1899-12-30T21:26:00"/>
    <d v="2026-01-10T00:00:00"/>
    <s v="Mecánica"/>
    <s v="Se hace cambio de rodamiento por desgaste"/>
    <s v="Rodamiento 6303201"/>
    <s v="NA"/>
    <s v="O. DUARTE"/>
    <x v="0"/>
  </r>
  <r>
    <n v="515"/>
    <s v="L. GARZON"/>
    <d v="1899-12-30T22:03:00"/>
    <x v="84"/>
    <x v="0"/>
    <m/>
    <s v="Daño en la rosca de cilindro"/>
    <d v="1899-12-30T22:10:00"/>
    <d v="1899-12-30T22:20:00"/>
    <d v="2026-01-09T00:00:00"/>
    <s v="Mecánica"/>
    <s v="Rectificación de rosca ya que el tornillo no apretaba"/>
    <s v="Tornillo M6"/>
    <s v="NA"/>
    <s v="J. SILVA"/>
    <x v="0"/>
  </r>
  <r>
    <n v="516"/>
    <s v="L. GARZON"/>
    <d v="1899-12-30T03:15:00"/>
    <x v="85"/>
    <x v="0"/>
    <m/>
    <s v="Bloqueo en servomotor desajuste cilindro tensor"/>
    <d v="1899-12-30T03:20:00"/>
    <d v="1899-12-30T05:07:00"/>
    <d v="2026-01-10T00:00:00"/>
    <s v="Mecánica, Eléctrica"/>
    <s v="Se reinicia la maquina para reset el servomotor, se ajusta el cilindro, la maquina vuelve a presentar falla y se interviene a las 4:22 y molesta nuevamente 4:55"/>
    <s v="NA"/>
    <s v="NA"/>
    <s v="J. SILVA"/>
    <x v="0"/>
  </r>
  <r>
    <n v="517"/>
    <s v="R. MEJIA"/>
    <d v="1899-12-30T04:36:00"/>
    <x v="85"/>
    <x v="7"/>
    <m/>
    <s v="Bomba neumatica no succiona tinta, unidad #3"/>
    <d v="1899-12-30T04:42:00"/>
    <d v="1899-12-30T05:15:00"/>
    <d v="2026-01-10T00:00:00"/>
    <s v="Mecánica"/>
    <s v="Se revisa el filtro y el balin se limpia, se coloca en su sitio y queda funcionando OK"/>
    <s v="NA"/>
    <s v="NA"/>
    <s v="J. SILVA"/>
    <x v="0"/>
  </r>
  <r>
    <n v="518"/>
    <m/>
    <m/>
    <x v="3"/>
    <x v="5"/>
    <m/>
    <m/>
    <m/>
    <m/>
    <m/>
    <m/>
    <m/>
    <m/>
    <m/>
    <m/>
    <x v="1"/>
  </r>
  <r>
    <n v="519"/>
    <s v="D. ZAMORA"/>
    <d v="1899-12-30T08:20:00"/>
    <x v="85"/>
    <x v="10"/>
    <m/>
    <s v="Cambio de piston"/>
    <d v="1899-12-30T08:20:00"/>
    <d v="1899-12-30T08:30:00"/>
    <d v="2026-01-10T00:00:00"/>
    <s v="Mecánica"/>
    <s v="Se realiza cambio de pisador inferior para trabajar lamina"/>
    <s v="NA"/>
    <s v="NA"/>
    <s v="D. BAUTISTA"/>
    <x v="0"/>
  </r>
  <r>
    <n v="520"/>
    <s v="J. PARDO"/>
    <d v="1899-12-30T08:45:00"/>
    <x v="85"/>
    <x v="7"/>
    <m/>
    <s v="Ajuste de mordaza"/>
    <d v="1899-12-30T08:45:00"/>
    <d v="1899-12-30T09:15:00"/>
    <d v="2026-01-10T00:00:00"/>
    <s v="Mecánica"/>
    <s v="Se realiza desmonte de pieza, se cambia tornillo M6x 20 mm, se instala helicoidal m10 para el ajuste, cambio tornillo M10x80 mm"/>
    <s v="Tornillo M6 x 20mm y M10 x 8mm"/>
    <s v="NA"/>
    <s v="D. BAUTISTA"/>
    <x v="0"/>
  </r>
  <r>
    <n v="521"/>
    <s v="R. MEJIA"/>
    <d v="1899-12-30T21:35:00"/>
    <x v="85"/>
    <x v="7"/>
    <m/>
    <s v="Dejo de funcionar la bomba automatica unidad #2"/>
    <d v="1899-12-30T22:15:00"/>
    <d v="1899-12-30T22:30:00"/>
    <d v="2026-01-10T00:00:00"/>
    <s v="Neúmatica"/>
    <s v="Se recibe bomba unidad #2 con falla de arranque, se verifican presiones, se revisan mangueras encontrando la de alimentación entorchada o partida evitando el paso o ingreso de pintura, se organiza manguera quedando operacional"/>
    <s v="NA"/>
    <s v="NA"/>
    <s v="L. CASTILLA"/>
    <x v="0"/>
  </r>
  <r>
    <n v="522"/>
    <s v="R. MEJIA"/>
    <d v="1899-12-30T02:56:00"/>
    <x v="86"/>
    <x v="7"/>
    <s v="Puntual"/>
    <s v="Brazo de seguridad del eje neumatico en el bobinador, botó los tornillos"/>
    <d v="1899-12-30T02:56:00"/>
    <d v="1899-12-30T03:10:00"/>
    <d v="2026-01-11T00:00:00"/>
    <s v="Mecánica"/>
    <s v="Tornillos averiados por bote en espigo del eje embobinador, se realiza cambio quedando OK"/>
    <s v="Tornillo M8 x 50mm"/>
    <s v="NA"/>
    <s v="L. CASTILLA"/>
    <x v="0"/>
  </r>
  <r>
    <n v="523"/>
    <s v="H. TRIANA"/>
    <d v="1899-12-30T08:24:00"/>
    <x v="86"/>
    <x v="14"/>
    <s v="Repetitiva"/>
    <s v="Mangueras del ventilador hacia la corona rotas"/>
    <d v="1899-12-30T09:00:00"/>
    <d v="1899-12-30T09:23:00"/>
    <d v="2026-01-11T00:00:00"/>
    <s v="Mecánica"/>
    <s v="Cambio (remplazo) de mangueras de 2´´"/>
    <s v="Manguera flexible 2´´x 6mts"/>
    <s v="NA"/>
    <s v="J. SILVA"/>
    <x v="0"/>
  </r>
  <r>
    <n v="524"/>
    <s v="H. TRIANA"/>
    <d v="1899-12-30T11:45:00"/>
    <x v="86"/>
    <x v="14"/>
    <s v="Puntual"/>
    <s v="Cambio tornillos bristol de las coronas de los embobinadores"/>
    <m/>
    <m/>
    <m/>
    <m/>
    <m/>
    <m/>
    <m/>
    <m/>
    <x v="2"/>
  </r>
  <r>
    <n v="525"/>
    <s v="W. SANDOVAL"/>
    <d v="1899-12-30T12:45:00"/>
    <x v="86"/>
    <x v="10"/>
    <m/>
    <s v="Falla en el sistema de refrigeración del eje desbobinador"/>
    <d v="1899-12-30T12:49:00"/>
    <d v="1899-12-30T13:45:00"/>
    <d v="2026-01-11T00:00:00"/>
    <s v="Eléctrica"/>
    <s v="Se revisa conexión eléctrica una fase abierta"/>
    <s v="NA"/>
    <s v="NA"/>
    <s v="J. SILVA"/>
    <x v="0"/>
  </r>
  <r>
    <n v="526"/>
    <s v="H. TRIANA"/>
    <d v="1899-12-30T12:40:00"/>
    <x v="86"/>
    <x v="14"/>
    <s v="Puntual"/>
    <s v="Falla en zona del codo"/>
    <d v="1899-12-30T14:30:00"/>
    <d v="1899-12-30T15:00:00"/>
    <d v="2026-01-11T00:00:00"/>
    <s v="Eléctrica"/>
    <s v="Se encuentra relé de estado solido directo y por ello la temperatura esta elevada, se realizo el cambio, no genero parada"/>
    <s v="Relé estado solido"/>
    <s v="NA"/>
    <s v="D. BAUTISTA"/>
    <x v="0"/>
  </r>
  <r>
    <n v="527"/>
    <s v="H. TRIANA"/>
    <d v="1899-12-30T15:35:00"/>
    <x v="86"/>
    <x v="14"/>
    <s v="Puntual"/>
    <s v="Mnaga inferior no enciende"/>
    <d v="1899-12-30T15:43:00"/>
    <d v="1899-12-30T16:00:00"/>
    <d v="2026-01-11T00:00:00"/>
    <s v="Eléctrica"/>
    <s v="Se realizó conexión de manga inferior (presenta desgaste, la manga requiere cambio)"/>
    <s v="NA"/>
    <s v="NA"/>
    <s v="D. BAUTISTA"/>
    <x v="0"/>
  </r>
  <r>
    <n v="528"/>
    <s v="J. PARDO"/>
    <d v="1899-12-30T15:30:00"/>
    <x v="86"/>
    <x v="7"/>
    <m/>
    <s v="Control se desconecta (de polipasto)"/>
    <d v="1899-12-30T15:30:00"/>
    <d v="1899-12-30T16:00:00"/>
    <d v="2026-01-11T00:00:00"/>
    <s v="Eléctrica"/>
    <s v="Se encuentra cableado partido del control de funcionamiento del polipasto derecho (desconectado el cableado) se realiza reconexión de cableado o control de funcionamiento, se realizan pruebas y queda operatico"/>
    <s v="NA"/>
    <s v="NA"/>
    <s v="D. BAUTISTA"/>
    <x v="0"/>
  </r>
  <r>
    <n v="529"/>
    <s v="K. RAMOS"/>
    <d v="1899-12-30T03:00:00"/>
    <x v="87"/>
    <x v="6"/>
    <s v="Puntual"/>
    <s v="Ruido anormal en eje embobinador"/>
    <d v="1899-12-30T03:00:00"/>
    <d v="1899-12-30T03:30:00"/>
    <d v="2026-01-12T00:00:00"/>
    <s v="Mecánica"/>
    <s v="Se desmonta ese embobinador para inspección encontrando rodamiento en mal estado, se realiza cambió"/>
    <s v="Rodamientos 67092 x2 y 60062 x2"/>
    <s v="NA"/>
    <s v="L. CASTILLA"/>
    <x v="0"/>
  </r>
  <r>
    <n v="530"/>
    <s v="R. OLIVARES"/>
    <d v="1899-12-30T10:30:00"/>
    <x v="87"/>
    <x v="6"/>
    <m/>
    <s v="Falla en el tratador"/>
    <d v="1899-12-30T10:30:00"/>
    <d v="1899-12-30T10:30:00"/>
    <d v="2026-01-12T00:00:00"/>
    <s v="Eléctrica"/>
    <s v="Se realizo cambio de cable de potencia de manga (cuchillos) superior ya que se encuentra el otro cable partido, no se genero parada, quedo operativo"/>
    <s v="NA"/>
    <s v="NA"/>
    <s v="D. BAUTISTA"/>
    <x v="0"/>
  </r>
  <r>
    <n v="531"/>
    <s v="R. OLIVARES"/>
    <d v="1899-12-30T09:00:00"/>
    <x v="87"/>
    <x v="6"/>
    <s v="Puntual"/>
    <s v="ANTIESTATICA CON DAÑO"/>
    <m/>
    <m/>
    <m/>
    <m/>
    <m/>
    <m/>
    <m/>
    <m/>
    <x v="1"/>
  </r>
  <r>
    <n v="532"/>
    <s v="R. MEJIA"/>
    <d v="1899-12-30T00:50:00"/>
    <x v="88"/>
    <x v="7"/>
    <s v="Puntual"/>
    <s v="Bobinador no funciona"/>
    <d v="1899-12-30T07:20:00"/>
    <d v="1899-12-30T11:50:00"/>
    <d v="2026-01-13T00:00:00"/>
    <s v="Mecánica, Eléctrica"/>
    <s v="Inspección a circuito y partes mecanicas embobinador encontrando piñon de potenciometro balancin averiado, potenciomentro averiado y tarjeta, se rectifican con lima dientes de piñon, cambio de potenciometro y resistencia en tarjeta de control variador quedando operacional"/>
    <s v="1x potenciometro B202, 1x resistencia 10 kiloohm"/>
    <s v="NA"/>
    <s v="L. CASTILLA"/>
    <x v="0"/>
  </r>
  <r>
    <n v="533"/>
    <s v="S. PATIÑO"/>
    <d v="1899-12-30T07:00:00"/>
    <x v="88"/>
    <x v="6"/>
    <s v="Puntual"/>
    <s v="Flautas de la rotaci'on descuadradas, pelicula no alinea"/>
    <d v="1899-12-30T07:00:00"/>
    <d v="1899-12-30T08:50:00"/>
    <d v="2026-01-13T00:00:00"/>
    <s v="Mecánica"/>
    <s v="Se calibra flauta superior, se desmontan tensores correa de transimisión halador, se coloca suplemento fijado con soldadura para centrar, quedando OK"/>
    <s v="NA"/>
    <s v="Soldadura"/>
    <s v="L. CASTILLA"/>
    <x v="0"/>
  </r>
  <r>
    <n v="534"/>
    <s v="S. CARDENAL"/>
    <d v="1899-12-30T11:30:00"/>
    <x v="88"/>
    <x v="4"/>
    <m/>
    <s v="Racor de los perforadores dañado"/>
    <d v="1899-12-30T11:50:00"/>
    <d v="1899-12-30T12:30:00"/>
    <d v="2026-01-13T00:00:00"/>
    <s v="Neúmatica"/>
    <s v="Se rotaba haciendo intervensión en impresora, Racor averiado, se desmontan perforadores para cambio, quedando OK"/>
    <s v="1 Racor de 1/2 para M6"/>
    <s v="NA"/>
    <s v="L. CASTILLA"/>
    <x v="0"/>
  </r>
  <r>
    <n v="535"/>
    <s v="E. REYES"/>
    <d v="1899-12-30T07:50:00"/>
    <x v="88"/>
    <x v="4"/>
    <m/>
    <s v="Temperatura se baja, afilada de cuchilla"/>
    <d v="1899-12-30T19:30:00"/>
    <d v="1899-12-30T20:30:00"/>
    <d v="2026-01-13T00:00:00"/>
    <s v="Eléctrica"/>
    <s v="Se realiza proceso de afilado de cuchilla y se apoya en el montaje, se revisa temperatura de mordaza superior ya que se encuentra baja, se encuentra breaker disparado por aparente corto, se resetea y se realizan pruebas, se espera que al setpoint y se entrega operativa"/>
    <s v="NA"/>
    <s v="NA"/>
    <s v="D. BAUTISTA"/>
    <x v="0"/>
  </r>
  <r>
    <n v="536"/>
    <s v="E. REYES"/>
    <d v="1899-12-30T06:50:00"/>
    <x v="88"/>
    <x v="13"/>
    <m/>
    <s v="Uñas enrredan material"/>
    <d v="1899-12-30T18:50:00"/>
    <d v="1899-12-30T19:00:00"/>
    <d v="2026-01-13T00:00:00"/>
    <s v="Mecánica"/>
    <s v="Se calibra posición de uñas de las flautas, se realizan pruebas y quedo operativo"/>
    <s v="NA"/>
    <s v="NA"/>
    <s v="D. BAUTISTA"/>
    <x v="0"/>
  </r>
  <r>
    <n v="537"/>
    <s v="J. MIRANDA"/>
    <d v="1899-12-30T19:00:00"/>
    <x v="88"/>
    <x v="14"/>
    <m/>
    <s v="Fabricación de soporte de plato"/>
    <d v="1899-12-30T19:00:00"/>
    <d v="1899-12-30T19:50:00"/>
    <d v="2026-01-13T00:00:00"/>
    <s v="Mecánica"/>
    <s v="Se fabrica soporte de ajuste de plato a la corona y se realiza la instalación, se entrega al operario"/>
    <s v="NA"/>
    <s v="NA"/>
    <s v="D. BAUTISTA"/>
    <x v="0"/>
  </r>
  <r>
    <n v="538"/>
    <s v="S. CARDENAL"/>
    <d v="1899-12-30T06:15:00"/>
    <x v="89"/>
    <x v="5"/>
    <m/>
    <s v="Temperatura de la mordaza inferior no sube"/>
    <d v="1899-12-30T06:15:00"/>
    <d v="1899-12-30T06:45:00"/>
    <d v="2026-01-14T00:00:00"/>
    <s v="Eléctrica"/>
    <s v="Se realiza inspección en circuito resistencia inferior mordaza longitudinal encontrando cable abierto, se realiza cambio quedando OK"/>
    <s v="Cable #10 x 30 cm, 2x terminales ojo #10"/>
    <s v="NA"/>
    <s v="L. CASTILLA"/>
    <x v="0"/>
  </r>
  <r>
    <n v="539"/>
    <m/>
    <m/>
    <x v="3"/>
    <x v="5"/>
    <m/>
    <m/>
    <m/>
    <m/>
    <m/>
    <m/>
    <m/>
    <m/>
    <m/>
    <m/>
    <x v="1"/>
  </r>
  <r>
    <n v="540"/>
    <s v="H. TRIANA"/>
    <d v="1899-12-30T16:16:00"/>
    <x v="89"/>
    <x v="8"/>
    <s v="Repetitiva"/>
    <s v="Tornillos bristol para las manzanas de las varillas de embobinador"/>
    <d v="1899-12-30T17:00:00"/>
    <d v="1899-12-30T17:40:00"/>
    <d v="2026-01-14T00:00:00"/>
    <s v="Mecánica"/>
    <s v="Se instalan 3 prisioneros 3/8 x 1/2 y 5 prisioneros M10 x 20mm para manzanas de los ejes bobinadores"/>
    <s v="1x Prisioneros 3/8 x 1/2, 5x Prisioneros M10 x 20mm"/>
    <s v="NA"/>
    <s v="D. BAUTISTA"/>
    <x v="0"/>
  </r>
  <r>
    <n v="541"/>
    <s v="J. MIRANDA"/>
    <d v="1899-12-30T19:45:00"/>
    <x v="89"/>
    <x v="8"/>
    <m/>
    <s v="Desajuste en el tratador y cables desajustados, Variador de la prensa no prende"/>
    <d v="1899-12-30T19:45:00"/>
    <d v="1899-12-30T20:30:00"/>
    <d v="2026-01-14T00:00:00"/>
    <s v="Mecánica, Eléctrica"/>
    <s v="Puerta de tratador sin pasadores, se fabricam y se instalan, se apoya a cuadre, Se encuentra variador de prensa sin tensión, se inspecciona y se corrige fallo, se realiza acompañamiento en el arranque, se entrega para arranque "/>
    <s v="NA"/>
    <s v="NA"/>
    <s v="D. BAUTISTA"/>
    <x v="0"/>
  </r>
  <r>
    <n v="542"/>
    <s v="R. MEJIA"/>
    <d v="1899-12-30T04:00:00"/>
    <x v="89"/>
    <x v="7"/>
    <s v="Puntual"/>
    <s v="Se salió balancin del desbobinador"/>
    <d v="1899-12-30T04:10:00"/>
    <d v="1899-12-30T04:40:00"/>
    <d v="2026-01-14T00:00:00"/>
    <s v="Mecánica"/>
    <s v="Se sale el pin de la cadenilla, se le vuelve a instalar y nivelar para que no se tuersa la bolsa"/>
    <s v="NA"/>
    <s v="NA"/>
    <s v="J. SILVA"/>
    <x v="0"/>
  </r>
  <r>
    <n v="543"/>
    <s v="S. CARDENAL"/>
    <d v="1899-12-30T08:20:00"/>
    <x v="90"/>
    <x v="6"/>
    <m/>
    <s v="Se rompio correa"/>
    <d v="1899-12-30T09:10:00"/>
    <d v="1899-12-30T09:45:00"/>
    <d v="2026-01-15T00:00:00"/>
    <s v="Mecánica"/>
    <s v="Cambio de correa de mordaza inferior rotativa quedando OK"/>
    <s v="1x Correa mordaza"/>
    <s v="NA"/>
    <s v="L. CASTILLA"/>
    <x v="0"/>
  </r>
  <r>
    <n v="544"/>
    <s v="S. CARDENAL"/>
    <d v="1899-12-30T10:30:00"/>
    <x v="90"/>
    <x v="4"/>
    <m/>
    <s v="Asegurar base de la cinta de seguridad y hacer guia para esta misma"/>
    <d v="1899-12-30T10:30:00"/>
    <d v="1899-12-30T12:45:00"/>
    <d v="2026-01-15T00:00:00"/>
    <s v="Mecánica"/>
    <s v="Se realiza base para rodillo de cinta y guia para correr cinta"/>
    <s v="NA"/>
    <s v="NA"/>
    <s v="L. CASTILLA"/>
    <x v="0"/>
  </r>
  <r>
    <n v="545"/>
    <s v="F. SANCHEZ"/>
    <d v="1899-12-30T09:00:00"/>
    <x v="90"/>
    <x v="6"/>
    <s v="Puntual"/>
    <s v="Porta cuchillas de corte de refile en mal estado y cuchilla no corta, por favor revisar por mantenimiento"/>
    <m/>
    <m/>
    <m/>
    <m/>
    <s v="Pendientes por programación para montaje de cuchillas"/>
    <m/>
    <m/>
    <m/>
    <x v="2"/>
  </r>
  <r>
    <n v="546"/>
    <s v="F. SANCHEZ"/>
    <d v="1899-12-30T05:00:00"/>
    <x v="90"/>
    <x v="6"/>
    <m/>
    <s v="Se recibe maquina parada, tratador prendido- FAJ en posición de trabajo, rotación freanda, enhebrado mal, paletas no funcionaban"/>
    <d v="1899-12-30T08:00:00"/>
    <d v="1899-12-30T09:20:00"/>
    <d v="2026-01-15T00:00:00"/>
    <s v="Mecánica"/>
    <s v="Se verifica la falla encontrando la rotación frenada, las cunetas torcidas, los sin fin torcidos, se interviene todo y se entrega la maquina"/>
    <s v="NA"/>
    <s v="NA"/>
    <s v="L. CASTILLAS"/>
    <x v="0"/>
  </r>
  <r>
    <n v="547"/>
    <s v="S. CARDENAL"/>
    <d v="1899-12-30T12:45:00"/>
    <x v="90"/>
    <x v="4"/>
    <m/>
    <s v="Falta de rodillo, Material se enreda en la uñas"/>
    <d v="1899-12-30T13:00:00"/>
    <d v="1899-12-30T15:03:00"/>
    <d v="2026-01-15T00:00:00"/>
    <s v="Mecánica"/>
    <s v="Se fabrican soportes para el rodillo, eso permiete que la bolsa se tensione"/>
    <s v="Platinas de 1/4 x 18 cm"/>
    <s v="NA"/>
    <s v="J. SILVA"/>
    <x v="0"/>
  </r>
  <r>
    <n v="548"/>
    <s v="D. ARRIETA"/>
    <d v="1899-12-30T15:25:00"/>
    <x v="90"/>
    <x v="7"/>
    <s v="Puntual"/>
    <s v="Cilindro para clichet y el piñon del anilox"/>
    <m/>
    <m/>
    <m/>
    <m/>
    <m/>
    <m/>
    <m/>
    <m/>
    <x v="2"/>
  </r>
  <r>
    <n v="549"/>
    <s v="H. TRIANA"/>
    <d v="1899-12-30T12:00:00"/>
    <x v="90"/>
    <x v="8"/>
    <s v="Puntual"/>
    <s v="Manzana no sale de la varilla de embobinador"/>
    <d v="1899-12-30T18:30:00"/>
    <d v="1899-12-30T18:57:00"/>
    <d v="2026-01-15T00:00:00"/>
    <s v="Mecánica"/>
    <s v="Pulir el eje para que asi la manzana gire libremente para su posicionamiento"/>
    <s v="NA"/>
    <s v="NA"/>
    <s v="J. SILVA"/>
    <x v="0"/>
  </r>
  <r>
    <n v="550"/>
    <s v="E. REYES"/>
    <d v="1899-12-30T18:40:00"/>
    <x v="90"/>
    <x v="4"/>
    <m/>
    <s v="Daño en termocupla"/>
    <d v="1899-12-30T18:59:00"/>
    <d v="1899-12-30T20:55:00"/>
    <d v="2026-01-15T00:00:00"/>
    <s v="Eléctrica"/>
    <s v="Termocupla dañada, pirometro presentando fallas, se modifica parametro y se cambia termocupla"/>
    <s v="Termocupla"/>
    <s v="NA"/>
    <s v="J. SILVA"/>
    <x v="0"/>
  </r>
  <r>
    <n v="551"/>
    <s v="E. REYES"/>
    <d v="1899-12-30T16:25:00"/>
    <x v="90"/>
    <x v="4"/>
    <m/>
    <s v="Daño en la correa, Daño por tornillos en el rodillo, Fotocelda"/>
    <d v="1899-12-30T16:40:00"/>
    <d v="1899-12-30T18:10:00"/>
    <d v="2026-01-15T00:00:00"/>
    <s v="Mecánica, Eléctrica"/>
    <s v="Se verifica correa esta por fuera de la linea de trabajo, se ajusta, se tensiona, se cambian tornillos por daño en rosca, se fabrica soporte fotocelda 18;10"/>
    <s v="Platinas y tornillos"/>
    <s v="NA"/>
    <s v="J. SILVA"/>
    <x v="0"/>
  </r>
  <r>
    <n v="552"/>
    <m/>
    <m/>
    <x v="3"/>
    <x v="5"/>
    <m/>
    <m/>
    <m/>
    <m/>
    <m/>
    <m/>
    <m/>
    <m/>
    <m/>
    <m/>
    <x v="1"/>
  </r>
  <r>
    <n v="553"/>
    <s v="S. CARDENAL"/>
    <d v="1899-12-30T07:00:00"/>
    <x v="91"/>
    <x v="0"/>
    <m/>
    <s v="Las flautas se doblaron"/>
    <d v="1899-12-30T07:00:00"/>
    <d v="1899-12-30T07:30:00"/>
    <d v="2026-01-16T00:00:00"/>
    <s v="Mecánica, Electrica"/>
    <s v="Uñas flautas superior averiadas por bolsa enredada, se desmonta para corregir falla y se realiza montaje, Encoder presenta falla, se realiza ajuste a conectores y se realiza reset quedando OK"/>
    <s v="NA"/>
    <s v="NA"/>
    <s v="L. CASTILLA"/>
    <x v="0"/>
  </r>
  <r>
    <n v="554"/>
    <s v="S. CARDENAL"/>
    <d v="1899-12-30T09:00:00"/>
    <x v="91"/>
    <x v="7"/>
    <m/>
    <s v="Maquina se apaga sola, no cuenta las bolsas"/>
    <d v="1899-12-30T09:10:00"/>
    <d v="1899-12-30T09:30:00"/>
    <d v="2026-01-16T00:00:00"/>
    <s v="Eléctrica"/>
    <s v="Se realiza ajuste a conectores y se realiza reset"/>
    <s v="NA"/>
    <s v="NA"/>
    <s v="L. CASTILLA"/>
    <x v="0"/>
  </r>
  <r>
    <n v="555"/>
    <s v="R. MEJIA"/>
    <d v="1899-12-30T11:13:00"/>
    <x v="91"/>
    <x v="7"/>
    <s v="Puntual"/>
    <s v="Daño en pista de los rodamientos unidad #5"/>
    <d v="1899-12-30T11:15:00"/>
    <d v="1899-12-30T11:30:00"/>
    <d v="2026-01-16T00:00:00"/>
    <s v="Mecánica"/>
    <s v="Pista del rodamiento del espigo con desajuste, se realiza grafilado y se aplica trabarrosca dando el ajuste, queda operacional"/>
    <s v="NA"/>
    <s v="Trabarosca"/>
    <s v="L. CASTILLA"/>
    <x v="0"/>
  </r>
  <r>
    <n v="556"/>
    <s v="S. CARDENAL"/>
    <d v="1899-12-30T12:35:00"/>
    <x v="91"/>
    <x v="4"/>
    <m/>
    <s v="Se doblan las flautas"/>
    <d v="1899-12-30T12:35:00"/>
    <d v="1899-12-30T13:00:00"/>
    <d v="2026-01-16T00:00:00"/>
    <s v="Mecánica"/>
    <s v="Se desmontan flautas por averiadas, se rectifican uñas, quedando OK"/>
    <s v="NA"/>
    <s v="NA"/>
    <s v="L. CASTILLA"/>
    <x v="0"/>
  </r>
  <r>
    <n v="557"/>
    <s v="D. BUESACO"/>
    <d v="1899-12-30T14:00:00"/>
    <x v="91"/>
    <x v="13"/>
    <m/>
    <s v="No sella nolsa por un lado"/>
    <d v="1899-12-30T14:01:00"/>
    <d v="1899-12-30T14:20:00"/>
    <d v="2026-01-16T00:00:00"/>
    <s v="Mecánica"/>
    <s v="Se calibra presión de la sellada"/>
    <s v="NA"/>
    <s v="NA"/>
    <s v="J. SILVA"/>
    <x v="0"/>
  </r>
  <r>
    <n v="558"/>
    <s v="E. REYES"/>
    <d v="1899-12-30T16:20:00"/>
    <x v="91"/>
    <x v="0"/>
    <m/>
    <s v="Las uñas se enredan y bloquean la maquina"/>
    <d v="1899-12-30T16:22:00"/>
    <d v="1899-12-30T17:05:00"/>
    <d v="2026-01-16T00:00:00"/>
    <s v="Mecánica"/>
    <s v="Bajar sistema de uñas para enderezar, montar y calibrar para evitar daño en bolsa"/>
    <s v="NA"/>
    <s v="NA"/>
    <s v="J. SILVA"/>
    <x v="0"/>
  </r>
  <r>
    <n v="559"/>
    <m/>
    <m/>
    <x v="3"/>
    <x v="5"/>
    <m/>
    <m/>
    <m/>
    <m/>
    <m/>
    <m/>
    <m/>
    <m/>
    <m/>
    <m/>
    <x v="1"/>
  </r>
  <r>
    <n v="560"/>
    <s v="D. ARRIETA"/>
    <d v="1899-12-30T20:30:00"/>
    <x v="91"/>
    <x v="7"/>
    <m/>
    <s v="Bomba neúmatica, la bomba no subia tinta y el anillox se quedaba seco"/>
    <d v="1899-12-30T20:35:00"/>
    <d v="1899-12-30T20:50:00"/>
    <d v="2026-01-16T00:00:00"/>
    <s v="Mecánica"/>
    <s v="Se destapa y se observa balin fuera de su lugar de trabajo, se reubica quedando succión OK"/>
    <s v="NA"/>
    <s v="NA"/>
    <s v="J. SILVA"/>
    <x v="0"/>
  </r>
  <r>
    <n v="561"/>
    <s v="E. REYES"/>
    <d v="1899-12-30T20:50:00"/>
    <x v="91"/>
    <x v="0"/>
    <m/>
    <s v="Daño en termocupla"/>
    <d v="1899-12-30T20:55:00"/>
    <d v="1899-12-30T21:30:00"/>
    <d v="2026-01-16T00:00:00"/>
    <s v="Eléctrica"/>
    <s v="Se cambia termocupla ya que no estaba sensando"/>
    <s v="Termocupla"/>
    <s v="NA"/>
    <s v="J. SILVA"/>
    <x v="0"/>
  </r>
  <r>
    <n v="562"/>
    <s v="H. TRIANA"/>
    <d v="1899-12-30T05:50:00"/>
    <x v="92"/>
    <x v="8"/>
    <s v="Puntual"/>
    <s v="Falla en zona #1 del molde"/>
    <d v="1899-12-30T14:00:00"/>
    <d v="1899-12-30T14:30:00"/>
    <d v="2026-01-17T00:00:00"/>
    <s v="Eléctrica"/>
    <s v="Se realizo el cambio de relé de estado solido de la zona #1 del molde"/>
    <s v="Relé estado solido"/>
    <s v="NA"/>
    <s v="D. BAUTISTA"/>
    <x v="0"/>
  </r>
  <r>
    <n v="563"/>
    <s v="D. ARRIETA"/>
    <d v="1899-12-30T05:25:00"/>
    <x v="92"/>
    <x v="7"/>
    <s v="Puntual"/>
    <s v="La diferencia del lado derecho no esta subiendo"/>
    <d v="1899-12-30T06:00:00"/>
    <d v="1899-12-30T07:30:00"/>
    <d v="2026-01-17T00:00:00"/>
    <s v="Eléctrica"/>
    <s v="Se recibe turno con la novedad, diferencial se evidencio con temperatura alta, se aplico aire forzado, se revisan conexiones eléctricas las cuales se observan en buen estado, se deja reposo pero continuo la falla"/>
    <s v="NA"/>
    <s v="NA"/>
    <s v="D. BAUTISTA"/>
    <x v="2"/>
  </r>
  <r>
    <n v="564"/>
    <s v="S. CARDENAL"/>
    <d v="1899-12-30T06:20:00"/>
    <x v="92"/>
    <x v="2"/>
    <m/>
    <s v="Maquina molesta el selle"/>
    <d v="1899-12-30T08:40:00"/>
    <d v="1899-12-30T09:30:00"/>
    <d v="2026-01-17T00:00:00"/>
    <s v="Mecánica"/>
    <s v="Se calibra posición de cuchilla, se revisan parametros, se realiza ajuste de teflón de mordaza, se dan ajustes y se realizan pruebas de funcionamiento"/>
    <s v="NA"/>
    <s v="NA"/>
    <s v="D. BAUTISTA"/>
    <x v="0"/>
  </r>
  <r>
    <n v="565"/>
    <s v="A. MIRANDA"/>
    <d v="1899-12-30T13:00:00"/>
    <x v="93"/>
    <x v="6"/>
    <s v="Puntual"/>
    <s v="Daño en barra"/>
    <d v="1899-12-30T13:00:00"/>
    <d v="1899-12-30T06:35:00"/>
    <d v="2026-03-13T00:00:00"/>
    <s v="Mecánica"/>
    <s v="Se realizo cambio de punto por daño en pista de la guia del magacin_x000a_D. BAUTISTA 12/3/26 -&gt; 13:00 - 13:30_x000a_D. BAUTISTA 13/3/26 -&gt; 6:20 - 6:35"/>
    <s v="NA"/>
    <s v="Soldadura"/>
    <s v="D. BAUTISTA"/>
    <x v="0"/>
  </r>
  <r>
    <n v="566"/>
    <s v="S. CARDENAL"/>
    <d v="1899-12-30T12:40:00"/>
    <x v="92"/>
    <x v="4"/>
    <m/>
    <s v="Correas pegan a la mordaza inferior dañando el teflon del rodillo"/>
    <d v="1899-12-30T12:40:00"/>
    <d v="1899-12-30T13:10:00"/>
    <d v="2026-01-17T00:00:00"/>
    <s v="Mecánica"/>
    <s v="Se apoya a operario a desmonte de rodillo de selle lateral para cambio de teflon y nuevamente montaje quedando operativo"/>
    <s v="NA"/>
    <s v="NA"/>
    <s v="D. BAUTISTA"/>
    <x v="0"/>
  </r>
  <r>
    <n v="567"/>
    <s v="S. CARDENAL"/>
    <d v="1899-12-30T12:20:00"/>
    <x v="92"/>
    <x v="0"/>
    <m/>
    <s v="Maquina se apaga sola"/>
    <d v="1899-12-30T12:20:00"/>
    <d v="1899-12-30T12:40:00"/>
    <d v="2026-01-17T00:00:00"/>
    <s v="Eléctrica"/>
    <s v="Se interviene maquina ya que se reinicio, se da ajuste a conectores de pantalla, drive y tarjeta, se reinicia y se entrefa operativa"/>
    <s v="NA"/>
    <s v="NA"/>
    <s v="D. BAUTISTA"/>
    <x v="0"/>
  </r>
  <r>
    <n v="568"/>
    <s v="F. SANCHEZ"/>
    <d v="1899-12-30T15:10:00"/>
    <x v="92"/>
    <x v="6"/>
    <m/>
    <s v="Rotación se para por varias veces, no se genero parada"/>
    <d v="1899-12-30T15:10:00"/>
    <d v="1899-12-30T17:00:00"/>
    <d v="2026-01-17T00:00:00"/>
    <s v="Mecánica"/>
    <s v="Se realizo inspección econtrandose rodamiento con juego, se tiene en observación, se requiere RQ de rodamiento MCFR52AS"/>
    <s v="NA"/>
    <s v="NA"/>
    <s v="D. BAUTISTA"/>
    <x v="0"/>
  </r>
  <r>
    <n v="569"/>
    <s v="K. RAMOS"/>
    <d v="1899-12-30T07:30:00"/>
    <x v="92"/>
    <x v="1"/>
    <m/>
    <s v="Falla en el tratador"/>
    <d v="1899-12-30T07:40:00"/>
    <d v="1899-12-30T08:20:00"/>
    <d v="2026-01-17T00:00:00"/>
    <s v="Eléctrica"/>
    <s v="Se encuentra fallo f6 entratador, se realiza inspección y se logró resetear, se instercambia tratador de coex 3 para terminar la orden"/>
    <s v="NA"/>
    <s v="NA"/>
    <s v="D. BAUTISTA"/>
    <x v="0"/>
  </r>
  <r>
    <n v="570"/>
    <s v="E. REYES"/>
    <d v="1899-12-30T14:00:00"/>
    <x v="92"/>
    <x v="13"/>
    <s v="Repetitiva"/>
    <s v="Selladora no sella"/>
    <d v="1899-12-30T15:00:00"/>
    <d v="1899-12-30T15:20:00"/>
    <d v="2026-01-17T00:00:00"/>
    <s v="Mecánica"/>
    <s v="Se da ajuste a mordaza superior y se realizan pruebas de funcionamiento"/>
    <s v="NA"/>
    <s v="NA"/>
    <s v="D. BAUTISTA"/>
    <x v="0"/>
  </r>
  <r>
    <n v="571"/>
    <s v="J. PARDO"/>
    <d v="1899-12-30T10:00:00"/>
    <x v="92"/>
    <x v="7"/>
    <m/>
    <s v="Corto en el tablero"/>
    <d v="1899-12-30T10:00:00"/>
    <d v="1899-12-30T10:20:00"/>
    <d v="2026-01-17T00:00:00"/>
    <s v="Eléctrica"/>
    <s v="Se encuentra coable en corto, se realizo el ajuste y se resetea breaker, queda operativo"/>
    <s v="NA"/>
    <s v="NA"/>
    <s v="D. BAUTISTA"/>
    <x v="0"/>
  </r>
  <r>
    <n v="572"/>
    <s v="D. BUESACO"/>
    <d v="1899-12-30T17:20:00"/>
    <x v="92"/>
    <x v="4"/>
    <m/>
    <s v="Correa suelta"/>
    <d v="1899-12-30T17:20:00"/>
    <d v="1899-12-30T17:50:00"/>
    <d v="2026-01-17T00:00:00"/>
    <s v="Mecánica"/>
    <s v="Ajuste de correa"/>
    <s v="NA"/>
    <s v="NA"/>
    <s v="D. BAUTISTA"/>
    <x v="0"/>
  </r>
  <r>
    <n v="573"/>
    <s v="R. MEJIA"/>
    <d v="1899-12-30T18:40:00"/>
    <x v="92"/>
    <x v="7"/>
    <m/>
    <s v="Diferencial decha no funciona"/>
    <d v="1899-12-30T18:40:00"/>
    <d v="1899-12-30T19:15:00"/>
    <d v="2026-01-17T00:00:00"/>
    <s v="Mecánica"/>
    <s v="Se realiza calibración freno polipasto, se se grafila espiga porta chicle y se aplica trabarrosca para dar ajuste a pista quedando OK"/>
    <s v="NA"/>
    <s v="Trabarosca"/>
    <s v="L. CASTILLA"/>
    <x v="0"/>
  </r>
  <r>
    <n v="574"/>
    <s v="E. REYES"/>
    <d v="1899-12-30T06:40:00"/>
    <x v="92"/>
    <x v="13"/>
    <s v="Repetitiva"/>
    <s v="No sella"/>
    <d v="1899-12-30T00:00:00"/>
    <d v="1899-12-30T03:00:00"/>
    <d v="2026-01-17T00:00:00"/>
    <s v="Mecánica"/>
    <s v="Se le coloca presión, se calibra mordaza inferior, calibra teflon y se sube temperatura a 190 °C, no se genero parada de maquina"/>
    <s v="NA"/>
    <s v="NA"/>
    <s v="L. CASTILLA"/>
    <x v="0"/>
  </r>
  <r>
    <n v="575"/>
    <m/>
    <m/>
    <x v="3"/>
    <x v="5"/>
    <m/>
    <m/>
    <m/>
    <m/>
    <m/>
    <m/>
    <m/>
    <m/>
    <m/>
    <m/>
    <x v="1"/>
  </r>
  <r>
    <n v="576"/>
    <s v="B. VELASQUEZ"/>
    <d v="1899-12-30T11:17:00"/>
    <x v="94"/>
    <x v="11"/>
    <m/>
    <s v="Manzana corta cores presenta desgaste en las uñas"/>
    <d v="1899-12-30T11:20:00"/>
    <d v="1899-12-30T01:18:00"/>
    <d v="2026-01-18T00:00:00"/>
    <s v="Mecánica"/>
    <s v="Se le fabrican pestañas para que el core no se gire al momento del corte"/>
    <s v="NA"/>
    <s v="Soldadura 6013 platina"/>
    <s v="J. SILVA"/>
    <x v="0"/>
  </r>
  <r>
    <n v="577"/>
    <s v="R. MEJIA"/>
    <d v="1899-12-30T02:08:00"/>
    <x v="95"/>
    <x v="7"/>
    <m/>
    <s v="Eje embobinador pinchado"/>
    <d v="1899-12-30T02:15:00"/>
    <d v="1899-12-30T02:45:00"/>
    <d v="2026-01-19T00:00:00"/>
    <s v="Mecánica"/>
    <s v="Se despincha por el lado de la valvula de llenado queda OK"/>
    <s v="NA"/>
    <s v="NA"/>
    <s v="J. SILVA"/>
    <x v="0"/>
  </r>
  <r>
    <n v="578"/>
    <s v="F. SANCHEZ"/>
    <d v="1899-12-30T06:10:00"/>
    <x v="95"/>
    <x v="6"/>
    <s v="Puntual"/>
    <s v="Problemas con la velocidad 420 y llega 380 RPM, de la B 220 esa velocidad esta marcando mas como 65% de lo normal, Toca que manipular mezclada para que el calibre este al nivel"/>
    <d v="1899-12-30T07:00:00"/>
    <d v="1899-12-30T08:30:00"/>
    <d v="2026-01-19T00:00:00"/>
    <s v="Mecánica"/>
    <s v="Se realiza desmonte y limpieza del ducto de refile, limpieza de malla filtro, se adiciono material al tornillo oara descartar empaste de material en el ducto y el tornillo, se realiza limpieza de doteco del tornillo B, se realiza calibración, se realiza montaje nuevamente de las piezas y se entrega a producción para el arranque 8:30, se tiene en seguimiento durante el arranque"/>
    <s v="NA"/>
    <s v="NA"/>
    <s v="L. FLOREZ Y D. BAUTISTA"/>
    <x v="0"/>
  </r>
  <r>
    <n v="579"/>
    <s v="F. SANCHEZ"/>
    <d v="1899-12-30T08:00:00"/>
    <x v="95"/>
    <x v="6"/>
    <s v="Puntual"/>
    <s v="Rodillo donde hasiento los clavos para sacar PVC y particuls rusticas por los clavos y los clavos no tienen punta para hacer un trabajo de nuevis bien por falta de punta"/>
    <m/>
    <m/>
    <m/>
    <m/>
    <m/>
    <m/>
    <m/>
    <m/>
    <x v="2"/>
  </r>
  <r>
    <n v="580"/>
    <m/>
    <m/>
    <x v="3"/>
    <x v="5"/>
    <m/>
    <m/>
    <m/>
    <m/>
    <m/>
    <m/>
    <m/>
    <m/>
    <m/>
    <m/>
    <x v="1"/>
  </r>
  <r>
    <n v="581"/>
    <m/>
    <m/>
    <x v="3"/>
    <x v="5"/>
    <m/>
    <m/>
    <m/>
    <m/>
    <m/>
    <m/>
    <m/>
    <m/>
    <m/>
    <m/>
    <x v="1"/>
  </r>
  <r>
    <n v="582"/>
    <s v="H. TRIANA"/>
    <d v="1899-12-30T09:10:00"/>
    <x v="95"/>
    <x v="8"/>
    <s v="Puntual"/>
    <s v="Cuchillas del tratador sueltas "/>
    <d v="1899-12-30T09:15:00"/>
    <d v="1899-12-30T09:28:00"/>
    <d v="2026-01-19T00:00:00"/>
    <s v="Mecánica"/>
    <s v="Resorte suelto se sujeta para que no queden libres"/>
    <s v="NA"/>
    <s v="NA"/>
    <s v="J. SILVA"/>
    <x v="0"/>
  </r>
  <r>
    <n v="583"/>
    <s v="E. REYES"/>
    <d v="1899-12-30T06:08:00"/>
    <x v="39"/>
    <x v="13"/>
    <s v="Repetitiva"/>
    <s v="No arranca la maquina, no sella la maquina"/>
    <d v="1899-12-30T06:15:00"/>
    <d v="1899-12-30T09:30:00"/>
    <d v="2026-01-20T00:00:00"/>
    <s v="Mecánica"/>
    <s v="Final de carrera se suelta, se hace ajuste quedando OK, se realiza ajuste en cuchilla y mordaza, no corrige falla, se solicita a producción un cambio de referencia para descartar que la falla sea por parte de la maquina, se trabaja con nueva referencia y trabaja sin anomalia"/>
    <s v="NA"/>
    <s v="NA"/>
    <s v="L. CASTILLA"/>
    <x v="0"/>
  </r>
  <r>
    <n v="584"/>
    <s v="R. INFANTE"/>
    <d v="1899-12-30T08:15:00"/>
    <x v="39"/>
    <x v="11"/>
    <m/>
    <s v="Bascula de compactado se mueve la plataforma como si se hubiera soltado"/>
    <d v="1899-12-30T08:15:00"/>
    <d v="1899-12-30T08:25:00"/>
    <d v="2026-01-20T00:00:00"/>
    <s v="Mecánica"/>
    <s v="Tornillos base bascula suelto, se realiza torque para dar ajuste quedando OK"/>
    <s v="NA"/>
    <s v="NA"/>
    <s v="L. CASTILLA"/>
    <x v="0"/>
  </r>
  <r>
    <n v="585"/>
    <s v="E. REYES"/>
    <d v="1899-12-30T13:10:00"/>
    <x v="39"/>
    <x v="13"/>
    <m/>
    <s v="No prende maquina"/>
    <d v="1899-12-30T13:10:00"/>
    <d v="1899-12-30T13:20:00"/>
    <d v="2026-01-20T00:00:00"/>
    <s v="Eléctrica"/>
    <s v="Se realiza reset para todos los auxiliares para que permita el encendido"/>
    <s v="NA"/>
    <s v="NA"/>
    <s v="L. CASTILLA"/>
    <x v="0"/>
  </r>
  <r>
    <n v="586"/>
    <s v="S. CARDENAL"/>
    <d v="1899-12-30T14:30:00"/>
    <x v="39"/>
    <x v="13"/>
    <m/>
    <s v="Variación de medida"/>
    <d v="1899-12-30T15:00:00"/>
    <m/>
    <d v="2026-01-20T00:00:00"/>
    <m/>
    <s v="Se realiza ajuste, inspección de parametros, ajuste de presiones, fotocelda, prensas, pruebas de funcionamiento, maquina saca 2 o 3 paquetes y nuevamente varia medida, se realizan ajustes  pruebas pero no se logra poner a trabajar correctamente 18:00, se entrega operativa pero nuevamente falla"/>
    <s v="NA"/>
    <s v="NA"/>
    <s v="D. BAUTISTA"/>
    <x v="1"/>
  </r>
  <r>
    <n v="587"/>
    <s v="S. CARDENAL"/>
    <d v="1899-12-30T16:00:00"/>
    <x v="39"/>
    <x v="4"/>
    <m/>
    <s v="Mordaza inferior presenta el cable desconectado"/>
    <d v="1899-12-30T16:00:00"/>
    <d v="1899-12-30T16:20:00"/>
    <d v="2026-01-20T00:00:00"/>
    <s v="Eléctrica"/>
    <s v="Se conecta terminal de mordaza inferior ya que no cuenta con terminal de conexión"/>
    <s v="NA"/>
    <s v="NS"/>
    <s v="D. BAUTISTA"/>
    <x v="0"/>
  </r>
  <r>
    <n v="588"/>
    <s v="S. CARDENAL"/>
    <d v="1899-12-30T16:10:00"/>
    <x v="39"/>
    <x v="0"/>
    <s v="Repetitiva"/>
    <s v="Flautas dobladas"/>
    <d v="1899-12-30T17:00:00"/>
    <d v="1899-12-30T17:30:00"/>
    <d v="2026-01-20T00:00:00"/>
    <s v="Mecánica"/>
    <s v="Se encuentra material atascado en la prensa, se extrae material, se desmontan flautas, se enderezan uñas de las flautas, se montan nuevamente y se entrega operativo, la intervención se realizo en cambio de referencia"/>
    <s v="NA"/>
    <s v="NA"/>
    <s v="D. BAUTISTA"/>
    <x v="0"/>
  </r>
  <r>
    <n v="589"/>
    <s v="S. CARDENAL"/>
    <d v="1899-12-30T17:20:00"/>
    <x v="39"/>
    <x v="4"/>
    <m/>
    <s v="Correas sueltas"/>
    <d v="1899-12-30T17:30:00"/>
    <d v="1899-12-30T17:45:00"/>
    <d v="2026-01-20T00:00:00"/>
    <s v="Mecánica"/>
    <s v="Se tensionan correas del transportador, se instalo arandela de presión para tornillo M6, queda operativa"/>
    <s v="Arandela de presión"/>
    <s v="NA"/>
    <s v="D. BAUTISTA"/>
    <x v="0"/>
  </r>
  <r>
    <n v="590"/>
    <s v="S. CARDENAL"/>
    <d v="1899-12-30T20:20:00"/>
    <x v="39"/>
    <x v="0"/>
    <m/>
    <s v="Temperatura superior no sube"/>
    <d v="1899-12-30T20:30:00"/>
    <d v="1899-12-30T21:00:00"/>
    <d v="2026-01-20T00:00:00"/>
    <s v="Eléctrica"/>
    <s v="Se encuentra breaker de conexión en corto, se aisla cable, se da ajuste a conexiones, terminales y borneras, se coloca a calentar y se entrga con la temperatura en setpoint"/>
    <s v="NA"/>
    <s v="NA"/>
    <s v="D. BAUTISTA"/>
    <x v="0"/>
  </r>
  <r>
    <n v="591"/>
    <s v="Z. NOVOA"/>
    <d v="1899-12-30T23:30:00"/>
    <x v="39"/>
    <x v="7"/>
    <m/>
    <s v="Cambio de mangueras por cortos y se bota la tinta"/>
    <d v="1899-12-30T23:30:00"/>
    <d v="1899-12-30T23:51:00"/>
    <d v="2026-01-20T00:00:00"/>
    <m/>
    <s v="Se hace cambio de mangueras por transmisión muy cortos"/>
    <s v="Manguera de alta resistencia silicona de 1´´"/>
    <s v="NA"/>
    <s v="O. DUARTE"/>
    <x v="0"/>
  </r>
  <r>
    <n v="592"/>
    <s v="K. RAMOS"/>
    <d v="1899-12-30T22:00:00"/>
    <x v="39"/>
    <x v="5"/>
    <m/>
    <s v="Prisionero de la manzana dañado"/>
    <d v="1899-12-30T22:00:00"/>
    <d v="1899-12-30T21:40:00"/>
    <d v="2026-01-20T00:00:00"/>
    <s v="Mecánica"/>
    <s v="Se realiza extracción prisioneros dañados, cambios por unos nuevos"/>
    <s v="10x Prisioneros M10"/>
    <s v="NA"/>
    <s v="O. DUARTE"/>
    <x v="0"/>
  </r>
  <r>
    <n v="593"/>
    <s v="M. NIVIA"/>
    <d v="1899-12-30T02:50:00"/>
    <x v="96"/>
    <x v="14"/>
    <m/>
    <s v="Falla botón corta cores"/>
    <d v="1899-12-30T02:50:00"/>
    <d v="1899-12-30T03:00:00"/>
    <d v="2026-01-21T00:00:00"/>
    <s v="Mecánica"/>
    <s v="Botón dañado, se presenta en tornillo externo, se da ajuste y se posiciona "/>
    <s v="NA"/>
    <s v="NA"/>
    <s v="O. DUARTE"/>
    <x v="0"/>
  </r>
  <r>
    <n v="594"/>
    <s v="K. RAMOS"/>
    <d v="1899-12-30T03:10:00"/>
    <x v="96"/>
    <x v="14"/>
    <s v="Puntual"/>
    <s v="Variador de rotación no operativo"/>
    <d v="1899-12-30T03:10:00"/>
    <d v="1899-12-30T03:30:00"/>
    <d v="2026-01-21T00:00:00"/>
    <s v="Eléctrica"/>
    <s v="Se realiza reset en variador rotación queda operativo"/>
    <s v="NA"/>
    <s v="NA"/>
    <s v="O. DUARTE"/>
    <x v="0"/>
  </r>
  <r>
    <n v="595"/>
    <s v="W. SANDOVAL"/>
    <d v="1899-12-30T03:00:00"/>
    <x v="96"/>
    <x v="9"/>
    <m/>
    <s v="Ajuste intercambio de manguera del hidraulico"/>
    <d v="1899-12-30T03:00:00"/>
    <d v="1899-12-30T03:15:00"/>
    <d v="2026-01-21T00:00:00"/>
    <m/>
    <s v="Se realiza intercambio de mangueras en dispositivo hidraulico del equipo, se da ajuste queda operativo"/>
    <s v="Mangueras"/>
    <s v="NA"/>
    <s v="O. DUARTE"/>
    <x v="0"/>
  </r>
  <r>
    <n v="596"/>
    <s v="L. GARZON"/>
    <d v="1899-12-30T06:30:00"/>
    <x v="96"/>
    <x v="0"/>
    <s v="Puntual"/>
    <s v="La maquina se apaga constantemente (y no)"/>
    <d v="1899-12-30T06:35:00"/>
    <d v="1899-12-30T07:00:00"/>
    <d v="2026-01-21T00:00:00"/>
    <s v="Eléctrica"/>
    <s v="Se realiza reseteo maquina y ajuste en borneras, ajuste transportador"/>
    <s v="NA"/>
    <s v="NA"/>
    <s v="L. CASTILLA"/>
    <x v="0"/>
  </r>
  <r>
    <n v="597"/>
    <s v="L. GARZON"/>
    <d v="1899-12-30T07:00:00"/>
    <x v="96"/>
    <x v="5"/>
    <s v="Puntual"/>
    <s v="Afilar cuchilla"/>
    <d v="1899-12-30T07:00:00"/>
    <d v="1899-12-30T07:15:00"/>
    <d v="2026-01-21T00:00:00"/>
    <s v="Mecánica"/>
    <s v="Se presta apoyo para afilado de cuchilla quedando operaciona"/>
    <s v="NA"/>
    <s v="NA"/>
    <s v="L. CASTILLA"/>
    <x v="0"/>
  </r>
  <r>
    <n v="598"/>
    <s v="L. GARZON"/>
    <d v="1899-12-30T08:15:00"/>
    <x v="96"/>
    <x v="4"/>
    <s v="Puntual"/>
    <s v="Soporte de cuchilla suelto"/>
    <d v="1899-12-30T08:15:00"/>
    <d v="1899-12-30T08:30:00"/>
    <d v="2026-01-21T00:00:00"/>
    <s v="Mecánica"/>
    <s v="Soporte porta cuchilla sin tornillos, se remplazan quedando OK"/>
    <s v="2x Tornillos M5 x 30 mm"/>
    <s v="NA"/>
    <s v="L. CASTILLA"/>
    <x v="0"/>
  </r>
  <r>
    <n v="599"/>
    <s v="L. GARZON"/>
    <d v="1899-12-30T06:20:00"/>
    <x v="96"/>
    <x v="13"/>
    <m/>
    <s v="Se reporta maquina por variación de medida"/>
    <d v="1899-12-30T06:20:00"/>
    <d v="1899-12-30T09:05:00"/>
    <d v="2026-01-21T00:00:00"/>
    <s v="Mecánica, Eléctrica"/>
    <s v="Se realizan ajustes en fotocelda, tensiones balancin superior e inferior a freno hasta corregir."/>
    <s v="NA"/>
    <s v="NA"/>
    <s v="L. CASTILLA"/>
    <x v="0"/>
  </r>
  <r>
    <n v="600"/>
    <s v="L. GARZON"/>
    <d v="1899-12-30T10:20:00"/>
    <x v="96"/>
    <x v="5"/>
    <m/>
    <s v="Fotocelda no lee"/>
    <d v="1899-12-30T10:20:00"/>
    <d v="1899-12-30T10:50:00"/>
    <d v="2026-01-21T00:00:00"/>
    <s v="Eléctrica"/>
    <s v="Se presta apoyo a operario para calibrar fotocelda y se cambia enhebrado quedando OK"/>
    <s v="NA"/>
    <s v="NA"/>
    <s v="L. CASTILLA"/>
    <x v="0"/>
  </r>
  <r>
    <n v="601"/>
    <s v="R. OLIVARES"/>
    <d v="1899-12-30T10:00:00"/>
    <x v="96"/>
    <x v="6"/>
    <m/>
    <s v="Falla octagon"/>
    <d v="1899-12-30T10:00:00"/>
    <d v="1899-12-30T10:05:00"/>
    <d v="2026-01-21T00:00:00"/>
    <s v="Eléctrica"/>
    <s v="Se reinicia sistema completo, al no encontrar solución se ubican en modo mover los dumper y al volver a auto queda funcionando sin novedad"/>
    <s v="NA"/>
    <s v="NA"/>
    <s v="L. FLOREZ"/>
    <x v="0"/>
  </r>
  <r>
    <n v="602"/>
    <s v="R. OLIVARES"/>
    <d v="1899-12-30T14:10:00"/>
    <x v="96"/>
    <x v="6"/>
    <m/>
    <s v="Instalación de rodillos tratador"/>
    <d v="1899-12-30T14:10:00"/>
    <d v="1899-12-30T15:20:00"/>
    <d v="2026-01-21T00:00:00"/>
    <s v="Mecánica, Eléctrica"/>
    <s v="Se realizo la instalación de los rodillos del tratador coex 5 y se realizan pruebas de operación, se entrega para arranque"/>
    <s v="NA"/>
    <s v="NA"/>
    <s v="D. BAUTISTA"/>
    <x v="0"/>
  </r>
  <r>
    <n v="603"/>
    <s v="D. CUESTA"/>
    <d v="1899-12-30T18:30:00"/>
    <x v="96"/>
    <x v="25"/>
    <m/>
    <s v="Ajuste cuchilla para sacar solapa"/>
    <d v="1899-12-30T18:30:00"/>
    <d v="1899-12-30T19:00:00"/>
    <d v="2026-01-21T00:00:00"/>
    <s v="Mecánica"/>
    <s v="Se acondiciona cuchilla en refiladora 2 para sacar solapa en material ya doblada con apoyo del operario"/>
    <s v="NA"/>
    <s v="NA"/>
    <s v="D. BAUTISTA"/>
    <x v="0"/>
  </r>
  <r>
    <n v="604"/>
    <s v="C. CASTRO"/>
    <d v="1899-12-30T02:20:00"/>
    <x v="97"/>
    <x v="10"/>
    <s v="Puntual"/>
    <s v="Falla en la calandra, el eje superior quedo la presión activada y no patinaba"/>
    <d v="1899-12-30T02:20:00"/>
    <d v="1899-12-30T03:30:00"/>
    <d v="2026-01-21T00:00:00"/>
    <s v="Mecánica"/>
    <s v="Se hace desmonte de castañas eje superior se acomoda felpa y manguea, se da ajuste de nuevamente se hace seguimiento"/>
    <s v="NA"/>
    <s v="NA"/>
    <s v="O. DUARTE"/>
    <x v="0"/>
  </r>
  <r>
    <n v="605"/>
    <s v="W. SANDOVAL"/>
    <m/>
    <x v="97"/>
    <x v="11"/>
    <s v="Repetitiva"/>
    <s v="Afilada de cuhcilla corta cores"/>
    <m/>
    <d v="1899-12-30T02:25:00"/>
    <d v="2026-01-22T00:00:00"/>
    <s v="Mecánica"/>
    <s v="Se realiza afilado de disco corta cores"/>
    <s v="NA "/>
    <s v="NA"/>
    <s v="O. DUARTE"/>
    <x v="0"/>
  </r>
  <r>
    <n v="606"/>
    <s v="L. GARZON"/>
    <d v="1899-12-30T07:00:00"/>
    <x v="97"/>
    <x v="4"/>
    <s v="Puntual"/>
    <s v="Se solicita correas para transportador ya que se encuentra trabajando con 5 en la parte superior"/>
    <m/>
    <m/>
    <m/>
    <m/>
    <m/>
    <m/>
    <m/>
    <m/>
    <x v="2"/>
  </r>
  <r>
    <n v="607"/>
    <s v="L. GARZON"/>
    <d v="1899-12-30T07:00:00"/>
    <x v="97"/>
    <x v="4"/>
    <s v="Puntual"/>
    <s v="Se solicita revisión de las uñas ya que estas estan torcidas y adicional faltan muchas de estas"/>
    <m/>
    <m/>
    <m/>
    <m/>
    <m/>
    <m/>
    <m/>
    <m/>
    <x v="2"/>
  </r>
  <r>
    <n v="608"/>
    <s v="L. GARZON"/>
    <d v="1899-12-30T11:25:00"/>
    <x v="97"/>
    <x v="4"/>
    <m/>
    <s v="Temperatura varia se esta bajando y no sensa bien"/>
    <d v="1899-12-30T11:30:00"/>
    <d v="1899-12-30T12:10:00"/>
    <d v="2026-01-22T00:00:00"/>
    <s v="Eléctrica"/>
    <s v="Se revisa controlador (pirometro) se encuentra bien, daño en la termocupla"/>
    <s v="Termocupla"/>
    <s v="NA"/>
    <s v="J. SILVA"/>
    <x v="0"/>
  </r>
  <r>
    <n v="609"/>
    <s v="L. GARZON"/>
    <d v="1899-12-30T12:30:00"/>
    <x v="97"/>
    <x v="13"/>
    <m/>
    <s v="Se solicita revisión de presión de cuchilla por que la bolsa se abre"/>
    <d v="1899-12-30T12:32:00"/>
    <d v="1899-12-30T13:15:00"/>
    <d v="2026-01-22T00:00:00"/>
    <s v="Eléctrica"/>
    <s v="Se ajusta presión de la parte izquierda, quedo sellando OK"/>
    <s v="NA"/>
    <s v="NA"/>
    <s v="J. SILVA"/>
    <x v="0"/>
  </r>
  <r>
    <n v="610"/>
    <s v="S. CARDENAL"/>
    <d v="1899-12-30T14:00:00"/>
    <x v="97"/>
    <x v="13"/>
    <m/>
    <s v="Molesta el selle"/>
    <d v="1899-12-30T14:15:00"/>
    <d v="1899-12-30T14:45:00"/>
    <d v="2026-01-22T00:00:00"/>
    <s v="Mecánica"/>
    <s v="Se presta apoyo para calibración de mordaza y calibración por fallas en el sello quedando OK"/>
    <s v="NA"/>
    <s v="NA"/>
    <s v="L. CASTILLA"/>
    <x v="0"/>
  </r>
  <r>
    <n v="611"/>
    <s v="D. ARRIETA"/>
    <d v="1899-12-30T03:40:00"/>
    <x v="98"/>
    <x v="7"/>
    <m/>
    <s v="Bomba no arranca"/>
    <d v="1899-12-30T03:40:00"/>
    <d v="1899-12-30T04:00:00"/>
    <d v="2026-01-23T00:00:00"/>
    <s v="Mecánica, Neúmatica"/>
    <s v="Bomba neúmatica no arranca, se revisa conexión neúmatica, estado de mangueras de succión y descarga, se da ajuste a mangueras y se realizan pruebas de funcionamiento, no se genera paro de maquina"/>
    <s v="NA"/>
    <s v="NA"/>
    <s v="D. BAUTISTA"/>
    <x v="0"/>
  </r>
  <r>
    <n v="612"/>
    <s v="B. RODRIGUEZ"/>
    <d v="1899-12-30T04:00:00"/>
    <x v="98"/>
    <x v="5"/>
    <m/>
    <s v="Rosca rodada del corta cores"/>
    <d v="1899-12-30T04:00:00"/>
    <d v="1899-12-30T04:30:00"/>
    <d v="2026-01-23T00:00:00"/>
    <s v="Mecánica"/>
    <s v="Se encuentra rosca de ajuste de mordaza rodada, se realizo el cambio de un tornillo M12 x 60mm y se instalo con soldadura tuerca ya queno se pudo reconstruir la rosca, quedo operativo"/>
    <s v="1x Tornillo M12 x60mm"/>
    <s v="Soldadura"/>
    <s v="D. BAUTISTA"/>
    <x v="0"/>
  </r>
  <r>
    <n v="613"/>
    <s v="D. CUESTA"/>
    <d v="1899-12-30T06:45:00"/>
    <x v="98"/>
    <x v="8"/>
    <s v="Puntual"/>
    <s v="Tornillo de la pinola de la COEX 3 no ajusta rosca mala o el tornillo"/>
    <d v="1899-12-30T07:00:00"/>
    <d v="1899-12-30T08:10:00"/>
    <d v="2026-01-23T00:00:00"/>
    <s v="Mecánica"/>
    <s v="Se cambia tornillo por rosca defectuosa"/>
    <s v="1x Tornillo"/>
    <s v="NA"/>
    <s v="J. SILVA"/>
    <x v="0"/>
  </r>
  <r>
    <n v="614"/>
    <m/>
    <m/>
    <x v="3"/>
    <x v="5"/>
    <m/>
    <m/>
    <m/>
    <m/>
    <m/>
    <m/>
    <m/>
    <m/>
    <m/>
    <m/>
    <x v="1"/>
  </r>
  <r>
    <n v="615"/>
    <s v="C. CASTRO"/>
    <d v="1899-12-30T00:30:00"/>
    <x v="99"/>
    <x v="10"/>
    <m/>
    <s v="Ventilador del desbobinador frenado"/>
    <d v="1899-12-30T00:30:00"/>
    <d v="1899-12-30T01:00:00"/>
    <d v="2026-01-24T00:00:00"/>
    <s v="Mecánica"/>
    <s v="Se desmonta ventilador, se procede al desarme y limpieza de material atascado, se realiza montaje y queda operativo"/>
    <s v="NA"/>
    <s v="NA"/>
    <s v="D. BAUTISTA"/>
    <x v="0"/>
  </r>
  <r>
    <n v="616"/>
    <s v="H. TRIANA"/>
    <d v="1899-12-30T17:50:00"/>
    <x v="99"/>
    <x v="14"/>
    <s v="Repetitiva"/>
    <s v="Falla en el contactor del barril, se queda pegado"/>
    <d v="1899-12-30T17:50:00"/>
    <d v="1899-12-30T18:00:00"/>
    <d v="2026-01-24T00:00:00"/>
    <s v="Eléctrica"/>
    <s v="Se evidencia contactor pegado, se da ajuste y queda operativo"/>
    <s v="NA"/>
    <s v="NA"/>
    <s v="O. DUARTE"/>
    <x v="0"/>
  </r>
  <r>
    <n v="617"/>
    <m/>
    <m/>
    <x v="3"/>
    <x v="5"/>
    <m/>
    <m/>
    <m/>
    <m/>
    <m/>
    <m/>
    <m/>
    <m/>
    <m/>
    <m/>
    <x v="1"/>
  </r>
  <r>
    <n v="618"/>
    <s v="R. OLIVARES"/>
    <d v="1899-12-30T14:30:00"/>
    <x v="99"/>
    <x v="6"/>
    <m/>
    <s v="El octagon no corrige el calibre"/>
    <d v="1899-12-30T14:30:00"/>
    <d v="1899-12-30T16:50:00"/>
    <d v="2026-01-24T00:00:00"/>
    <s v="Eléctrica"/>
    <s v="Se reinicia en su totalidad el equipo, se espera el arranque, queda operativo se hace seguimiento"/>
    <s v="NA"/>
    <s v="NA"/>
    <s v="O. DUARTE"/>
    <x v="0"/>
  </r>
  <r>
    <n v="619"/>
    <s v="H. TRIANA"/>
    <d v="1899-12-30T16:30:00"/>
    <x v="99"/>
    <x v="3"/>
    <m/>
    <s v="Rotación parada error en variador "/>
    <d v="1899-12-30T16:30:00"/>
    <d v="1899-12-30T17:15:00"/>
    <d v="2026-01-24T00:00:00"/>
    <s v="Eléctrica"/>
    <s v="Se evidencia rotación en falla se hace reset, se restablece operación de trabajo, seguimiento en el turno"/>
    <s v="NA"/>
    <s v="NA"/>
    <s v="O. DUARTE"/>
    <x v="0"/>
  </r>
  <r>
    <n v="620"/>
    <s v="R. OLIVARES"/>
    <d v="1899-12-30T17:20:00"/>
    <x v="99"/>
    <x v="5"/>
    <m/>
    <s v="Daño en el brazo alimentador"/>
    <d v="1899-12-30T17:20:00"/>
    <d v="1899-12-30T17:40:00"/>
    <d v="2026-01-24T00:00:00"/>
    <s v="Neúmatica"/>
    <s v="Se revisa brazo alimentador piston neúmatico, se desajusta, se posiciona y se ajusta nuevamente, queda operativo"/>
    <s v="NA"/>
    <s v="NA"/>
    <s v="O. DUARTE"/>
    <x v="0"/>
  </r>
  <r>
    <n v="621"/>
    <m/>
    <m/>
    <x v="3"/>
    <x v="5"/>
    <m/>
    <s v="Anular"/>
    <m/>
    <m/>
    <m/>
    <m/>
    <m/>
    <m/>
    <m/>
    <m/>
    <x v="1"/>
  </r>
  <r>
    <n v="622"/>
    <m/>
    <m/>
    <x v="3"/>
    <x v="5"/>
    <m/>
    <m/>
    <m/>
    <m/>
    <m/>
    <m/>
    <m/>
    <m/>
    <m/>
    <m/>
    <x v="1"/>
  </r>
  <r>
    <n v="623"/>
    <s v="K. RAMOS"/>
    <d v="1899-12-30T05:30:00"/>
    <x v="100"/>
    <x v="14"/>
    <m/>
    <s v="Piedra deja rotación de la escobilla se brinca y se corto y pago la maquina toda completa"/>
    <d v="1899-12-30T05:30:00"/>
    <d v="1899-12-30T05:40:00"/>
    <d v="2026-01-25T00:00:00"/>
    <s v="Eléctrica"/>
    <s v="Se realiza cambio de escobilla de rotación por desgaste"/>
    <s v="NA"/>
    <s v="NA"/>
    <s v="L. CASTILLA"/>
    <x v="0"/>
  </r>
  <r>
    <n v="624"/>
    <s v="D. CUESTA"/>
    <d v="1899-12-30T05:48:00"/>
    <x v="100"/>
    <x v="14"/>
    <m/>
    <s v="Temperatura del barril se descontroló subiendose 40° mas por encima"/>
    <d v="1899-12-30T06:00:00"/>
    <d v="1899-12-30T06:50:00"/>
    <d v="2026-01-25T00:00:00"/>
    <s v="Eléctrica"/>
    <s v="Se encuentra contactor pegado en el momento del enclavamiento, se realiza el cambio del contactor y se deja bajar la temperatura que se encuentra por encima de 200 ° C"/>
    <s v="NA"/>
    <s v="NA"/>
    <s v="D. BAUTISTA"/>
    <x v="0"/>
  </r>
  <r>
    <n v="625"/>
    <s v="S. PERALTA"/>
    <d v="1899-12-30T18:55:00"/>
    <x v="100"/>
    <x v="11"/>
    <m/>
    <s v="Manzana corta cores no enrosca"/>
    <d v="1899-12-30T18:55:00"/>
    <d v="1899-12-30T19:30:00"/>
    <d v="2026-01-25T00:00:00"/>
    <s v="Mecánica"/>
    <s v="Se realiza extracción del tronillo rectificado de rosca cambio tornillo por un M12"/>
    <s v="1x Tornillo M12"/>
    <s v="NA"/>
    <s v="O. DUARTE"/>
    <x v="0"/>
  </r>
  <r>
    <n v="626"/>
    <s v="H. TRIANA"/>
    <m/>
    <x v="100"/>
    <x v="8"/>
    <s v="Repetitiva"/>
    <s v="Cuchilla de tratado estan muy duras para cuadrar planos de tratado"/>
    <m/>
    <m/>
    <d v="2026-01-25T00:00:00"/>
    <s v="Eléctrica"/>
    <s v="Se revisa, se da ajuste pero queda en seguimiento para hacer cambio y que opere mas suave"/>
    <s v="NA"/>
    <s v="NA"/>
    <s v="O. DUARTE"/>
    <x v="0"/>
  </r>
  <r>
    <n v="627"/>
    <s v="S. PERALTA"/>
    <d v="1899-12-30T20:00:00"/>
    <x v="100"/>
    <x v="11"/>
    <m/>
    <s v="Tornillo que sujeta la cuchilla se parte"/>
    <d v="1899-12-30T20:00:00"/>
    <m/>
    <d v="2026-01-25T00:00:00"/>
    <s v="Mecánica"/>
    <s v="Se corta tuerca y se cambia tornillo, se aplica soldadura, se afila cuchilla de corta cores"/>
    <s v="Tornillo"/>
    <s v="Soldadura"/>
    <s v="O. DUARTE"/>
    <x v="0"/>
  </r>
  <r>
    <n v="628"/>
    <s v="H. TRIANA"/>
    <d v="1899-12-30T01:00:00"/>
    <x v="101"/>
    <x v="8"/>
    <s v="Repetitiva"/>
    <s v="Tornillo bristol se le daña la cabeza y no sale la manzana del eje"/>
    <d v="1899-12-30T01:00:00"/>
    <d v="1899-12-30T01:25:00"/>
    <d v="2026-01-26T00:00:00"/>
    <s v="Mecánica"/>
    <s v="Se realiza cambio de tornillo"/>
    <s v="1x Tornillo"/>
    <s v="NA"/>
    <s v="O. DUARTE"/>
    <x v="0"/>
  </r>
  <r>
    <n v="629"/>
    <s v="D. MARIN"/>
    <d v="1899-12-30T11:00:00"/>
    <x v="98"/>
    <x v="5"/>
    <m/>
    <s v="Rosca de ajuste de manzana rodada"/>
    <d v="1899-12-30T11:00:00"/>
    <d v="1899-12-30T11:40:00"/>
    <d v="2026-01-26T00:00:00"/>
    <s v="Mecánica"/>
    <s v="Se soldo tuerca de mordaza de ajuste de cortacores"/>
    <s v="NA"/>
    <s v="Soldadura"/>
    <s v="D. BAUTISTA"/>
    <x v="0"/>
  </r>
  <r>
    <n v="630"/>
    <s v="J. BRICEÑO"/>
    <d v="1899-12-30T16:15:00"/>
    <x v="101"/>
    <x v="7"/>
    <m/>
    <s v="Falla en la bomba neúmatica"/>
    <d v="1899-12-30T16:30:00"/>
    <d v="1899-12-30T16:50:00"/>
    <d v="2026-01-26T00:00:00"/>
    <s v="Neúmatica"/>
    <s v="Se revisa bomba, se saca los balines, se limpia, se purga y se hace montaje, queda operativa, en seguimiento"/>
    <s v="NA"/>
    <s v="NA"/>
    <s v="O. DUARTE"/>
    <x v="0"/>
  </r>
  <r>
    <n v="631"/>
    <s v="R. MEJIA"/>
    <d v="1899-12-30T17:25:00"/>
    <x v="101"/>
    <x v="7"/>
    <s v="Repetitiva"/>
    <s v="Falla bomba neúmatica repetidamente unidad #2"/>
    <d v="1899-12-30T17:25:00"/>
    <d v="1899-12-30T18:00:00"/>
    <d v="2026-01-26T00:00:00"/>
    <s v="Eléctrica"/>
    <s v="Persiste falla en bomba, se desarma, se saca balin y se toman medidas, se limpia y queda operativo, se hace seguimiento"/>
    <s v="NA"/>
    <s v="NA"/>
    <s v="O. DUARTE"/>
    <x v="0"/>
  </r>
  <r>
    <n v="632"/>
    <s v="D. ARRIETA"/>
    <d v="1899-12-30T19:39:00"/>
    <x v="101"/>
    <x v="7"/>
    <s v="Repetitiva"/>
    <s v="Bomba neúmatica, la bomba 2, 5 comienza funcionando y en el transcurso de 3 minutos deja de subir tinta al Anilox y eso puede afectar al fotopolimero (Dañarlo)"/>
    <d v="1899-12-30T19:39:00"/>
    <d v="1899-12-30T20:00:00"/>
    <d v="2026-01-26T00:00:00"/>
    <s v="Neúmatica"/>
    <s v="Se revisan bomba, se limpia esferas, persiste falla, acción tomada cambio a bombas antiguas en canecas sumergibles"/>
    <s v="NA"/>
    <s v="NA"/>
    <s v="O. DUARTE"/>
    <x v="0"/>
  </r>
  <r>
    <n v="633"/>
    <s v="J. PARDO"/>
    <d v="1899-12-30T06:55:00"/>
    <x v="102"/>
    <x v="7"/>
    <s v="Repetitiva"/>
    <s v="Daño en bombas de tinta daño palanca hidraulica unidad 4"/>
    <d v="1899-12-30T06:55:00"/>
    <d v="1899-12-30T09:05:00"/>
    <d v="2026-01-27T00:00:00"/>
    <s v="Neúmatica"/>
    <s v="Se realiza revisión a bombas y mangueras encontrando presión baja en el suministro del aire comprimido, se coloca mangueras M12 desde impresora #2, corrigiendo así la falla, se hace seguimiento"/>
    <s v="Manguera M12"/>
    <s v="NA"/>
    <s v="L. CASTILLA"/>
    <x v="0"/>
  </r>
  <r>
    <n v="634"/>
    <s v="J. CARRILLO"/>
    <d v="1899-12-30T09:15:00"/>
    <x v="102"/>
    <x v="11"/>
    <s v="Puntual"/>
    <s v="Se genera corto en el molino"/>
    <d v="1899-12-30T09:15:00"/>
    <d v="1899-12-30T10:20:00"/>
    <d v="2026-01-27T00:00:00"/>
    <s v="Eléctrica"/>
    <s v="Se encuentra protecciones disparadas por alto esfuerzo, se entrega maquina habilitada para trabajar"/>
    <s v="NA"/>
    <s v="NA"/>
    <s v="L. FLOREZ"/>
    <x v="0"/>
  </r>
  <r>
    <n v="635"/>
    <s v="H. TRIANA"/>
    <d v="1899-12-30T11:12:00"/>
    <x v="102"/>
    <x v="14"/>
    <s v="Puntual"/>
    <s v="Perilla de encender y apagar motor externo se cae"/>
    <m/>
    <d v="1899-12-30T20:15:00"/>
    <d v="2026-02-01T00:00:00"/>
    <s v="Eléctrica"/>
    <s v="Se cambio collarin de fijación de perilla, se aprovecha que el equipo esta apagado"/>
    <s v="NA"/>
    <s v="NA"/>
    <s v="O. DUARTE"/>
    <x v="0"/>
  </r>
  <r>
    <n v="636"/>
    <s v="F. SANCHEZ"/>
    <d v="1899-12-30T14:00:00"/>
    <x v="102"/>
    <x v="6"/>
    <s v="Puntual"/>
    <s v="Problemas con la velocidad de la extruder B, se sube y se baja la velocidad, ya lleva tiempo en eso"/>
    <m/>
    <m/>
    <m/>
    <m/>
    <m/>
    <m/>
    <m/>
    <m/>
    <x v="2"/>
  </r>
  <r>
    <n v="637"/>
    <s v="H. TRIANA"/>
    <d v="1899-12-30T15:50:00"/>
    <x v="31"/>
    <x v="14"/>
    <s v="Repetitiva"/>
    <s v="Temperaturas se suben 60 grados de lo normal"/>
    <m/>
    <m/>
    <m/>
    <m/>
    <m/>
    <m/>
    <m/>
    <m/>
    <x v="2"/>
  </r>
  <r>
    <n v="638"/>
    <s v="Y. BERNAL"/>
    <d v="1899-12-30T17:00:00"/>
    <x v="102"/>
    <x v="11"/>
    <s v="Puntual"/>
    <s v="Se le reporta a mantenimiento por que el tornillo de la cortadora no aprieta ni suelta y se lleva a cuato de mantenimiento para suarreglo"/>
    <d v="1899-12-30T17:00:00"/>
    <d v="1899-12-30T17:17:00"/>
    <d v="2026-01-27T00:00:00"/>
    <s v="Mecánica"/>
    <s v="Se desolda tuerca y tornillo, se hace cambio, se aplica soldadura, queda nuevamente en servicio"/>
    <s v="1x Tuerca y 1x Tornillo M12 x 60mm"/>
    <s v="NA"/>
    <s v="O. DUARTE"/>
    <x v="0"/>
  </r>
  <r>
    <n v="639"/>
    <s v="L. GARZON"/>
    <d v="1899-12-30T14:30:00"/>
    <x v="102"/>
    <x v="4"/>
    <m/>
    <s v="Fotocelda se apaga y no registra"/>
    <d v="1899-12-30T14:30:00"/>
    <d v="1899-12-30T17:00:00"/>
    <d v="2026-01-27T00:00:00"/>
    <s v="Eléctrica"/>
    <s v="Se revisa fotocelda lectura intermitente, se hace cambio por la de la selladora y se hace seguimiento, cambio de cable para descartar, lectura queda operativa"/>
    <s v="NA"/>
    <s v="NA"/>
    <s v="O. DUARTE"/>
    <x v="0"/>
  </r>
  <r>
    <n v="640"/>
    <s v="H. TRIANA"/>
    <d v="1899-12-30T17:50:00"/>
    <x v="102"/>
    <x v="14"/>
    <s v="Puntual"/>
    <s v="Tratador con potencia intermitente"/>
    <m/>
    <m/>
    <m/>
    <m/>
    <m/>
    <m/>
    <m/>
    <m/>
    <x v="2"/>
  </r>
  <r>
    <n v="641"/>
    <s v="L. GARZON"/>
    <d v="1899-12-30T21:00:00"/>
    <x v="102"/>
    <x v="4"/>
    <s v="Repetitiva"/>
    <s v="Se solicita revisión de termocupla por que no sube temperatura"/>
    <d v="1899-12-30T21:00:00"/>
    <d v="1899-12-30T21:15:00"/>
    <d v="2026-01-27T00:00:00"/>
    <s v="Eléctrica"/>
    <s v="Se revisa termocupla, se encuentra defectuosa, se remplaza por una nueva, se hace seguimiento, queda operativa"/>
    <s v="1x Termocupla de 1/4"/>
    <s v="NA"/>
    <s v="O. DUARTE"/>
    <x v="0"/>
  </r>
  <r>
    <n v="642"/>
    <s v="J. MIRANDA"/>
    <d v="1899-12-30T06:30:00"/>
    <x v="103"/>
    <x v="11"/>
    <s v="Puntual"/>
    <s v="Daño en la rosca del tornillo de ajustador"/>
    <d v="1899-12-30T06:30:00"/>
    <d v="1899-12-30T07:20:00"/>
    <d v="2026-01-27T00:00:00"/>
    <s v="Mecánica"/>
    <s v="Rosca averiada, se realiza perforación para pasar macho 1/2 para rosca quedando OK"/>
    <s v="1x Tornillo 3/8 x 2´´"/>
    <s v="NA"/>
    <s v="L. CASTILLA"/>
    <x v="0"/>
  </r>
  <r>
    <n v="643"/>
    <s v="J. PARDO"/>
    <d v="1899-12-30T15:00:00"/>
    <x v="103"/>
    <x v="7"/>
    <s v="Repetitiva"/>
    <s v="Hidraulica unidad 4 no sube"/>
    <d v="1899-12-30T15:00:00"/>
    <d v="1899-12-30T15:19:00"/>
    <d v="2026-01-28T00:00:00"/>
    <s v="Neúmatica"/>
    <s v="Se cambia accionador de palanca unidad #3 a unidad #4, se entrega en normal funcionamiento"/>
    <s v="NA"/>
    <s v="NA"/>
    <s v="L. FLOREZ"/>
    <x v="0"/>
  </r>
  <r>
    <n v="644"/>
    <s v="B. VELASQUEZ"/>
    <d v="1899-12-30T14:30:00"/>
    <x v="103"/>
    <x v="11"/>
    <s v="Puntual"/>
    <s v="Chiller no enfria, el compresor no enciende"/>
    <d v="1899-12-30T14:40:00"/>
    <d v="1899-12-30T18:20:00"/>
    <d v="2026-01-28T00:00:00"/>
    <s v="Eléctrica"/>
    <s v="Se revisa y se encuentra contador mal estado, no abre los contactos y el controlador se esta quedando pegado, no envia orden de encendido"/>
    <s v="1x contador Osram de 8 pines"/>
    <s v="NA"/>
    <s v="J. SILVA"/>
    <x v="0"/>
  </r>
  <r>
    <n v="645"/>
    <s v="F. SANCHEZ"/>
    <d v="1899-12-30T18:55:00"/>
    <x v="103"/>
    <x v="6"/>
    <s v="Puntual"/>
    <s v="Se paro la maquina por falla eléctrica, se baja el breaker y se reinicia"/>
    <d v="1899-12-30T18:57:00"/>
    <d v="1899-12-30T19:20:00"/>
    <d v="2026-01-28T00:00:00"/>
    <s v="Eléctrica"/>
    <s v="Hubo bajon de energia electrica, se baja el breaker y se reinicia"/>
    <s v="NA"/>
    <s v="NA"/>
    <s v="J. SILVA"/>
    <x v="0"/>
  </r>
  <r>
    <n v="646"/>
    <s v="F. SANCHEZ"/>
    <d v="1899-12-30T20:50:00"/>
    <x v="103"/>
    <x v="6"/>
    <s v="Puntual"/>
    <s v="Problema con el octagon, no funcionaba"/>
    <d v="1899-12-30T20:55:00"/>
    <d v="1899-12-30T21:30:00"/>
    <d v="2026-01-28T00:00:00"/>
    <s v="Eléctrica"/>
    <s v="Se revisa y el router apagado, se reinica y queda OK"/>
    <s v="NA"/>
    <s v="NA"/>
    <s v="J. SILVA"/>
    <x v="0"/>
  </r>
  <r>
    <n v="647"/>
    <s v="H. TRIANA"/>
    <d v="1899-12-30T04:30:00"/>
    <x v="40"/>
    <x v="8"/>
    <s v="Puntual"/>
    <s v="Se parte cadenilla del piñon del eje embobinador"/>
    <d v="1899-12-30T04:30:00"/>
    <d v="1899-12-30T05:20:00"/>
    <d v="2026-01-29T00:00:00"/>
    <s v="Mecánica"/>
    <s v="Se hace cambio por cadenilla, se corta y para nuevamente, se instala en el equipo, queda operativa"/>
    <s v="Tramo cadenilla doble paso 40cm"/>
    <s v="NA"/>
    <s v="O. DUARTE"/>
    <x v="0"/>
  </r>
  <r>
    <n v="648"/>
    <s v="H. TRIANA"/>
    <d v="1899-12-30T04:33:00"/>
    <x v="40"/>
    <x v="8"/>
    <s v="Repetitiva"/>
    <s v="Cuchilla de tratado estan muy duras para cuadrar planos de tratado"/>
    <d v="1899-12-30T04:33:00"/>
    <d v="1899-12-30T05:20:00"/>
    <d v="2026-01-29T00:00:00"/>
    <s v="Eléctrica"/>
    <s v="Se hace reporte para compra lubricante dielectrico para evitar corto"/>
    <m/>
    <m/>
    <s v="O. DUARTE"/>
    <x v="2"/>
  </r>
  <r>
    <n v="649"/>
    <s v="H. TRIANA"/>
    <d v="1899-12-30T04:35:00"/>
    <x v="40"/>
    <x v="14"/>
    <s v="Repetitiva"/>
    <s v="Temperaturas de tornillos interno y externo elevadas, hasta 60°C fuera de parametros"/>
    <d v="1899-12-30T04:35:00"/>
    <d v="1899-12-30T05:40:00"/>
    <d v="2026-01-29T00:00:00"/>
    <s v="Eléctrica"/>
    <s v="Se toma consumos, pinza falta baterias para lectura real"/>
    <m/>
    <m/>
    <m/>
    <x v="2"/>
  </r>
  <r>
    <n v="650"/>
    <s v="S. PATIÑO"/>
    <m/>
    <x v="40"/>
    <x v="1"/>
    <s v="Puntual"/>
    <s v="Tratador no enciende"/>
    <m/>
    <m/>
    <m/>
    <m/>
    <m/>
    <m/>
    <m/>
    <m/>
    <x v="2"/>
  </r>
  <r>
    <n v="651"/>
    <s v="S. CARDENAL"/>
    <d v="1899-12-30T10:20:00"/>
    <x v="40"/>
    <x v="11"/>
    <s v="Puntual"/>
    <s v="Selladora manual no calienta"/>
    <d v="1899-12-30T10:20:00"/>
    <d v="1899-12-30T10:40:00"/>
    <d v="2026-01-29T00:00:00"/>
    <s v="Eléctrica"/>
    <s v="Cable de conexión de resistencia desconectado, se realizo instalación de termicol y se realiza conexión, quedo operativo"/>
    <s v="NA"/>
    <s v="Termicol"/>
    <s v="D. BAUTISTA"/>
    <x v="0"/>
  </r>
  <r>
    <n v="652"/>
    <s v="S. CARDENAL"/>
    <d v="1899-12-30T09:30:00"/>
    <x v="40"/>
    <x v="0"/>
    <m/>
    <s v="Temperatura superior no se mantiene"/>
    <d v="1899-12-30T09:30:00"/>
    <d v="1899-12-30T10:00:00"/>
    <d v="2026-01-29T00:00:00"/>
    <s v="Eléctrica"/>
    <s v="Breaker disparado, se revisan conexiones y se encuentra en buen estado, se realiza seguimiento"/>
    <s v="NA"/>
    <s v="NA"/>
    <s v="D. BAUTISTA"/>
    <x v="0"/>
  </r>
  <r>
    <n v="653"/>
    <m/>
    <m/>
    <x v="3"/>
    <x v="5"/>
    <m/>
    <m/>
    <m/>
    <m/>
    <m/>
    <m/>
    <m/>
    <m/>
    <m/>
    <m/>
    <x v="1"/>
  </r>
  <r>
    <n v="654"/>
    <s v="L. GARZON"/>
    <d v="1899-12-30T16:30:00"/>
    <x v="40"/>
    <x v="4"/>
    <s v="Repetitiva"/>
    <s v="Se solicita afilar cuchilla"/>
    <d v="1899-12-30T16:32:00"/>
    <d v="1899-12-30T16:50:00"/>
    <d v="2026-01-29T00:00:00"/>
    <s v="Mecánica"/>
    <s v="Se afila cuchilla"/>
    <s v="NA"/>
    <s v="NA"/>
    <s v="J. SILVA"/>
    <x v="0"/>
  </r>
  <r>
    <n v="655"/>
    <s v="L. GARZON"/>
    <d v="1899-12-30T20:50:00"/>
    <x v="40"/>
    <x v="13"/>
    <m/>
    <s v="Piñon en los rodillos delanteros"/>
    <d v="1899-12-30T21:55:00"/>
    <d v="1899-12-30T07:15:00"/>
    <d v="2026-01-30T00:00:00"/>
    <s v="Mecánica"/>
    <s v="Se cambia piñon por rompimiento, se entrega maquina funcionando"/>
    <s v="1x Piñon en teflon"/>
    <s v="NA"/>
    <s v="J. SILVA"/>
    <x v="0"/>
  </r>
  <r>
    <n v="656"/>
    <s v="E. BELLO"/>
    <d v="1899-12-30T21:25:00"/>
    <x v="40"/>
    <x v="11"/>
    <m/>
    <s v="La malla del cilo se levanta por presión de aire"/>
    <d v="1899-12-30T23:20:00"/>
    <d v="1899-12-30T23:48:00"/>
    <d v="2026-01-29T00:00:00"/>
    <s v="Mecánica"/>
    <s v="Se hace arreglo provicional con suncho mientras se cambia malla y fija mejor"/>
    <s v="NA"/>
    <s v="Suncho"/>
    <s v="O. DUARTE"/>
    <x v="0"/>
  </r>
  <r>
    <n v="657"/>
    <s v="A. ROVINA"/>
    <d v="1899-12-30T03:15:00"/>
    <x v="41"/>
    <x v="10"/>
    <m/>
    <s v="Se presenta calentamiento del freno del sujetador del rollo molde"/>
    <d v="1899-12-30T04:20:00"/>
    <d v="1899-12-30T08:20:00"/>
    <d v="2026-01-30T00:00:00"/>
    <s v="Mecánica, Eléctrica"/>
    <s v="Se verifica motor no arranca, tiene tensión, al parecer es el capacitor de arranque, se coloca provisional otro ventilador quedando OK"/>
    <s v="1x Ventilador bifasico 220V"/>
    <s v="NA"/>
    <s v="J. SILVA"/>
    <x v="0"/>
  </r>
  <r>
    <n v="658"/>
    <s v="H. TRIANA"/>
    <d v="1899-12-30T10:55:00"/>
    <x v="41"/>
    <x v="21"/>
    <s v="Puntual"/>
    <s v="Tapa de motor interno esta suelta y se choca contra las poleas del motor"/>
    <m/>
    <m/>
    <m/>
    <m/>
    <m/>
    <m/>
    <m/>
    <m/>
    <x v="2"/>
  </r>
  <r>
    <n v="659"/>
    <s v="H. TRIANA"/>
    <d v="1899-12-30T10:53:00"/>
    <x v="41"/>
    <x v="1"/>
    <s v="Repetitiva"/>
    <s v="Rodillo embobinador se detiene"/>
    <m/>
    <m/>
    <m/>
    <m/>
    <m/>
    <m/>
    <m/>
    <m/>
    <x v="2"/>
  </r>
  <r>
    <n v="660"/>
    <s v="A."/>
    <d v="1899-12-30T19:00:00"/>
    <x v="41"/>
    <x v="25"/>
    <s v="Puntual"/>
    <s v="Maquina bloqueada no funciona"/>
    <d v="1899-12-30T19:45:00"/>
    <d v="1899-12-30T20:30:00"/>
    <d v="2026-01-30T00:00:00"/>
    <s v="Eléctrica"/>
    <s v="celda descalibrada no sensa con fondo blanco, se coloca negro, variador en falla de la prensa haladora, se realiza reset corrigiendo falla"/>
    <s v="NA"/>
    <s v="NA"/>
    <s v="L. CASTILLA"/>
    <x v="2"/>
  </r>
  <r>
    <n v="661"/>
    <s v="H. TRIANA"/>
    <d v="1899-12-30T07:25:00"/>
    <x v="104"/>
    <x v="8"/>
    <s v="Repetitiva"/>
    <s v="Cuchillas del tratador duras para hacer planos de tratado"/>
    <m/>
    <m/>
    <m/>
    <m/>
    <m/>
    <m/>
    <m/>
    <m/>
    <x v="2"/>
  </r>
  <r>
    <n v="662"/>
    <s v="H. TRIANA"/>
    <d v="1899-12-30T07:25:00"/>
    <x v="104"/>
    <x v="1"/>
    <s v="Puntual"/>
    <s v="Extrusora sin tratador"/>
    <m/>
    <m/>
    <m/>
    <m/>
    <m/>
    <m/>
    <m/>
    <m/>
    <x v="2"/>
  </r>
  <r>
    <n v="663"/>
    <s v="H. TRIANA"/>
    <m/>
    <x v="104"/>
    <x v="14"/>
    <s v="Repetitiva"/>
    <s v="Rodillo banana delantero tiene un bote y hace arrugar la pelicula"/>
    <m/>
    <m/>
    <m/>
    <m/>
    <m/>
    <m/>
    <m/>
    <m/>
    <x v="2"/>
  </r>
  <r>
    <n v="664"/>
    <s v="H. TRIANA"/>
    <m/>
    <x v="104"/>
    <x v="14"/>
    <s v="Repetitiva"/>
    <s v="Temperaturas elevadas de los tornillos"/>
    <m/>
    <m/>
    <m/>
    <m/>
    <m/>
    <m/>
    <m/>
    <m/>
    <x v="2"/>
  </r>
  <r>
    <n v="665"/>
    <s v="H. TRIANA"/>
    <m/>
    <x v="104"/>
    <x v="26"/>
    <s v="Puntual"/>
    <s v="Se necesitan mangueras de aire #10 para las coextrusoras 3 y 4"/>
    <m/>
    <m/>
    <m/>
    <m/>
    <m/>
    <m/>
    <m/>
    <m/>
    <x v="2"/>
  </r>
  <r>
    <n v="666"/>
    <s v="S. PATIÑO"/>
    <d v="1899-12-30T07:40:00"/>
    <x v="104"/>
    <x v="6"/>
    <s v="Repetitiva"/>
    <s v="Eje de embobinado con un gran desbalance"/>
    <m/>
    <m/>
    <m/>
    <m/>
    <m/>
    <m/>
    <m/>
    <m/>
    <x v="2"/>
  </r>
  <r>
    <n v="667"/>
    <s v="R. MEJIA"/>
    <d v="1899-12-30T12:07:00"/>
    <x v="104"/>
    <x v="7"/>
    <s v="Puntual"/>
    <s v="Tornillo que asegura la tapa del eje del bobinador se partio"/>
    <d v="1899-12-30T12:30:00"/>
    <d v="1899-12-30T13:40:00"/>
    <d v="2026-01-31T00:00:00"/>
    <s v="Mecánica"/>
    <s v="Se fabrica el tornillo prisionero para el seguro"/>
    <s v="1x Tornillo M10"/>
    <s v="Soldadura"/>
    <s v="J.SILVA"/>
    <x v="0"/>
  </r>
  <r>
    <n v="668"/>
    <s v="J. MIRANDA"/>
    <d v="1899-12-30T12:36:00"/>
    <x v="104"/>
    <x v="25"/>
    <s v="Puntual"/>
    <s v="Motor de la prensa de velocidad no esta funcionando"/>
    <m/>
    <m/>
    <m/>
    <m/>
    <s v="Se revisa, no se encuentra recalentamiento ni esta frenado, esta funcionando OK, revisión"/>
    <s v="NA"/>
    <s v="NA"/>
    <s v="J.SILVA"/>
    <x v="2"/>
  </r>
  <r>
    <n v="669"/>
    <s v="H. TRIANA"/>
    <d v="1899-12-30T13:20:00"/>
    <x v="104"/>
    <x v="21"/>
    <s v="Puntual"/>
    <s v="Rodillos mangas de tratado estan sucios y aisla la corriente y salen pedazos sin tratar"/>
    <m/>
    <m/>
    <m/>
    <m/>
    <m/>
    <m/>
    <m/>
    <m/>
    <x v="2"/>
  </r>
  <r>
    <n v="670"/>
    <s v="J. MIRANDA"/>
    <d v="1899-12-30T16:27:00"/>
    <x v="104"/>
    <x v="25"/>
    <m/>
    <s v="Falla en el motor de la prensa de velocidad, durante el proceso se frena y la maquina queda trabajando con la tensión"/>
    <d v="1899-12-30T16:27:00"/>
    <d v="1899-12-30T16:57:00"/>
    <d v="2026-01-31T00:00:00"/>
    <s v="Mecánica, Eléctrica"/>
    <s v="Se inspecciona tablero y motor encontrando un cable del amperimetro suelto y correas del motor destensionadas, se corrige terminal amperimetro y se tensionan correas quedando OK"/>
    <s v="NA"/>
    <s v="NA"/>
    <s v="L. CASTILLA"/>
    <x v="0"/>
  </r>
  <r>
    <n v="671"/>
    <s v="C. CASTRO"/>
    <d v="1899-12-30T19:00:00"/>
    <x v="104"/>
    <x v="10"/>
    <m/>
    <s v="Cmabio de rodillos y cuadre de castañas"/>
    <d v="1899-12-30T19:00:00"/>
    <d v="1899-12-30T19:30:00"/>
    <d v="2026-01-31T00:00:00"/>
    <s v="Mecánica"/>
    <s v="Cambio de castañas, rodillos pisadores superiores e inferiores"/>
    <s v="NA"/>
    <s v="NA"/>
    <s v="L. CASTILLA"/>
    <x v="0"/>
  </r>
  <r>
    <n v="672"/>
    <s v="J. MARTINEZ"/>
    <d v="1899-12-30T21:00:00"/>
    <x v="104"/>
    <x v="0"/>
    <s v="Puntual"/>
    <s v="Se cae constantemente, se avisa a mantenimiento"/>
    <d v="1899-12-30T21:10:00"/>
    <d v="1899-12-30T21:30:00"/>
    <d v="2026-01-31T00:00:00"/>
    <s v="Mecánica"/>
    <s v="Se calibra freno quedando OK"/>
    <s v="NA"/>
    <s v="NA"/>
    <s v="L. CASTILLA"/>
    <x v="0"/>
  </r>
  <r>
    <n v="673"/>
    <m/>
    <m/>
    <x v="3"/>
    <x v="5"/>
    <m/>
    <m/>
    <m/>
    <m/>
    <m/>
    <m/>
    <m/>
    <m/>
    <m/>
    <m/>
    <x v="1"/>
  </r>
  <r>
    <n v="674"/>
    <s v="C. CASTRO"/>
    <d v="1899-12-30T00:30:00"/>
    <x v="30"/>
    <x v="10"/>
    <m/>
    <s v="Motor freno se esta calentando por falta de refrigeración"/>
    <d v="1899-12-30T03:30:00"/>
    <d v="1899-12-30T04:00:00"/>
    <d v="2026-02-01T00:00:00"/>
    <s v="Eléctrica"/>
    <s v="Se encuentra ventilador de freno desconectado, se conecta nuevamente 220 VAC, este ventilador se envidencia de menor capacidad al original y temperatura se observa con temperatura mas alta de lo norma, se espera a que el freno baje temperatura para arrancar"/>
    <s v="1x ventilador 220VAC"/>
    <s v="NA"/>
    <s v="D. BAUTISTA"/>
    <x v="0"/>
  </r>
  <r>
    <n v="675"/>
    <s v="F. SANCHEZ"/>
    <d v="1899-12-30T22:00:00"/>
    <x v="104"/>
    <x v="6"/>
    <m/>
    <s v="Fallo en bomba de vacio"/>
    <d v="1899-12-30T22:00:00"/>
    <d v="1899-12-30T03:00:00"/>
    <d v="2026-02-01T00:00:00"/>
    <s v="Mecánica"/>
    <s v="Se encuentra protección de bomba de vacio disparada, se revisa y se encuentra blower frenado, se realiza el desmonte, limpieza de los dos impulsores, recamaras de la carcaza, solidos de succión, aplicandole color ya que el material se encuentra compactado y se requiere derretir para extraer, se realiza armado, cambio de dos tornillos M4 x 50mm, se realizan pruebas en vacio y se entrega maquina para arranque "/>
    <s v="2x Tornillos M4 x 50mm"/>
    <s v="NA"/>
    <s v="D. BAUTISTA"/>
    <x v="0"/>
  </r>
  <r>
    <n v="676"/>
    <s v="R. MEJIA"/>
    <d v="1899-12-30T05:20:00"/>
    <x v="30"/>
    <x v="7"/>
    <s v="Puntual"/>
    <s v="Falla bomba neúmatica no suficiente en la rasqueta"/>
    <d v="1899-12-30T08:20:00"/>
    <d v="1899-12-30T09:10:00"/>
    <d v="2026-02-01T00:00:00"/>
    <s v="Neúmatica"/>
    <s v="4 de las 6 bombas neúmaticas no se dejan trabajar, encienden pero no chupan, se limpia esferas pero no se corrige falla, se colocan de las electricas y quedan trabajando OK"/>
    <s v="NA"/>
    <s v="NA"/>
    <s v="L. CASTILLA"/>
    <x v="0"/>
  </r>
  <r>
    <n v="677"/>
    <s v="D. ARRIETA"/>
    <d v="1899-12-30T00:00:00"/>
    <x v="105"/>
    <x v="7"/>
    <s v="Repetitiva"/>
    <s v="Eje de embobinador se le sale "/>
    <d v="1899-12-30T00:00:00"/>
    <d v="1899-12-30T00:10:00"/>
    <d v="2026-02-02T00:00:00"/>
    <s v="Neúmatica"/>
    <s v="Se evidencia fuga de aire en los extremos por falta de ajuste en el tornillo del pisador de la manguera, se hace seguimiento"/>
    <s v="NA"/>
    <s v="NA"/>
    <s v="O. DUARTE"/>
    <x v="0"/>
  </r>
  <r>
    <n v="678"/>
    <m/>
    <m/>
    <x v="3"/>
    <x v="5"/>
    <m/>
    <m/>
    <m/>
    <m/>
    <m/>
    <m/>
    <m/>
    <m/>
    <m/>
    <m/>
    <x v="1"/>
  </r>
  <r>
    <n v="679"/>
    <s v="H. TRIANA"/>
    <d v="1899-12-30T09:51:00"/>
    <x v="105"/>
    <x v="14"/>
    <s v="Repetitiva"/>
    <s v="Rotación no enciende"/>
    <d v="1899-12-30T10:00:00"/>
    <d v="1899-12-30T11:00:00"/>
    <d v="2026-02-02T00:00:00"/>
    <s v="Eléctrica"/>
    <s v="Se verifica, se encuentra una señal del variador suelta, se ajusta y queda OK"/>
    <s v="NA"/>
    <s v="NA"/>
    <s v="J. SILVA"/>
    <x v="0"/>
  </r>
  <r>
    <n v="680"/>
    <s v="H. TRIANA"/>
    <d v="1899-12-30T09:15:00"/>
    <x v="105"/>
    <x v="8"/>
    <s v="Puntual"/>
    <s v="Falla en motor capa externa"/>
    <m/>
    <d v="1899-12-30T19:00:00"/>
    <d v="2026-02-06T00:00:00"/>
    <m/>
    <s v="Se desmonta motor y se envia a taller externo, se instala y se tiene en seguimiento en el arranque"/>
    <s v="NA"/>
    <s v="NA"/>
    <s v="D. BAUTISTA"/>
    <x v="0"/>
  </r>
  <r>
    <n v="681"/>
    <s v="H. TRIANA"/>
    <d v="1899-12-30T17:20:00"/>
    <x v="105"/>
    <x v="14"/>
    <s v="Puntual"/>
    <s v="Tornillo de pirinola del molde se parte"/>
    <m/>
    <m/>
    <m/>
    <m/>
    <m/>
    <m/>
    <m/>
    <m/>
    <x v="2"/>
  </r>
  <r>
    <n v="682"/>
    <s v="K. RAMOS"/>
    <d v="1899-12-30T20:30:00"/>
    <x v="105"/>
    <x v="6"/>
    <s v="Puntual"/>
    <s v="Paleta izquierda no abre, la del lado inferior"/>
    <d v="1899-12-30T20:30:00"/>
    <d v="1899-12-30T01:20:00"/>
    <d v="2026-02-03T00:00:00"/>
    <s v="Mecánica y eléctrica"/>
    <s v="Se evidencia caja reductora no avanza tornillos sin fin no giran, se hace manualmente, abren paletas queda en observación, seguimiento, se debe revisar cuanto antes es intermitente la falla"/>
    <s v="NA"/>
    <s v="NA"/>
    <s v="O. DUARTE"/>
    <x v="0"/>
  </r>
  <r>
    <n v="683"/>
    <s v="S. PATIÑO"/>
    <d v="1899-12-30T02:45:00"/>
    <x v="106"/>
    <x v="14"/>
    <s v="Puntual"/>
    <s v="Molde con huecos en donde se apoyan los tornillos para calibrar, esto impide calibrar correctamente la maquina"/>
    <d v="1899-12-30T02:45:00"/>
    <d v="1899-12-30T03:20:00"/>
    <d v="2026-02-03T00:00:00"/>
    <s v="Mecánica"/>
    <s v="Se realiza relleno de huecos en el molde para que tornillos de calibración puedan dar el ajuste que requiere se instalan tuercas"/>
    <s v="Tuercas, guasas"/>
    <s v="NA"/>
    <s v="O. DUARTE"/>
    <x v="0"/>
  </r>
  <r>
    <n v="684"/>
    <s v="S. PATIÑO"/>
    <d v="1899-12-30T04:30:00"/>
    <x v="106"/>
    <x v="14"/>
    <s v="Puntual"/>
    <s v="Contactor de la zona de la boquilla del molde dañado, provocando recalentamiento de la zona"/>
    <d v="1899-12-30T04:30:00"/>
    <d v="1899-12-30T05:00:00"/>
    <d v="2026-02-03T00:00:00"/>
    <s v="Eléctrica"/>
    <s v="Se realiza cambio de relé termico, se evidencia que la temperatura baja, en seguimiento"/>
    <s v="Relé termico"/>
    <s v="NA"/>
    <s v="O. DUARTE"/>
    <x v="0"/>
  </r>
  <r>
    <n v="685"/>
    <s v="K. RAMOS"/>
    <d v="1899-12-30T05:00:00"/>
    <x v="106"/>
    <x v="6"/>
    <s v="Puntual"/>
    <s v="Falla en el tratado se apaga"/>
    <m/>
    <m/>
    <m/>
    <m/>
    <m/>
    <m/>
    <m/>
    <m/>
    <x v="2"/>
  </r>
  <r>
    <n v="686"/>
    <s v="K. RAMOS"/>
    <m/>
    <x v="106"/>
    <x v="6"/>
    <s v="Puntual"/>
    <s v="Tratador se apaga"/>
    <m/>
    <m/>
    <m/>
    <m/>
    <m/>
    <m/>
    <m/>
    <m/>
    <x v="2"/>
  </r>
  <r>
    <n v="687"/>
    <m/>
    <m/>
    <x v="3"/>
    <x v="5"/>
    <m/>
    <m/>
    <m/>
    <m/>
    <m/>
    <m/>
    <m/>
    <m/>
    <m/>
    <m/>
    <x v="1"/>
  </r>
  <r>
    <n v="688"/>
    <s v="D. CUESTA"/>
    <d v="1899-12-30T09:10:00"/>
    <x v="106"/>
    <x v="14"/>
    <s v="Puntual"/>
    <s v="Temperatura porta mallas fallando en alarlma y no sube temperatura"/>
    <m/>
    <m/>
    <m/>
    <m/>
    <m/>
    <m/>
    <m/>
    <m/>
    <x v="2"/>
  </r>
  <r>
    <n v="689"/>
    <s v="D. CUESTA"/>
    <m/>
    <x v="106"/>
    <x v="14"/>
    <s v="Puntual"/>
    <s v="Tornillos del plato de la corona de la coex 2, no ajustan"/>
    <m/>
    <m/>
    <m/>
    <m/>
    <m/>
    <m/>
    <m/>
    <m/>
    <x v="2"/>
  </r>
  <r>
    <n v="690"/>
    <s v="L. GARZON"/>
    <d v="1899-12-30T11:40:00"/>
    <x v="106"/>
    <x v="13"/>
    <s v="Puntual"/>
    <s v="Se sueltan los tornillos laterales del piñon plastico de los rodillos"/>
    <d v="1899-12-30T06:00:00"/>
    <d v="1899-12-30T06:30:00"/>
    <d v="2026-02-06T00:00:00"/>
    <s v="Mecánica"/>
    <s v="Se cambio soporte cuadrante piñon, se rectifica roscas y queda operando OK"/>
    <s v="Piñon de teflon y cuadrante"/>
    <s v="NA"/>
    <s v="J. SILVA"/>
    <x v="0"/>
  </r>
  <r>
    <n v="691"/>
    <m/>
    <m/>
    <x v="3"/>
    <x v="5"/>
    <m/>
    <m/>
    <m/>
    <m/>
    <m/>
    <m/>
    <m/>
    <m/>
    <m/>
    <m/>
    <x v="1"/>
  </r>
  <r>
    <n v="692"/>
    <s v="D. VALENCIA"/>
    <d v="1899-12-30T17:20:00"/>
    <x v="106"/>
    <x v="11"/>
    <s v="Puntual"/>
    <s v="Reparación de cableado suelto en resistencias"/>
    <d v="1899-12-30T17:20:00"/>
    <d v="1899-12-30T17:50:00"/>
    <d v="2026-02-03T00:00:00"/>
    <s v="Eléctrica"/>
    <s v="Se ajusta cableado y se vuelve a conectar resistencia"/>
    <s v="NA"/>
    <s v="NA"/>
    <s v="J. SILVA"/>
    <x v="0"/>
  </r>
  <r>
    <n v="693"/>
    <m/>
    <m/>
    <x v="3"/>
    <x v="5"/>
    <m/>
    <m/>
    <m/>
    <m/>
    <m/>
    <m/>
    <m/>
    <m/>
    <m/>
    <m/>
    <x v="1"/>
  </r>
  <r>
    <n v="694"/>
    <s v="E. BELLO"/>
    <d v="1899-12-30T20:15:00"/>
    <x v="107"/>
    <x v="11"/>
    <s v="Puntual"/>
    <s v="Por vibración se desolda la parte inferior del cilo"/>
    <d v="1899-12-30T20:15:00"/>
    <d v="1899-12-30T01:16:00"/>
    <d v="2026-02-06T00:00:00"/>
    <s v="Mecánica"/>
    <s v="Se evidencia que por temas de vibración causado por el daño de las chumaceras en el tornillo que alimenta la tolva, al cilo se le rompieron los tornillos, se aplicasoldadura 306 en los cuatro soportes de la estructura"/>
    <s v="NA"/>
    <s v="Soldadura 306"/>
    <s v="O. DUARTE"/>
    <x v="0"/>
  </r>
  <r>
    <n v="695"/>
    <s v="E. BELLO"/>
    <d v="1899-12-30T09:23:00"/>
    <x v="108"/>
    <x v="11"/>
    <s v="Puntual"/>
    <s v="El chiller no funciona adecuadamente no tiene flujo de agua "/>
    <m/>
    <d v="1899-12-30T12:30:00"/>
    <m/>
    <s v="Mecánica"/>
    <s v="Se verifica la falla encontrando obstruido el ducto de alimentación de la bomba centrifuga y congelamiennto de serpentin_x000a_Se desmonta la bomba se hace mantenimiento y descongela los ductos _x000a_Se entrega en normal funcionamiento"/>
    <s v="NA"/>
    <s v="NA"/>
    <s v="L. FLOREZ"/>
    <x v="0"/>
  </r>
  <r>
    <n v="696"/>
    <s v="L. GALVIS"/>
    <d v="1899-12-30T19:00:00"/>
    <x v="109"/>
    <x v="11"/>
    <s v="Puntual"/>
    <s v="Esta suelta la polea de alimentación "/>
    <d v="1899-12-30T20:20:00"/>
    <d v="1899-12-30T20:50:00"/>
    <d v="2026-03-20T00:00:00"/>
    <s v="Mecánica"/>
    <s v="Se ajustan prisioneros de chumacera inferior de tornillo de alimentación, se instala tornillo M8 X 30 mm de ajuste de polea de transmisión de alimentación"/>
    <s v="1X Tornillo M8 x 30 mm"/>
    <s v="NA"/>
    <s v="D. BAUTISTA"/>
    <x v="0"/>
  </r>
  <r>
    <n v="697"/>
    <m/>
    <m/>
    <x v="3"/>
    <x v="5"/>
    <m/>
    <m/>
    <m/>
    <m/>
    <m/>
    <m/>
    <m/>
    <m/>
    <m/>
    <m/>
    <x v="1"/>
  </r>
  <r>
    <n v="698"/>
    <s v="L. MIRANDA"/>
    <d v="1899-12-30T02:20:00"/>
    <x v="110"/>
    <x v="6"/>
    <s v="Puntual"/>
    <s v="Motor de la paleta no esta en funcionamiento"/>
    <m/>
    <m/>
    <m/>
    <m/>
    <m/>
    <m/>
    <m/>
    <m/>
    <x v="2"/>
  </r>
  <r>
    <n v="699"/>
    <s v="D. ARRIETA"/>
    <d v="1899-12-30T07:40:00"/>
    <x v="110"/>
    <x v="7"/>
    <s v="Puntual"/>
    <s v="El seguro del eje de embobinador y torre de registro"/>
    <d v="1899-12-30T07:40:00"/>
    <d v="1899-12-30T08:30:00"/>
    <d v="2026-02-04T00:00:00"/>
    <s v="Mecánica"/>
    <s v="Se aplica soldadura, se cambia tornillo, se rectifica roscado y se cambian tornillos M5 x 10mm de sugeción, ajustado rodillo embobinador"/>
    <s v="Tornillos M5 x 10mm"/>
    <s v="NA"/>
    <s v="O. DUARTE"/>
    <x v="0"/>
  </r>
  <r>
    <n v="700"/>
    <s v="L. GARZON"/>
    <d v="1899-12-30T08:45:00"/>
    <x v="110"/>
    <x v="0"/>
    <s v="Puntual"/>
    <s v="Transportados no funciona"/>
    <d v="1899-12-30T08:45:00"/>
    <d v="1899-12-30T09:00:00"/>
    <d v="2026-02-04T00:00:00"/>
    <s v="Eléctrica"/>
    <s v="Se resetea variador por falla del transportador, se hace prueba queda operativa"/>
    <s v="NA"/>
    <s v="NA"/>
    <s v="O. DUARTE"/>
    <x v="0"/>
  </r>
  <r>
    <n v="701"/>
    <s v="D. ARRIETA"/>
    <d v="1899-12-30T11:35:00"/>
    <x v="105"/>
    <x v="7"/>
    <s v="Repetitiva"/>
    <s v="Rodillo porta cliche o fotopolimero se daño casquete"/>
    <d v="1899-12-30T11:35:00"/>
    <d v="1899-12-30T11:50:00"/>
    <d v="2026-02-02T00:00:00"/>
    <s v="Mecánica"/>
    <s v="Se grafila cuerpo eje para dar ajuste a casquete para que el rodamiento pueda trabajar bien se aplica silicona traba rosca"/>
    <s v="NA"/>
    <s v="Siliciona trabarosca"/>
    <s v="O. DUARTE"/>
    <x v="0"/>
  </r>
  <r>
    <n v="702"/>
    <s v="L. GARZON"/>
    <d v="1899-12-30T09:10:00"/>
    <x v="110"/>
    <x v="0"/>
    <s v="Puntual"/>
    <s v="Se comunica a mantenimiento que la maquina tiene desface en los tiempos"/>
    <d v="1899-12-30T09:10:00"/>
    <d v="1899-12-30T12:05:00"/>
    <d v="2026-02-04T00:00:00"/>
    <s v="Mecánica"/>
    <s v="Se verifica tiempo en encore, se encuentran correas entre lazadas obstruyendo movilidad, se retiran, se ajustan tiempos y se restablecen parametros"/>
    <s v="NA"/>
    <s v="NA"/>
    <s v="O. DUARTE"/>
    <x v="0"/>
  </r>
  <r>
    <n v="703"/>
    <m/>
    <m/>
    <x v="3"/>
    <x v="5"/>
    <m/>
    <m/>
    <m/>
    <m/>
    <m/>
    <m/>
    <m/>
    <m/>
    <m/>
    <m/>
    <x v="1"/>
  </r>
  <r>
    <n v="704"/>
    <s v="F. SANCHEZ"/>
    <d v="1899-12-30T19:00:00"/>
    <x v="110"/>
    <x v="6"/>
    <s v="Puntual"/>
    <s v="Problemas con las paletas, no estan funcionando, una paleta funciona pero la otra no. Hace problemas en la alineación de el material para que no se vaya para los lados"/>
    <m/>
    <m/>
    <m/>
    <m/>
    <m/>
    <m/>
    <m/>
    <m/>
    <x v="2"/>
  </r>
  <r>
    <n v="705"/>
    <s v="S. PATIÑO"/>
    <d v="1899-12-30T02:45:00"/>
    <x v="107"/>
    <x v="1"/>
    <s v="Puntual"/>
    <s v="Contactor de la zona de la boquilla del molde con falla, presentando problema de temperatura"/>
    <d v="1899-12-30T06:20:00"/>
    <d v="1899-12-30T06:40:00"/>
    <d v="2026-02-05T00:00:00"/>
    <s v="Eléctrica"/>
    <s v="Se realizo cambio de controlador de temperatura ya que no esta cerrando el contacto y no energiza el contactor"/>
    <s v="NA"/>
    <s v="NA"/>
    <s v="D. BAUTISTA"/>
    <x v="0"/>
  </r>
  <r>
    <n v="706"/>
    <s v="F. SANCHEZ"/>
    <d v="1899-12-30T02:55:00"/>
    <x v="107"/>
    <x v="6"/>
    <s v="Puntual"/>
    <s v="Se para la maquina por falla en elastomero"/>
    <m/>
    <m/>
    <m/>
    <m/>
    <m/>
    <m/>
    <m/>
    <m/>
    <x v="2"/>
  </r>
  <r>
    <n v="707"/>
    <s v="D. ARRIETA"/>
    <d v="1899-12-30T10:49:00"/>
    <x v="111"/>
    <x v="7"/>
    <s v="Puntual"/>
    <s v="La pista de los espigos"/>
    <d v="1899-12-30T10:49:00"/>
    <d v="1899-12-30T11:15:00"/>
    <d v="2026-03-13T00:00:00"/>
    <s v="Mecánica"/>
    <s v="Se aplica trabarosca"/>
    <s v="NA"/>
    <s v="Trabarosca"/>
    <s v="J. SILVA"/>
    <x v="0"/>
  </r>
  <r>
    <n v="708"/>
    <s v="L. GARZON"/>
    <d v="1899-12-30T07:00:00"/>
    <x v="107"/>
    <x v="0"/>
    <s v="Puntual"/>
    <s v="Correa suelta de la transmisión del rodillo halador"/>
    <d v="1899-12-30T08:30:00"/>
    <d v="1899-12-30T09:05:00"/>
    <d v="2026-02-05T00:00:00"/>
    <s v="Mecánica"/>
    <s v="Se atiende solicitur 8:30 por intervención en coex 5, se realizo tensión de correa, cambio de tornillo y ajuste de tornilleria"/>
    <s v="1x Tornillo"/>
    <s v="NA"/>
    <s v="D. BAUTISTA"/>
    <x v="0"/>
  </r>
  <r>
    <n v="709"/>
    <s v="H. TRIANA"/>
    <d v="1899-12-30T10:50:00"/>
    <x v="107"/>
    <x v="8"/>
    <s v="Puntual"/>
    <s v="Mallas quemadas del tratador"/>
    <d v="1899-12-30T11:30:00"/>
    <d v="1899-12-30T12:45:00"/>
    <d v="2026-02-05T00:00:00"/>
    <s v="Mecánica"/>
    <s v="Se realizan cambio de mangas tratador rodillo inferior y superior, se entrega para arranque"/>
    <s v="NA"/>
    <s v="NA"/>
    <s v="D. BAUTISTA"/>
    <x v="0"/>
  </r>
  <r>
    <n v="710"/>
    <s v="L. GARZON"/>
    <d v="1899-12-30T10:10:00"/>
    <x v="107"/>
    <x v="4"/>
    <s v="Puntual"/>
    <s v="Se solicita a mantenimiento revisión en las uñas por que estan dañando la bolsa"/>
    <d v="1899-12-30T10:10:00"/>
    <d v="1899-12-30T10:40:00"/>
    <d v="2026-02-05T00:00:00"/>
    <s v="Mecánica"/>
    <s v="Se instalan tuercas de ajuste a flautas, se realizan pruebas y se entrega operativo"/>
    <s v="Tuercas"/>
    <s v="NA"/>
    <s v="D. BAUTISTA"/>
    <x v="0"/>
  </r>
  <r>
    <n v="711"/>
    <s v="H. TRIANA"/>
    <d v="1899-12-30T13:30:00"/>
    <x v="107"/>
    <x v="21"/>
    <s v="Puntual"/>
    <s v="Sonidos motor interno fuera de lo normal"/>
    <m/>
    <m/>
    <m/>
    <m/>
    <m/>
    <m/>
    <m/>
    <m/>
    <x v="2"/>
  </r>
  <r>
    <n v="712"/>
    <s v="S. CARDENAL"/>
    <d v="1899-12-30T15:00:00"/>
    <x v="107"/>
    <x v="0"/>
    <s v="Puntual"/>
    <s v="La termocupla no conecta y molesta la temperatura inferior"/>
    <d v="1899-12-30T15:10:00"/>
    <d v="1899-12-30T15:50:00"/>
    <d v="2026-02-05T00:00:00"/>
    <s v="Eléctrica"/>
    <s v="Se realiza cambio de termocupla y ajuste de conexiones de la mordaza"/>
    <s v="1x Termocupla"/>
    <s v="NA"/>
    <s v="D. BAUTISTA"/>
    <x v="0"/>
  </r>
  <r>
    <n v="713"/>
    <s v="S. CARDENAL"/>
    <d v="1899-12-30T16:50:00"/>
    <x v="107"/>
    <x v="4"/>
    <s v="Puntual"/>
    <s v="Rodillo del transportador se daño el rodamiento"/>
    <d v="1899-12-30T07:00:00"/>
    <d v="1899-12-30T10:10:00"/>
    <d v="2026-02-06T00:00:00"/>
    <s v="Mecánica"/>
    <s v="Se cambian rodamientos, se ajusta el eje ya que una punta eje reducido a 1mm menos que el extremo"/>
    <s v="NA"/>
    <s v="NA"/>
    <s v="J. SILVA"/>
    <x v="0"/>
  </r>
  <r>
    <n v="714"/>
    <s v="H. TRIANA"/>
    <d v="1899-12-30T17:10:00"/>
    <x v="107"/>
    <x v="8"/>
    <s v="Puntual"/>
    <s v="Se parte soporte teflonado del rodillo manga"/>
    <d v="1899-12-30T17:00:00"/>
    <d v="1899-12-30T18:00:00"/>
    <d v="2026-02-06T00:00:00"/>
    <s v="Mecánica"/>
    <s v="Se cambio soporte del rodillo de tratado, quedo operativo"/>
    <s v="NA"/>
    <s v="NA"/>
    <s v="J. SILVA"/>
    <x v="0"/>
  </r>
  <r>
    <n v="715"/>
    <s v="K. RAMOS"/>
    <d v="1899-12-30T18:00:00"/>
    <x v="107"/>
    <x v="21"/>
    <s v="Puntual"/>
    <s v="Presenta sonido en la caja de la capa interior"/>
    <d v="1899-12-30T19:00:00"/>
    <d v="1899-12-30T23:00:00"/>
    <d v="2026-02-05T00:00:00"/>
    <s v="Mecánica"/>
    <s v="Se realizó desarme, cambio de rodamientos, ajsute de eje de entrada de caja reductora, se instalo nuevamente y se entrega 19:30 para arranque con la maquina ya caliente, arranca 23:00 ya que estaban tratando material en la maquina"/>
    <s v="Rodamientos"/>
    <s v="NA"/>
    <s v="D. BAUTISTA"/>
    <x v="0"/>
  </r>
  <r>
    <n v="716"/>
    <s v="R. MEJIA"/>
    <d v="1899-12-30T01:40:00"/>
    <x v="112"/>
    <x v="7"/>
    <s v="Puntual"/>
    <s v="El rodillo loco de bobinador se salio del lugar donde va"/>
    <d v="1899-12-30T01:40:00"/>
    <d v="1899-12-30T02:10:00"/>
    <d v="2026-02-06T00:00:00"/>
    <s v="Mecánica"/>
    <s v="Se verifica rodillo loco se encuentra soporte roto, se ajusta con un taco de caucho, se necesita fabricar pieza para darle ajuste, se hace seguimiento"/>
    <s v="NA"/>
    <s v="NA"/>
    <s v="O. DUARTE"/>
    <x v="0"/>
  </r>
  <r>
    <n v="717"/>
    <m/>
    <m/>
    <x v="3"/>
    <x v="5"/>
    <m/>
    <m/>
    <m/>
    <m/>
    <m/>
    <m/>
    <m/>
    <m/>
    <m/>
    <m/>
    <x v="1"/>
  </r>
  <r>
    <n v="718"/>
    <s v="J. ARROYO"/>
    <m/>
    <x v="112"/>
    <x v="11"/>
    <s v="Puntual"/>
    <s v="Se rompe malla de filtro de agua  del muella el cual no perimte que se filtre la resina"/>
    <m/>
    <m/>
    <m/>
    <m/>
    <m/>
    <m/>
    <m/>
    <m/>
    <x v="2"/>
  </r>
  <r>
    <n v="719"/>
    <m/>
    <m/>
    <x v="3"/>
    <x v="5"/>
    <m/>
    <m/>
    <m/>
    <m/>
    <m/>
    <m/>
    <m/>
    <m/>
    <m/>
    <m/>
    <x v="1"/>
  </r>
  <r>
    <n v="720"/>
    <s v="F. SANCHEZ"/>
    <d v="1899-12-30T18:40:00"/>
    <x v="112"/>
    <x v="5"/>
    <s v="Puntual"/>
    <s v="Problemas con las cuchillasde tratado, las graduaciones de calibración no estan funcionando"/>
    <d v="1899-12-30T20:00:00"/>
    <d v="1899-12-30T22:30:00"/>
    <d v="2026-02-06T00:00:00"/>
    <s v="Mecánica"/>
    <s v="Se ajustan m de graduar posición de la cuchilla, se calibran cuchillas y se realiza limpieza, se realizo acompañamiento y seguimiento de funcionamiento del tratador en el arranque"/>
    <s v="NA"/>
    <s v="NA"/>
    <s v="D. BAUTISTA"/>
    <x v="0"/>
  </r>
  <r>
    <n v="721"/>
    <s v="H. TRIANA"/>
    <d v="1899-12-30T06:30:00"/>
    <x v="112"/>
    <x v="8"/>
    <s v="Puntual"/>
    <s v="Sonidos fuera de lo normal en los dos motores"/>
    <d v="1899-12-30T18:50:00"/>
    <d v="1899-12-30T19:20:00"/>
    <d v="2026-02-06T00:00:00"/>
    <s v="Eléctrica"/>
    <s v="Se toman referencia de consumos de los dos motores, los cuales estan bajo parametros de la placa del motor, se realizo seguimiento el resto del turno"/>
    <s v="NA"/>
    <s v="NA"/>
    <s v="D. BAUTISTA"/>
    <x v="0"/>
  </r>
  <r>
    <n v="722"/>
    <s v="H. TRIANA"/>
    <d v="1899-12-30T20:10:00"/>
    <x v="112"/>
    <x v="8"/>
    <s v="Puntual"/>
    <s v="Perilla de acercar y alejar cuchilla de tratador estar dura, no afloja ni aprieta, la visagra del tratador no tiene un pasador, esta medio agarrada"/>
    <m/>
    <m/>
    <m/>
    <m/>
    <m/>
    <m/>
    <m/>
    <m/>
    <x v="2"/>
  </r>
  <r>
    <n v="723"/>
    <s v="F. SANCHEZ"/>
    <d v="1899-12-30T23:20:00"/>
    <x v="112"/>
    <x v="6"/>
    <s v="Puntual"/>
    <s v="El sensor del tratador no esta funcionando, no apaga el tratador cuando se para la maquina, se puede quemas las mangas"/>
    <m/>
    <m/>
    <m/>
    <m/>
    <m/>
    <m/>
    <m/>
    <m/>
    <x v="2"/>
  </r>
  <r>
    <n v="724"/>
    <s v="L. MIRANDA"/>
    <d v="1899-12-30T07:49:00"/>
    <x v="31"/>
    <x v="1"/>
    <s v="Puntual"/>
    <s v="Revisar el motor de la prensa de arrastre del embobinador, se esta recalentando y genera que tenga que subirle mas tensión y el material queda demasiado tenso"/>
    <m/>
    <d v="1899-12-30T15:50:00"/>
    <m/>
    <s v="Mecánica"/>
    <s v="Se verifica motor, se evidencia rodamiento, perdio ajsute, se cambio, se hace limpieza, se hace montaje, se da ajuste , se hacen pruebas. En seguimiento_x000a_Pendiente por calentar"/>
    <s v="1X Rodamiento 6203 C3"/>
    <s v="NA"/>
    <s v="O. DUARTE"/>
    <x v="0"/>
  </r>
  <r>
    <n v="725"/>
    <s v="W. SANDOVAL"/>
    <d v="1899-12-30T07:40:00"/>
    <x v="113"/>
    <x v="17"/>
    <s v="Puntual"/>
    <s v="Cambio de castañas y pisadores"/>
    <d v="1899-12-30T07:40:00"/>
    <d v="1899-12-30T08:30:00"/>
    <d v="2026-02-07T00:00:00"/>
    <s v="Mecánica"/>
    <s v="Se realiza cambio de castañas y pisadores"/>
    <s v="NA"/>
    <s v="NA"/>
    <s v="O. DUARTE"/>
    <x v="0"/>
  </r>
  <r>
    <n v="726"/>
    <s v="R. MEJIA"/>
    <d v="1899-12-30T21:10:00"/>
    <x v="113"/>
    <x v="7"/>
    <s v="Puntual"/>
    <s v="Daño seguro del eje neúmatico del bobinador"/>
    <d v="1899-12-30T21:10:00"/>
    <d v="1899-12-30T21:30:00"/>
    <d v="2026-02-07T00:00:00"/>
    <s v="Mecánica"/>
    <s v="Se fabrica llave para seguro, se olda para facil torque"/>
    <s v="NA"/>
    <s v="NA"/>
    <s v="J. SILVA"/>
    <x v="0"/>
  </r>
  <r>
    <n v="727"/>
    <s v="F. SANCHEZ"/>
    <d v="1899-12-30T20:30:00"/>
    <x v="113"/>
    <x v="14"/>
    <s v="Puntual"/>
    <s v="Falla en el tratador trata y deja de tratar"/>
    <m/>
    <m/>
    <m/>
    <m/>
    <m/>
    <m/>
    <m/>
    <m/>
    <x v="2"/>
  </r>
  <r>
    <n v="728"/>
    <m/>
    <m/>
    <x v="3"/>
    <x v="5"/>
    <m/>
    <m/>
    <m/>
    <m/>
    <m/>
    <m/>
    <m/>
    <m/>
    <m/>
    <m/>
    <x v="1"/>
  </r>
  <r>
    <n v="729"/>
    <s v="J. PARDO"/>
    <d v="1899-12-30T08:30:00"/>
    <x v="114"/>
    <x v="7"/>
    <s v="Puntual"/>
    <s v="Bombas de tinta no funcionan, tornillo unidad 6 no ajusta"/>
    <m/>
    <m/>
    <m/>
    <m/>
    <m/>
    <m/>
    <m/>
    <m/>
    <x v="2"/>
  </r>
  <r>
    <n v="730"/>
    <s v="S. CARDENAL"/>
    <d v="1899-12-30T06:30:00"/>
    <x v="108"/>
    <x v="4"/>
    <s v="Puntual"/>
    <s v="Tornillo partido de rodillo del transportador"/>
    <d v="1899-12-30T06:30:00"/>
    <d v="1899-12-30T07:00:00"/>
    <d v="2026-02-09T00:00:00"/>
    <s v="Mecánica"/>
    <s v="Se evidencia tornillo partido en rodillo transportador, se cambian los tornilos"/>
    <s v="2x Tornillos M6 x 10 mm"/>
    <s v="NA"/>
    <s v="O. DUARTE"/>
    <x v="0"/>
  </r>
  <r>
    <n v="731"/>
    <s v="L. MIRANDA"/>
    <d v="1899-12-30T07:06:00"/>
    <x v="108"/>
    <x v="21"/>
    <s v="Puntual"/>
    <s v="Verificar fuga de aceite, en el tornillo interno"/>
    <m/>
    <m/>
    <m/>
    <m/>
    <m/>
    <m/>
    <m/>
    <m/>
    <x v="2"/>
  </r>
  <r>
    <n v="732"/>
    <s v="K. TORRES"/>
    <d v="1899-12-30T09:20:00"/>
    <x v="108"/>
    <x v="11"/>
    <s v="Repetitiva"/>
    <s v="Fuga de aceite estibador eléctrico"/>
    <m/>
    <m/>
    <m/>
    <m/>
    <m/>
    <m/>
    <m/>
    <m/>
    <x v="2"/>
  </r>
  <r>
    <n v="733"/>
    <s v="L. MIRANDA"/>
    <d v="1899-12-30T09:46:00"/>
    <x v="108"/>
    <x v="6"/>
    <s v="Puntual"/>
    <s v="Una manga del tratador en 4 partes._x000a_Se alcanza a quemar"/>
    <m/>
    <m/>
    <m/>
    <m/>
    <m/>
    <m/>
    <m/>
    <m/>
    <x v="2"/>
  </r>
  <r>
    <n v="734"/>
    <s v="D. ARRIETA"/>
    <d v="1899-12-30T02:40:00"/>
    <x v="115"/>
    <x v="11"/>
    <s v="Puntual"/>
    <s v="Brazo de eje embobinado esta flojo (baila)"/>
    <m/>
    <d v="1899-12-30T03:30:00"/>
    <d v="2026-02-28T00:00:00"/>
    <s v="Mecánica"/>
    <s v="Se evidencia brazo con movilidad desajuste, se ajusta nuevamente y queda operativo"/>
    <s v="NA"/>
    <s v="NA"/>
    <s v="O. DUARTE"/>
    <x v="0"/>
  </r>
  <r>
    <n v="735"/>
    <m/>
    <m/>
    <x v="3"/>
    <x v="5"/>
    <m/>
    <m/>
    <m/>
    <m/>
    <m/>
    <m/>
    <m/>
    <m/>
    <m/>
    <m/>
    <x v="1"/>
  </r>
  <r>
    <n v="736"/>
    <m/>
    <m/>
    <x v="3"/>
    <x v="5"/>
    <m/>
    <m/>
    <m/>
    <m/>
    <m/>
    <m/>
    <m/>
    <m/>
    <m/>
    <m/>
    <x v="1"/>
  </r>
  <r>
    <n v="737"/>
    <s v="L. GALVIS"/>
    <d v="1899-12-30T23:00:00"/>
    <x v="108"/>
    <x v="8"/>
    <s v="Puntual"/>
    <s v="Se solicita el cambio de rodillos del tratador"/>
    <d v="1899-12-30T23:00:00"/>
    <d v="1899-12-30T00:00:00"/>
    <d v="2026-02-10T00:00:00"/>
    <s v="Mecánica"/>
    <s v="Se encuentra manga superior con perforación por quemadura, se desmonta, se aplica silicona para aislar el rodillo, se realiza el intercambio de posición de los rodillos y se entrega para el arranque"/>
    <s v="NA"/>
    <s v="Silicona"/>
    <s v="D. BAUTISTA"/>
    <x v="0"/>
  </r>
  <r>
    <n v="738"/>
    <m/>
    <m/>
    <x v="3"/>
    <x v="5"/>
    <m/>
    <m/>
    <m/>
    <m/>
    <m/>
    <m/>
    <m/>
    <m/>
    <m/>
    <m/>
    <x v="1"/>
  </r>
  <r>
    <n v="739"/>
    <s v="F. SANCHEZ"/>
    <d v="1899-12-30T04:07:00"/>
    <x v="116"/>
    <x v="6"/>
    <s v="Puntual"/>
    <s v="Rodillo de los clavos esta en mal estado, se cae y perfora el rodillo, esta atrancado con palos, paletas no esta funcionando"/>
    <m/>
    <m/>
    <m/>
    <m/>
    <m/>
    <m/>
    <m/>
    <m/>
    <x v="2"/>
  </r>
  <r>
    <n v="740"/>
    <s v="S. CARDENAL"/>
    <d v="1899-12-30T08:30:00"/>
    <x v="116"/>
    <x v="13"/>
    <s v="Puntual"/>
    <s v="No prende (sensor)"/>
    <m/>
    <m/>
    <m/>
    <m/>
    <m/>
    <m/>
    <m/>
    <m/>
    <x v="2"/>
  </r>
  <r>
    <n v="741"/>
    <s v="H. TRIANA"/>
    <d v="1899-12-30T19:10:00"/>
    <x v="116"/>
    <x v="1"/>
    <s v="Puntual"/>
    <s v="Rodillo manga superior tiene en el centro un pedazo cortado, como un cuchillazo"/>
    <m/>
    <m/>
    <m/>
    <m/>
    <m/>
    <m/>
    <m/>
    <m/>
    <x v="2"/>
  </r>
  <r>
    <n v="742"/>
    <s v="L.GARZON"/>
    <d v="1899-12-30T20:00:00"/>
    <x v="116"/>
    <x v="4"/>
    <s v="Puntual"/>
    <s v="Maquina se apaga intermitentemente"/>
    <d v="1899-12-30T20:00:00"/>
    <d v="1899-12-30T21:30:00"/>
    <d v="2026-02-10T00:00:00"/>
    <s v="Eléctrica"/>
    <s v="Se verifica variador con error, se hace reset, queda operativa, se hace seguimiento"/>
    <s v="NA"/>
    <s v="NA"/>
    <s v="O. DUARTE"/>
    <x v="0"/>
  </r>
  <r>
    <n v="743"/>
    <s v="H. TRIANA"/>
    <d v="1899-12-30T22:30:00"/>
    <x v="116"/>
    <x v="1"/>
    <s v="Repetitiva"/>
    <s v="Motor (halador) de tensión esta recalentado, se frena con cualquier golpecito al cambiar rollo"/>
    <m/>
    <m/>
    <m/>
    <m/>
    <m/>
    <m/>
    <m/>
    <m/>
    <x v="2"/>
  </r>
  <r>
    <n v="744"/>
    <s v="S. CARDENAL"/>
    <d v="1899-12-30T08:00:00"/>
    <x v="117"/>
    <x v="0"/>
    <s v="Puntual"/>
    <s v="Apoyo para cambio de cuchilla de fondo a lateral"/>
    <d v="1899-12-30T08:00:00"/>
    <d v="1899-12-30T09:00:00"/>
    <d v="2026-02-11T00:00:00"/>
    <s v="Mecánica"/>
    <s v="Se presta apoyo para cambio de mordaza de fondo a lateral"/>
    <s v="NA"/>
    <s v="NA"/>
    <s v="L. CASTILLA"/>
    <x v="0"/>
  </r>
  <r>
    <n v="745"/>
    <s v="S. CARDENAL"/>
    <d v="1899-12-30T09:15:00"/>
    <x v="117"/>
    <x v="0"/>
    <s v="Puntual"/>
    <s v="Transportador no prende"/>
    <d v="1899-12-30T09:15:00"/>
    <d v="1899-12-30T09:25:00"/>
    <d v="2026-02-11T00:00:00"/>
    <s v="Eléctrica"/>
    <s v="Potenciometro variador transportador suelto, se realiza ajuste quedando OK"/>
    <s v="NA"/>
    <s v="NA"/>
    <s v="L. CASTILLA"/>
    <x v="0"/>
  </r>
  <r>
    <n v="746"/>
    <s v="S. CARDENAL"/>
    <d v="1899-12-30T11:00:00"/>
    <x v="117"/>
    <x v="4"/>
    <s v="Puntual"/>
    <s v="Rodillo dañado del transportador"/>
    <d v="1899-12-30T11:00:00"/>
    <d v="1899-12-30T11:20:00"/>
    <d v="2026-02-11T00:00:00"/>
    <s v="Mecánica"/>
    <s v="Rodillo tensor de transportador con rodamientos sueltos, se desmonta y e realiza ajuste y se coloca seger quedando OK"/>
    <s v="x2 Seger"/>
    <s v="NA"/>
    <s v="L. CASTILLA"/>
    <x v="0"/>
  </r>
  <r>
    <n v="747"/>
    <m/>
    <m/>
    <x v="3"/>
    <x v="5"/>
    <m/>
    <m/>
    <m/>
    <m/>
    <m/>
    <m/>
    <m/>
    <m/>
    <m/>
    <m/>
    <x v="1"/>
  </r>
  <r>
    <n v="748"/>
    <s v="L. GARZON"/>
    <d v="1899-12-30T18:00:00"/>
    <x v="117"/>
    <x v="4"/>
    <s v="Puntual"/>
    <s v="Se solicita ayuda para soltar tornillo de soporte de cuchilla ya que esta rodada"/>
    <d v="1899-12-30T18:15:00"/>
    <d v="1899-12-30T18:45:00"/>
    <d v="2026-02-11T00:00:00"/>
    <s v="Mecánica"/>
    <s v="Se extrae tornillo M5 x 20mm con cuadrante rodado, se instala nuevo tornillo M5 x 20mm, se instala cuchilla ya que está rodado"/>
    <s v="x1 Tornillo M5 x 20mm"/>
    <s v="NA"/>
    <s v="D. BAUTISTA"/>
    <x v="0"/>
  </r>
  <r>
    <n v="749"/>
    <s v="L. GARZON"/>
    <d v="1899-12-30T18:00:00"/>
    <x v="117"/>
    <x v="13"/>
    <s v="Puntual"/>
    <s v="Se solicita a mantenimiento que ajuste fotocelda porque no lee y esta suelta, no tengo herramienta para ajustar"/>
    <d v="1899-12-30T18:00:00"/>
    <d v="1899-12-30T18:15:00"/>
    <d v="2026-02-11T00:00:00"/>
    <s v="Mecánica"/>
    <s v="Se realiza ajuste de tornillos se sujeción de fotocelda ya que se encuentra suelta"/>
    <s v="NA"/>
    <s v="NA"/>
    <s v="D. BAUTISTA"/>
    <x v="0"/>
  </r>
  <r>
    <n v="750"/>
    <s v="L. GARZON"/>
    <d v="1899-12-30T17:20:00"/>
    <x v="117"/>
    <x v="4"/>
    <s v="Puntual"/>
    <s v="Se reporta perforadores molestando se quedan abajo"/>
    <d v="1899-12-30T17:25:00"/>
    <d v="1899-12-30T17:50:00"/>
    <d v="2026-02-11T00:00:00"/>
    <s v="Mecánica, Eléctrica"/>
    <s v="Se baja tiempo de accionamiento de perforadores ya que se encuentra muy prolongado y se corrige altura y posición"/>
    <s v="NA"/>
    <s v="NA"/>
    <s v="D. BAUTISTA"/>
    <x v="0"/>
  </r>
  <r>
    <n v="751"/>
    <s v="H. TRIANA"/>
    <d v="1899-12-30T06:50:00"/>
    <x v="43"/>
    <x v="1"/>
    <s v="Repetitiva"/>
    <s v="Halador prensa no enciende"/>
    <d v="1899-12-30T07:00:00"/>
    <d v="1899-12-30T08:05:00"/>
    <d v="2026-02-12T00:00:00"/>
    <s v="Eléctrica"/>
    <s v="Se inspecciona caja de circuitos de control y potencia, encontrando circuito de potencia mal conectado por tecnico el cual genero desfase entre lineas, se corrige pelando conductores y colocando capuchones, quedando OK"/>
    <s v="x3 Capuchones"/>
    <s v="NA"/>
    <s v="L. CASTILLA"/>
    <x v="0"/>
  </r>
  <r>
    <n v="752"/>
    <s v="M. ALVAREZ"/>
    <d v="1899-12-30T07:40:00"/>
    <x v="43"/>
    <x v="11"/>
    <s v="Puntual"/>
    <s v="Se encuentra ruptura en pared del muelle #2, el cual no se define que pudo haber pasado"/>
    <m/>
    <m/>
    <m/>
    <m/>
    <m/>
    <m/>
    <m/>
    <m/>
    <x v="2"/>
  </r>
  <r>
    <n v="753"/>
    <s v="K. RAMOS"/>
    <d v="1899-12-30T09:28:00"/>
    <x v="43"/>
    <x v="3"/>
    <s v="Puntual"/>
    <s v="Falla en el brazo de carga y descarga en el bobinador A"/>
    <d v="1899-12-30T15:30:00"/>
    <d v="1899-12-30T16:00:00"/>
    <d v="2026-02-12T00:00:00"/>
    <s v="Mecánica"/>
    <s v="Se da ajuste a platinas de brazos de descarga y transporte, se calibra desplazamiento de transporte"/>
    <s v="NA"/>
    <s v="NA"/>
    <s v="D. BAUTISTA"/>
    <x v="0"/>
  </r>
  <r>
    <n v="754"/>
    <s v="H. TRIANA"/>
    <d v="1899-12-30T10:20:00"/>
    <x v="43"/>
    <x v="1"/>
    <s v="Puntual"/>
    <s v="Chillido en transmisión a tornillo en capa externa"/>
    <d v="1899-12-30T16:00:00"/>
    <d v="1899-12-30T17:00:00"/>
    <d v="2026-02-12T00:00:00"/>
    <s v="Eléctrica"/>
    <s v="Se realiza seguimiento, toma de consumos del motor el cual se encuentra dentro de los parametros"/>
    <s v="NA"/>
    <s v="NA"/>
    <s v="D. BAUTISTA"/>
    <x v="0"/>
  </r>
  <r>
    <n v="755"/>
    <s v="H. TRIANA"/>
    <m/>
    <x v="43"/>
    <x v="8"/>
    <s v="Repetitiva"/>
    <s v="Cuchillas de tratador muy duras para plano de tratado"/>
    <m/>
    <m/>
    <m/>
    <m/>
    <m/>
    <m/>
    <m/>
    <m/>
    <x v="2"/>
  </r>
  <r>
    <n v="756"/>
    <s v="E. REYES"/>
    <d v="1899-12-30T10:40:00"/>
    <x v="43"/>
    <x v="4"/>
    <s v="Puntual"/>
    <s v="Arreglo de rodamiento"/>
    <d v="1899-12-30T10:40:00"/>
    <d v="1899-12-30T11:20:00"/>
    <d v="2026-02-12T00:00:00"/>
    <s v="Mecánica"/>
    <s v="Rodillo loco magazin superior rodamientos averiados y espigo con desajuste, se corrige con soldadura y cambio de rodamientos y unida"/>
    <s v="x1 Rodamiento 6003"/>
    <s v="Soldadura"/>
    <s v="L. CASTILLA"/>
    <x v="0"/>
  </r>
  <r>
    <n v="757"/>
    <s v="H. TRIANA"/>
    <d v="1899-12-30T10:50:00"/>
    <x v="43"/>
    <x v="1"/>
    <s v="Puntual"/>
    <s v="Motor halador de prensa huele quemado y el ventilador se paro"/>
    <d v="1899-12-30T12:00:00"/>
    <d v="1899-12-30T12:45:00"/>
    <d v="2026-02-12T00:00:00"/>
    <s v="Mecánica"/>
    <s v="Rodillo loco magazin superior #2 con rodamientos dañados y espigo, se realiza ajuste con soldadura y cambio rodamientos"/>
    <s v="x2 rodamientos 600"/>
    <s v="NA"/>
    <s v="L. CASTILLA"/>
    <x v="0"/>
  </r>
  <r>
    <n v="758"/>
    <s v="E. REYES"/>
    <d v="1899-12-30T12:40:00"/>
    <x v="43"/>
    <x v="4"/>
    <s v="Repetitiva"/>
    <s v="Arreglo de rodamiento"/>
    <d v="1899-12-30T11:20:00"/>
    <d v="1899-12-30T12:00:00"/>
    <d v="2026-02-12T00:00:00"/>
    <s v="Eléctrica"/>
    <s v="Interviniendo selladora 2, blower ventilación forzada motor halador mal conectado ocasionando que blower se apague, se realiza conexiones correspondientes quedando OK"/>
    <s v="NA"/>
    <s v="NA"/>
    <s v="L. CASTILLA"/>
    <x v="0"/>
  </r>
  <r>
    <n v="759"/>
    <s v="H. TRIANA"/>
    <d v="1899-12-30T15:45:00"/>
    <x v="43"/>
    <x v="1"/>
    <s v="Repetitiva"/>
    <s v="Motor halador de la prensa_x000a_desoues del arreglo sigue recalentado"/>
    <m/>
    <m/>
    <m/>
    <m/>
    <m/>
    <m/>
    <m/>
    <m/>
    <x v="2"/>
  </r>
  <r>
    <n v="760"/>
    <s v="L. GARZON"/>
    <d v="1899-12-30T14:00:00"/>
    <x v="43"/>
    <x v="13"/>
    <s v="Puntual"/>
    <s v="Maquina se pasa a mantenimiento porque esta molestando sensor y medida varia"/>
    <d v="1899-12-30T14:00:00"/>
    <d v="1899-12-30T15:15:00"/>
    <d v="2026-02-12T00:00:00"/>
    <s v="Mecánica"/>
    <s v="Se realiza ajuste en final de carrera, se realiza ajuste de tensiones balancines, ajuste de freno, parametros se realiza inspección, se apoyo ajuste de perforadores y prensa de alimentación, se entrego operativo 15:15 se realizo seguimiento"/>
    <s v="NA"/>
    <s v="NA"/>
    <s v="D. BAUTISTA"/>
    <x v="0"/>
  </r>
  <r>
    <n v="761"/>
    <s v="L. GARZON"/>
    <d v="1899-12-30T14:10:00"/>
    <x v="43"/>
    <x v="4"/>
    <s v="Puntual"/>
    <s v="Maquina varia medida y molesta perforadores y fotocelda no lee bien"/>
    <d v="1899-12-30T15:20:00"/>
    <d v="1899-12-30T16:30:00"/>
    <d v="2026-02-12T00:00:00"/>
    <s v="Mecánica"/>
    <s v="Se atiende 15:20, se realiza ajuste apoyo a la operaria a cuadre de material, se da ajsute a fotocelda, ajuste a prensa de alimentación, presiones se arranca maquina 16:50 y se tiene en seguimiento"/>
    <s v="NA"/>
    <s v="NA"/>
    <s v="D. BAUTISTA"/>
    <x v="0"/>
  </r>
  <r>
    <n v="762"/>
    <s v="F. SANCHEZ"/>
    <d v="1899-12-30T09:30:00"/>
    <x v="44"/>
    <x v="6"/>
    <s v="Puntual"/>
    <s v="Problemas con el fay no lee, esta torcida la lectura de base. La base esta torcida un poco"/>
    <m/>
    <m/>
    <m/>
    <m/>
    <m/>
    <m/>
    <m/>
    <m/>
    <x v="2"/>
  </r>
  <r>
    <n v="763"/>
    <s v="F. SANCHEZ"/>
    <d v="1899-12-30T10:54:00"/>
    <x v="44"/>
    <x v="6"/>
    <s v="Puntual"/>
    <s v="Bajar mando de contot del tratador Bajar mando contros del fay al primer piso donde se pueda manipular"/>
    <m/>
    <m/>
    <m/>
    <m/>
    <m/>
    <m/>
    <m/>
    <m/>
    <x v="2"/>
  </r>
  <r>
    <n v="764"/>
    <s v="D. ARRIETA"/>
    <m/>
    <x v="44"/>
    <x v="7"/>
    <m/>
    <s v="La bomba neúmatica, la que se utiliza para el color blanco funciona unos minutos y deja de funcionar"/>
    <m/>
    <m/>
    <m/>
    <m/>
    <m/>
    <m/>
    <m/>
    <m/>
    <x v="2"/>
  </r>
  <r>
    <n v="765"/>
    <s v="L. MIRANDA"/>
    <d v="1899-12-30T00:00:00"/>
    <x v="118"/>
    <x v="6"/>
    <s v="Puntual"/>
    <s v="Se bloquea el alimentador del embobinador 1"/>
    <d v="1899-12-30T00:00:00"/>
    <d v="1899-12-30T04:00:00"/>
    <d v="2026-02-14T00:00:00"/>
    <s v="Eléctrica"/>
    <s v="Se profudcie alarma y se desenebra en el embobinado arrastra sensor y mangueras de aire, se hace corto, se busca sensor y no lo hay. Toco recuperarlo aplicar soldadura con cautin quedando operativo, se hace seguimiento"/>
    <s v="NA"/>
    <s v="Soldadura"/>
    <s v="O. DUARTE"/>
    <x v="0"/>
  </r>
  <r>
    <n v="766"/>
    <s v="H. TRIANA"/>
    <d v="1899-12-30T06:30:00"/>
    <x v="118"/>
    <x v="1"/>
    <s v="Puntual"/>
    <s v="Falla en la rotación, empezo a sonar feo y brincar"/>
    <m/>
    <m/>
    <m/>
    <m/>
    <s v="Queda parada hay que desarmar toda la rotación"/>
    <m/>
    <m/>
    <m/>
    <x v="2"/>
  </r>
  <r>
    <n v="767"/>
    <s v="H. TRIANA"/>
    <d v="1899-12-30T06:15:00"/>
    <x v="118"/>
    <x v="8"/>
    <s v="Puntual"/>
    <s v="Cadena de este embobinador partida"/>
    <d v="1899-12-30T06:30:00"/>
    <d v="1899-12-30T06:45:00"/>
    <d v="2026-02-14T00:00:00"/>
    <s v="Mecánica"/>
    <s v="Se arregla piezas de cadena y se alarga el tornillo"/>
    <s v="NA"/>
    <s v="NA"/>
    <s v="J. SILVA"/>
    <x v="0"/>
  </r>
  <r>
    <n v="768"/>
    <s v="H. TRIANA"/>
    <d v="1899-12-30T07:38:00"/>
    <x v="118"/>
    <x v="1"/>
    <s v="Repetitiva"/>
    <s v="Quitar torta de la rotación, y tiene unos cables desconectados"/>
    <d v="1899-12-30T08:10:00"/>
    <d v="1899-12-30T11:00:00"/>
    <d v="2026-02-14T00:00:00"/>
    <s v="Eléctrica"/>
    <s v="Se retira la mayor cantidad de torta, se conectan cables ya que provoco corto eléctrico"/>
    <s v="NA"/>
    <s v="NA"/>
    <s v="J. SILVA"/>
    <x v="0"/>
  </r>
  <r>
    <n v="769"/>
    <s v="E. REYES"/>
    <d v="1899-12-30T07:10:00"/>
    <x v="118"/>
    <x v="4"/>
    <s v="Puntual"/>
    <s v="Temperatura trasera se apago por que hizo corte"/>
    <d v="1899-12-30T08:40:00"/>
    <d v="1899-12-30T09:00:00"/>
    <d v="2026-02-14T00:00:00"/>
    <s v="Eléctrica"/>
    <s v="Se verifica corto en una resistencia por rosamiento del rodillo, se aisla y queda OK"/>
    <s v="NA"/>
    <s v="NA"/>
    <s v="J. SILVA"/>
    <x v="0"/>
  </r>
  <r>
    <n v="770"/>
    <s v="E. REYES"/>
    <d v="1899-12-30T11:15:00"/>
    <x v="118"/>
    <x v="25"/>
    <s v="Puntual"/>
    <s v="Se parte tornillo del rodillo de las correas"/>
    <d v="1899-12-30T11:30:00"/>
    <d v="1899-12-30T12:10:00"/>
    <d v="2026-02-14T00:00:00"/>
    <s v="Mecánica"/>
    <s v="Se parte tornillo de tensor de correas transportador, se saca yse remplaza por uno nuevo"/>
    <s v="1x Tornillo M8"/>
    <s v="NA"/>
    <s v="J. SILVA"/>
    <x v="0"/>
  </r>
  <r>
    <n v="771"/>
    <s v="H. TRIANA"/>
    <d v="1899-12-30T15:40:00"/>
    <x v="118"/>
    <x v="8"/>
    <s v="Puntual"/>
    <s v="Temperatura zona 1 del molde esta fuera de parametros"/>
    <d v="1899-12-30T15:50:00"/>
    <d v="1899-12-30T16:10:00"/>
    <d v="2026-02-14T00:00:00"/>
    <s v="Eléctrica"/>
    <s v="Corto en resistencia 1 averiando rele ssr, se corrige corto y se cambia ssr quedando OK"/>
    <s v="1x SSR 60A"/>
    <s v="NA"/>
    <s v="L. CASTILLA"/>
    <x v="0"/>
  </r>
  <r>
    <n v="772"/>
    <s v="D. CUESTA"/>
    <d v="1899-12-30T19:50:00"/>
    <x v="118"/>
    <x v="8"/>
    <s v="Puntual"/>
    <s v="Se parte cadena de arrastre de rollo en pin y se monta quedando OK"/>
    <d v="1899-12-30T19:50:00"/>
    <d v="1899-12-30T20:05:00"/>
    <d v="2026-02-14T00:00:00"/>
    <s v="Mecánica"/>
    <s v="Cadena despinada se coloca pin y se monta quedando OK"/>
    <s v="NA"/>
    <s v="NA"/>
    <s v="L. CASTILLA"/>
    <x v="0"/>
  </r>
  <r>
    <n v="773"/>
    <s v="L. GARZON"/>
    <d v="1899-12-30T20:05:00"/>
    <x v="118"/>
    <x v="13"/>
    <s v="Puntual"/>
    <s v="Material sale maltratado"/>
    <d v="1899-12-30T20:15:00"/>
    <d v="1899-12-30T20:30:00"/>
    <d v="2026-02-14T00:00:00"/>
    <s v="Mecánica"/>
    <s v="Inteviniendo coex 3 se realiza calobración prensa de arrastre inferior quedando OK"/>
    <s v="NA"/>
    <s v="NA"/>
    <s v="L. CASTILLA"/>
    <x v="0"/>
  </r>
  <r>
    <n v="774"/>
    <s v="F. SANCHEZ"/>
    <d v="1899-12-30T06:00:00"/>
    <x v="119"/>
    <x v="6"/>
    <s v="Puntual"/>
    <s v="Rodillo de los clavos suelto y un resorte caido se cae el rodillo y perfora con los clavos al otro rodillo"/>
    <d v="1899-12-30T06:00:00"/>
    <d v="1899-12-30T06:50:00"/>
    <d v="2026-02-15T00:00:00"/>
    <s v="Mecánica, Eléctrica"/>
    <s v="Se interviene resorte rodillo clavos se fija, se interviene paletas, se intenta cerrar pero mandos y conexiones entran fallo, se requiere revisión con mas tiempo"/>
    <s v="NA"/>
    <s v="NA"/>
    <s v="O. DUARTE"/>
    <x v="2"/>
  </r>
  <r>
    <n v="775"/>
    <s v="D. CUESTA"/>
    <d v="1899-12-30T18:10:00"/>
    <x v="119"/>
    <x v="6"/>
    <s v="Puntual"/>
    <s v="Paletas de la coex 5 de la parte inferior no cierran ni abren"/>
    <d v="1899-12-30T19:00:00"/>
    <d v="1899-12-30T20:10:00"/>
    <d v="2026-02-15T00:00:00"/>
    <s v="Eléctrica"/>
    <s v="Se presta apoyo para cerrar paletas inferiores dependiendo de un contactor, ya que el otro lo averiaron y no esta funcionando, se requiere cambiar. Se requiere inspección para evaluar o revisar contactores paletas inferiores con la maquina parada"/>
    <s v="NA"/>
    <s v="NA"/>
    <s v="L. CASTILLA"/>
    <x v="0"/>
  </r>
  <r>
    <n v="776"/>
    <m/>
    <m/>
    <x v="3"/>
    <x v="5"/>
    <m/>
    <m/>
    <m/>
    <m/>
    <m/>
    <m/>
    <m/>
    <m/>
    <m/>
    <m/>
    <x v="1"/>
  </r>
  <r>
    <n v="777"/>
    <s v="D. CUESTA"/>
    <d v="1899-12-30T20:10:00"/>
    <x v="119"/>
    <x v="6"/>
    <s v="Puntual"/>
    <s v="Problemas con el octagon no esta funcionando"/>
    <d v="1899-12-30T20:10:00"/>
    <d v="1899-12-30T23:15:00"/>
    <d v="2026-02-15T00:00:00"/>
    <s v="Eléctrica"/>
    <s v="La pantalla presenta el programa ejecutado en blanco, se ingresan algunos parametros hasta encontrar el corrector y permitir asi el funcionamiento OK"/>
    <s v="NA"/>
    <s v="NA"/>
    <s v="L. CASTILLA"/>
    <x v="0"/>
  </r>
  <r>
    <n v="778"/>
    <m/>
    <m/>
    <x v="3"/>
    <x v="5"/>
    <m/>
    <m/>
    <m/>
    <m/>
    <m/>
    <m/>
    <m/>
    <m/>
    <m/>
    <m/>
    <x v="1"/>
  </r>
  <r>
    <n v="779"/>
    <s v="H. TRIANA"/>
    <d v="1899-12-30T22:00:00"/>
    <x v="119"/>
    <x v="8"/>
    <s v="Puntual"/>
    <s v="Falla en contactor del porta malla externo"/>
    <d v="1899-12-30T22:15:00"/>
    <d v="1899-12-30T22:35:00"/>
    <d v="2026-02-15T00:00:00"/>
    <s v="Eléctrica"/>
    <s v="Se inspecciona circuito de malla encontrando amperimetro averiado, se empalman conductores dejando por fuera el amperimetro, se requiere RQ para compra de amperimetros según muestra"/>
    <s v="NA"/>
    <s v="NA"/>
    <s v="L. CASTILLA"/>
    <x v="0"/>
  </r>
  <r>
    <n v="780"/>
    <s v="H. TRIANA"/>
    <d v="1899-12-30T00:05:00"/>
    <x v="119"/>
    <x v="8"/>
    <s v="Puntual"/>
    <s v="Sonido de tornillo, capa interna fuera de lo normal"/>
    <d v="1899-12-30T00:30:00"/>
    <d v="1899-12-30T00:45:00"/>
    <d v="2026-02-16T00:00:00"/>
    <s v="Mecánica"/>
    <s v="Se inspeccioona ruido anormal reportado por operario, se evidencia fuga de aceite leve y sonido anormal leve. Se requiere programar mantenimiento preventivo de carácter urgente"/>
    <s v="NA"/>
    <s v="NA"/>
    <s v="L. CASTILLA"/>
    <x v="0"/>
  </r>
  <r>
    <n v="781"/>
    <s v="S. PATIÑO"/>
    <d v="1899-12-30T19:20:00"/>
    <x v="120"/>
    <x v="6"/>
    <s v="Puntual"/>
    <s v="Flautas del sistema de rotación esta desalineadas y al poner a trabajar la rotación la pelicula se corre para los lados y se sale del refile"/>
    <d v="1899-12-30T19:22:00"/>
    <d v="1899-12-30T19:30:00"/>
    <d v="2026-02-16T00:00:00"/>
    <s v="Mecánica"/>
    <s v="Nivelar las flautas"/>
    <s v="NA"/>
    <s v="NA"/>
    <s v="J. SILVA"/>
    <x v="0"/>
  </r>
  <r>
    <n v="782"/>
    <s v="D. ARRIETA"/>
    <d v="1899-12-30T04:00:00"/>
    <x v="45"/>
    <x v="7"/>
    <s v="Puntual"/>
    <s v="Rodillo del balancin del embobinador"/>
    <d v="1899-12-30T04:00:00"/>
    <d v="1899-12-30T05:00:00"/>
    <d v="2026-02-17T00:00:00"/>
    <s v="Mecánica"/>
    <s v="Se despina cadena balancin embobinador  y parte soporte roscados se corrige aplicando soldadura quedando OK"/>
    <s v="NA"/>
    <s v="Soldadura"/>
    <s v="L. CASTILLA"/>
    <x v="0"/>
  </r>
  <r>
    <n v="783"/>
    <s v="H. TRIANA"/>
    <d v="1899-12-30T08:40:00"/>
    <x v="45"/>
    <x v="14"/>
    <s v="Puntual"/>
    <s v="Falla tratador"/>
    <d v="1899-12-30T08:40:00"/>
    <d v="1899-12-30T09:40:00"/>
    <d v="2026-02-17T00:00:00"/>
    <s v="Eléctrica"/>
    <s v="Se revisa equipo se encuentra cable de potenciometro desconectado por tanto no se dejaba subir"/>
    <s v="NA"/>
    <s v="NA"/>
    <m/>
    <x v="0"/>
  </r>
  <r>
    <n v="784"/>
    <s v="H. TRIANA"/>
    <d v="1899-12-30T09:50:00"/>
    <x v="45"/>
    <x v="14"/>
    <s v="Repetitiva"/>
    <s v="Temperatura del tornillo interno elevada a 250 °C"/>
    <m/>
    <m/>
    <m/>
    <m/>
    <m/>
    <m/>
    <m/>
    <m/>
    <x v="2"/>
  </r>
  <r>
    <n v="785"/>
    <s v="S. CARDENAL"/>
    <d v="1899-12-30T18:53:00"/>
    <x v="45"/>
    <x v="4"/>
    <s v="Puntual"/>
    <s v="Parte eléctrica de los perforadores hecho chispa y estos no perforan"/>
    <d v="1899-12-30T06:10:00"/>
    <d v="1899-12-30T06:30:00"/>
    <d v="2026-02-18T00:00:00"/>
    <s v="Eléctrica"/>
    <s v="Se encuentra sistema eléctrico de los perforadores desconectado, se realizao seguimiento, se encuentra temporizador en mal estado, se realiza el cambio y queda operativo"/>
    <s v="1x Temporizador"/>
    <s v="NA"/>
    <s v="D. BAUTISTA"/>
    <x v="0"/>
  </r>
  <r>
    <n v="786"/>
    <s v="K. RAMOS"/>
    <m/>
    <x v="45"/>
    <x v="14"/>
    <s v="Puntual"/>
    <s v="Motor de ventilación de la maquina 2 esta dañado:_x000a_La temperatura muy alta"/>
    <m/>
    <m/>
    <m/>
    <m/>
    <m/>
    <m/>
    <m/>
    <m/>
    <x v="2"/>
  </r>
  <r>
    <n v="787"/>
    <s v="L. MIRANDA"/>
    <d v="1899-12-30T20:20:00"/>
    <x v="45"/>
    <x v="6"/>
    <s v="Puntual"/>
    <s v="Cuadrar paletas"/>
    <d v="1899-12-30T20:20:00"/>
    <d v="1899-12-30T21:30:00"/>
    <d v="2026-02-17T00:00:00"/>
    <s v="Eléctrica"/>
    <s v="Se realiza inversión de giro en motores, se hace ajuste en paletas del equipo, queda operativa acorde al operario"/>
    <s v="NA"/>
    <s v="NA"/>
    <s v="O. DUARTE"/>
    <x v="0"/>
  </r>
  <r>
    <n v="788"/>
    <s v="A. ROVINA"/>
    <d v="1899-12-30T09:15:00"/>
    <x v="121"/>
    <x v="25"/>
    <s v="Puntual"/>
    <s v="Cuchilla de precrorte se suelta"/>
    <d v="1899-12-30T09:15:00"/>
    <d v="1899-12-30T09:30:00"/>
    <d v="2026-02-18T00:00:00"/>
    <s v="Mecánica"/>
    <s v="Se da ajuste a tornillo de ajuste de cuchilla de precorte"/>
    <s v="NA"/>
    <s v="NA"/>
    <s v="D. BAUTISTA"/>
    <x v="0"/>
  </r>
  <r>
    <n v="789"/>
    <s v="K. RAMOS"/>
    <d v="1899-12-30T23:10:00"/>
    <x v="121"/>
    <x v="14"/>
    <s v="Puntual"/>
    <s v="Sacar tornillo de la pirinola del molde que tiene tornillo partio"/>
    <d v="1899-12-30T23:15:00"/>
    <d v="1899-12-30T23:50:00"/>
    <d v="2026-02-18T00:00:00"/>
    <s v="Mecánica"/>
    <s v="Se retira tornillo partido"/>
    <s v="NA"/>
    <s v="NA"/>
    <s v="J. SILVA"/>
    <x v="0"/>
  </r>
  <r>
    <n v="790"/>
    <m/>
    <m/>
    <x v="3"/>
    <x v="5"/>
    <m/>
    <m/>
    <m/>
    <m/>
    <m/>
    <m/>
    <m/>
    <m/>
    <m/>
    <m/>
    <x v="1"/>
  </r>
  <r>
    <n v="791"/>
    <s v="D. SANCHEZ"/>
    <d v="1899-12-30T07:42:00"/>
    <x v="122"/>
    <x v="3"/>
    <s v="Puntual"/>
    <s v="Crear un modulo para guardar mallas metalicas de extrusor"/>
    <m/>
    <m/>
    <m/>
    <m/>
    <m/>
    <m/>
    <m/>
    <m/>
    <x v="2"/>
  </r>
  <r>
    <n v="792"/>
    <s v="D. CUESTA"/>
    <d v="1899-12-30T11:10:00"/>
    <x v="122"/>
    <x v="6"/>
    <s v="Puntual"/>
    <s v="Revisar zona 4 del tornillo B"/>
    <d v="1899-12-30T11:20:00"/>
    <d v="1899-12-30T12:20:00"/>
    <d v="2026-02-19T00:00:00"/>
    <s v="Mecánica"/>
    <s v="Se inspeccionan los circuitos de las zonas 1 hasta la 6, no presentan anomalia, se realiza limpieza en camisa y resistencia para retirar producto del refile que impide refrigeración"/>
    <s v="NA"/>
    <s v="NA"/>
    <s v="L. CASTILLA"/>
    <x v="0"/>
  </r>
  <r>
    <n v="793"/>
    <s v="D. CUESTA"/>
    <d v="1899-12-30T12:00:00"/>
    <x v="122"/>
    <x v="6"/>
    <s v="Puntual"/>
    <s v="Tornillo de apretar no sirve de la corta cores"/>
    <d v="1899-12-30T12:00:00"/>
    <d v="1899-12-30T13:00:00"/>
    <d v="2026-02-19T00:00:00"/>
    <s v="Mecánica"/>
    <s v="Rosca tornillo corona malobrada, se retira tuerca y tornillo para remplazo quedando OK"/>
    <s v="1x Tornillo M12, 1x Tuerca M12"/>
    <s v="NA"/>
    <s v="L. CASTILLA"/>
    <x v="0"/>
  </r>
  <r>
    <n v="794"/>
    <s v="D. BAUTISTA"/>
    <d v="1899-12-30T09:30:00"/>
    <x v="122"/>
    <x v="11"/>
    <s v="Puntual"/>
    <s v="Daño a cortacores"/>
    <d v="1899-12-30T19:30:00"/>
    <d v="1899-12-30T20:00:00"/>
    <d v="2026-02-19T00:00:00"/>
    <s v="Mecánica"/>
    <s v="Se desmonto cuchilla de corte, se realizo afilado a la otra cuchilla y se realizo montaje, se requiere mejora de elementos cortacores"/>
    <s v="NA"/>
    <s v="NA"/>
    <s v="D. BAUTISTA"/>
    <x v="0"/>
  </r>
  <r>
    <n v="795"/>
    <s v="D. ARRIETA"/>
    <d v="1899-12-30T19:50:00"/>
    <x v="122"/>
    <x v="7"/>
    <s v="Puntual"/>
    <s v="Daño en balancin bobinador"/>
    <d v="1899-12-30T19:50:00"/>
    <d v="1899-12-30T20:30:00"/>
    <d v="2026-02-19T00:00:00"/>
    <s v="Mecánica"/>
    <s v="Se descarrilo balancin y se parte acople del eje, se desmonta, se ajusta acople, se realiza montaje quedo en operación"/>
    <s v="NA"/>
    <s v="NA"/>
    <s v="D. BAUTISTA"/>
    <x v="0"/>
  </r>
  <r>
    <n v="796"/>
    <s v="D. CUESTA"/>
    <d v="1899-12-30T06:40:00"/>
    <x v="123"/>
    <x v="14"/>
    <s v="Puntual"/>
    <s v="Ajustar y verificar pinola fuga de material"/>
    <d v="1899-12-30T06:50:00"/>
    <d v="1899-12-30T10:20:00"/>
    <d v="2026-02-20T00:00:00"/>
    <s v="Mecánica"/>
    <s v="Se hace verificación, se retorquea tornillos de portamallas y pinola queda OK"/>
    <s v="NA"/>
    <s v="NA"/>
    <s v="J. SILVA"/>
    <x v="0"/>
  </r>
  <r>
    <n v="797"/>
    <m/>
    <m/>
    <x v="3"/>
    <x v="5"/>
    <m/>
    <m/>
    <m/>
    <m/>
    <m/>
    <m/>
    <m/>
    <m/>
    <m/>
    <m/>
    <x v="1"/>
  </r>
  <r>
    <n v="798"/>
    <s v="H. TRIANA"/>
    <d v="1899-12-30T20:30:00"/>
    <x v="123"/>
    <x v="8"/>
    <s v="Puntual"/>
    <s v="Zona del tornillo interior tiene 30° por encima de lo establecido"/>
    <m/>
    <m/>
    <d v="2026-02-20T00:00:00"/>
    <s v="Eléctrica"/>
    <s v="Se inspecciona circuito de tornillo interior, no se encuentra anomalia en ninguno de los componentes, quedaria pendiente revisar mallas para descartar una anomalia o algún tipo de fricción en tornillo"/>
    <s v="NA"/>
    <s v="NA"/>
    <s v="L. CASTILLA"/>
    <x v="1"/>
  </r>
  <r>
    <n v="799"/>
    <m/>
    <m/>
    <x v="3"/>
    <x v="5"/>
    <m/>
    <m/>
    <m/>
    <m/>
    <m/>
    <m/>
    <m/>
    <m/>
    <m/>
    <m/>
    <x v="1"/>
  </r>
  <r>
    <n v="800"/>
    <s v="L. MIRANDA"/>
    <d v="1899-12-30T09:30:00"/>
    <x v="124"/>
    <x v="6"/>
    <s v="Puntual"/>
    <s v="La barra se le echa aire pero al sacar el aire no le sale"/>
    <m/>
    <m/>
    <m/>
    <m/>
    <m/>
    <m/>
    <m/>
    <m/>
    <x v="2"/>
  </r>
  <r>
    <n v="801"/>
    <m/>
    <m/>
    <x v="3"/>
    <x v="5"/>
    <m/>
    <m/>
    <m/>
    <m/>
    <m/>
    <m/>
    <m/>
    <m/>
    <m/>
    <m/>
    <x v="1"/>
  </r>
  <r>
    <n v="802"/>
    <m/>
    <m/>
    <x v="3"/>
    <x v="5"/>
    <m/>
    <m/>
    <m/>
    <m/>
    <m/>
    <m/>
    <m/>
    <m/>
    <m/>
    <m/>
    <x v="1"/>
  </r>
  <r>
    <n v="803"/>
    <m/>
    <m/>
    <x v="3"/>
    <x v="5"/>
    <m/>
    <m/>
    <m/>
    <m/>
    <m/>
    <m/>
    <m/>
    <m/>
    <m/>
    <m/>
    <x v="1"/>
  </r>
  <r>
    <n v="804"/>
    <m/>
    <m/>
    <x v="3"/>
    <x v="5"/>
    <m/>
    <m/>
    <m/>
    <m/>
    <m/>
    <m/>
    <m/>
    <m/>
    <m/>
    <m/>
    <x v="1"/>
  </r>
  <r>
    <n v="805"/>
    <m/>
    <m/>
    <x v="3"/>
    <x v="5"/>
    <m/>
    <m/>
    <m/>
    <m/>
    <m/>
    <m/>
    <m/>
    <m/>
    <m/>
    <m/>
    <x v="1"/>
  </r>
  <r>
    <n v="806"/>
    <m/>
    <m/>
    <x v="3"/>
    <x v="5"/>
    <m/>
    <m/>
    <m/>
    <m/>
    <m/>
    <m/>
    <m/>
    <m/>
    <m/>
    <m/>
    <x v="1"/>
  </r>
  <r>
    <n v="807"/>
    <m/>
    <m/>
    <x v="3"/>
    <x v="5"/>
    <m/>
    <m/>
    <m/>
    <m/>
    <m/>
    <m/>
    <m/>
    <m/>
    <m/>
    <m/>
    <x v="1"/>
  </r>
  <r>
    <n v="808"/>
    <m/>
    <m/>
    <x v="3"/>
    <x v="5"/>
    <m/>
    <m/>
    <m/>
    <m/>
    <m/>
    <m/>
    <m/>
    <m/>
    <m/>
    <m/>
    <x v="1"/>
  </r>
  <r>
    <n v="809"/>
    <m/>
    <m/>
    <x v="3"/>
    <x v="5"/>
    <m/>
    <m/>
    <m/>
    <m/>
    <m/>
    <m/>
    <m/>
    <m/>
    <m/>
    <m/>
    <x v="1"/>
  </r>
  <r>
    <n v="810"/>
    <m/>
    <m/>
    <x v="3"/>
    <x v="5"/>
    <m/>
    <m/>
    <m/>
    <m/>
    <m/>
    <m/>
    <m/>
    <m/>
    <m/>
    <m/>
    <x v="1"/>
  </r>
  <r>
    <n v="811"/>
    <m/>
    <m/>
    <x v="3"/>
    <x v="5"/>
    <m/>
    <m/>
    <m/>
    <m/>
    <m/>
    <m/>
    <m/>
    <m/>
    <m/>
    <m/>
    <x v="1"/>
  </r>
  <r>
    <n v="812"/>
    <m/>
    <m/>
    <x v="3"/>
    <x v="5"/>
    <m/>
    <m/>
    <m/>
    <m/>
    <m/>
    <m/>
    <m/>
    <m/>
    <m/>
    <m/>
    <x v="1"/>
  </r>
  <r>
    <n v="813"/>
    <m/>
    <m/>
    <x v="3"/>
    <x v="5"/>
    <m/>
    <m/>
    <m/>
    <m/>
    <m/>
    <m/>
    <m/>
    <m/>
    <m/>
    <m/>
    <x v="1"/>
  </r>
  <r>
    <n v="814"/>
    <m/>
    <m/>
    <x v="3"/>
    <x v="5"/>
    <m/>
    <m/>
    <m/>
    <m/>
    <m/>
    <m/>
    <m/>
    <m/>
    <m/>
    <m/>
    <x v="1"/>
  </r>
  <r>
    <n v="815"/>
    <m/>
    <m/>
    <x v="3"/>
    <x v="5"/>
    <m/>
    <m/>
    <m/>
    <m/>
    <m/>
    <m/>
    <m/>
    <m/>
    <m/>
    <m/>
    <x v="1"/>
  </r>
  <r>
    <n v="816"/>
    <m/>
    <m/>
    <x v="3"/>
    <x v="5"/>
    <m/>
    <m/>
    <m/>
    <m/>
    <m/>
    <m/>
    <m/>
    <m/>
    <m/>
    <m/>
    <x v="1"/>
  </r>
  <r>
    <n v="817"/>
    <m/>
    <m/>
    <x v="3"/>
    <x v="5"/>
    <m/>
    <m/>
    <m/>
    <m/>
    <m/>
    <m/>
    <m/>
    <m/>
    <m/>
    <m/>
    <x v="1"/>
  </r>
  <r>
    <n v="818"/>
    <m/>
    <m/>
    <x v="3"/>
    <x v="5"/>
    <m/>
    <m/>
    <m/>
    <m/>
    <m/>
    <m/>
    <m/>
    <m/>
    <m/>
    <m/>
    <x v="1"/>
  </r>
  <r>
    <n v="819"/>
    <m/>
    <m/>
    <x v="3"/>
    <x v="5"/>
    <m/>
    <m/>
    <m/>
    <m/>
    <m/>
    <m/>
    <m/>
    <m/>
    <m/>
    <m/>
    <x v="1"/>
  </r>
  <r>
    <n v="820"/>
    <m/>
    <m/>
    <x v="3"/>
    <x v="5"/>
    <m/>
    <m/>
    <m/>
    <m/>
    <m/>
    <m/>
    <m/>
    <m/>
    <m/>
    <m/>
    <x v="1"/>
  </r>
  <r>
    <n v="821"/>
    <m/>
    <m/>
    <x v="3"/>
    <x v="5"/>
    <m/>
    <m/>
    <m/>
    <m/>
    <m/>
    <m/>
    <m/>
    <m/>
    <m/>
    <m/>
    <x v="1"/>
  </r>
  <r>
    <n v="822"/>
    <m/>
    <m/>
    <x v="3"/>
    <x v="5"/>
    <m/>
    <m/>
    <m/>
    <m/>
    <m/>
    <m/>
    <m/>
    <m/>
    <m/>
    <m/>
    <x v="1"/>
  </r>
  <r>
    <n v="823"/>
    <m/>
    <m/>
    <x v="3"/>
    <x v="5"/>
    <m/>
    <m/>
    <m/>
    <m/>
    <m/>
    <m/>
    <m/>
    <m/>
    <m/>
    <m/>
    <x v="1"/>
  </r>
  <r>
    <n v="824"/>
    <m/>
    <m/>
    <x v="3"/>
    <x v="5"/>
    <m/>
    <m/>
    <m/>
    <m/>
    <m/>
    <m/>
    <m/>
    <m/>
    <m/>
    <m/>
    <x v="1"/>
  </r>
  <r>
    <n v="825"/>
    <m/>
    <m/>
    <x v="3"/>
    <x v="5"/>
    <m/>
    <m/>
    <m/>
    <m/>
    <m/>
    <m/>
    <m/>
    <m/>
    <m/>
    <m/>
    <x v="1"/>
  </r>
  <r>
    <n v="826"/>
    <m/>
    <m/>
    <x v="3"/>
    <x v="5"/>
    <m/>
    <m/>
    <m/>
    <m/>
    <m/>
    <m/>
    <m/>
    <m/>
    <m/>
    <m/>
    <x v="1"/>
  </r>
  <r>
    <n v="827"/>
    <m/>
    <m/>
    <x v="3"/>
    <x v="5"/>
    <m/>
    <m/>
    <m/>
    <m/>
    <m/>
    <m/>
    <m/>
    <m/>
    <m/>
    <m/>
    <x v="1"/>
  </r>
  <r>
    <n v="828"/>
    <m/>
    <m/>
    <x v="3"/>
    <x v="5"/>
    <m/>
    <m/>
    <m/>
    <m/>
    <m/>
    <m/>
    <m/>
    <m/>
    <m/>
    <m/>
    <x v="1"/>
  </r>
  <r>
    <n v="829"/>
    <m/>
    <m/>
    <x v="3"/>
    <x v="5"/>
    <m/>
    <m/>
    <m/>
    <m/>
    <m/>
    <m/>
    <m/>
    <m/>
    <m/>
    <m/>
    <x v="1"/>
  </r>
  <r>
    <n v="830"/>
    <m/>
    <m/>
    <x v="3"/>
    <x v="5"/>
    <m/>
    <m/>
    <m/>
    <m/>
    <m/>
    <m/>
    <m/>
    <m/>
    <m/>
    <m/>
    <x v="1"/>
  </r>
  <r>
    <n v="831"/>
    <m/>
    <m/>
    <x v="3"/>
    <x v="5"/>
    <m/>
    <m/>
    <m/>
    <m/>
    <m/>
    <m/>
    <m/>
    <m/>
    <m/>
    <m/>
    <x v="1"/>
  </r>
  <r>
    <n v="832"/>
    <m/>
    <m/>
    <x v="3"/>
    <x v="5"/>
    <m/>
    <m/>
    <m/>
    <m/>
    <m/>
    <m/>
    <m/>
    <m/>
    <m/>
    <m/>
    <x v="1"/>
  </r>
  <r>
    <n v="833"/>
    <m/>
    <m/>
    <x v="3"/>
    <x v="5"/>
    <m/>
    <m/>
    <m/>
    <m/>
    <m/>
    <m/>
    <m/>
    <m/>
    <m/>
    <m/>
    <x v="1"/>
  </r>
  <r>
    <n v="834"/>
    <m/>
    <m/>
    <x v="3"/>
    <x v="5"/>
    <m/>
    <m/>
    <m/>
    <m/>
    <m/>
    <m/>
    <m/>
    <m/>
    <m/>
    <m/>
    <x v="1"/>
  </r>
  <r>
    <n v="835"/>
    <m/>
    <m/>
    <x v="3"/>
    <x v="5"/>
    <m/>
    <m/>
    <m/>
    <m/>
    <m/>
    <m/>
    <m/>
    <m/>
    <m/>
    <m/>
    <x v="1"/>
  </r>
  <r>
    <n v="836"/>
    <m/>
    <m/>
    <x v="3"/>
    <x v="5"/>
    <m/>
    <m/>
    <m/>
    <m/>
    <m/>
    <m/>
    <m/>
    <m/>
    <m/>
    <m/>
    <x v="1"/>
  </r>
  <r>
    <n v="837"/>
    <m/>
    <m/>
    <x v="3"/>
    <x v="5"/>
    <m/>
    <m/>
    <m/>
    <m/>
    <m/>
    <m/>
    <m/>
    <m/>
    <m/>
    <m/>
    <x v="1"/>
  </r>
  <r>
    <n v="838"/>
    <m/>
    <m/>
    <x v="3"/>
    <x v="5"/>
    <m/>
    <m/>
    <m/>
    <m/>
    <m/>
    <m/>
    <m/>
    <m/>
    <m/>
    <m/>
    <x v="1"/>
  </r>
  <r>
    <n v="839"/>
    <m/>
    <m/>
    <x v="3"/>
    <x v="5"/>
    <m/>
    <m/>
    <m/>
    <m/>
    <m/>
    <m/>
    <m/>
    <m/>
    <m/>
    <m/>
    <x v="1"/>
  </r>
  <r>
    <n v="840"/>
    <m/>
    <m/>
    <x v="3"/>
    <x v="5"/>
    <m/>
    <m/>
    <m/>
    <m/>
    <m/>
    <m/>
    <m/>
    <m/>
    <m/>
    <m/>
    <x v="1"/>
  </r>
  <r>
    <n v="841"/>
    <m/>
    <m/>
    <x v="3"/>
    <x v="5"/>
    <m/>
    <m/>
    <m/>
    <m/>
    <m/>
    <m/>
    <m/>
    <m/>
    <m/>
    <m/>
    <x v="1"/>
  </r>
  <r>
    <n v="842"/>
    <m/>
    <m/>
    <x v="3"/>
    <x v="5"/>
    <m/>
    <m/>
    <m/>
    <m/>
    <m/>
    <m/>
    <m/>
    <m/>
    <m/>
    <m/>
    <x v="1"/>
  </r>
  <r>
    <n v="843"/>
    <m/>
    <m/>
    <x v="3"/>
    <x v="5"/>
    <m/>
    <m/>
    <m/>
    <m/>
    <m/>
    <m/>
    <m/>
    <m/>
    <m/>
    <m/>
    <x v="1"/>
  </r>
  <r>
    <n v="844"/>
    <m/>
    <m/>
    <x v="3"/>
    <x v="5"/>
    <m/>
    <m/>
    <m/>
    <m/>
    <m/>
    <m/>
    <m/>
    <m/>
    <m/>
    <m/>
    <x v="1"/>
  </r>
  <r>
    <n v="845"/>
    <m/>
    <m/>
    <x v="3"/>
    <x v="5"/>
    <m/>
    <m/>
    <m/>
    <m/>
    <m/>
    <m/>
    <m/>
    <m/>
    <m/>
    <m/>
    <x v="1"/>
  </r>
  <r>
    <n v="846"/>
    <m/>
    <m/>
    <x v="3"/>
    <x v="5"/>
    <m/>
    <m/>
    <m/>
    <m/>
    <m/>
    <m/>
    <m/>
    <m/>
    <m/>
    <m/>
    <x v="1"/>
  </r>
  <r>
    <n v="847"/>
    <m/>
    <m/>
    <x v="3"/>
    <x v="5"/>
    <m/>
    <m/>
    <m/>
    <m/>
    <m/>
    <m/>
    <m/>
    <m/>
    <m/>
    <m/>
    <x v="1"/>
  </r>
  <r>
    <n v="848"/>
    <m/>
    <m/>
    <x v="3"/>
    <x v="5"/>
    <m/>
    <m/>
    <m/>
    <m/>
    <m/>
    <m/>
    <m/>
    <m/>
    <m/>
    <m/>
    <x v="1"/>
  </r>
  <r>
    <n v="849"/>
    <m/>
    <m/>
    <x v="3"/>
    <x v="5"/>
    <m/>
    <m/>
    <m/>
    <m/>
    <m/>
    <m/>
    <m/>
    <m/>
    <m/>
    <m/>
    <x v="1"/>
  </r>
  <r>
    <n v="850"/>
    <m/>
    <m/>
    <x v="3"/>
    <x v="5"/>
    <m/>
    <m/>
    <m/>
    <m/>
    <m/>
    <m/>
    <m/>
    <m/>
    <m/>
    <m/>
    <x v="1"/>
  </r>
  <r>
    <n v="851"/>
    <m/>
    <m/>
    <x v="3"/>
    <x v="5"/>
    <m/>
    <m/>
    <m/>
    <m/>
    <m/>
    <m/>
    <m/>
    <m/>
    <m/>
    <m/>
    <x v="1"/>
  </r>
  <r>
    <n v="852"/>
    <m/>
    <m/>
    <x v="3"/>
    <x v="5"/>
    <m/>
    <m/>
    <m/>
    <m/>
    <m/>
    <m/>
    <m/>
    <m/>
    <m/>
    <m/>
    <x v="1"/>
  </r>
  <r>
    <n v="853"/>
    <m/>
    <m/>
    <x v="3"/>
    <x v="5"/>
    <m/>
    <m/>
    <m/>
    <m/>
    <m/>
    <m/>
    <m/>
    <m/>
    <m/>
    <m/>
    <x v="1"/>
  </r>
  <r>
    <n v="854"/>
    <m/>
    <m/>
    <x v="3"/>
    <x v="5"/>
    <m/>
    <m/>
    <m/>
    <m/>
    <m/>
    <m/>
    <m/>
    <m/>
    <m/>
    <m/>
    <x v="1"/>
  </r>
  <r>
    <n v="855"/>
    <m/>
    <m/>
    <x v="3"/>
    <x v="5"/>
    <m/>
    <m/>
    <m/>
    <m/>
    <m/>
    <m/>
    <m/>
    <m/>
    <m/>
    <m/>
    <x v="1"/>
  </r>
  <r>
    <n v="856"/>
    <m/>
    <m/>
    <x v="3"/>
    <x v="5"/>
    <m/>
    <m/>
    <m/>
    <m/>
    <m/>
    <m/>
    <m/>
    <m/>
    <m/>
    <m/>
    <x v="1"/>
  </r>
  <r>
    <n v="857"/>
    <m/>
    <m/>
    <x v="3"/>
    <x v="5"/>
    <m/>
    <m/>
    <m/>
    <m/>
    <m/>
    <m/>
    <m/>
    <m/>
    <m/>
    <m/>
    <x v="1"/>
  </r>
  <r>
    <n v="858"/>
    <m/>
    <m/>
    <x v="3"/>
    <x v="5"/>
    <m/>
    <m/>
    <m/>
    <m/>
    <m/>
    <m/>
    <m/>
    <m/>
    <m/>
    <m/>
    <x v="1"/>
  </r>
  <r>
    <n v="859"/>
    <m/>
    <m/>
    <x v="3"/>
    <x v="5"/>
    <m/>
    <m/>
    <m/>
    <m/>
    <m/>
    <m/>
    <m/>
    <m/>
    <m/>
    <m/>
    <x v="1"/>
  </r>
  <r>
    <n v="860"/>
    <m/>
    <m/>
    <x v="3"/>
    <x v="5"/>
    <m/>
    <m/>
    <m/>
    <m/>
    <m/>
    <m/>
    <m/>
    <m/>
    <m/>
    <m/>
    <x v="1"/>
  </r>
  <r>
    <n v="861"/>
    <m/>
    <m/>
    <x v="3"/>
    <x v="5"/>
    <m/>
    <m/>
    <m/>
    <m/>
    <m/>
    <m/>
    <m/>
    <m/>
    <m/>
    <m/>
    <x v="1"/>
  </r>
  <r>
    <n v="862"/>
    <m/>
    <m/>
    <x v="3"/>
    <x v="5"/>
    <m/>
    <m/>
    <m/>
    <m/>
    <m/>
    <m/>
    <m/>
    <m/>
    <m/>
    <m/>
    <x v="1"/>
  </r>
  <r>
    <n v="863"/>
    <m/>
    <m/>
    <x v="3"/>
    <x v="5"/>
    <m/>
    <m/>
    <m/>
    <m/>
    <m/>
    <m/>
    <m/>
    <m/>
    <m/>
    <m/>
    <x v="1"/>
  </r>
  <r>
    <n v="864"/>
    <m/>
    <m/>
    <x v="3"/>
    <x v="5"/>
    <m/>
    <m/>
    <m/>
    <m/>
    <m/>
    <m/>
    <m/>
    <m/>
    <m/>
    <m/>
    <x v="1"/>
  </r>
  <r>
    <n v="865"/>
    <m/>
    <m/>
    <x v="3"/>
    <x v="5"/>
    <m/>
    <m/>
    <m/>
    <m/>
    <m/>
    <m/>
    <m/>
    <m/>
    <m/>
    <m/>
    <x v="1"/>
  </r>
  <r>
    <n v="866"/>
    <m/>
    <m/>
    <x v="3"/>
    <x v="5"/>
    <m/>
    <m/>
    <m/>
    <m/>
    <m/>
    <m/>
    <m/>
    <m/>
    <m/>
    <m/>
    <x v="1"/>
  </r>
  <r>
    <n v="867"/>
    <m/>
    <m/>
    <x v="3"/>
    <x v="5"/>
    <m/>
    <m/>
    <m/>
    <m/>
    <m/>
    <m/>
    <m/>
    <m/>
    <m/>
    <m/>
    <x v="1"/>
  </r>
  <r>
    <n v="868"/>
    <m/>
    <m/>
    <x v="3"/>
    <x v="5"/>
    <m/>
    <m/>
    <m/>
    <m/>
    <m/>
    <m/>
    <m/>
    <m/>
    <m/>
    <m/>
    <x v="1"/>
  </r>
  <r>
    <n v="869"/>
    <m/>
    <m/>
    <x v="3"/>
    <x v="5"/>
    <m/>
    <m/>
    <m/>
    <m/>
    <m/>
    <m/>
    <m/>
    <m/>
    <m/>
    <m/>
    <x v="1"/>
  </r>
  <r>
    <n v="870"/>
    <m/>
    <m/>
    <x v="3"/>
    <x v="5"/>
    <m/>
    <m/>
    <m/>
    <m/>
    <m/>
    <m/>
    <m/>
    <m/>
    <m/>
    <m/>
    <x v="1"/>
  </r>
  <r>
    <n v="871"/>
    <m/>
    <m/>
    <x v="3"/>
    <x v="5"/>
    <m/>
    <m/>
    <m/>
    <m/>
    <m/>
    <m/>
    <m/>
    <m/>
    <m/>
    <m/>
    <x v="1"/>
  </r>
  <r>
    <n v="872"/>
    <m/>
    <m/>
    <x v="3"/>
    <x v="5"/>
    <m/>
    <m/>
    <m/>
    <m/>
    <m/>
    <m/>
    <m/>
    <m/>
    <m/>
    <m/>
    <x v="1"/>
  </r>
  <r>
    <n v="873"/>
    <m/>
    <m/>
    <x v="3"/>
    <x v="5"/>
    <m/>
    <m/>
    <m/>
    <m/>
    <m/>
    <m/>
    <m/>
    <m/>
    <m/>
    <m/>
    <x v="1"/>
  </r>
  <r>
    <n v="874"/>
    <m/>
    <m/>
    <x v="3"/>
    <x v="5"/>
    <m/>
    <m/>
    <m/>
    <m/>
    <m/>
    <m/>
    <m/>
    <m/>
    <m/>
    <m/>
    <x v="1"/>
  </r>
  <r>
    <n v="875"/>
    <m/>
    <m/>
    <x v="3"/>
    <x v="5"/>
    <m/>
    <m/>
    <m/>
    <m/>
    <m/>
    <m/>
    <m/>
    <m/>
    <m/>
    <m/>
    <x v="1"/>
  </r>
  <r>
    <n v="876"/>
    <m/>
    <m/>
    <x v="3"/>
    <x v="5"/>
    <m/>
    <m/>
    <m/>
    <m/>
    <m/>
    <m/>
    <m/>
    <m/>
    <m/>
    <m/>
    <x v="1"/>
  </r>
  <r>
    <n v="877"/>
    <m/>
    <m/>
    <x v="3"/>
    <x v="5"/>
    <m/>
    <m/>
    <m/>
    <m/>
    <m/>
    <m/>
    <m/>
    <m/>
    <m/>
    <m/>
    <x v="1"/>
  </r>
  <r>
    <n v="878"/>
    <m/>
    <m/>
    <x v="3"/>
    <x v="5"/>
    <m/>
    <m/>
    <m/>
    <m/>
    <m/>
    <m/>
    <m/>
    <m/>
    <m/>
    <m/>
    <x v="1"/>
  </r>
  <r>
    <n v="879"/>
    <m/>
    <m/>
    <x v="3"/>
    <x v="5"/>
    <m/>
    <m/>
    <m/>
    <m/>
    <m/>
    <m/>
    <m/>
    <m/>
    <m/>
    <m/>
    <x v="1"/>
  </r>
  <r>
    <n v="880"/>
    <m/>
    <m/>
    <x v="3"/>
    <x v="5"/>
    <m/>
    <m/>
    <m/>
    <m/>
    <m/>
    <m/>
    <m/>
    <m/>
    <m/>
    <m/>
    <x v="1"/>
  </r>
  <r>
    <n v="881"/>
    <m/>
    <m/>
    <x v="3"/>
    <x v="5"/>
    <m/>
    <m/>
    <m/>
    <m/>
    <m/>
    <m/>
    <m/>
    <m/>
    <m/>
    <m/>
    <x v="1"/>
  </r>
  <r>
    <n v="882"/>
    <m/>
    <m/>
    <x v="3"/>
    <x v="5"/>
    <m/>
    <m/>
    <m/>
    <m/>
    <m/>
    <m/>
    <m/>
    <m/>
    <m/>
    <m/>
    <x v="1"/>
  </r>
  <r>
    <n v="883"/>
    <m/>
    <m/>
    <x v="3"/>
    <x v="5"/>
    <m/>
    <m/>
    <m/>
    <m/>
    <m/>
    <m/>
    <m/>
    <m/>
    <m/>
    <m/>
    <x v="1"/>
  </r>
  <r>
    <n v="884"/>
    <m/>
    <m/>
    <x v="3"/>
    <x v="5"/>
    <m/>
    <m/>
    <m/>
    <m/>
    <m/>
    <m/>
    <m/>
    <m/>
    <m/>
    <m/>
    <x v="1"/>
  </r>
  <r>
    <n v="885"/>
    <m/>
    <m/>
    <x v="3"/>
    <x v="5"/>
    <m/>
    <m/>
    <m/>
    <m/>
    <m/>
    <m/>
    <m/>
    <m/>
    <m/>
    <m/>
    <x v="1"/>
  </r>
  <r>
    <n v="886"/>
    <m/>
    <m/>
    <x v="3"/>
    <x v="5"/>
    <m/>
    <m/>
    <m/>
    <m/>
    <m/>
    <m/>
    <m/>
    <m/>
    <m/>
    <m/>
    <x v="1"/>
  </r>
  <r>
    <n v="887"/>
    <m/>
    <m/>
    <x v="3"/>
    <x v="5"/>
    <m/>
    <m/>
    <m/>
    <m/>
    <m/>
    <m/>
    <m/>
    <m/>
    <m/>
    <m/>
    <x v="1"/>
  </r>
  <r>
    <n v="888"/>
    <m/>
    <m/>
    <x v="3"/>
    <x v="5"/>
    <m/>
    <m/>
    <m/>
    <m/>
    <m/>
    <m/>
    <m/>
    <m/>
    <m/>
    <m/>
    <x v="1"/>
  </r>
  <r>
    <n v="889"/>
    <m/>
    <m/>
    <x v="3"/>
    <x v="5"/>
    <m/>
    <m/>
    <m/>
    <m/>
    <m/>
    <m/>
    <m/>
    <m/>
    <m/>
    <m/>
    <x v="1"/>
  </r>
  <r>
    <n v="890"/>
    <m/>
    <m/>
    <x v="3"/>
    <x v="5"/>
    <m/>
    <m/>
    <m/>
    <m/>
    <m/>
    <m/>
    <m/>
    <m/>
    <m/>
    <m/>
    <x v="1"/>
  </r>
  <r>
    <n v="891"/>
    <m/>
    <m/>
    <x v="3"/>
    <x v="5"/>
    <m/>
    <m/>
    <m/>
    <m/>
    <m/>
    <m/>
    <m/>
    <m/>
    <m/>
    <m/>
    <x v="1"/>
  </r>
  <r>
    <n v="892"/>
    <m/>
    <m/>
    <x v="3"/>
    <x v="5"/>
    <m/>
    <m/>
    <m/>
    <m/>
    <m/>
    <m/>
    <m/>
    <m/>
    <m/>
    <m/>
    <x v="1"/>
  </r>
  <r>
    <n v="893"/>
    <m/>
    <m/>
    <x v="3"/>
    <x v="5"/>
    <m/>
    <m/>
    <m/>
    <m/>
    <m/>
    <m/>
    <m/>
    <m/>
    <m/>
    <m/>
    <x v="1"/>
  </r>
  <r>
    <n v="894"/>
    <m/>
    <m/>
    <x v="3"/>
    <x v="5"/>
    <m/>
    <m/>
    <m/>
    <m/>
    <m/>
    <m/>
    <m/>
    <m/>
    <m/>
    <m/>
    <x v="1"/>
  </r>
  <r>
    <n v="895"/>
    <m/>
    <m/>
    <x v="3"/>
    <x v="5"/>
    <m/>
    <m/>
    <m/>
    <m/>
    <m/>
    <m/>
    <m/>
    <m/>
    <m/>
    <m/>
    <x v="1"/>
  </r>
  <r>
    <n v="896"/>
    <m/>
    <m/>
    <x v="3"/>
    <x v="5"/>
    <m/>
    <m/>
    <m/>
    <m/>
    <m/>
    <m/>
    <m/>
    <m/>
    <m/>
    <m/>
    <x v="1"/>
  </r>
  <r>
    <n v="897"/>
    <m/>
    <m/>
    <x v="3"/>
    <x v="5"/>
    <m/>
    <m/>
    <m/>
    <m/>
    <m/>
    <m/>
    <m/>
    <m/>
    <m/>
    <m/>
    <x v="1"/>
  </r>
  <r>
    <n v="898"/>
    <m/>
    <m/>
    <x v="3"/>
    <x v="5"/>
    <m/>
    <m/>
    <m/>
    <m/>
    <m/>
    <m/>
    <m/>
    <m/>
    <m/>
    <m/>
    <x v="1"/>
  </r>
  <r>
    <n v="899"/>
    <m/>
    <m/>
    <x v="3"/>
    <x v="5"/>
    <m/>
    <m/>
    <m/>
    <m/>
    <m/>
    <m/>
    <m/>
    <m/>
    <m/>
    <m/>
    <x v="1"/>
  </r>
  <r>
    <n v="900"/>
    <m/>
    <m/>
    <x v="3"/>
    <x v="5"/>
    <m/>
    <m/>
    <m/>
    <m/>
    <m/>
    <m/>
    <m/>
    <m/>
    <m/>
    <m/>
    <x v="0"/>
  </r>
  <r>
    <n v="901"/>
    <s v="M. MARTINEZ"/>
    <d v="1899-12-30T14:45:00"/>
    <x v="125"/>
    <x v="2"/>
    <s v="Puntual"/>
    <s v="SE solicita tornillos para cambio de rodillo de la prensa. Correa de la prensa. Se solicita termocuplas porque estan dañadas"/>
    <d v="1899-12-30T14:45:00"/>
    <d v="1899-12-30T17:50:00"/>
    <d v="2026-02-25T00:00:00"/>
    <s v="Mecánica, Eléctrica"/>
    <s v="Se solicitan tornillos para cambio, se hace cambio de correa en rodillo prensa, se solicitan termocuplas para cambio"/>
    <s v="Tornillos, Correas, Termocuplas"/>
    <s v="NA"/>
    <s v="O. DUARTE"/>
    <x v="0"/>
  </r>
  <r>
    <n v="902"/>
    <m/>
    <m/>
    <x v="3"/>
    <x v="5"/>
    <m/>
    <m/>
    <m/>
    <m/>
    <m/>
    <m/>
    <m/>
    <m/>
    <m/>
    <m/>
    <x v="1"/>
  </r>
  <r>
    <n v="903"/>
    <m/>
    <d v="1899-12-30T11:40:00"/>
    <x v="126"/>
    <x v="1"/>
    <s v="Puntual"/>
    <s v="Falta de tornillos para la corona"/>
    <m/>
    <m/>
    <m/>
    <m/>
    <m/>
    <m/>
    <m/>
    <m/>
    <x v="2"/>
  </r>
  <r>
    <n v="904"/>
    <s v="D. CUESTA"/>
    <d v="1899-12-30T15:00:00"/>
    <x v="126"/>
    <x v="6"/>
    <s v="Puntual"/>
    <s v="COEX #5 esta presentando un ruido en el rodillo #11"/>
    <d v="1899-12-30T15:00:00"/>
    <d v="1899-12-30T15:15:00"/>
    <d v="2026-02-23T00:00:00"/>
    <s v="Mecánica"/>
    <s v="Rodillo N° 11 con punta espigo desgastada, se recomienda intervención de carácter urgente ya que se puede caer, se aplica grasa. NO PARO"/>
    <s v="NA"/>
    <s v="Grasa"/>
    <s v="L. CASTILLA"/>
    <x v="0"/>
  </r>
  <r>
    <n v="905"/>
    <m/>
    <m/>
    <x v="3"/>
    <x v="5"/>
    <m/>
    <m/>
    <m/>
    <m/>
    <m/>
    <m/>
    <m/>
    <m/>
    <m/>
    <m/>
    <x v="1"/>
  </r>
  <r>
    <n v="906"/>
    <s v="F. SANCHEZ"/>
    <d v="1899-12-30T06:10:00"/>
    <x v="127"/>
    <x v="6"/>
    <s v="Puntual"/>
    <s v="Problemas con el refile no esta succionando bien el refile, se queda pegado, le falta fuerza para aspirar el material"/>
    <m/>
    <m/>
    <m/>
    <m/>
    <m/>
    <m/>
    <m/>
    <m/>
    <x v="2"/>
  </r>
  <r>
    <n v="907"/>
    <s v="F. SANCHEZ"/>
    <d v="1899-12-30T06:10:00"/>
    <x v="127"/>
    <x v="6"/>
    <s v="Puntual"/>
    <s v="Ruedas del refile en mal estado no aprietan prisioneros"/>
    <m/>
    <m/>
    <m/>
    <m/>
    <m/>
    <m/>
    <m/>
    <m/>
    <x v="2"/>
  </r>
  <r>
    <n v="908"/>
    <m/>
    <m/>
    <x v="3"/>
    <x v="5"/>
    <m/>
    <m/>
    <m/>
    <m/>
    <m/>
    <m/>
    <m/>
    <m/>
    <m/>
    <m/>
    <x v="1"/>
  </r>
  <r>
    <n v="909"/>
    <s v="J. PINZON"/>
    <m/>
    <x v="127"/>
    <x v="7"/>
    <s v="Puntual"/>
    <s v="Balancin del calibrador"/>
    <d v="1899-12-30T06:00:00"/>
    <d v="1899-12-30T08:33:00"/>
    <m/>
    <s v="Mecánica"/>
    <m/>
    <m/>
    <m/>
    <m/>
    <x v="2"/>
  </r>
  <r>
    <n v="910"/>
    <s v="S. PATIÑO"/>
    <d v="1899-12-30T08:30:00"/>
    <x v="127"/>
    <x v="14"/>
    <s v="Puntual"/>
    <s v="La parte de la corona que rota, se encuentra rotando descentrada generando desgaste. _x000a_Se evidencia residuos del dominio de esta"/>
    <m/>
    <m/>
    <m/>
    <m/>
    <m/>
    <m/>
    <m/>
    <m/>
    <x v="2"/>
  </r>
  <r>
    <n v="911"/>
    <s v="S. CARDENAL"/>
    <d v="1899-12-30T08:30:00"/>
    <x v="127"/>
    <x v="13"/>
    <s v="Puntual"/>
    <s v="Bolsa sale la boca bloqueada en la pista #2"/>
    <d v="1899-12-30T08:00:00"/>
    <d v="1899-12-30T12:00:00"/>
    <d v="2026-02-25T00:00:00"/>
    <s v="Mecánica"/>
    <s v="Se realiza calibración de presión corte y posición de cuchilla. Queda sellando y cortando OK"/>
    <s v="NA"/>
    <s v="Silicona"/>
    <s v="J. SILVA"/>
    <x v="0"/>
  </r>
  <r>
    <n v="912"/>
    <s v="F. SANCHEZ"/>
    <d v="1899-12-30T10:25:00"/>
    <x v="127"/>
    <x v="6"/>
    <s v="Puntual"/>
    <s v="Para cerrar los tableros de la parte de los rodillos haladores no funciona"/>
    <m/>
    <m/>
    <m/>
    <m/>
    <m/>
    <m/>
    <m/>
    <m/>
    <x v="2"/>
  </r>
  <r>
    <n v="913"/>
    <s v="A. ROVIRA"/>
    <d v="1899-12-30T20:35:00"/>
    <x v="127"/>
    <x v="9"/>
    <s v="Puntual"/>
    <s v="NO EMBOBINA"/>
    <d v="1899-12-30T21:20:00"/>
    <d v="1899-12-30T21:40:00"/>
    <d v="2026-02-24T00:00:00"/>
    <s v="Eléctrica"/>
    <s v="Fusible circuito motor abierto, se realiza cambio quedando OK"/>
    <s v="1x Fusible"/>
    <s v="NA"/>
    <s v="L. CASTILLA"/>
    <x v="0"/>
  </r>
  <r>
    <n v="914"/>
    <m/>
    <m/>
    <x v="3"/>
    <x v="5"/>
    <m/>
    <m/>
    <m/>
    <m/>
    <m/>
    <m/>
    <m/>
    <m/>
    <m/>
    <m/>
    <x v="1"/>
  </r>
  <r>
    <n v="915"/>
    <s v="D. CUESTA"/>
    <d v="1899-12-30T22:00:00"/>
    <x v="127"/>
    <x v="5"/>
    <s v="Puntual"/>
    <s v="Barra se le sale el aire"/>
    <d v="1899-12-30T22:00:00"/>
    <d v="1899-12-30T22:20:00"/>
    <d v="2026-02-24T00:00:00"/>
    <s v="Neúmatica"/>
    <s v="Se realiza reparación de valvula, se realizan pruebas y se entrga operativo. No se genero parada de maquina"/>
    <s v="NA"/>
    <s v="NA"/>
    <s v="D. BAUTISTA"/>
    <x v="0"/>
  </r>
  <r>
    <n v="916"/>
    <s v="H. TRIANA"/>
    <d v="1899-12-30T00:10:00"/>
    <x v="125"/>
    <x v="8"/>
    <s v="Puntual"/>
    <s v="Falla temperatura porta mallas interno"/>
    <d v="1899-12-30T00:40:00"/>
    <d v="1899-12-30T01:00:00"/>
    <d v="2026-02-26T00:00:00"/>
    <s v="Eléctrica"/>
    <s v="Fallo en termocupla, se da ajuste pero temperatura esta por encima del setpoint, 235°C se entrega al operario para espera de normalizar temperatura"/>
    <s v="NA"/>
    <s v="NA"/>
    <s v="D. BAUTISTA"/>
    <x v="0"/>
  </r>
  <r>
    <n v="917"/>
    <s v="H. TRIANA"/>
    <d v="1899-12-30T04:20:00"/>
    <x v="125"/>
    <x v="8"/>
    <s v="REPETITIVO"/>
    <s v="Tornillo capa interna esta zumbando duro y hace vibrar la maquina"/>
    <m/>
    <m/>
    <m/>
    <m/>
    <m/>
    <m/>
    <m/>
    <m/>
    <x v="2"/>
  </r>
  <r>
    <n v="918"/>
    <s v="H. TRIANA"/>
    <d v="1899-12-30T04:25:00"/>
    <x v="125"/>
    <x v="14"/>
    <s v="Puntual"/>
    <s v="Motor capa externa esta traqueando duro"/>
    <m/>
    <m/>
    <d v="2026-03-10T00:00:00"/>
    <s v="Mecánica"/>
    <s v="Se envia donde el proveedor el motor mez 40 HP 380V y se realiza mantenimiento general:_x000a_Cambio de rodamientos SKF_x000a_Cambio de retenedores_x000a_Metalizado de tapa lado ventilador_x000a_Metalizado de eje lado polea_x000a_Balanceo dinamico del rotor, ventilador y polea_x000a_Soldadura en tapa lado polea_x000a_Limpieza, mantenimiento y mano de obra"/>
    <s v="Rodamientos, Retenedores"/>
    <s v="Soldadura"/>
    <s v="J. FONTECHA"/>
    <x v="0"/>
  </r>
  <r>
    <n v="919"/>
    <s v="L. MIRANDA"/>
    <d v="1899-12-30T06:20:00"/>
    <x v="125"/>
    <x v="21"/>
    <s v="Puntual"/>
    <s v="El motor de aspirador no esta funcionando"/>
    <d v="1899-12-30T06:25:00"/>
    <d v="1899-12-30T09:00:00"/>
    <d v="2026-02-25T00:00:00"/>
    <s v="Eléctrica"/>
    <s v="Se arregla, se verifica falta de tensión (voltaje)"/>
    <s v="NA"/>
    <s v="NA"/>
    <s v="J. SILVA"/>
    <x v="0"/>
  </r>
  <r>
    <n v="920"/>
    <m/>
    <m/>
    <x v="3"/>
    <x v="5"/>
    <m/>
    <m/>
    <m/>
    <m/>
    <m/>
    <m/>
    <m/>
    <m/>
    <m/>
    <m/>
    <x v="1"/>
  </r>
  <r>
    <n v="921"/>
    <m/>
    <m/>
    <x v="3"/>
    <x v="5"/>
    <m/>
    <m/>
    <m/>
    <m/>
    <m/>
    <m/>
    <m/>
    <m/>
    <m/>
    <m/>
    <x v="1"/>
  </r>
  <r>
    <n v="922"/>
    <s v="H. TRIANA"/>
    <d v="1899-12-30T08:05:00"/>
    <x v="128"/>
    <x v="8"/>
    <s v="Puntual"/>
    <s v="Al piston del rodillo halador se le cae un tornillo"/>
    <d v="1899-12-30T08:10:00"/>
    <d v="1899-12-30T08:30:00"/>
    <d v="2026-02-26T00:00:00"/>
    <s v="Mecánica"/>
    <s v="Se coloca tornillo"/>
    <s v="1X Tornillo M10 X 50mm"/>
    <s v="NA"/>
    <s v="J. SILVA"/>
    <x v="0"/>
  </r>
  <r>
    <n v="923"/>
    <s v="H. TRIANA"/>
    <d v="1899-12-30T08:30:00"/>
    <x v="128"/>
    <x v="8"/>
    <s v="REPETITIVO"/>
    <s v="Temperatura tornillo interior esta 60° por encima de lo establecido"/>
    <d v="1899-12-30T08:30:00"/>
    <d v="1899-12-30T08:50:00"/>
    <d v="2026-02-26T00:00:00"/>
    <s v="Eléctrica"/>
    <s v="Cambió de rele de estado solido pendiente a que baje temperatura pero hasta que pare maquina ya no tiene consumo la resistencia"/>
    <s v="1x Relé estado solido SSR 60A"/>
    <s v="NA"/>
    <s v="J. SILVA"/>
    <x v="0"/>
  </r>
  <r>
    <n v="924"/>
    <m/>
    <m/>
    <x v="3"/>
    <x v="5"/>
    <m/>
    <m/>
    <m/>
    <m/>
    <m/>
    <m/>
    <m/>
    <m/>
    <m/>
    <m/>
    <x v="1"/>
  </r>
  <r>
    <n v="925"/>
    <m/>
    <m/>
    <x v="3"/>
    <x v="5"/>
    <m/>
    <m/>
    <m/>
    <m/>
    <m/>
    <m/>
    <m/>
    <m/>
    <m/>
    <m/>
    <x v="1"/>
  </r>
  <r>
    <n v="926"/>
    <s v="K. RAMOS"/>
    <d v="1899-12-30T19:00:00"/>
    <x v="128"/>
    <x v="1"/>
    <s v="Puntual"/>
    <s v="Coex #4 presenta falla en la prensa y pasa corriente por todo los rodillos"/>
    <d v="1899-12-30T19:00:00"/>
    <d v="1899-12-30T23:45:00"/>
    <d v="2026-02-26T00:00:00"/>
    <s v="Eléctrica"/>
    <s v="Se realiza cambio de resistencia a 100KΩ, se verifican voltaje, se realizan pruebas de embobinamiento, se encuentra bien, se realizan pruebas, trabaja sin anomalia"/>
    <s v="1x Resistencia de 100KΩ"/>
    <s v="NA"/>
    <s v="L. CASTILLA"/>
    <x v="0"/>
  </r>
  <r>
    <n v="927"/>
    <s v="K. RAMOS"/>
    <m/>
    <x v="128"/>
    <x v="8"/>
    <s v="Puntual"/>
    <s v="Coex #3 se eleva hasta 300° la temoeratura en el tornillo interno"/>
    <d v="1899-12-30T19:40:00"/>
    <d v="1899-12-30T08:14:00"/>
    <d v="2026-02-27T00:00:00"/>
    <s v="Eléctrica"/>
    <s v="Revisión de consumo en relé y controlador temperatura, hay consumo en resistencia controlador operativo, se apaga extrusora. Se interviene maquina y se entrega a operario"/>
    <s v="NA"/>
    <s v="NA"/>
    <s v="O. DUARTE"/>
    <x v="0"/>
  </r>
  <r>
    <n v="928"/>
    <s v="E. REYES"/>
    <d v="1899-12-30T19:08:00"/>
    <x v="128"/>
    <x v="13"/>
    <s v="Puntual"/>
    <s v="Variación de temperatura"/>
    <d v="1899-12-30T19:08:00"/>
    <d v="1899-12-30T12:50:00"/>
    <d v="2026-02-27T00:00:00"/>
    <s v="Eléctrica"/>
    <s v="Se cambia termocupla, se arranca 27/2/26 12:50"/>
    <s v="1X Termocupla"/>
    <s v="NA"/>
    <s v="J. SILVA"/>
    <x v="0"/>
  </r>
  <r>
    <n v="929"/>
    <s v="K. RAMOS"/>
    <d v="1899-12-30T01:29:00"/>
    <x v="31"/>
    <x v="14"/>
    <s v="Puntual"/>
    <s v="Se apagan las temperaturas del barril"/>
    <d v="1899-12-30T01:30:00"/>
    <d v="1899-12-30T01:50:00"/>
    <d v="2026-02-27T00:00:00"/>
    <s v="Eléctrica"/>
    <s v="Se encuentra base porta escobilla malobrado y falta de aislante en la varilla que lo sostiene, se requiere fabricación según muestra. Se repara con cinta tela fibra de vidrio quedando OK. No paro en maquina"/>
    <s v="NA"/>
    <s v="Cinta"/>
    <s v="L. CASTILLA"/>
    <x v="0"/>
  </r>
  <r>
    <n v="930"/>
    <s v="K. RAMOS"/>
    <d v="1899-12-30T19:40:00"/>
    <x v="128"/>
    <x v="8"/>
    <s v="Puntual"/>
    <s v="Se presenta falla en el tornillo por recalentamiento"/>
    <d v="1899-12-30T00:00:00"/>
    <d v="1899-12-30T02:00:00"/>
    <d v="2026-02-27T00:00:00"/>
    <s v="Eléctrica"/>
    <s v="Se realiza cambio de termocupla en portamalla interno, cambio de termocupla tornillo interior. En vacio se mantiene temperatura tornillo interior pero trabajando se sube. Se requiere mantenimiento y camisa para verificar algún tipo de fricción"/>
    <s v="1X Termocupla tipo J"/>
    <s v="NA"/>
    <s v="L. CASTILLA"/>
    <x v="0"/>
  </r>
  <r>
    <n v="931"/>
    <m/>
    <m/>
    <x v="3"/>
    <x v="5"/>
    <m/>
    <m/>
    <m/>
    <m/>
    <m/>
    <m/>
    <m/>
    <m/>
    <m/>
    <m/>
    <x v="1"/>
  </r>
  <r>
    <n v="932"/>
    <m/>
    <m/>
    <x v="3"/>
    <x v="5"/>
    <m/>
    <m/>
    <m/>
    <m/>
    <m/>
    <m/>
    <m/>
    <m/>
    <m/>
    <m/>
    <x v="1"/>
  </r>
  <r>
    <n v="933"/>
    <s v="F. SANCHEZ"/>
    <d v="1899-12-30T07:20:00"/>
    <x v="31"/>
    <x v="8"/>
    <s v="Puntual"/>
    <s v="Problemas con las escobillas del molde"/>
    <d v="1899-12-30T07:40:00"/>
    <d v="1899-12-30T08:30:00"/>
    <d v="2026-02-27T00:00:00"/>
    <s v="Eléctrica"/>
    <s v="Se ajusta escobilla ya que se partio, se solicita respuesto queda en funcionamiento"/>
    <s v="NA"/>
    <s v="NA"/>
    <s v="J. SILVA"/>
    <x v="0"/>
  </r>
  <r>
    <n v="934"/>
    <s v="F. SANCHEZ"/>
    <d v="1899-12-30T14:20:00"/>
    <x v="31"/>
    <x v="1"/>
    <s v="Puntual"/>
    <s v="Protector del molde estra trabado"/>
    <d v="1899-12-30T14:20:00"/>
    <d v="1899-12-30T15:00:00"/>
    <d v="2026-02-27T00:00:00"/>
    <s v="Mecánica"/>
    <s v="Se ajusta posición de protector y ejes de control eléctrico, se realizan pruebas y queda operativo"/>
    <s v="NA"/>
    <s v="NA"/>
    <s v="D. BAUTISTA"/>
    <x v="0"/>
  </r>
  <r>
    <n v="935"/>
    <s v="M. SANDOVAL"/>
    <d v="1899-12-30T19:30:00"/>
    <x v="31"/>
    <x v="17"/>
    <s v="Puntual"/>
    <s v="Modificación de castañas"/>
    <d v="1899-12-30T19:30:00"/>
    <d v="1899-12-30T20:20:00"/>
    <d v="2026-02-27T00:00:00"/>
    <s v="Mecánica"/>
    <s v="Se realiza cambio de los dos pisadores para trabajar papel y se da ajuste a las castañuelas (posición) para trabajar papel rojo de 5 pistas"/>
    <s v="NA"/>
    <s v="NA"/>
    <s v="D. BAUTISTA"/>
    <x v="0"/>
  </r>
  <r>
    <n v="936"/>
    <s v="J. MIRANDA"/>
    <d v="1899-12-30T06:15:00"/>
    <x v="115"/>
    <x v="9"/>
    <s v="Puntual"/>
    <s v="Maquina se recibe turno con falla en el motor de velocidad (No arranca)"/>
    <d v="1899-12-30T09:20:00"/>
    <d v="1899-12-30T09:40:00"/>
    <d v="2026-02-28T00:00:00"/>
    <s v="Eléctrica"/>
    <s v="Se revisa variador con falla, se reset y arranca sin novedad, se deja en funcionamiento"/>
    <s v="NA"/>
    <s v="NA"/>
    <s v="J. SILVA"/>
    <x v="0"/>
  </r>
  <r>
    <n v="937"/>
    <s v="S. CARDENAL"/>
    <d v="1899-12-30T06:20:00"/>
    <x v="115"/>
    <x v="4"/>
    <s v="Puntual"/>
    <s v="Cambio de termocupla inferior por daño"/>
    <d v="1899-12-30T06:30:00"/>
    <d v="1899-12-30T08:37:00"/>
    <d v="2026-02-28T00:00:00"/>
    <s v="Eléctrica"/>
    <s v="Desmontaron mordazas para pdoer hacer el cambio de termocupla, se empezó a hacer el cambio a las 7:40 y culmine 8:37"/>
    <s v="1X Termocupla retrabajada"/>
    <s v="NA"/>
    <s v="J. SILVA"/>
    <x v="0"/>
  </r>
  <r>
    <n v="938"/>
    <s v="J. MIRANDA"/>
    <d v="1899-12-30T10:00:00"/>
    <x v="115"/>
    <x v="9"/>
    <s v="Puntual"/>
    <s v="Falla en la tensión (Revisar motor)"/>
    <d v="1899-12-30T10:10:00"/>
    <d v="1899-12-30T11:40:00"/>
    <d v="2026-02-28T00:00:00"/>
    <s v="Eléctrica"/>
    <s v="Se revisa encontrando 2 fusibles dañados el puente se les coloca nuevamente el puente y se retorquea en la fase entrada ya que tenia mal contacto"/>
    <s v="NA"/>
    <s v="NA"/>
    <s v="J. SILVA"/>
    <x v="0"/>
  </r>
  <r>
    <n v="939"/>
    <s v="S. CARDENAL"/>
    <d v="1899-12-30T10:40:00"/>
    <x v="115"/>
    <x v="4"/>
    <s v="Puntual"/>
    <s v="Mordaza inferior del selle longitudinal esta suelta"/>
    <d v="1899-12-30T11:40:00"/>
    <d v="1899-12-30T12:10:00"/>
    <d v="2026-02-28T00:00:00"/>
    <s v="Mecánica"/>
    <s v="Se solda parte mordaza inferior"/>
    <s v="NA"/>
    <s v="NA"/>
    <s v="J. SILVA"/>
    <x v="0"/>
  </r>
  <r>
    <n v="940"/>
    <s v="S. CARDENAL"/>
    <d v="1899-12-30T12:55:00"/>
    <x v="115"/>
    <x v="4"/>
    <s v="Puntual"/>
    <s v="Mordaza superior se suelta selle longitudinal"/>
    <d v="1899-12-30T22:20:00"/>
    <d v="1899-12-30T23:20:00"/>
    <d v="2026-02-28T00:00:00"/>
    <s v="Mecánica"/>
    <s v="Se recibe maquina con falla en mordaza de selle longitudinal._x000a_Se realiza calibración mordaza superior selle longitudinal calibración programación temperatura y parametrizacion temporizador quedando OK"/>
    <s v="NA"/>
    <s v="NA"/>
    <s v="L. CASTILLA"/>
    <x v="0"/>
  </r>
  <r>
    <n v="941"/>
    <s v="E. REYES"/>
    <d v="1899-12-30T00:30:00"/>
    <x v="115"/>
    <x v="13"/>
    <s v="Puntual"/>
    <s v="Cambio de teflon"/>
    <d v="1899-12-30T00:30:00"/>
    <d v="1899-12-30T01:10:00"/>
    <d v="2026-02-28T00:00:00"/>
    <s v="Mecánica"/>
    <s v="Se realiza cambio de teflon mordaza superior por desgaste quedando OK"/>
    <s v="NA"/>
    <s v="NA"/>
    <s v="L. CASTILLA"/>
    <x v="0"/>
  </r>
  <r>
    <n v="942"/>
    <s v="D. CUESTA"/>
    <d v="1899-12-30T17:00:00"/>
    <x v="129"/>
    <x v="6"/>
    <s v="Puntual"/>
    <s v="Hacer seguimiento octagon y damper no cuadra la grafica"/>
    <m/>
    <m/>
    <m/>
    <s v="Mecánica, Eléctrica"/>
    <s v="Se realiza seguimiento, se reset el octagon retira falla, aparece falla por damper, no corrigen posición, se debe hacer seguimiento en el nuevo arranque del equipo"/>
    <m/>
    <m/>
    <m/>
    <x v="2"/>
  </r>
  <r>
    <n v="943"/>
    <s v="L. MIRANDA"/>
    <d v="1899-12-30T18:00:00"/>
    <x v="129"/>
    <x v="6"/>
    <s v="Puntual"/>
    <s v="Octagon y danper no cuadra la grafica"/>
    <d v="1899-12-30T18:10:00"/>
    <d v="1899-12-30T18:50:00"/>
    <d v="2026-03-01T00:00:00"/>
    <s v="Eléctrica"/>
    <s v="En la pantalla se programan damper a 80 y finalmente se bajan a 40, la maquina arranca sin anomalia en la grafica"/>
    <s v="NA"/>
    <s v="NA"/>
    <s v="L. CASTILLA"/>
    <x v="0"/>
  </r>
  <r>
    <n v="944"/>
    <s v="H. TRIANA"/>
    <d v="1899-12-30T08:10:00"/>
    <x v="130"/>
    <x v="21"/>
    <s v="Puntual"/>
    <s v="Corto en el tratador"/>
    <d v="1899-12-30T08:10:00"/>
    <d v="1899-12-30T10:50:00"/>
    <d v="2026-03-02T00:00:00"/>
    <s v="Eléctrica"/>
    <s v="Se revisa puntos de conexión, se hace limpieza, se da nuevamente ajuste, se hace prueba queda operativo"/>
    <s v="NA"/>
    <s v="NA"/>
    <s v="O. DUARTE"/>
    <x v="0"/>
  </r>
  <r>
    <n v="945"/>
    <s v="H. TRIANA"/>
    <d v="1899-12-30T09:00:00"/>
    <x v="130"/>
    <x v="1"/>
    <s v="Puntual"/>
    <s v="Tornillo capa exterior no gira"/>
    <d v="1899-12-30T09:10:00"/>
    <m/>
    <d v="2026-03-02T00:00:00"/>
    <s v="Mecánica"/>
    <s v="Se (cambia) repara tornillo de extrusora #4 Queda trabajando OK"/>
    <s v="1X Tornillo"/>
    <s v="NA"/>
    <m/>
    <x v="0"/>
  </r>
  <r>
    <n v="946"/>
    <m/>
    <m/>
    <x v="3"/>
    <x v="5"/>
    <m/>
    <m/>
    <m/>
    <m/>
    <m/>
    <m/>
    <m/>
    <m/>
    <m/>
    <m/>
    <x v="1"/>
  </r>
  <r>
    <n v="947"/>
    <s v="H. TRIANA"/>
    <d v="1899-12-30T08:30:00"/>
    <x v="130"/>
    <x v="1"/>
    <s v="Puntual"/>
    <s v="Halador tiene un cable desconectado"/>
    <d v="1899-12-30T08:40:00"/>
    <d v="1899-12-30T08:50:00"/>
    <d v="2026-03-02T00:00:00"/>
    <s v="Eléctrica"/>
    <s v="Mando directo con un cable desconectado"/>
    <s v="NA"/>
    <s v="NA"/>
    <s v="J. SILVA"/>
    <x v="0"/>
  </r>
  <r>
    <n v="948"/>
    <s v="E. REYES"/>
    <d v="1899-12-30T10:38:00"/>
    <x v="130"/>
    <x v="13"/>
    <s v="Puntual"/>
    <s v="Fallas en la temperatura"/>
    <d v="1899-12-30T18:10:00"/>
    <d v="1899-12-30T19:20:00"/>
    <d v="2026-03-02T00:00:00"/>
    <s v="Mecánica"/>
    <s v="Calibración mordaza, calibración caida cuchilla y ajuste de teflon. Se recibe maquina en falla no operacional"/>
    <s v="NA"/>
    <s v="NA"/>
    <s v="L. CASTILLA"/>
    <x v="0"/>
  </r>
  <r>
    <n v="949"/>
    <s v="K. RAMOS"/>
    <m/>
    <x v="130"/>
    <x v="6"/>
    <s v="Puntual"/>
    <s v="Barra se desinfla no agarra aire"/>
    <m/>
    <m/>
    <m/>
    <m/>
    <m/>
    <m/>
    <m/>
    <m/>
    <x v="2"/>
  </r>
  <r>
    <n v="950"/>
    <m/>
    <m/>
    <x v="3"/>
    <x v="5"/>
    <m/>
    <m/>
    <m/>
    <m/>
    <m/>
    <m/>
    <m/>
    <m/>
    <m/>
    <m/>
    <x v="1"/>
  </r>
  <r>
    <n v="951"/>
    <s v="M. MARTINEZ"/>
    <d v="1899-12-30T18:00:00"/>
    <x v="130"/>
    <x v="4"/>
    <s v="Puntual"/>
    <s v="Afilar cuchilla"/>
    <d v="1899-12-30T18:00:00"/>
    <d v="1899-12-30T18:10:00"/>
    <d v="2026-03-02T00:00:00"/>
    <s v="Mecánica"/>
    <s v="Se presta apoyo para afilado de cuchilla "/>
    <s v="NA"/>
    <s v="NA"/>
    <s v="L. CASTILLA"/>
    <x v="0"/>
  </r>
  <r>
    <n v="952"/>
    <s v="M. SANDOVAL"/>
    <d v="1899-12-30T21:40:00"/>
    <x v="130"/>
    <x v="25"/>
    <s v="Puntual"/>
    <s v="Cambio de disco de precorte"/>
    <d v="1899-12-30T09:40:00"/>
    <d v="1899-12-30T23:00:00"/>
    <d v="2026-03-02T00:00:00"/>
    <s v="Mecánica"/>
    <s v="Cambio de cuchilla, se revisa sistema de anclaje del espigo ya que al girar inverso se sale el eje, persiste falla y se le fabrica un incerto temporal mientras termina con la referencia"/>
    <s v="NA"/>
    <s v="NA"/>
    <s v="L. CASTILLA"/>
    <x v="0"/>
  </r>
  <r>
    <n v="953"/>
    <s v="S. PATIÑO"/>
    <d v="1899-12-30T06:50:00"/>
    <x v="131"/>
    <x v="14"/>
    <s v="Puntual"/>
    <s v="Fuga de material por los tornillos de ajuste de la pinola"/>
    <d v="1899-12-30T07:00:00"/>
    <d v="1899-12-30T07:40:00"/>
    <d v="2026-03-03T00:00:00"/>
    <s v="Mecánica"/>
    <s v="Se recortan 5mm de tornillo para que sienten ya que estaban muy largos"/>
    <s v="NA"/>
    <s v="NA"/>
    <s v="J. SILVA"/>
    <x v="0"/>
  </r>
  <r>
    <n v="954"/>
    <s v="S. PATIÑO"/>
    <d v="1899-12-30T09:00:00"/>
    <x v="131"/>
    <x v="14"/>
    <s v="Puntual"/>
    <s v="Rotación no trabaja al encenderla"/>
    <d v="1899-12-30T09:05:00"/>
    <d v="1899-12-30T09:26:00"/>
    <d v="2026-03-03T00:00:00"/>
    <s v="Eléctrica"/>
    <s v="Motor con mala conexión en bornera haciendo mal contacto con falta de torque en los tornillos"/>
    <s v="NA"/>
    <s v="NA"/>
    <s v="J. SILVA"/>
    <x v="0"/>
  </r>
  <r>
    <n v="955"/>
    <s v="M. MARTINEZ"/>
    <d v="1899-12-30T09:10:00"/>
    <x v="131"/>
    <x v="4"/>
    <s v="Puntual"/>
    <s v="Se sale rodamiento de rodillo"/>
    <d v="1899-12-30T09:15:00"/>
    <d v="1899-12-30T09:50:00"/>
    <d v="2026-03-03T00:00:00"/>
    <s v="Mecánica"/>
    <s v="Ajuste con arandela para el rodillo"/>
    <s v="1X Arandela"/>
    <s v="NA"/>
    <s v="J. SILVA"/>
    <x v="0"/>
  </r>
  <r>
    <n v="956"/>
    <s v="M. MARTINEZ"/>
    <d v="1899-12-30T06:00:00"/>
    <x v="131"/>
    <x v="0"/>
    <s v="Puntual"/>
    <s v="Correas del transportador"/>
    <d v="1899-12-30T06:20:00"/>
    <d v="1899-12-30T12:50:00"/>
    <d v="2026-03-03T00:00:00"/>
    <s v="Mecánica"/>
    <s v="Destemplar ,  , torquear y arrancar el transportador "/>
    <s v="NA"/>
    <s v="NA"/>
    <s v="J. SILVA"/>
    <x v="0"/>
  </r>
  <r>
    <n v="957"/>
    <s v="L. MIRANDA"/>
    <d v="1899-12-30T08:50:00"/>
    <x v="131"/>
    <x v="6"/>
    <s v="Puntual"/>
    <s v="Arreglar tornilo del soporte de los perforadores, cuadrar flautas por que estan mal  la pelicula para el lado izquierdo y no centralisa"/>
    <d v="1899-12-30T08:50:00"/>
    <d v="1899-12-30T10:25:00"/>
    <d v="2026-03-03T00:00:00"/>
    <s v="Mecánica "/>
    <s v="Se alinea posición de flautas de torre rotativa, se da ajuste de tornillo del soporte de los perforadores"/>
    <s v="NA"/>
    <s v="NA"/>
    <s v="L. FLOREZ Y D. BAUTISTA"/>
    <x v="0"/>
  </r>
  <r>
    <n v="958"/>
    <s v="M. MARTINEZ"/>
    <d v="1899-12-30T09:00:00"/>
    <x v="131"/>
    <x v="13"/>
    <s v="Puntual"/>
    <s v="Falla en el selle"/>
    <d v="1899-12-30T09:00:00"/>
    <d v="1899-12-30T12:00:00"/>
    <d v="2026-03-03T00:00:00"/>
    <s v="Mecánica "/>
    <s v="Desgaste en componentes de mordaza, mordaza pandeada, se cambia de pista"/>
    <s v="NA"/>
    <s v="NA"/>
    <s v="J. SILVA"/>
    <x v="0"/>
  </r>
  <r>
    <n v="959"/>
    <s v="M. MARTINEZ"/>
    <d v="1899-12-30T13:33:00"/>
    <x v="131"/>
    <x v="0"/>
    <s v="Puntual"/>
    <s v="Se parten tornillos del rodillo tensor de la parte superior del transportador"/>
    <d v="1899-12-30T13:40:00"/>
    <d v="1899-12-30T14:00:00"/>
    <d v="2026-03-03T00:00:00"/>
    <s v="Mecánica"/>
    <s v="Se extraen tornillos, se realiza el cambio y se instala nuevamente el tensor"/>
    <s v="NA"/>
    <s v="NA"/>
    <s v="D. BAUTISTA"/>
    <x v="0"/>
  </r>
  <r>
    <n v="960"/>
    <s v="L. MIRANDA"/>
    <d v="1899-12-30T15:02:00"/>
    <x v="131"/>
    <x v="6"/>
    <s v="Puntual"/>
    <s v="El transporte se esta quedando de un lado y causa que la barra se caiga"/>
    <d v="1899-12-30T15:20:00"/>
    <d v="1899-12-30T16:00:00"/>
    <d v="2026-03-03T00:00:00"/>
    <s v="Mecánica"/>
    <s v="Se calibran posición y presión de reguladores de actuadores, mogocin, alimentador, transporte. Se acompaño en arranque"/>
    <s v="NA"/>
    <s v="NA"/>
    <s v="L. FLOREZ Y  D. BAUTISTA"/>
    <x v="0"/>
  </r>
  <r>
    <n v="961"/>
    <s v="H. TRIANA"/>
    <d v="1899-12-30T21:00:00"/>
    <x v="131"/>
    <x v="1"/>
    <s v="Puntual"/>
    <s v="Moneda porta malla golpeando"/>
    <d v="1899-12-30T21:00:00"/>
    <d v="1899-12-30T21:50:00"/>
    <d v="2026-03-03T00:00:00"/>
    <s v="Mecánica"/>
    <s v="Se evidencia porta mallas golpeado se repasa agujeros broca 1/8 se limpia queda operativo"/>
    <s v="NA"/>
    <s v="NA"/>
    <s v="O. DUARTE"/>
    <x v="0"/>
  </r>
  <r>
    <n v="962"/>
    <s v="K. RAMOS"/>
    <m/>
    <x v="132"/>
    <x v="6"/>
    <s v="Puntual"/>
    <s v="Barra del bobinador A se daña no agarrando el aire"/>
    <m/>
    <m/>
    <m/>
    <m/>
    <m/>
    <m/>
    <m/>
    <m/>
    <x v="2"/>
  </r>
  <r>
    <n v="963"/>
    <s v="F. SANCHEZ"/>
    <d v="1899-12-30T06:45:00"/>
    <x v="132"/>
    <x v="21"/>
    <s v="Puntual"/>
    <s v="Zona de la maquina esta molestando baja y sube la temperatura. _x000a_Zona de malla exterior"/>
    <d v="1899-12-30T07:00:00"/>
    <d v="1899-12-30T07:40:00"/>
    <d v="2026-03-04T00:00:00"/>
    <s v="Eléctrica"/>
    <s v="Se cambia termocupla por lectura erronea"/>
    <s v="1X Termocupla"/>
    <s v="NA"/>
    <s v="J. SILVA"/>
    <x v="0"/>
  </r>
  <r>
    <n v="964"/>
    <s v="M. MARTINEZ"/>
    <d v="1899-12-30T07:45:00"/>
    <x v="132"/>
    <x v="13"/>
    <s v="Puntual"/>
    <s v="Maquina con falra de presión en prensa"/>
    <d v="1899-12-30T07:46:00"/>
    <d v="1899-12-30T08:20:00"/>
    <d v="2026-03-04T00:00:00"/>
    <s v="Mecánica"/>
    <s v="Calibración de presion tenia mas presion en el centro por eso el material se arrugaba"/>
    <s v="NA"/>
    <s v="NS"/>
    <s v="J. SILVA"/>
    <x v="0"/>
  </r>
  <r>
    <n v="965"/>
    <s v="M. MARTINEZ"/>
    <d v="1899-12-30T12:50:00"/>
    <x v="132"/>
    <x v="27"/>
    <s v="Puntual"/>
    <s v="Revisar y sacar filo cuchilla"/>
    <d v="1899-12-30T13:00:00"/>
    <d v="1899-12-30T13:35:00"/>
    <d v="2026-03-04T00:00:00"/>
    <s v="Mecánica"/>
    <s v="Se hace ajsute y nivelación queda OK"/>
    <s v="NA"/>
    <s v="NA"/>
    <s v="J. SILVA"/>
    <x v="0"/>
  </r>
  <r>
    <n v="966"/>
    <s v="F. SANCHEZ"/>
    <d v="1899-12-30T14:30:00"/>
    <x v="132"/>
    <x v="8"/>
    <s v="Puntual"/>
    <s v="Cadena del embobinador reventada en un lado"/>
    <d v="1899-12-30T15:50:00"/>
    <d v="1899-12-30T16:20:00"/>
    <d v="2026-03-04T00:00:00"/>
    <s v="Mecánica"/>
    <s v="Se fabrican espigos con rosca para sujetación de cadena embobinador quedando OK._x000a_No genera paro en maquina"/>
    <s v="NA"/>
    <s v="NA"/>
    <s v="L. CASTILLA"/>
    <x v="0"/>
  </r>
  <r>
    <n v="967"/>
    <s v="L. GARZON"/>
    <d v="1899-12-30T06:10:00"/>
    <x v="133"/>
    <x v="4"/>
    <s v="Puntual"/>
    <s v="Maquina no prende"/>
    <d v="1899-12-30T06:10:00"/>
    <d v="1899-12-30T07:10:00"/>
    <d v="2026-03-05T00:00:00"/>
    <s v="Eléctrica"/>
    <s v="Se verifica tomando voltajes, se encuentra sin una fase, se reset, se restablece, auxiliar abierto quedando operativo"/>
    <s v="NA"/>
    <s v="NA"/>
    <s v="O. DUARTE"/>
    <x v="0"/>
  </r>
  <r>
    <n v="968"/>
    <s v="L. GARZON"/>
    <d v="1899-12-30T07:50:00"/>
    <x v="133"/>
    <x v="4"/>
    <s v="Puntual"/>
    <s v="Maquina se para intermitentemente"/>
    <d v="1899-12-30T07:50:00"/>
    <d v="1899-12-30T08:50:00"/>
    <d v="2026-03-05T00:00:00"/>
    <s v="Eléctrica"/>
    <s v="Se verifica conexión, se observo mal contacto por cable de señal en PLC, se recomienda hacer cambio queda en seguimiento durante el turno"/>
    <s v="NA"/>
    <s v="NA"/>
    <s v="O. DUARTE"/>
    <x v="0"/>
  </r>
  <r>
    <n v="969"/>
    <s v="L. GARZON"/>
    <d v="1899-12-30T12:00:00"/>
    <x v="133"/>
    <x v="0"/>
    <s v="Puntual"/>
    <s v="Se suelta botón de apagar y prender transportador"/>
    <d v="1899-12-30T12:00:00"/>
    <d v="1899-12-30T12:30:00"/>
    <d v="2026-03-05T00:00:00"/>
    <s v="Eléctrica"/>
    <s v="Se revisa y se observa botón suelto por desajuste en tornillos, se pocosiona, se da ajuste y queda operativo"/>
    <s v="NA"/>
    <s v="NA"/>
    <s v="O. DUARTE"/>
    <x v="0"/>
  </r>
  <r>
    <n v="970"/>
    <s v="H. TRIANA"/>
    <d v="1899-12-30T09:00:00"/>
    <x v="133"/>
    <x v="14"/>
    <s v="Puntual"/>
    <s v="Manga quemada"/>
    <d v="1899-12-30T09:00:00"/>
    <d v="1899-12-30T10:30:00"/>
    <d v="2026-03-05T00:00:00"/>
    <s v="Mecánica"/>
    <s v="Se hace arreglo de manga en el equipo"/>
    <s v="NA"/>
    <s v="NA"/>
    <s v="O. DUARTE"/>
    <x v="0"/>
  </r>
  <r>
    <n v="971"/>
    <s v="M. TORRES"/>
    <d v="1899-12-30T23:00:00"/>
    <x v="133"/>
    <x v="4"/>
    <s v="Puntual"/>
    <s v="Maquina se apaga intermitentemente"/>
    <d v="1899-12-30T23:00:00"/>
    <d v="1899-12-30T23:20:00"/>
    <d v="2026-03-05T00:00:00"/>
    <s v="Eléctrica"/>
    <s v="Se realiza ajuste de conectores a a pantalla y drive, se realiza limpieza queda operativa, se realiza seguimiento"/>
    <s v="NA"/>
    <s v="NA"/>
    <s v="D. BAUTISTA"/>
    <x v="0"/>
  </r>
  <r>
    <n v="972"/>
    <s v="H. TRIANA"/>
    <d v="1899-12-30T16:50:00"/>
    <x v="133"/>
    <x v="8"/>
    <s v="Puntual"/>
    <s v="Se frena embobinador y se quema la manga"/>
    <d v="1899-12-30T17:00:00"/>
    <d v="1899-12-30T18:15:00"/>
    <d v="2026-03-05T00:00:00"/>
    <s v="Mecánica, Eléctrica"/>
    <s v="Manga inferior quemada, se desmonta se pasa manga superior a inferior quedando OK._x000a_En la superior se coloca una de segunda pendiente prueba"/>
    <s v="NA"/>
    <s v="NA"/>
    <s v="L. CASTILLA"/>
    <x v="0"/>
  </r>
  <r>
    <n v="973"/>
    <s v="E. REYES"/>
    <d v="1899-12-30T19:30:00"/>
    <x v="133"/>
    <x v="4"/>
    <s v="Puntual"/>
    <s v="Temperatura se baja"/>
    <d v="1899-12-30T19:50:00"/>
    <d v="1899-12-30T20:20:00"/>
    <d v="2026-03-05T00:00:00"/>
    <s v="Eléctrica"/>
    <s v="Conductor de resistencia mordaza superior con terminal malobrado, se realiza cambio de terminal y conductor quedando OK"/>
    <s v="NA"/>
    <s v="NA"/>
    <s v="L. CASTILLA"/>
    <x v="0"/>
  </r>
  <r>
    <n v="974"/>
    <s v="E. REYES"/>
    <d v="1899-12-30T16:50:00"/>
    <x v="133"/>
    <x v="0"/>
    <s v="Puntual"/>
    <s v="Correa de tensor se suelta_x000a_Correas de tranportado se paran"/>
    <d v="1899-12-30T16:50:00"/>
    <d v="1899-12-30T17:15:00"/>
    <d v="2026-03-05T00:00:00"/>
    <s v="Mecánica"/>
    <s v="Freno descalibrado por resorte desgastados y se calibra prensa_x000a_Se requiere compra de resorte"/>
    <s v="NA"/>
    <s v="NA"/>
    <s v="L. CASTILLA"/>
    <x v="0"/>
  </r>
  <r>
    <n v="975"/>
    <s v="E. REYES"/>
    <d v="1899-12-30T15:35:00"/>
    <x v="133"/>
    <x v="4"/>
    <s v="Puntual"/>
    <s v="Elaboración de pieza para pisar tabla de precorte"/>
    <d v="1899-12-30T15:35:00"/>
    <d v="1899-12-30T16:00:00"/>
    <d v="2026-03-05T00:00:00"/>
    <s v="Mecánica"/>
    <s v="Se elabora pieza para pisar tabla donde cae cuchilla"/>
    <s v="NA"/>
    <s v="NA"/>
    <s v="L. CASTILLA"/>
    <x v="0"/>
  </r>
  <r>
    <n v="976"/>
    <s v="R. OLIVARES"/>
    <d v="1899-12-30T23:10:00"/>
    <x v="133"/>
    <x v="6"/>
    <s v="Puntual"/>
    <s v="Se encuentran 2 rodillos locos que no sirven"/>
    <d v="1899-12-30T23:40:00"/>
    <d v="1899-12-30T00:00:00"/>
    <d v="2026-03-06T00:00:00"/>
    <s v="Mecánica"/>
    <s v="Se lubrican chumaceras de rodillos locos, #12 y #17 los cuales no giran y generan arruga, no se genera parada"/>
    <s v="NA"/>
    <s v="NA"/>
    <s v="D. BAUTISTA"/>
    <x v="0"/>
  </r>
  <r>
    <n v="977"/>
    <s v="J. PARDO"/>
    <d v="1899-12-30T22:35:00"/>
    <x v="133"/>
    <x v="7"/>
    <s v="Puntual"/>
    <s v="Fallo en la bomba"/>
    <d v="1899-12-30T22:35:00"/>
    <d v="1899-12-30T22:50:00"/>
    <d v="2026-03-05T00:00:00"/>
    <s v="Neúmatica"/>
    <s v="Se encuentra bomba neúmatica en falla, se extrar succión, se realiza limpieza, ajuste de conectores, prueba de funcionamiento y queda en operación"/>
    <s v="NA"/>
    <s v="NA"/>
    <s v="D. BAUTISTA"/>
    <x v="0"/>
  </r>
  <r>
    <n v="978"/>
    <s v="J. PARDO"/>
    <d v="1899-12-30T22:00:00"/>
    <x v="133"/>
    <x v="7"/>
    <s v="Puntual"/>
    <s v="Daño en rodamiento y rosca de mordaza de registro dañados"/>
    <d v="1899-12-30T22:00:00"/>
    <d v="1899-12-30T22:20:00"/>
    <d v="2026-03-05T00:00:00"/>
    <s v="Mecánica"/>
    <s v="Se cambio rodamiento 6207-2Z ya no quedan en stock, se instalan 2 helicoidales para tornillo M10 en torre de unidad #2"/>
    <s v="2X Rodamiento helicoidal"/>
    <s v="NA"/>
    <s v="D. BAUTISTA"/>
    <x v="0"/>
  </r>
  <r>
    <n v="979"/>
    <s v="R. OLIVARES"/>
    <d v="1899-12-30T00:30:00"/>
    <x v="46"/>
    <x v="6"/>
    <s v="Puntual"/>
    <s v="Falla en caja reductora Tornillo B"/>
    <d v="1899-12-30T00:30:00"/>
    <d v="1899-12-30T00:30:00"/>
    <d v="2026-03-11T00:00:00"/>
    <s v="Mecánica"/>
    <s v="Se observa daño en piñon de salida de caja reductora, se procede al desarme para enviar a taller externo"/>
    <s v="NA"/>
    <s v="NA"/>
    <s v="D. BAUTISTA"/>
    <x v="0"/>
  </r>
  <r>
    <n v="980"/>
    <s v="M. MARTINEZ"/>
    <d v="1899-12-30T08:50:00"/>
    <x v="46"/>
    <x v="0"/>
    <s v="Puntual"/>
    <s v="Se suelta tensor de la correa"/>
    <d v="1899-12-30T11:30:00"/>
    <d v="1899-12-30T11:50:00"/>
    <d v="2026-03-06T00:00:00"/>
    <s v="Mecánica"/>
    <s v="Tensor con arandela dañada, se realiza reposición de arandela y wasa quedando OK._x000a_"/>
    <s v="1X Arandela_x000a_1X Wasa"/>
    <s v="NA"/>
    <s v="L. CASTILLA"/>
    <x v="0"/>
  </r>
  <r>
    <n v="981"/>
    <s v="M. MARTINEZ"/>
    <d v="1899-12-30T15:20:00"/>
    <x v="46"/>
    <x v="13"/>
    <s v="Puntual"/>
    <s v="Maquina bloqueada"/>
    <d v="1899-12-30T15:20:00"/>
    <d v="1899-12-30T15:30:00"/>
    <d v="2026-03-06T00:00:00"/>
    <s v="Eléctrica"/>
    <s v="Sensor mordaza activado, se desactiva permitiendo el avance de la maquina"/>
    <s v="NA"/>
    <s v="NA"/>
    <s v="L. CASTILLA"/>
    <x v="0"/>
  </r>
  <r>
    <n v="982"/>
    <s v="L. GARZON"/>
    <d v="1899-12-30T17:00:00"/>
    <x v="46"/>
    <x v="4"/>
    <s v="Puntual"/>
    <s v="Maquina se para por que la bolsa sale pagada"/>
    <d v="1899-12-30T17:10:00"/>
    <d v="1899-12-30T18:00:00"/>
    <d v="2026-03-06T00:00:00"/>
    <s v="Eléctrica"/>
    <s v="Termocupla dañada, no hay en stock, se realiza reparación una dañada para poder arrancar maquina, quedando OK."/>
    <s v="NA"/>
    <s v="NA"/>
    <s v="L. CASTILLA"/>
    <x v="0"/>
  </r>
  <r>
    <n v="983"/>
    <s v="L. GARZON"/>
    <d v="1899-12-30T11:20:00"/>
    <x v="134"/>
    <x v="4"/>
    <s v="Puntual"/>
    <s v="Maquina se apaga intermitentemente y se dispara temperatura de la cuchilla"/>
    <d v="1899-12-30T11:20:00"/>
    <d v="1899-12-30T22:40:00"/>
    <d v="2026-03-07T00:00:00"/>
    <s v="Eléctrica"/>
    <s v="Se observa termocupla defectuosa, se bajan parametros, se hace seguimiento durante el turno, se coloco termocupla inferior para remplazo, quedo faltante 1"/>
    <s v="1X Termocupla"/>
    <s v="NA"/>
    <s v="J. SILVA"/>
    <x v="0"/>
  </r>
  <r>
    <n v="984"/>
    <s v="M. MARTINEZ"/>
    <d v="1899-12-30T21:30:00"/>
    <x v="135"/>
    <x v="4"/>
    <s v="REPETITIVO"/>
    <s v="Sacar filo cuhcilla"/>
    <d v="1899-12-30T21:30:00"/>
    <d v="1899-12-30T21:45:00"/>
    <d v="2026-03-10T00:00:00"/>
    <s v="Mecánica"/>
    <s v="Se presta apoyo para afilado de cuchilla quedando OK"/>
    <s v="NA"/>
    <s v="NA"/>
    <s v="L. CASTILLA"/>
    <x v="0"/>
  </r>
  <r>
    <n v="985"/>
    <s v="M. MARTINEZ"/>
    <d v="1899-12-30T15:40:00"/>
    <x v="134"/>
    <x v="13"/>
    <s v="Puntual"/>
    <s v="Falla en mordaza pisa la bolsa"/>
    <d v="1899-12-30T15:40:00"/>
    <d v="1899-12-30T17:00:00"/>
    <d v="2026-03-07T00:00:00"/>
    <s v="Mecánica"/>
    <s v="Ajuste de la mordaza inferior, revisión de aprametros por parte del operario en turno , queda por hacer seguimiento"/>
    <s v="NA"/>
    <s v="NA"/>
    <s v="O. DUARTE"/>
    <x v="0"/>
  </r>
  <r>
    <n v="986"/>
    <s v="S. CARDENAL"/>
    <d v="1899-12-30T18:35:00"/>
    <x v="134"/>
    <x v="0"/>
    <s v="Puntual"/>
    <s v="Prensa de atrás no aprieta"/>
    <d v="1899-12-30T18:40:00"/>
    <d v="1899-12-30T20:00:00"/>
    <d v="2026-03-07T00:00:00"/>
    <s v="Mecánica"/>
    <s v="Se colocan prisioneros y resorte de prensa "/>
    <s v="Resortes_x000a_Tornillos_x000a_Prisioneros"/>
    <s v="NA"/>
    <s v="J. SILVA"/>
    <x v="0"/>
  </r>
  <r>
    <n v="987"/>
    <s v="J. RINCON"/>
    <d v="1899-12-30T14:44:00"/>
    <x v="111"/>
    <x v="7"/>
    <s v="Puntual"/>
    <s v="Punto de soldadura del eje de embobinado"/>
    <d v="1899-12-30T14:45:00"/>
    <d v="1899-12-30T15:10:00"/>
    <d v="2026-03-13T00:00:00"/>
    <s v="Mecánica"/>
    <s v="Se retira soldadura averiado para soldar nuevamente con electrodo 7018 quedando OK"/>
    <s v="1X Electrodo 7018"/>
    <s v="NA"/>
    <s v="L. CASTILLA"/>
    <x v="0"/>
  </r>
  <r>
    <n v="988"/>
    <s v="S. CARDENAL"/>
    <d v="1899-12-30T06:30:00"/>
    <x v="136"/>
    <x v="4"/>
    <s v="Puntual"/>
    <s v="Selladora no prende"/>
    <d v="1899-12-30T06:30:00"/>
    <d v="1899-12-30T08:00:00"/>
    <d v="2026-03-09T00:00:00"/>
    <s v="Eléctrica"/>
    <s v="Falla en breaker termomagnetico con contacto abierto, se realiza cambio por nuevo de 80A y ajuste en cuchilla quedando OK"/>
    <s v="1X Breaker siemens 80 A"/>
    <s v="NA"/>
    <s v="L. CASTILLA"/>
    <x v="0"/>
  </r>
  <r>
    <n v="989"/>
    <s v="A. ROVIRA"/>
    <d v="1899-12-30T06:50:00"/>
    <x v="136"/>
    <x v="9"/>
    <s v="Puntual"/>
    <s v="Se para el fay"/>
    <d v="1899-12-30T06:50:00"/>
    <d v="1899-12-30T08:15:00"/>
    <d v="2026-03-09T00:00:00"/>
    <s v="Mecánica"/>
    <s v="Se evidencia motor bloqueado, se hace comprobación conexiones, se encuentra bloqueadas escobillas por refile se limpia y queda operativo, se calibra fay"/>
    <s v="NA"/>
    <s v="NA"/>
    <s v="O. DUARTE"/>
    <x v="0"/>
  </r>
  <r>
    <n v="990"/>
    <s v="S. CARDENAL"/>
    <d v="1899-12-30T13:00:00"/>
    <x v="136"/>
    <x v="0"/>
    <s v="Puntual"/>
    <s v="Se parte tornillo del rodillo del transportador"/>
    <d v="1899-12-30T13:00:00"/>
    <d v="1899-12-30T13:35:00"/>
    <d v="2026-03-09T00:00:00"/>
    <s v="Mecánica"/>
    <s v="Se extrae pedazo de tornillo M6 de rodillo transportador, se remplaza por uno nuevo, se da ajuste queda operativo"/>
    <s v="1X Tornillo M6"/>
    <s v="NA"/>
    <s v="O. DUARTE"/>
    <x v="0"/>
  </r>
  <r>
    <n v="991"/>
    <s v="L. MIRANDA"/>
    <d v="1899-12-30T15:12:00"/>
    <x v="136"/>
    <x v="1"/>
    <s v="Puntual"/>
    <s v="Verificar el motor de la caoa externa presenta escape de aceite"/>
    <d v="1899-12-30T15:15:00"/>
    <d v="1899-12-30T16:00:00"/>
    <d v="2026-03-09T00:00:00"/>
    <s v="Mecánica"/>
    <s v="Tapa caja reductora abierta, tornillos sueltos, se realiza ajuste, limpieza de aceite, se verifica nivel quedando OK"/>
    <s v="NA"/>
    <s v="NA"/>
    <s v="L. CASTILLA"/>
    <x v="0"/>
  </r>
  <r>
    <n v="992"/>
    <s v="F. SANCHEZ"/>
    <d v="1899-12-30T06:40:00"/>
    <x v="135"/>
    <x v="21"/>
    <s v="Puntual"/>
    <s v="Pirometro de la zona 1 exterior mal la lectura"/>
    <d v="1899-12-30T06:50:00"/>
    <d v="1899-12-30T07:10:00"/>
    <d v="2026-03-10T00:00:00"/>
    <s v="Eléctrica"/>
    <s v="Se necesita cambio de termocupla"/>
    <s v="NA"/>
    <s v="NA"/>
    <s v="J. SILVA"/>
    <x v="0"/>
  </r>
  <r>
    <n v="993"/>
    <m/>
    <m/>
    <x v="3"/>
    <x v="5"/>
    <m/>
    <m/>
    <m/>
    <m/>
    <m/>
    <m/>
    <m/>
    <m/>
    <m/>
    <m/>
    <x v="1"/>
  </r>
  <r>
    <n v="994"/>
    <m/>
    <m/>
    <x v="3"/>
    <x v="5"/>
    <m/>
    <m/>
    <m/>
    <m/>
    <m/>
    <m/>
    <m/>
    <m/>
    <m/>
    <m/>
    <x v="1"/>
  </r>
  <r>
    <n v="995"/>
    <s v="S. PATIÑO"/>
    <d v="1899-12-30T20:10:00"/>
    <x v="135"/>
    <x v="14"/>
    <s v="Puntual"/>
    <s v="Motor de la capa externa mal instalado, sentido de giro invertido"/>
    <d v="1899-12-30T20:15:00"/>
    <d v="1899-12-30T20:30:00"/>
    <d v="2026-03-10T00:00:00"/>
    <s v="Mecánica"/>
    <s v="Motor con giro al reves, se realiza cambio de 2 fase para el cambio de giro quedando OK"/>
    <s v="NA"/>
    <s v="NA"/>
    <s v="L. CASTILLA"/>
    <x v="0"/>
  </r>
  <r>
    <n v="996"/>
    <s v="M. MARTINEZ"/>
    <d v="1899-12-30T20:10:00"/>
    <x v="135"/>
    <x v="0"/>
    <s v="Puntual"/>
    <s v="Transportador se apaga y no prende"/>
    <d v="1899-12-30T20:30:00"/>
    <d v="1899-12-30T21:30:00"/>
    <d v="2026-03-10T00:00:00"/>
    <s v="Mecánica"/>
    <s v="Se inspecciona encontrando prisioneros sueltos y uña por fuera, se remplazan prisioneros, se retira piñon para dar vuelta ya que no deja calibrar cadena, se realiza montaje quedando OK"/>
    <s v="2X Prisioneros 1/4&quot;"/>
    <s v="NA"/>
    <s v="L. CASTILLA"/>
    <x v="0"/>
  </r>
  <r>
    <n v="997"/>
    <s v="E. REYES"/>
    <d v="1899-12-30T00:00:00"/>
    <x v="137"/>
    <x v="4"/>
    <s v="Puntual"/>
    <s v="Termocupla inferior"/>
    <m/>
    <m/>
    <m/>
    <m/>
    <m/>
    <m/>
    <m/>
    <m/>
    <x v="1"/>
  </r>
  <r>
    <n v="998"/>
    <s v="J. RINCON"/>
    <d v="1899-12-30T05:00:00"/>
    <x v="137"/>
    <x v="7"/>
    <s v="Puntual"/>
    <s v="Union de rodamiento de ejes"/>
    <d v="1899-12-30T05:00:00"/>
    <d v="1899-12-30T05:10:00"/>
    <d v="2026-03-11T00:00:00"/>
    <s v="Mecánica"/>
    <s v="Pista rodamiento abierta se grafila y se aplica trabarrosca quedando OK"/>
    <s v="NA"/>
    <s v="Trabarrosca"/>
    <s v="L. CASTILLA"/>
    <x v="0"/>
  </r>
  <r>
    <n v="999"/>
    <s v="J. PARDO"/>
    <d v="1899-12-30T07:40:00"/>
    <x v="137"/>
    <x v="7"/>
    <s v="Puntual"/>
    <s v="Manguera de unidad #4 no se desplaza"/>
    <d v="1899-12-30T07:40:00"/>
    <d v="1899-12-30T08:00:00"/>
    <d v="2026-03-11T00:00:00"/>
    <s v="Mecánica"/>
    <s v="Se desmonta mangera, se realiza limpieza de material, se lubrica y se instala nuevamente"/>
    <s v="NA"/>
    <s v="NA"/>
    <s v="D. BAUTISTA"/>
    <x v="0"/>
  </r>
  <r>
    <n v="1000"/>
    <s v="W. SANDOVAL"/>
    <d v="1899-12-30T09:00:00"/>
    <x v="137"/>
    <x v="10"/>
    <s v="Puntual"/>
    <s v="Cambio de pisador"/>
    <d v="1899-12-30T09:00:00"/>
    <d v="1899-12-30T09:20:00"/>
    <d v="2026-03-11T00:00:00"/>
    <s v="Mecánica"/>
    <s v="Se realizo cambio de pisador superior para trabajar lamina plastica"/>
    <s v="NA"/>
    <s v="NA"/>
    <s v="D. BAUTISTA"/>
    <x v="0"/>
  </r>
  <r>
    <n v="1001"/>
    <s v="L. CASTILLA"/>
    <d v="1899-12-30T11:40:00"/>
    <x v="136"/>
    <x v="10"/>
    <s v="Puntual"/>
    <s v="Base cilindro faq vibra_x000a_Blower embrague requiere cambio"/>
    <m/>
    <m/>
    <m/>
    <m/>
    <m/>
    <m/>
    <m/>
    <m/>
    <x v="2"/>
  </r>
  <r>
    <n v="1002"/>
    <s v="L. CASTILLA"/>
    <d v="1899-12-30T12:00:00"/>
    <x v="136"/>
    <x v="25"/>
    <s v="Puntual"/>
    <s v="Piñon en teflon requeire fabricación y balanceo_x000a_Pisador para reencauchar"/>
    <m/>
    <m/>
    <m/>
    <m/>
    <m/>
    <m/>
    <m/>
    <m/>
    <x v="2"/>
  </r>
  <r>
    <n v="1003"/>
    <s v="L. CASTILLA"/>
    <d v="1899-12-30T12:05:00"/>
    <x v="136"/>
    <x v="9"/>
    <s v="Puntual"/>
    <s v="Se requiere eje embobinador neúmatico (se requiere eje para embobinador)_x000a_Blower refrigeración forzada motor embobinador"/>
    <m/>
    <m/>
    <m/>
    <m/>
    <m/>
    <m/>
    <m/>
    <m/>
    <x v="2"/>
  </r>
  <r>
    <n v="1004"/>
    <m/>
    <m/>
    <x v="3"/>
    <x v="5"/>
    <m/>
    <m/>
    <m/>
    <m/>
    <m/>
    <m/>
    <m/>
    <m/>
    <m/>
    <m/>
    <x v="1"/>
  </r>
  <r>
    <n v="1005"/>
    <s v="H. TRIANA"/>
    <d v="1899-12-30T07:25:00"/>
    <x v="137"/>
    <x v="21"/>
    <s v="Puntual"/>
    <s v="Tornillo de la cremallera"/>
    <d v="1899-12-30T07:25:00"/>
    <d v="1899-12-30T07:40:00"/>
    <d v="2026-03-11T00:00:00"/>
    <s v="Mecánica"/>
    <s v="Se extrae tornillo M6, se instala tornillo M6 X 60 mm con tuerca, se entrega operativo"/>
    <s v="NA"/>
    <s v="NA"/>
    <s v="D. BAUTISTA"/>
    <x v="0"/>
  </r>
  <r>
    <n v="1006"/>
    <s v="D. BUESACO"/>
    <d v="1899-12-30T10:40:00"/>
    <x v="137"/>
    <x v="4"/>
    <s v="Puntual"/>
    <s v="La maquina se apaga repetitivamente"/>
    <d v="1899-12-30T10:40:00"/>
    <d v="1899-12-30T11:10:00"/>
    <d v="2026-03-11T00:00:00"/>
    <s v="Eléctrica"/>
    <s v="Se ajustan conectores pantalla, se refrigera pantalla y servo drive, se da ajuste a conexiones eléctricas y se entrega operativo 11:10_x000a_Se tiene en seguimiento"/>
    <s v="NA"/>
    <s v="NA"/>
    <s v="D. BAUTISTA"/>
    <x v="0"/>
  </r>
  <r>
    <n v="1007"/>
    <s v="H. TRIANA"/>
    <d v="1899-12-30T14:15:00"/>
    <x v="137"/>
    <x v="21"/>
    <s v="Puntual"/>
    <s v="Contactor marca mal, se recalienta 26° por encima de lo establecido"/>
    <d v="1899-12-30T14:15:00"/>
    <d v="1899-12-30T14:30:00"/>
    <d v="2026-03-11T00:00:00"/>
    <s v="Eléctrica"/>
    <s v="Se evidencia que persiste el tema de temperatura alta, falta de termocupla para cambio, se hace seguimiento durante el turno"/>
    <s v="NA"/>
    <s v="NA"/>
    <s v="O. DUARTE"/>
    <x v="0"/>
  </r>
  <r>
    <n v="1008"/>
    <m/>
    <m/>
    <x v="3"/>
    <x v="5"/>
    <m/>
    <m/>
    <m/>
    <m/>
    <m/>
    <m/>
    <m/>
    <m/>
    <m/>
    <m/>
    <x v="1"/>
  </r>
  <r>
    <n v="1009"/>
    <s v="F. SANCHEZ"/>
    <d v="1899-12-30T18:45:00"/>
    <x v="137"/>
    <x v="21"/>
    <s v="Puntual"/>
    <s v="Cambio de termocupla"/>
    <d v="1899-12-30T18:45:00"/>
    <d v="1899-12-30T20:25:00"/>
    <d v="2026-03-11T00:00:00"/>
    <s v="Eléctrica"/>
    <s v="Se hace cambio de termocupla, se corrige lectura de temperatura, queda operativa y en seguimiento"/>
    <s v="1X Termocupla tipo J"/>
    <s v="NA"/>
    <s v="O. DUARTE"/>
    <x v="0"/>
  </r>
  <r>
    <n v="1010"/>
    <s v="J. MIRANDA"/>
    <d v="1899-12-30T04:25:00"/>
    <x v="93"/>
    <x v="6"/>
    <s v="Puntual"/>
    <s v="Revisar la zona 6 de la capa C ya que presenta falla"/>
    <d v="1899-12-30T04:35:00"/>
    <d v="1899-12-30T05:20:00"/>
    <d v="2026-03-12T00:00:00"/>
    <s v="Eléctrica"/>
    <s v="Se cambia termocupla zona 6 por lectura erronea"/>
    <s v="1X Termocupla tipo bulbo"/>
    <s v="NA"/>
    <s v="J. SILVA"/>
    <x v="0"/>
  </r>
  <r>
    <n v="1011"/>
    <s v="S. CARDENAL"/>
    <d v="1899-12-30T08:15:00"/>
    <x v="93"/>
    <x v="4"/>
    <s v="Puntual"/>
    <s v="Cambio de termocuplas, la superior esta dañada y la inferior no tiene"/>
    <d v="1899-12-30T08:50:00"/>
    <d v="1899-12-30T09:45:00"/>
    <d v="2026-03-12T00:00:00"/>
    <s v="Eléctrica"/>
    <s v="Se realiza cambio de termocupla superior por daño y se instala nueva termocupla para mordaza inferior quedo operativo"/>
    <s v="1X Termocupla tipo J"/>
    <s v="NA"/>
    <s v="D. BAUTISTA"/>
    <x v="0"/>
  </r>
  <r>
    <n v="1012"/>
    <s v="A. MIRANDA"/>
    <d v="1899-12-30T06:15:00"/>
    <x v="93"/>
    <x v="6"/>
    <s v="Puntual"/>
    <s v="Fallo en motor de refile"/>
    <d v="1899-12-30T06:15:00"/>
    <d v="1899-12-30T07:30:00"/>
    <d v="2026-03-12T00:00:00"/>
    <s v="Mecánica"/>
    <s v="Motor se aago por sobreesfuerzo se desmonta guarda, se tensionó correa, se lubrican rodamientos, se quita material atascado_x000a_No se genero parada de maquina, se interviene 7:10 a 7:30 en parada para cambio de malas"/>
    <s v="NA"/>
    <s v="NA"/>
    <s v="D. BAUTISTA"/>
    <x v="0"/>
  </r>
  <r>
    <n v="1013"/>
    <s v="A. MIRANDA"/>
    <d v="1899-12-30T06:30:00"/>
    <x v="93"/>
    <x v="6"/>
    <s v="Puntual"/>
    <s v="Zona 6 tornillo A con temperatura alta"/>
    <d v="1899-12-30T07:30:00"/>
    <d v="1899-12-30T08:30:00"/>
    <d v="2026-03-12T00:00:00"/>
    <s v="Eléctrica"/>
    <s v="Se encuentra zona 6 tornillo a 230° C y el setpoint esta en 180°C, e realiza insección y se encuentra guardamotor del aire forzado disparado, se desmonto ventilador y se encuentra desbalanceado, se remplazo por el de la zona 1, no se genero parada"/>
    <s v="NA"/>
    <s v="NA"/>
    <s v="D. BAUTISTA"/>
    <x v="0"/>
  </r>
  <r>
    <n v="1014"/>
    <s v="J. PARDO"/>
    <d v="1899-12-30T16:30:00"/>
    <x v="93"/>
    <x v="7"/>
    <s v="Puntual"/>
    <s v="Daño en rodillo desembobinador"/>
    <d v="1899-12-30T14:30:00"/>
    <d v="1899-12-30T21:00:00"/>
    <d v="2026-03-12T00:00:00"/>
    <s v="Mecánica"/>
    <s v="Reparación chumacera de calibración de registro (de 14:30 a 16:30)_x000a_Calibración espigo porta clichets grafilado y aplicación trabarrosca_x000a_Desmontaje eje (16:30 a 17:00) _x000a_Porta rodillo loco desembobinador y fabricación de pieza soporte rodillo y montaje nuevamente quedando OK"/>
    <s v="NA"/>
    <s v="NA"/>
    <s v="L. CASTILLA"/>
    <x v="0"/>
  </r>
  <r>
    <n v="1015"/>
    <s v="J. PARDO"/>
    <d v="1899-12-30T10:30:00"/>
    <x v="93"/>
    <x v="7"/>
    <s v="Puntual"/>
    <s v="Fuga de aceite"/>
    <d v="1899-12-30T11:00:00"/>
    <d v="1899-12-30T13:30:00"/>
    <d v="2026-03-12T00:00:00"/>
    <s v="Mecánica"/>
    <s v="Se encuentra fuga en acople 1/8&quot; a 1/8&quot; de actuador hidraulico de unidad #2, se desmonta cople y se encuentra partido, se envio para compra, se instala y se entrega"/>
    <s v="1X MIPLE 1/8&quot; A 1/8&quot;"/>
    <s v="NA"/>
    <s v="D. BAUTISTA"/>
    <x v="0"/>
  </r>
  <r>
    <n v="1016"/>
    <s v="E. REYES"/>
    <d v="1899-12-30T23:10:00"/>
    <x v="93"/>
    <x v="4"/>
    <s v="Puntual"/>
    <s v="Fotocelda no lee_x000a_Maquina se apaga_x000a_Tensor suelto"/>
    <d v="1899-12-30T02:40:00"/>
    <d v="1899-12-30T03:40:00"/>
    <d v="2026-03-13T00:00:00"/>
    <s v="Eléctrica_x000a_Mecánica"/>
    <s v="Se congigura el variado se ajusta fotocelda correa tensor rodillo y queda OK"/>
    <s v="NA"/>
    <s v="NA"/>
    <s v="J. SILVA"/>
    <x v="0"/>
  </r>
  <r>
    <n v="1017"/>
    <m/>
    <m/>
    <x v="3"/>
    <x v="5"/>
    <m/>
    <m/>
    <m/>
    <m/>
    <m/>
    <m/>
    <m/>
    <m/>
    <m/>
    <m/>
    <x v="1"/>
  </r>
  <r>
    <n v="1018"/>
    <s v="E. REYES"/>
    <d v="1899-12-30T07:10:00"/>
    <x v="138"/>
    <x v="4"/>
    <s v="Puntual"/>
    <s v="Se apaga constantemente"/>
    <d v="1899-12-30T07:20:00"/>
    <d v="1899-12-30T07:45:00"/>
    <d v="2026-03-16T00:00:00"/>
    <s v="Eléctrica"/>
    <s v="Conector haciendo mal contacto en pantalla y se verifca soldadura y se trabajando OK"/>
    <s v="NA"/>
    <s v="NA"/>
    <s v="J. SILVA"/>
    <x v="2"/>
  </r>
  <r>
    <n v="1019"/>
    <s v="D.CUESTA"/>
    <d v="1899-12-30T03:20:00"/>
    <x v="111"/>
    <x v="6"/>
    <s v="Puntual"/>
    <s v="Ajustar soporte del rodillo perforador para cuadrar perforadores"/>
    <d v="1899-12-30T03:25:00"/>
    <d v="1899-12-30T03:40:00"/>
    <d v="2026-03-13T00:00:00"/>
    <s v="Mecánica"/>
    <s v="Se ajusta la caña y se coloca tornillo a la manija de giro queda OK"/>
    <s v="1X Tornillo M5 X 30 mm"/>
    <s v="NA"/>
    <s v="J. SILVA"/>
    <x v="0"/>
  </r>
  <r>
    <n v="1020"/>
    <s v="H. TRIANA"/>
    <d v="1899-12-30T04:30:00"/>
    <x v="111"/>
    <x v="14"/>
    <s v="Puntual"/>
    <s v="Rodamiento del eje de embobinado dañado"/>
    <d v="1899-12-30T04:00:00"/>
    <d v="1899-12-30T07:20:00"/>
    <d v="2026-03-13T00:00:00"/>
    <s v="Mecánica"/>
    <s v="Se realiza cambio de rodamiento 6005 2Z-C3"/>
    <s v="1X Rodamiento 6005 2Z-C3"/>
    <s v="NA"/>
    <s v="D. BAUTISTA"/>
    <x v="0"/>
  </r>
  <r>
    <n v="1021"/>
    <s v="D. CUESTA"/>
    <d v="1899-12-30T05:20:00"/>
    <x v="111"/>
    <x v="6"/>
    <s v="Puntual"/>
    <s v="Falla en el transporte y el alimentador, se cae la barra al hacer el cambio"/>
    <d v="1899-12-30T05:21:00"/>
    <d v="1899-12-30T06:20:00"/>
    <d v="2026-03-13T00:00:00"/>
    <s v="Mecánica"/>
    <s v="Se calibra transportador y se quitan alarmas de variador"/>
    <s v="NA"/>
    <s v="NA"/>
    <s v="D. BAUTISTA"/>
    <x v="0"/>
  </r>
  <r>
    <n v="1022"/>
    <s v="D. BUESACO"/>
    <d v="1899-12-30T13:25:00"/>
    <x v="111"/>
    <x v="0"/>
    <s v="Repetitiva"/>
    <s v="Cuchilla"/>
    <d v="1899-12-30T14:15:00"/>
    <d v="1899-12-30T14:30:00"/>
    <d v="2026-03-13T00:00:00"/>
    <s v="Mecánica"/>
    <s v="Se recibe turno con anomalia en maquina_x000a_Se presta apoyo para ajuste en cuchilla superior y calibración de tiempos"/>
    <s v="NA"/>
    <s v="NA"/>
    <s v="L. CASTILLA"/>
    <x v="0"/>
  </r>
  <r>
    <n v="1023"/>
    <s v="M. MARTINEZ"/>
    <d v="1899-12-30T17:00:00"/>
    <x v="111"/>
    <x v="13"/>
    <s v="Puntual"/>
    <s v="Bolsa sale bloqueada y marcada por la cuchilla"/>
    <d v="1899-12-30T17:30:00"/>
    <d v="1899-12-30T19:30:00"/>
    <d v="2026-03-13T00:00:00"/>
    <s v="Mecánica"/>
    <s v="Se presta apoyo para realizar ajuste en prensa, calibrar presiones en mordaza, se calibra cuchilla quedando OK"/>
    <s v="NA"/>
    <s v="NA"/>
    <s v="L. CASTILLA"/>
    <x v="0"/>
  </r>
  <r>
    <n v="1024"/>
    <m/>
    <m/>
    <x v="3"/>
    <x v="5"/>
    <m/>
    <m/>
    <m/>
    <m/>
    <m/>
    <m/>
    <m/>
    <m/>
    <m/>
    <m/>
    <x v="1"/>
  </r>
  <r>
    <n v="1025"/>
    <s v="S. BRICEÑO"/>
    <d v="1899-12-30T13:38:00"/>
    <x v="139"/>
    <x v="7"/>
    <s v="Puntual"/>
    <s v="Rodamiento del seguro del embobinador se rompio"/>
    <m/>
    <m/>
    <m/>
    <m/>
    <m/>
    <m/>
    <m/>
    <m/>
    <x v="2"/>
  </r>
  <r>
    <n v="1026"/>
    <s v="M. MARTINEZ"/>
    <d v="1899-12-30T21:45:00"/>
    <x v="139"/>
    <x v="0"/>
    <s v="Puntual"/>
    <s v="Se daña rodamiento de la prensa sobresalto en motor del transportador"/>
    <d v="1899-12-30T21:50:00"/>
    <d v="1899-12-30T02:00:00"/>
    <d v="2026-03-15T00:00:00"/>
    <s v="Mecánica"/>
    <s v="Se evidencia que se sale rodamiento de rodillo transportador, se desmonta, se da ajuste, se busca y se cambia base de cadena del motor del transportador, se da ajuste de en rodamiento rodillo prensa, se lubrican se hace seguimiento durante el turno"/>
    <s v="NA"/>
    <s v="NA"/>
    <s v="O. DUARTE"/>
    <x v="0"/>
  </r>
  <r>
    <n v="1027"/>
    <s v="E. REYES"/>
    <d v="1899-12-30T22:00:00"/>
    <x v="139"/>
    <x v="2"/>
    <s v="Repetitiva"/>
    <s v="Se apaga el tablero repetidas ocasiones"/>
    <d v="1899-12-30T22:00:00"/>
    <d v="1899-12-30T05:45:00"/>
    <d v="2026-03-15T00:00:00"/>
    <s v="Eléctrica"/>
    <s v="Se evidencia falso contacto en cable de datos apaga el equipo intermitentemente se realiza seguimiento durante el turno persiste el fallo"/>
    <s v="NA"/>
    <s v="NA"/>
    <s v="O. DUARTE"/>
    <x v="2"/>
  </r>
  <r>
    <n v="1028"/>
    <s v="F. SANCHEZ"/>
    <d v="1899-12-30T05:45:00"/>
    <x v="140"/>
    <x v="14"/>
    <s v="Puntual"/>
    <s v="Se para la maquina por falla en la rotación, se para"/>
    <d v="1899-12-30T06:10:00"/>
    <d v="1899-12-30T14:00:00"/>
    <d v="2026-03-15T00:00:00"/>
    <s v="Mecánica"/>
    <s v="Rotación frenada limitando el giro dejando sin operación la maquina, se procede a desarme encontrando rodamiento con material y mal acoplado generando ajuste entre barril y eje de rotación, se realiza limpieza, se aplica grasa quedando OK"/>
    <s v="NA"/>
    <s v="Grasa"/>
    <s v="L. CASTILLA"/>
    <x v="0"/>
  </r>
  <r>
    <n v="1029"/>
    <m/>
    <m/>
    <x v="3"/>
    <x v="5"/>
    <m/>
    <m/>
    <m/>
    <m/>
    <m/>
    <m/>
    <m/>
    <m/>
    <m/>
    <m/>
    <x v="1"/>
  </r>
  <r>
    <n v="1030"/>
    <s v="J. PINZON"/>
    <d v="1899-12-30T07:40:00"/>
    <x v="140"/>
    <x v="7"/>
    <s v="Puntual"/>
    <s v="Se ajusta eje de embobinado delantero (Torcido)"/>
    <d v="1899-12-30T07:40:00"/>
    <d v="1899-12-30T08:10:00"/>
    <d v="2026-03-15T00:00:00"/>
    <s v="Mecánica"/>
    <s v="Se realiza ajuste a cadena de rodillo balancin freno dejandolo nivelado"/>
    <s v="NA"/>
    <s v="NA"/>
    <s v="L. CASTILLA"/>
    <x v="0"/>
  </r>
  <r>
    <n v="1031"/>
    <s v="H. TRIANA"/>
    <d v="1899-12-30T14:00:00"/>
    <x v="140"/>
    <x v="14"/>
    <s v="Puntual"/>
    <s v="Bomba de vacio no chupa aire"/>
    <d v="1899-12-30T14:00:00"/>
    <d v="1899-12-30T21:00:00"/>
    <d v="2026-03-15T00:00:00"/>
    <s v="Mecánica"/>
    <s v="Se encuentra blower con refile atascado, adicional a esto carcasa suelta con falta de tornillos_x000a_Se le olocan y se da ajuste queda operativa"/>
    <s v="NA"/>
    <s v="NA"/>
    <s v="O. DUARTE"/>
    <x v="0"/>
  </r>
  <r>
    <n v="1032"/>
    <s v="F. SANCHEZ"/>
    <d v="1899-12-30T06:30:00"/>
    <x v="138"/>
    <x v="1"/>
    <s v="Puntual"/>
    <s v="Temperatura del molde no calienta"/>
    <d v="1899-12-30T07:00:00"/>
    <d v="1899-12-30T07:45:00"/>
    <d v="2026-03-16T00:00:00"/>
    <s v="Eléctrica"/>
    <s v="Se realiza cambio de contactor de 18A de zona de molde "/>
    <s v="1X Contactor 18A"/>
    <s v="NA"/>
    <s v="D. BAUTISTA"/>
    <x v="0"/>
  </r>
  <r>
    <n v="1033"/>
    <m/>
    <m/>
    <x v="3"/>
    <x v="5"/>
    <m/>
    <m/>
    <m/>
    <m/>
    <m/>
    <m/>
    <m/>
    <m/>
    <m/>
    <m/>
    <x v="1"/>
  </r>
  <r>
    <n v="1034"/>
    <s v="E. REYES"/>
    <d v="1899-12-30T10:10:00"/>
    <x v="138"/>
    <x v="4"/>
    <s v="Puntual"/>
    <s v="Paro de maquina"/>
    <d v="1899-12-30T10:10:00"/>
    <d v="1899-12-30T10:30:00"/>
    <d v="2026-03-16T00:00:00"/>
    <s v="Eléctrica"/>
    <s v="Se da ajsute a conectores eléctricos y se aplica aire forzado a tarjeta quedando operativo en seguimiento"/>
    <s v="NA"/>
    <s v="NA"/>
    <s v="D. BAUTISTA"/>
    <x v="0"/>
  </r>
  <r>
    <n v="1035"/>
    <m/>
    <m/>
    <x v="3"/>
    <x v="5"/>
    <m/>
    <m/>
    <m/>
    <m/>
    <m/>
    <m/>
    <m/>
    <m/>
    <m/>
    <m/>
    <x v="1"/>
  </r>
  <r>
    <n v="1036"/>
    <m/>
    <m/>
    <x v="3"/>
    <x v="5"/>
    <m/>
    <m/>
    <m/>
    <m/>
    <m/>
    <m/>
    <m/>
    <m/>
    <m/>
    <m/>
    <x v="1"/>
  </r>
  <r>
    <n v="1037"/>
    <m/>
    <m/>
    <x v="3"/>
    <x v="5"/>
    <m/>
    <m/>
    <m/>
    <m/>
    <m/>
    <m/>
    <m/>
    <m/>
    <m/>
    <m/>
    <x v="1"/>
  </r>
  <r>
    <n v="1038"/>
    <m/>
    <m/>
    <x v="3"/>
    <x v="5"/>
    <m/>
    <m/>
    <m/>
    <m/>
    <m/>
    <m/>
    <m/>
    <m/>
    <m/>
    <m/>
    <x v="1"/>
  </r>
  <r>
    <n v="1039"/>
    <m/>
    <m/>
    <x v="3"/>
    <x v="5"/>
    <m/>
    <m/>
    <m/>
    <m/>
    <m/>
    <m/>
    <m/>
    <m/>
    <m/>
    <m/>
    <x v="1"/>
  </r>
  <r>
    <n v="1040"/>
    <m/>
    <m/>
    <x v="3"/>
    <x v="5"/>
    <m/>
    <m/>
    <m/>
    <m/>
    <m/>
    <m/>
    <m/>
    <m/>
    <m/>
    <m/>
    <x v="1"/>
  </r>
  <r>
    <n v="1041"/>
    <m/>
    <m/>
    <x v="3"/>
    <x v="5"/>
    <m/>
    <m/>
    <m/>
    <m/>
    <m/>
    <m/>
    <m/>
    <m/>
    <m/>
    <m/>
    <x v="1"/>
  </r>
  <r>
    <n v="1042"/>
    <m/>
    <m/>
    <x v="3"/>
    <x v="5"/>
    <m/>
    <m/>
    <m/>
    <m/>
    <m/>
    <m/>
    <m/>
    <m/>
    <m/>
    <m/>
    <x v="1"/>
  </r>
  <r>
    <n v="1043"/>
    <s v="J. PARDO"/>
    <d v="1899-12-30T21:30:00"/>
    <x v="141"/>
    <x v="7"/>
    <s v="Puntual"/>
    <s v="Ajuste de registros y trinquetes"/>
    <d v="1899-12-30T21:30:00"/>
    <d v="1899-12-30T22:00:00"/>
    <d v="2026-03-17T00:00:00"/>
    <s v="Mecánica"/>
    <s v="Se ajustan y se instalan 2 registros los cuales tienen tornilleria suelta, y se instalan 2 resortes a los trinquetes de 2 piñones_x000a_No se genera parada"/>
    <s v="Resortes"/>
    <s v="NA"/>
    <s v="D. BAUTISTA"/>
    <x v="0"/>
  </r>
  <r>
    <n v="1044"/>
    <s v="J. PARDO"/>
    <d v="1899-12-30T22:00:00"/>
    <x v="141"/>
    <x v="7"/>
    <s v="Puntual"/>
    <s v="Nivel de aceite hidraulico bajo"/>
    <d v="1899-12-30T22:00:00"/>
    <d v="1899-12-30T22:20:00"/>
    <d v="2026-03-17T00:00:00"/>
    <s v="Mecánica"/>
    <s v="Se adiciona aceite hidraulico a deposito de aceite de bomba hidraulica por bajo nivel"/>
    <s v="NA"/>
    <s v="Aceite"/>
    <s v="D. BAUTISTA"/>
    <x v="0"/>
  </r>
  <r>
    <n v="1045"/>
    <s v="J. MIRANDA"/>
    <d v="1899-12-30T18:00:00"/>
    <x v="141"/>
    <x v="25"/>
    <s v="Puntual"/>
    <s v="Tornillo partido en el soporte de los precortes"/>
    <d v="1899-12-30T18:00:00"/>
    <d v="1899-12-30T18:30:00"/>
    <d v="2026-03-17T00:00:00"/>
    <s v="Mecánica"/>
    <s v="Se extrae partido y se instala uno en mordaza de cuchilla M8 X 30 mm"/>
    <s v="1X Tornillo M8 X 30 mm"/>
    <s v="NA"/>
    <s v="D. BAUTISTA"/>
    <x v="0"/>
  </r>
  <r>
    <n v="1046"/>
    <s v="O. VALENCIA"/>
    <d v="1899-12-30T07:40:00"/>
    <x v="142"/>
    <x v="23"/>
    <s v="Puntual"/>
    <s v="Motor tolva en revoluciones bajas"/>
    <d v="1899-12-30T07:40:00"/>
    <d v="1899-12-30T08:10:00"/>
    <d v="2026-03-18T00:00:00"/>
    <s v="Eléctrica"/>
    <s v="Se verifican parametros del P-01 hasta P-014 y se ajustan algunos según manual de programación quedando OK"/>
    <s v="NA"/>
    <s v="NA"/>
    <s v="L. CASTILLA"/>
    <x v="0"/>
  </r>
  <r>
    <n v="1047"/>
    <m/>
    <m/>
    <x v="3"/>
    <x v="5"/>
    <m/>
    <m/>
    <m/>
    <m/>
    <m/>
    <m/>
    <m/>
    <m/>
    <m/>
    <m/>
    <x v="1"/>
  </r>
  <r>
    <n v="1048"/>
    <m/>
    <m/>
    <x v="3"/>
    <x v="5"/>
    <m/>
    <m/>
    <m/>
    <m/>
    <m/>
    <m/>
    <m/>
    <m/>
    <m/>
    <m/>
    <x v="1"/>
  </r>
  <r>
    <n v="1049"/>
    <m/>
    <m/>
    <x v="3"/>
    <x v="5"/>
    <m/>
    <m/>
    <m/>
    <m/>
    <m/>
    <m/>
    <m/>
    <m/>
    <m/>
    <m/>
    <x v="1"/>
  </r>
  <r>
    <n v="1050"/>
    <m/>
    <m/>
    <x v="3"/>
    <x v="5"/>
    <m/>
    <m/>
    <m/>
    <m/>
    <m/>
    <m/>
    <m/>
    <m/>
    <m/>
    <m/>
    <x v="1"/>
  </r>
  <r>
    <n v="1051"/>
    <s v="H. TRIANA"/>
    <d v="1899-12-30T18:30:00"/>
    <x v="142"/>
    <x v="14"/>
    <s v="Puntual"/>
    <s v="Falla en cuenta metros"/>
    <d v="1899-12-30T18:30:00"/>
    <d v="1899-12-30T19:30:00"/>
    <d v="2026-03-18T00:00:00"/>
    <s v="Eléctrica"/>
    <s v="Cuenta metros con conexión inestable, se rectifica y queda OK"/>
    <s v="NA"/>
    <s v="NA"/>
    <s v="J. SILVA"/>
    <x v="0"/>
  </r>
  <r>
    <n v="1052"/>
    <s v="H. TRIANA"/>
    <d v="1899-12-30T05:50:00"/>
    <x v="142"/>
    <x v="14"/>
    <s v="Puntual"/>
    <s v="Manguera del aire corona rota"/>
    <d v="1899-12-30T04:55:00"/>
    <d v="1899-12-30T06:55:00"/>
    <d v="2026-03-20T00:00:00"/>
    <s v="Neúmatica"/>
    <s v="Se quita el pedazo dañado ya que no se cuenta con el pedazo completo Quedo OK"/>
    <s v="NA"/>
    <s v="NA"/>
    <s v="J. SILVA"/>
    <x v="0"/>
  </r>
  <r>
    <n v="1053"/>
    <s v="A. ROVIRA"/>
    <d v="1899-12-30T21:20:00"/>
    <x v="142"/>
    <x v="9"/>
    <s v="Puntual"/>
    <s v="No embobina"/>
    <d v="1899-12-30T22:10:00"/>
    <d v="1899-12-30T23:20:00"/>
    <d v="2026-03-18T00:00:00"/>
    <s v="Eléctrica"/>
    <s v="Cambio de fusibles por daño"/>
    <s v="Fusibles 16A #3"/>
    <s v="NA"/>
    <s v="J. SILVA"/>
    <x v="0"/>
  </r>
  <r>
    <n v="1054"/>
    <s v="D. ARRIETA"/>
    <d v="1899-12-30T09:20:00"/>
    <x v="143"/>
    <x v="7"/>
    <s v="Puntual"/>
    <s v="Falta de lampara o iluminación en la unidad #3 y #4"/>
    <m/>
    <m/>
    <m/>
    <m/>
    <m/>
    <m/>
    <m/>
    <m/>
    <x v="2"/>
  </r>
  <r>
    <n v="1055"/>
    <s v="M. PINZON"/>
    <d v="1899-12-30T07:00:00"/>
    <x v="143"/>
    <x v="24"/>
    <s v="Puntual"/>
    <s v="Solicitud de repuestos para corta core pera, teflon, eje de la cuchilla"/>
    <m/>
    <m/>
    <m/>
    <m/>
    <m/>
    <m/>
    <m/>
    <m/>
    <x v="2"/>
  </r>
  <r>
    <n v="1056"/>
    <s v="E. REYES"/>
    <d v="1899-12-30T10:30:00"/>
    <x v="143"/>
    <x v="13"/>
    <s v="Puntual"/>
    <s v="Prensa no ajusta la bolsa"/>
    <d v="1899-12-30T10:30:00"/>
    <d v="1899-12-30T11:00:00"/>
    <d v="2026-03-19T00:00:00"/>
    <s v="Mecánica"/>
    <s v="Se apoya a cuadre de material de prensa, se realiza seguimiento y queda en operación"/>
    <s v="NA"/>
    <s v="NA"/>
    <s v="D. BAUTISTA"/>
    <x v="0"/>
  </r>
  <r>
    <n v="1057"/>
    <s v="E. REYES"/>
    <d v="1899-12-30T22:00:00"/>
    <x v="144"/>
    <x v="4"/>
    <s v="Puntual"/>
    <s v="Maquina se apaga_x000a_Daño en la temperatura"/>
    <d v="1899-12-30T22:00:00"/>
    <d v="1899-12-30T04:00:00"/>
    <d v="2026-04-03T00:00:00"/>
    <s v="Eléctrica"/>
    <s v="Se hace revisión de equipo, se ajusta componentes, se hace seguimiento durante el turno"/>
    <s v="NA"/>
    <s v="NA"/>
    <s v="O. DUARTE"/>
    <x v="0"/>
  </r>
  <r>
    <n v="1058"/>
    <s v="D. CUESTA"/>
    <d v="1899-12-30T07:30:00"/>
    <x v="109"/>
    <x v="6"/>
    <s v="Puntual"/>
    <s v="Octagon no funciona"/>
    <d v="1899-12-30T07:40:00"/>
    <d v="1899-12-30T09:00:00"/>
    <d v="2026-03-20T00:00:00"/>
    <s v="Eléctrica"/>
    <s v="Se reconfigura IP, se configuran parametros, el equipo esta molestando, se requiere servicio tecnico"/>
    <s v="NA"/>
    <s v="NA"/>
    <s v="J. SILVA"/>
    <x v="0"/>
  </r>
  <r>
    <n v="1059"/>
    <s v="A. ROVIRA"/>
    <d v="1899-12-30T19:15:00"/>
    <x v="109"/>
    <x v="10"/>
    <s v="Puntual"/>
    <s v="Bloqueada donde coloca rollo"/>
    <d v="1899-12-30T19:15:00"/>
    <d v="1899-12-30T19:30:00"/>
    <d v="2026-03-20T00:00:00"/>
    <s v="Eléctrica"/>
    <s v="Se revisa muletilla de accionamiento, se da ajuste y queda en operación"/>
    <s v="NA"/>
    <s v="NA"/>
    <s v="D. BAUTISTA"/>
    <x v="0"/>
  </r>
  <r>
    <n v="1060"/>
    <s v="D. ARRIETA"/>
    <d v="1899-12-30T23:29:00"/>
    <x v="109"/>
    <x v="7"/>
    <s v="Puntual"/>
    <s v="Rodamiento de seguro de eje del embobinador "/>
    <d v="1899-12-30T23:30:00"/>
    <d v="1899-12-30T23:45:00"/>
    <d v="2026-03-20T00:00:00"/>
    <s v="Mecánica"/>
    <s v="Se cambia rodamiento de eje para dar mas ajuste y balanceo"/>
    <s v="1X Rodamiento 6207 C3"/>
    <s v="NA"/>
    <s v="O. DUARTE"/>
    <x v="0"/>
  </r>
  <r>
    <n v="1061"/>
    <s v="S. PATIÑO"/>
    <d v="1899-12-30T07:40:00"/>
    <x v="145"/>
    <x v="14"/>
    <s v="Puntual"/>
    <s v="Zona del molde no sube de temperatura y el porta mallas esta en corto"/>
    <d v="1899-12-30T07:48:00"/>
    <d v="1899-12-30T09:00:00"/>
    <d v="2026-03-21T00:00:00"/>
    <s v="Eléctrica"/>
    <s v="Cambio de termocupla para las resistencias de la rotación y cambio de SSR para daño en el portamallas, tornillo exterior"/>
    <s v="1X Relé estado solido (SSR)_x000a_1X Termocupla bulbo tipo J"/>
    <s v="NA"/>
    <s v="J. SILVA"/>
    <x v="0"/>
  </r>
  <r>
    <n v="1062"/>
    <s v="E. REYES"/>
    <d v="1899-12-30T10:30:00"/>
    <x v="145"/>
    <x v="4"/>
    <s v="Puntual"/>
    <s v="Barra de perforadores partida"/>
    <m/>
    <m/>
    <m/>
    <m/>
    <m/>
    <m/>
    <m/>
    <m/>
    <x v="2"/>
  </r>
  <r>
    <n v="1063"/>
    <s v="Y. VAZQUEZ"/>
    <d v="1899-12-30T11:25:00"/>
    <x v="145"/>
    <x v="24"/>
    <s v="Puntual"/>
    <s v="Tornillo de ajuste de manzana de la cortadora de cores"/>
    <d v="1899-12-30T11:30:00"/>
    <d v="1899-12-30T13:49:00"/>
    <d v="2026-03-21T00:00:00"/>
    <s v="Mecánica"/>
    <s v="Rectificación de rosca tornillo de ajuste manzana"/>
    <s v="NA"/>
    <s v="NA"/>
    <s v="J. SILVA"/>
    <x v="0"/>
  </r>
  <r>
    <n v="1064"/>
    <s v="J. PARDO"/>
    <d v="1899-12-30T13:00:00"/>
    <x v="145"/>
    <x v="7"/>
    <s v="Puntual"/>
    <s v="Daño en rodamiento embobinador"/>
    <d v="1899-12-30T13:00:00"/>
    <d v="1899-12-30T13:50:00"/>
    <d v="2026-03-21T00:00:00"/>
    <s v="Mecánica"/>
    <s v="Se le adapata rodamiento ya que el brazo tiene mucha carga"/>
    <s v="1X Rodamiento 6305"/>
    <s v="NA"/>
    <s v="J. SILVA"/>
    <x v="0"/>
  </r>
  <r>
    <n v="1065"/>
    <s v="J. RIVERO"/>
    <d v="1899-12-30T19:25:00"/>
    <x v="145"/>
    <x v="7"/>
    <s v="Repetitiva"/>
    <s v="Motor del embobinador"/>
    <d v="1899-12-30T19:30:00"/>
    <d v="1899-12-30T20:10:00"/>
    <d v="2026-03-21T00:00:00"/>
    <s v="Mecánica"/>
    <s v="Seguidor de leva malobrado y rodamiento no adecuado los que ajustaba el eje embobinador bloqueando embobinador, se realiza cambio de rodamiento y cambio de seguidor de leva quedando OK"/>
    <s v="1X Rodamiento 3202 - BD - XL - 2HRS - TVH"/>
    <s v="NA"/>
    <s v="L. CASTILLA"/>
    <x v="0"/>
  </r>
  <r>
    <n v="1066"/>
    <s v="H. TRIANA"/>
    <d v="1899-12-30T01:00:00"/>
    <x v="146"/>
    <x v="14"/>
    <s v="Puntual"/>
    <s v="Se dañan huecos de tornillos bristol de la pera del eje embobinador"/>
    <d v="1899-12-30T01:00:00"/>
    <d v="1899-12-30T01:20:00"/>
    <d v="2026-03-22T00:00:00"/>
    <s v="Mecánica"/>
    <s v="Se rectifican roscas M10 de agujeris de la pera para instalar los prisioneros M10 X 20 m, se entrega al operario _x000a_No se genero parada de maquina"/>
    <s v="1X Prisionero M10 X 20 mm"/>
    <s v="NA"/>
    <s v="D. BAUTISTA"/>
    <x v="0"/>
  </r>
  <r>
    <n v="1067"/>
    <m/>
    <m/>
    <x v="3"/>
    <x v="5"/>
    <m/>
    <m/>
    <m/>
    <m/>
    <m/>
    <m/>
    <m/>
    <m/>
    <m/>
    <m/>
    <x v="1"/>
  </r>
  <r>
    <n v="1068"/>
    <m/>
    <m/>
    <x v="3"/>
    <x v="5"/>
    <m/>
    <m/>
    <m/>
    <m/>
    <m/>
    <m/>
    <m/>
    <m/>
    <m/>
    <m/>
    <x v="1"/>
  </r>
  <r>
    <n v="1069"/>
    <s v="S. PATIÑO"/>
    <d v="1899-12-30T04:00:00"/>
    <x v="147"/>
    <x v="6"/>
    <s v="Puntual"/>
    <s v="Valvula de aire de la barra del embobinador A se afloja y se fuga el aire, provocando telescopiado del rollo"/>
    <d v="1899-12-30T04:00:00"/>
    <d v="1899-12-30T04:30:00"/>
    <d v="2026-03-23T00:00:00"/>
    <s v="Neúmatica"/>
    <s v="Se da ajuste a valvula neúmatica"/>
    <s v="NA"/>
    <s v="NA"/>
    <s v="D. BAUTISTA"/>
    <x v="0"/>
  </r>
  <r>
    <n v="1070"/>
    <s v="J. RIVERO"/>
    <d v="1899-12-30T02:00:00"/>
    <x v="147"/>
    <x v="7"/>
    <s v="Puntual"/>
    <s v="Cambio y ajuste de mordaza de calefacción de lampara"/>
    <m/>
    <m/>
    <m/>
    <m/>
    <m/>
    <m/>
    <m/>
    <m/>
    <x v="1"/>
  </r>
  <r>
    <n v="1071"/>
    <s v="H. TRIANA"/>
    <d v="1899-12-30T08:35:00"/>
    <x v="147"/>
    <x v="14"/>
    <s v="Puntual"/>
    <s v="Ventilador de la corona traquea"/>
    <d v="1899-12-30T08:30:00"/>
    <d v="1899-12-30T09:00:00"/>
    <d v="2026-03-23T00:00:00"/>
    <s v="Eléctrica"/>
    <s v="Se revisa y el ventilador del motor estaba mal posicionado se ajusta quedando OK"/>
    <s v="NA"/>
    <s v="NA"/>
    <s v="J. SILVA"/>
    <x v="0"/>
  </r>
  <r>
    <n v="1072"/>
    <s v="W. SANDOVAL"/>
    <d v="1899-12-30T08:25:00"/>
    <x v="147"/>
    <x v="17"/>
    <s v="Puntual"/>
    <s v="Cambio de pisador y revisión de mangueras de los ejes embobinadores "/>
    <d v="1899-12-30T08:25:00"/>
    <d v="1899-12-30T17:30:00"/>
    <d v="2026-03-23T00:00:00"/>
    <s v="Mecánica"/>
    <s v="Se hace cambio y revisión de mangueras felpa corrida y deteriorada, se hace ajuste seguimiento en el turno"/>
    <s v="NA"/>
    <s v="NA"/>
    <s v="O. DUARTE"/>
    <x v="0"/>
  </r>
  <r>
    <n v="1073"/>
    <s v="M. MARTINEZ"/>
    <d v="1899-12-30T11:30:00"/>
    <x v="147"/>
    <x v="4"/>
    <s v="Puntual"/>
    <s v="Maquina se apaga_x000a_Se reompe tornillo rodillo"/>
    <d v="1899-12-30T11:30:00"/>
    <d v="1899-12-30T12:30:00"/>
    <d v="2026-03-23T00:00:00"/>
    <s v="Eléctrica_x000a_Mecánica"/>
    <s v="Se cambia tornillo y se da ajuste_x000a_Se revisa conexión tablero se ajustan terminales, se hace seguimiento durante el turno_x000a_Falla en pantalla"/>
    <s v="1X M8 X 20 mm"/>
    <s v="NA"/>
    <s v="O. DUARTE"/>
    <x v="0"/>
  </r>
  <r>
    <n v="1074"/>
    <s v="M. MARTINEZ"/>
    <d v="1899-12-30T07:30:00"/>
    <x v="148"/>
    <x v="0"/>
    <s v="Puntual"/>
    <s v="Se suelta correa"/>
    <d v="1899-12-30T07:30:00"/>
    <d v="1899-12-30T08:00:00"/>
    <d v="2026-03-24T00:00:00"/>
    <s v="Mecánica"/>
    <s v="Se da tensión a correa de transmisión de halador"/>
    <s v="NA"/>
    <s v="NA"/>
    <s v="D. BAUTISTA"/>
    <x v="0"/>
  </r>
  <r>
    <n v="1075"/>
    <s v="F. SANCHEZ"/>
    <d v="1899-12-30T03:10:00"/>
    <x v="148"/>
    <x v="14"/>
    <s v="Puntual"/>
    <s v="Tratador se baja la potencia esta en la maxima"/>
    <d v="1899-12-30T03:10:00"/>
    <d v="1899-12-30T08:25:00"/>
    <d v="2026-03-24T00:00:00"/>
    <s v="Eléctrica"/>
    <s v="Se realiza inspección visualmente en mangas no se encuentra anomalia pero el tratador baja y sube de potencia_x000a_Se recomienda programar revisión"/>
    <s v="NA"/>
    <s v="NA"/>
    <s v="L. CASTILLA"/>
    <x v="2"/>
  </r>
  <r>
    <n v="1076"/>
    <s v="S. PATIÑO"/>
    <d v="1899-12-30T09:05:00"/>
    <x v="148"/>
    <x v="8"/>
    <s v="Puntual"/>
    <s v="Motor del ventilador no enciende"/>
    <d v="1899-12-30T09:05:00"/>
    <d v="1899-12-30T09:20:00"/>
    <d v="2026-03-24T00:00:00"/>
    <s v="Eléctrica_x000a_Mecánica"/>
    <s v="Se realizo inspección de circuito de control de enclavamiento del blower corona, se encuentra contacto NC abierto, se realizo el cambio y si entrega operativo"/>
    <s v="NA"/>
    <s v="NA"/>
    <s v="D. BAUTISTA"/>
    <x v="0"/>
  </r>
  <r>
    <n v="1077"/>
    <s v="E. REYES"/>
    <d v="1899-12-30T15:00:00"/>
    <x v="148"/>
    <x v="4"/>
    <s v="Puntual"/>
    <s v="Correa del transportador"/>
    <d v="1899-12-30T15:00:00"/>
    <d v="1899-12-30T16:00:00"/>
    <d v="2026-03-24T00:00:00"/>
    <s v="Mecánica"/>
    <s v="Se encuentra correa de transmisión de mordaza partida, referencia 240L, se realiza instalación y se entrega operativa"/>
    <s v="1X Correa 240L"/>
    <s v="NA"/>
    <s v="D. BAUTISTA"/>
    <x v="0"/>
  </r>
  <r>
    <n v="1078"/>
    <s v="E. REYES"/>
    <d v="1899-12-30T19:10:00"/>
    <x v="148"/>
    <x v="4"/>
    <s v="Puntual"/>
    <s v="Ajuste de cilindro_x000a_Cuadre de varilla"/>
    <d v="1899-12-30T19:10:00"/>
    <d v="1899-12-30T19:25:00"/>
    <d v="2026-03-24T00:00:00"/>
    <s v="Mecánica"/>
    <s v="Se calibra varillas y se hace reposición tornillos M8 X 30 mm quedando Ok"/>
    <s v="3X Tornillos M8 X 30 mm"/>
    <s v="NA"/>
    <s v="L. CASTILLA"/>
    <x v="0"/>
  </r>
  <r>
    <n v="1079"/>
    <s v="D. ARRIETA"/>
    <d v="1899-12-30T01:43:00"/>
    <x v="149"/>
    <x v="7"/>
    <s v="Puntual"/>
    <s v="Rodamiento de desembobinador"/>
    <d v="1899-12-30T01:45:00"/>
    <d v="1899-12-30T02:00:00"/>
    <d v="2026-03-25T00:00:00"/>
    <s v="Neúmatica"/>
    <s v="Se grafila espigo portacliches y cambio de seguidor de leva desembobinador"/>
    <m/>
    <s v="NA"/>
    <s v="L. CASTILLA"/>
    <x v="2"/>
  </r>
  <r>
    <n v="1080"/>
    <s v="J. VASQUEZ "/>
    <d v="1899-12-30T01:00:00"/>
    <x v="149"/>
    <x v="11"/>
    <s v="Puntual"/>
    <s v="Se daña cadena de la corta cores"/>
    <d v="1899-12-30T02:40:00"/>
    <d v="1899-12-30T03:00:00"/>
    <d v="2026-03-25T00:00:00"/>
    <s v="Mecánica"/>
    <s v="Se pierde rosca, se coloca tuerca para remplazar rosca quedando OK_x000a__x000a_Nota:Se recomienda fabircar corona para cortacore"/>
    <s v="1X Tuerca"/>
    <s v="NA"/>
    <s v="L. CASTILLA"/>
    <x v="0"/>
  </r>
  <r>
    <n v="1081"/>
    <s v="J. RIVERO"/>
    <d v="1899-12-30T06:20:00"/>
    <x v="149"/>
    <x v="7"/>
    <s v="Puntual"/>
    <s v="Eje de rodillo de entrada de material (Rollo ) Rodillo #1"/>
    <d v="1899-12-30T06:25:00"/>
    <d v="1899-12-30T08:00:00"/>
    <d v="2026-03-25T00:00:00"/>
    <s v="Mecánica"/>
    <s v="Se repara eje, se desencaja del soporte se colocan, tornillos se coloca abrazadera para que no se devuelva, queda provisional funcionamiento OK"/>
    <s v="NA"/>
    <s v="NA"/>
    <s v="J. SILVA"/>
    <x v="0"/>
  </r>
  <r>
    <n v="1082"/>
    <s v="L. MIRANDA"/>
    <d v="1899-12-30T09:15:00"/>
    <x v="149"/>
    <x v="5"/>
    <s v="Puntual"/>
    <s v="Se le daño la rosca"/>
    <d v="1899-12-30T09:35:00"/>
    <d v="1899-12-30T11:00:00"/>
    <d v="2026-03-25T00:00:00"/>
    <s v="Mecánica"/>
    <s v="Cambio de rosca para poder dar ajuste"/>
    <m/>
    <m/>
    <s v="J. SILVA"/>
    <x v="2"/>
  </r>
  <r>
    <n v="1083"/>
    <s v="E. REYES"/>
    <d v="1899-12-30T17:42:00"/>
    <x v="149"/>
    <x v="0"/>
    <s v="Puntual"/>
    <s v="Daño en rodillo de correas"/>
    <d v="1899-12-30T18:00:00"/>
    <d v="1899-12-30T19:20:00"/>
    <d v="2026-03-25T00:00:00"/>
    <s v="Mecánica"/>
    <s v="Se realizo desmonte de rodillo tensor de selladora transportador, se encontró rodamiento en mal estado, se realizó cambio, quedo en operación_x000a__x000a_Nota: No se cuenta con herramienta necesaria"/>
    <s v="1X Rodamiento 6001 2Z - C3"/>
    <s v="NA"/>
    <s v="D. BAUTISTA"/>
    <x v="0"/>
  </r>
  <r>
    <n v="1084"/>
    <s v="C. CASTRO"/>
    <d v="1899-12-30T19:40:00"/>
    <x v="149"/>
    <x v="10"/>
    <s v="Puntual"/>
    <s v="Daño en la manguera del eje embobinador superior"/>
    <d v="1899-12-30T19:40:00"/>
    <d v="1899-12-30T21:00:00"/>
    <d v="2026-03-25T00:00:00"/>
    <s v="Neúmatica"/>
    <s v="Se realiza cambio de 2 mangueras de bobinador superior"/>
    <s v="NA"/>
    <s v="NA"/>
    <s v="D. BAUTISTA"/>
    <x v="0"/>
  </r>
  <r>
    <n v="1085"/>
    <s v="J. PARDO"/>
    <d v="1899-12-30T21:00:00"/>
    <x v="149"/>
    <x v="7"/>
    <s v="Puntual"/>
    <s v="Diferencial no funciona"/>
    <d v="1899-12-30T21:00:00"/>
    <d v="1899-12-30T21:45:00"/>
    <d v="2026-03-25T00:00:00"/>
    <s v="Eléctrica"/>
    <s v="Se encuentra cableado de circuito de control desconectado, se realiza ajuste y pruebas de operación"/>
    <s v="NA"/>
    <s v="NA"/>
    <s v="D. BAUTISTA"/>
    <x v="0"/>
  </r>
  <r>
    <n v="1086"/>
    <s v="D. ARRIETA"/>
    <d v="1899-12-30T09:00:00"/>
    <x v="150"/>
    <x v="7"/>
    <s v="Puntual"/>
    <s v="El piñon del eje del embobinador se daño una vez, le falta un aseguramiento a eje para que no se corra"/>
    <d v="1899-12-30T09:00:00"/>
    <d v="1899-12-30T10:30:00"/>
    <d v="2026-03-27T00:00:00"/>
    <s v="Mecánica"/>
    <s v="Se verifica la falla encontrando eje sin topes, se instala el tope y se entrega trabajando"/>
    <s v="NA"/>
    <s v="NA"/>
    <s v="L. FLOREZ"/>
    <x v="0"/>
  </r>
  <r>
    <n v="1087"/>
    <s v="S. CARDENAL"/>
    <d v="1899-12-30T10:05:00"/>
    <x v="149"/>
    <x v="4"/>
    <s v="Puntual"/>
    <s v="Manguera con escape de aire"/>
    <d v="1899-12-30T10:05:00"/>
    <d v="1899-12-30T22:00:00"/>
    <d v="2026-03-25T00:00:00"/>
    <s v="Neúmatica"/>
    <s v="Se realiza cambio de manguera ya que presentaba varios tramos dañados y con escapes"/>
    <s v="NA"/>
    <s v="X3m Manguera 12mm"/>
    <s v="O. DUARTE"/>
    <x v="0"/>
  </r>
  <r>
    <n v="1088"/>
    <s v="Y. VAZQUEZ"/>
    <d v="1899-12-30T05:10:00"/>
    <x v="151"/>
    <x v="11"/>
    <s v="Puntual"/>
    <s v="Rosca de la corona de la cortacores esta dañada"/>
    <d v="1899-12-30T05:10:00"/>
    <d v="1899-12-30T05:45:00"/>
    <d v="2026-03-26T00:00:00"/>
    <s v="Mecánica"/>
    <s v="Se retira tuerca dañada, se realiza cambio de tornillo, se aplica soldadura queda nuevamente habilitada"/>
    <s v="1X Tuerca M10_x000a_1X Tornillo M10"/>
    <s v="NA"/>
    <s v="O. DUARTE"/>
    <x v="0"/>
  </r>
  <r>
    <n v="1089"/>
    <s v="A. MARTINEZ"/>
    <d v="1899-12-30T14:00:00"/>
    <x v="151"/>
    <x v="10"/>
    <s v="Puntual"/>
    <s v="Eje embobinador superior tornillo que ajusta la manzana"/>
    <d v="1899-12-30T17:30:00"/>
    <d v="1899-12-30T18:07:00"/>
    <d v="2026-03-26T00:00:00"/>
    <s v="Mecánica"/>
    <s v="Tornillo partido de la manzana del embobinador"/>
    <s v="1X Tornillo M10 X 35mm"/>
    <s v="NA"/>
    <s v="J. SILVA"/>
    <x v="0"/>
  </r>
  <r>
    <n v="1090"/>
    <s v="J. VASQUEZ "/>
    <d v="1899-12-30T21:20:00"/>
    <x v="151"/>
    <x v="11"/>
    <s v="Puntual"/>
    <s v="Cortacores daño en tornillo que ajusta"/>
    <d v="1899-12-30T21:20:00"/>
    <d v="1899-12-30T21:50:00"/>
    <d v="2026-03-26T00:00:00"/>
    <s v="Mecánica"/>
    <s v="Se instala tuerca para tornillo M12 para ajuste de pera corta cores"/>
    <s v="1X Tuerca M12"/>
    <s v="NA"/>
    <s v="J. SILVA"/>
    <x v="0"/>
  </r>
  <r>
    <n v="1091"/>
    <m/>
    <m/>
    <x v="3"/>
    <x v="5"/>
    <m/>
    <m/>
    <m/>
    <m/>
    <m/>
    <m/>
    <m/>
    <m/>
    <m/>
    <m/>
    <x v="1"/>
  </r>
  <r>
    <n v="1092"/>
    <s v="D. ARRIETA"/>
    <d v="1899-12-30T18:40:00"/>
    <x v="32"/>
    <x v="7"/>
    <s v="Puntual"/>
    <s v="Bomba neúmatica de tinta de la unidad #1"/>
    <d v="1899-12-30T18:40:00"/>
    <d v="1899-12-30T19:30:00"/>
    <d v="2026-04-13T00:00:00"/>
    <s v="Mecánica"/>
    <s v="Se le realiza mantenimiento, se destapa, se limpian camaras, se vuelve a armar y quedo operativo funcionamiento OK"/>
    <s v="NA"/>
    <s v="Alcohol flexografico"/>
    <s v="J. SILVA"/>
    <x v="0"/>
  </r>
  <r>
    <n v="1093"/>
    <m/>
    <m/>
    <x v="3"/>
    <x v="5"/>
    <m/>
    <m/>
    <m/>
    <m/>
    <m/>
    <m/>
    <m/>
    <m/>
    <m/>
    <m/>
    <x v="1"/>
  </r>
  <r>
    <n v="1094"/>
    <s v="D. CUESTA"/>
    <d v="1899-12-30T20:20:00"/>
    <x v="150"/>
    <x v="6"/>
    <s v="Puntual"/>
    <s v="Flauta inferior no gira total solo hasta la mitad y se tranca"/>
    <d v="1899-12-30T20:20:00"/>
    <d v="1899-12-30T20:40:00"/>
    <d v="2026-03-27T00:00:00"/>
    <s v="Neúmatica"/>
    <s v="Se realiza ajute en embolo cilndro flauta quedando OK"/>
    <s v="NA"/>
    <s v="NA"/>
    <s v="L. CASTILLA"/>
    <x v="0"/>
  </r>
  <r>
    <n v="1095"/>
    <s v="S. CARDENAL"/>
    <d v="1899-12-30T00:40:00"/>
    <x v="152"/>
    <x v="0"/>
    <s v="Puntual"/>
    <s v="Botón del transportador se solto"/>
    <d v="1899-12-30T00:40:00"/>
    <d v="1899-12-30T01:55:00"/>
    <d v="2026-03-29T00:00:00"/>
    <s v="Eléctrica"/>
    <s v="Cable desconectado"/>
    <s v="NA"/>
    <s v="NA"/>
    <s v="J. SILVA"/>
    <x v="0"/>
  </r>
  <r>
    <n v="1096"/>
    <s v="D. CUESTA"/>
    <d v="1899-12-30T05:25:00"/>
    <x v="152"/>
    <x v="6"/>
    <s v="Puntual"/>
    <s v="Revisar transporte y alimentador del embobinador A"/>
    <d v="1899-12-30T05:26:00"/>
    <d v="1899-12-30T06:00:00"/>
    <d v="2026-03-28T00:00:00"/>
    <s v="Neúmatica, Mecánica"/>
    <s v="Calibración de transportador"/>
    <s v="NA"/>
    <s v="NA"/>
    <s v="J. SILVA"/>
    <x v="0"/>
  </r>
  <r>
    <n v="1097"/>
    <m/>
    <m/>
    <x v="3"/>
    <x v="5"/>
    <m/>
    <m/>
    <m/>
    <m/>
    <m/>
    <m/>
    <m/>
    <m/>
    <m/>
    <m/>
    <x v="1"/>
  </r>
  <r>
    <n v="1098"/>
    <s v="S. PATIÑO"/>
    <m/>
    <x v="153"/>
    <x v="14"/>
    <s v="Puntual"/>
    <s v="Pinola del molde se sale al arrancar la maquina"/>
    <m/>
    <d v="1899-12-30T13:30:00"/>
    <d v="2026-04-03T00:00:00"/>
    <s v="Mecánica"/>
    <s v="Se envia barril a taller externo, se realiza montaje y puesta a punta de zonas de resistencias_x000a_Entrega de maquina armada, falta de montaje de corona 13:00, se requiere seguimiento despues del arranque"/>
    <s v="NA"/>
    <s v="NA"/>
    <s v="D. BAUTISTA"/>
    <x v="0"/>
  </r>
  <r>
    <n v="1099"/>
    <s v="D. ARRIETA"/>
    <d v="1899-12-30T10:45:00"/>
    <x v="153"/>
    <x v="7"/>
    <s v="Puntual"/>
    <s v="Correa de transimisión del embobinador"/>
    <d v="1899-12-30T10:45:00"/>
    <d v="1899-12-30T11:15:00"/>
    <d v="2026-03-29T00:00:00"/>
    <s v="Mecánica"/>
    <s v="Correas embobinador sueltas, se suelta tornillos motor para calibrar poleas y correas quedando OK"/>
    <s v="NA"/>
    <s v="NA"/>
    <s v="L. CASTILLA"/>
    <x v="0"/>
  </r>
  <r>
    <n v="1100"/>
    <s v="J. MIRANDA"/>
    <d v="1899-12-30T09:00:00"/>
    <x v="154"/>
    <x v="9"/>
    <s v="Puntual"/>
    <s v="El alineador del doblador dejo de funcionar"/>
    <d v="1899-12-30T09:00:00"/>
    <d v="1899-12-30T09:20:00"/>
    <d v="2026-03-30T00:00:00"/>
    <s v="Eléctrica"/>
    <s v="Cable de derivación a toma desconectado, se da ajuste y se realizan pruebas, quedo en operación"/>
    <s v="NA"/>
    <s v="NA"/>
    <s v="D. BAUTISTA"/>
    <x v="0"/>
  </r>
  <r>
    <n v="1101"/>
    <m/>
    <m/>
    <x v="3"/>
    <x v="5"/>
    <m/>
    <m/>
    <m/>
    <m/>
    <m/>
    <m/>
    <m/>
    <m/>
    <m/>
    <m/>
    <x v="1"/>
  </r>
  <r>
    <n v="1102"/>
    <m/>
    <m/>
    <x v="3"/>
    <x v="5"/>
    <m/>
    <m/>
    <m/>
    <m/>
    <m/>
    <m/>
    <m/>
    <m/>
    <m/>
    <m/>
    <x v="1"/>
  </r>
  <r>
    <n v="1103"/>
    <s v="D. CUESTA"/>
    <d v="1899-12-30T11:40:00"/>
    <x v="155"/>
    <x v="14"/>
    <s v="Puntual"/>
    <s v="Revisar temperatura tornillo interior"/>
    <m/>
    <m/>
    <m/>
    <m/>
    <m/>
    <m/>
    <m/>
    <m/>
    <x v="2"/>
  </r>
  <r>
    <n v="1104"/>
    <s v="L. MIRANDA"/>
    <d v="1899-12-30T14:00:00"/>
    <x v="155"/>
    <x v="6"/>
    <s v="Puntual"/>
    <s v="La maquina se arranca peo la velocidad no subia despues de 100 le puse 220 pero la maquina no subio y buscaba apegarse en la corona"/>
    <d v="1899-12-30T15:00:00"/>
    <d v="1899-12-30T15:38:00"/>
    <d v="2026-04-11T00:00:00"/>
    <s v="Eléctrica"/>
    <s v="Se reinicia braker queda operativo"/>
    <s v="NA"/>
    <s v="NA"/>
    <s v="J. SILVA"/>
    <x v="0"/>
  </r>
  <r>
    <n v="1105"/>
    <s v="C. CASTRO"/>
    <d v="1899-12-30T21:40:00"/>
    <x v="155"/>
    <x v="10"/>
    <s v="Puntual"/>
    <s v="Organizar y cuadrar castañas"/>
    <d v="1899-12-30T21:40:00"/>
    <d v="1899-12-30T22:50:00"/>
    <d v="2026-04-11T00:00:00"/>
    <s v="Mecánica"/>
    <s v="Se hace desmonte y montaje, ajuste de castaña y separado por ajuste, se limpia eje, se hace prueba queda operativo"/>
    <s v="NA"/>
    <s v="NA"/>
    <s v="O. DUARTE"/>
    <x v="0"/>
  </r>
  <r>
    <n v="1106"/>
    <s v="R. OLIVARES"/>
    <d v="1899-12-30T06:50:00"/>
    <x v="156"/>
    <x v="6"/>
    <s v="Puntual"/>
    <s v="Se apago la rotación de la torre"/>
    <d v="1899-12-30T07:00:00"/>
    <d v="1899-12-30T07:55:00"/>
    <d v="2026-04-12T00:00:00"/>
    <s v="Eléctrica"/>
    <s v="Se verifico rotación, se revisa un cable de la pacha B+ B- estaba mal contacto queda operativo"/>
    <s v="NA"/>
    <s v="NA"/>
    <s v="J. SILVA"/>
    <x v="0"/>
  </r>
  <r>
    <n v="1107"/>
    <m/>
    <m/>
    <x v="3"/>
    <x v="5"/>
    <m/>
    <m/>
    <m/>
    <m/>
    <m/>
    <m/>
    <m/>
    <m/>
    <m/>
    <m/>
    <x v="1"/>
  </r>
  <r>
    <n v="1108"/>
    <m/>
    <m/>
    <x v="3"/>
    <x v="5"/>
    <m/>
    <m/>
    <m/>
    <m/>
    <m/>
    <m/>
    <m/>
    <m/>
    <m/>
    <m/>
    <x v="1"/>
  </r>
  <r>
    <n v="1109"/>
    <m/>
    <m/>
    <x v="3"/>
    <x v="5"/>
    <m/>
    <m/>
    <m/>
    <m/>
    <m/>
    <m/>
    <m/>
    <m/>
    <m/>
    <m/>
    <x v="1"/>
  </r>
  <r>
    <n v="1110"/>
    <m/>
    <m/>
    <x v="3"/>
    <x v="5"/>
    <m/>
    <m/>
    <m/>
    <m/>
    <m/>
    <m/>
    <m/>
    <m/>
    <m/>
    <m/>
    <x v="1"/>
  </r>
  <r>
    <n v="1111"/>
    <s v="F. SANCHEZ"/>
    <d v="1899-12-30T06:00:00"/>
    <x v="32"/>
    <x v="21"/>
    <s v="Puntual"/>
    <s v="Variador del halador no prende"/>
    <d v="1899-12-30T20:00:00"/>
    <d v="1899-12-30T21:30:00"/>
    <d v="2026-04-15T00:00:00"/>
    <s v="Eléctrica"/>
    <s v="L. FLOREZ: 13/04/26 Se requiere variador para cambio_x000a_D. BAUTISTA: 15/4/26 20:00-21:30 Se realiza instalación de variador OPTIDRIVE a motor de rodillo halador, se instala riel omega, se realizo conexión eléctrica y programación del variador, se realizan pruebas y se entrega a producción para arranque 21:30// 15/04/26, se va a realizar acompañamiento y seguimiento en el arranque 1:50// 16/04/26_x000a_Queda en operación"/>
    <s v="NA"/>
    <s v="NA"/>
    <s v="D. BAUTISTA"/>
    <x v="0"/>
  </r>
  <r>
    <n v="1112"/>
    <s v="J. PARDO"/>
    <d v="1899-12-30T13:50:00"/>
    <x v="32"/>
    <x v="7"/>
    <s v="Puntual"/>
    <s v="Daño eje embobinador"/>
    <d v="1899-12-30T14:30:00"/>
    <d v="1899-12-30T15:00:00"/>
    <d v="2026-04-13T00:00:00"/>
    <s v="Neúmatica"/>
    <s v="Se recibe reporte 14:30, se realiza inspección, se encuentra manguera fisurada, se remplaza y se entrega operativa"/>
    <s v="NA"/>
    <s v="Manguera"/>
    <s v="D. BAUTISTA"/>
    <x v="0"/>
  </r>
  <r>
    <n v="1113"/>
    <s v="L. MIRANDA"/>
    <d v="1899-12-30T14:40:00"/>
    <x v="32"/>
    <x v="6"/>
    <s v="Puntual"/>
    <s v="Revisar manguera de la salida del IBC que esta rota en 2 partes "/>
    <d v="1899-12-30T14:40:00"/>
    <d v="1899-12-30T14:50:00"/>
    <d v="2026-04-13T00:00:00"/>
    <s v="Neúmatica"/>
    <s v="Se encuentra manguera de IBC partida"/>
    <s v="NA"/>
    <s v="NA"/>
    <s v="L. FLOREZ"/>
    <x v="0"/>
  </r>
  <r>
    <n v="1114"/>
    <s v="D. CUESTA"/>
    <d v="1899-12-30T04:50:00"/>
    <x v="47"/>
    <x v="8"/>
    <s v="Puntual"/>
    <s v="Coex 2 esta haciendo corto, se cae escobilla"/>
    <d v="1899-12-30T04:55:00"/>
    <d v="1899-12-30T05:25:00"/>
    <d v="2026-04-14T00:00:00"/>
    <s v="Eléctrica"/>
    <s v="Escobilla se cae de su posición, esto genera corto al pegar directo al soporte de la misma, queda operativa"/>
    <s v="NA"/>
    <s v="NA"/>
    <s v="J. SILVA"/>
    <x v="0"/>
  </r>
  <r>
    <n v="1115"/>
    <m/>
    <m/>
    <x v="3"/>
    <x v="5"/>
    <m/>
    <m/>
    <m/>
    <m/>
    <m/>
    <m/>
    <m/>
    <m/>
    <m/>
    <m/>
    <x v="1"/>
  </r>
  <r>
    <n v="1116"/>
    <s v="D. CUESTA"/>
    <d v="1899-12-30T00:25:00"/>
    <x v="32"/>
    <x v="9"/>
    <s v="Puntual"/>
    <s v="Tornillo deaña la rosca, no ajusta la manzana para apretar el rollo"/>
    <d v="1899-12-30T00:25:00"/>
    <d v="1899-12-30T01:00:00"/>
    <d v="2026-04-13T00:00:00"/>
    <s v="Mecánica"/>
    <s v="Se re repasa por marchas M10 se cambia tornillo por roscado dañado"/>
    <s v="1X Tornillo M10"/>
    <s v="NA"/>
    <s v="O. DUARTE"/>
    <x v="0"/>
  </r>
  <r>
    <n v="1117"/>
    <m/>
    <m/>
    <x v="3"/>
    <x v="5"/>
    <m/>
    <m/>
    <m/>
    <m/>
    <m/>
    <m/>
    <m/>
    <m/>
    <m/>
    <m/>
    <x v="1"/>
  </r>
  <r>
    <n v="1118"/>
    <m/>
    <m/>
    <x v="3"/>
    <x v="5"/>
    <m/>
    <m/>
    <m/>
    <m/>
    <m/>
    <m/>
    <m/>
    <m/>
    <m/>
    <m/>
    <x v="1"/>
  </r>
  <r>
    <n v="1119"/>
    <m/>
    <m/>
    <x v="3"/>
    <x v="5"/>
    <m/>
    <m/>
    <m/>
    <m/>
    <m/>
    <m/>
    <m/>
    <m/>
    <m/>
    <m/>
    <x v="1"/>
  </r>
  <r>
    <n v="1120"/>
    <s v="M. MARTINEZ"/>
    <d v="1899-12-30T08:30:00"/>
    <x v="32"/>
    <x v="21"/>
    <s v="Puntual"/>
    <s v="Presenta falla de sensor"/>
    <d v="1899-12-30T08:30:00"/>
    <d v="1899-12-30T09:19:00"/>
    <d v="2026-04-13T00:00:00"/>
    <s v="Eléctrica"/>
    <s v="Se hace revisión de sensor y encoder por falla, se hace ajuste en tiempos"/>
    <s v="NA"/>
    <s v="NA"/>
    <s v="O. DUARTE"/>
    <x v="0"/>
  </r>
  <r>
    <n v="1121"/>
    <s v="A. ROVINA"/>
    <d v="1899-12-30T05:00:00"/>
    <x v="157"/>
    <x v="0"/>
    <s v="Puntual"/>
    <s v="Se parte la correa que alimenta el servo"/>
    <d v="1899-12-30T05:00:00"/>
    <d v="1899-12-30T05:20:00"/>
    <d v="2026-04-16T00:00:00"/>
    <s v="Mecánica"/>
    <s v="Se encuentra correa de transmisión de halador partida, se remplaza correa 900H, se enrega operativa"/>
    <s v="1X Correa 900H"/>
    <s v="NA"/>
    <s v="D. BAUTISTA"/>
    <x v="0"/>
  </r>
  <r>
    <n v="1122"/>
    <s v="H. TRIANA"/>
    <d v="1899-12-30T23:00:00"/>
    <x v="157"/>
    <x v="8"/>
    <s v="Puntual"/>
    <s v="Tornillo de calibrar partido y termocupla mala"/>
    <d v="1899-12-30T23:05:00"/>
    <d v="1899-12-30T23:30:00"/>
    <d v="2026-04-16T00:00:00"/>
    <s v="Mecánica"/>
    <s v="Se saca tornillo y se ajusta termocupla"/>
    <s v="1X Tornillo"/>
    <s v="NA"/>
    <s v="J. SILVA"/>
    <x v="0"/>
  </r>
  <r>
    <n v="1123"/>
    <m/>
    <m/>
    <x v="3"/>
    <x v="5"/>
    <m/>
    <m/>
    <m/>
    <m/>
    <m/>
    <m/>
    <m/>
    <m/>
    <m/>
    <m/>
    <x v="1"/>
  </r>
  <r>
    <n v="1124"/>
    <s v="D. ARRIETA"/>
    <d v="1899-12-30T18:50:00"/>
    <x v="158"/>
    <x v="7"/>
    <s v="Puntual"/>
    <s v="Manguera de la bomba neúmatico se rebento"/>
    <d v="1899-12-30T19:39:00"/>
    <d v="1899-12-30T19:31:00"/>
    <d v="2026-04-17T00:00:00"/>
    <s v="Mecánica"/>
    <s v="Cambio manguera se estalla"/>
    <s v="NA"/>
    <s v="NA"/>
    <s v="J. SILVA"/>
    <x v="0"/>
  </r>
  <r>
    <n v="1125"/>
    <s v="D. ARRIETA"/>
    <d v="1899-12-30T20:15:00"/>
    <x v="158"/>
    <x v="7"/>
    <s v="Puntual"/>
    <s v="Rodillo de el balancin se safo y se daño donde y sugetado con la cadena"/>
    <d v="1899-12-30T20:20:00"/>
    <d v="1899-12-30T22:30:00"/>
    <d v="2026-04-17T00:00:00"/>
    <s v="Mecánica"/>
    <s v="Se soldan los dos dos candados para la cadena del balancin"/>
    <s v="NA"/>
    <s v="NA"/>
    <s v="J. SILVA"/>
    <x v="0"/>
  </r>
  <r>
    <n v="1126"/>
    <s v="A. ROVINA"/>
    <d v="1899-12-30T22:30:00"/>
    <x v="158"/>
    <x v="4"/>
    <s v="Puntual"/>
    <s v="Cuchilla se le parte un tornillo que genera la presión y ajusta la base"/>
    <d v="1899-12-30T06:30:00"/>
    <d v="1899-12-30T09:00:00"/>
    <d v="2026-04-18T00:00:00"/>
    <s v="Mecánica"/>
    <s v="Se encuentran pines guias de cilindros de ajuste de cuchilla con tornillos M4 X 20mm partidos, se extraen tornillos y se remplazan, se realiza montaje y se entrega para arranque"/>
    <s v="4X Tornillos M4 X 20mm"/>
    <s v="NA"/>
    <s v="D. BAUTISTA"/>
    <x v="0"/>
  </r>
  <r>
    <n v="1127"/>
    <s v="S. PATIÑO"/>
    <d v="1899-12-30T07:30:00"/>
    <x v="159"/>
    <x v="14"/>
    <s v="Puntual"/>
    <s v="Dosificador no funciona"/>
    <d v="1899-12-30T07:30:00"/>
    <d v="1899-12-30T08:00:00"/>
    <d v="2026-04-18T00:00:00"/>
    <s v="Eléctrica"/>
    <s v="Se realiza inspección y se encuentran contactos NC y NO en malas condiciones y por ello no realizo enclavamiento el contactor de alimetnación al variador, se remplazan y queda operativo"/>
    <s v="1X Contacto NC_x000a_1X Contacto NO"/>
    <s v="NA"/>
    <s v="D. BAUTISTA"/>
    <x v="0"/>
  </r>
  <r>
    <n v="1128"/>
    <s v="S. PATIÑO"/>
    <d v="1899-12-30T09:30:00"/>
    <x v="159"/>
    <x v="14"/>
    <s v="Puntual"/>
    <s v="Rotación no arranca"/>
    <d v="1899-12-30T09:30:00"/>
    <d v="1899-12-30T10:00:00"/>
    <d v="2026-04-18T00:00:00"/>
    <s v="Eléctrica"/>
    <s v="Se realiza inspeccióne eléctrica, se encuentra protección disparandose por corto, se realiza seguimiento y se encuentra cable de potencia aterrizado, se ajusta y se aisla cableado y se entrega operativo, se genero parada de maquina"/>
    <s v="NA"/>
    <s v="NA"/>
    <s v="D. BAUTISTA"/>
    <x v="0"/>
  </r>
  <r>
    <n v="1129"/>
    <m/>
    <m/>
    <x v="3"/>
    <x v="5"/>
    <m/>
    <m/>
    <m/>
    <m/>
    <m/>
    <m/>
    <m/>
    <m/>
    <m/>
    <m/>
    <x v="1"/>
  </r>
  <r>
    <n v="1130"/>
    <s v="S. PATIÑO"/>
    <d v="1899-12-30T13:00:00"/>
    <x v="159"/>
    <x v="14"/>
    <s v="Puntual"/>
    <s v="Fallo en temperatura molde"/>
    <d v="1899-12-30T13:00:00"/>
    <d v="1899-12-30T13:20:00"/>
    <d v="2026-04-18T00:00:00"/>
    <s v="Eléctrica"/>
    <s v="Se realiza inspección y se encuentra contacto de contactor con punto caliente, se revisa conexión y se entrega operativo"/>
    <s v="NA"/>
    <s v="NA"/>
    <s v="D. BAUTISTA"/>
    <x v="0"/>
  </r>
  <r>
    <n v="1131"/>
    <s v="S. PATIÑO"/>
    <d v="1899-12-30T16:00:00"/>
    <x v="159"/>
    <x v="14"/>
    <s v="Puntual"/>
    <s v="Motor dosificador no arranca"/>
    <d v="1899-12-30T16:00:00"/>
    <d v="1899-12-30T17:00:00"/>
    <d v="2026-04-18T00:00:00"/>
    <s v="Mecánica"/>
    <s v="Se realiza inspección al motor, se inspecciona estado de rodamientos, ajuste y conexiones eléctricas, se realizan pruebas y funciona se realiza montaje y se deja en operación"/>
    <s v="NA"/>
    <s v="NA"/>
    <s v="D. BAUTISTA"/>
    <x v="0"/>
  </r>
  <r>
    <n v="1132"/>
    <s v="F. SANCHEZ"/>
    <d v="1899-12-30T10:30:00"/>
    <x v="160"/>
    <x v="6"/>
    <s v="Puntual"/>
    <s v="Problemas con el molde las temperaturas no calientan, se dispara el breaker"/>
    <d v="1899-12-30T10:30:00"/>
    <d v="1899-12-30T11:20:00"/>
    <d v="2026-04-20T00:00:00"/>
    <s v="Eléctrica"/>
    <s v="Se verifica conexiones, cables sueltos, se torquea quedando con alimentación empieza subir temperatura queda en seguimiento"/>
    <s v="NA"/>
    <s v="NA"/>
    <s v="O. DUARTE"/>
    <x v="0"/>
  </r>
  <r>
    <n v="1133"/>
    <s v="J. PARDO"/>
    <d v="1899-12-30T12:00:00"/>
    <x v="160"/>
    <x v="7"/>
    <s v="Puntual"/>
    <s v="Corto eléctrico bomba"/>
    <d v="1899-12-30T12:00:00"/>
    <d v="1899-12-30T14:00:00"/>
    <d v="2026-04-20T00:00:00"/>
    <s v="Eléctrica"/>
    <s v="Se cambia cable y encuhe CETAC o CEE tipo stick se ajusta conexiones, se verifica protección queda operativa_x000a_Prueba de consumos"/>
    <s v="Cable encauchetado 4 hilos_x000a_Enchufe tipo stick"/>
    <s v="NA"/>
    <s v="O. DUARTE"/>
    <x v="0"/>
  </r>
  <r>
    <n v="1134"/>
    <m/>
    <m/>
    <x v="3"/>
    <x v="5"/>
    <m/>
    <m/>
    <m/>
    <m/>
    <m/>
    <m/>
    <m/>
    <m/>
    <m/>
    <m/>
    <x v="1"/>
  </r>
  <r>
    <n v="1135"/>
    <s v="E. BOHORQUEZ"/>
    <d v="1899-12-30T01:25:00"/>
    <x v="34"/>
    <x v="13"/>
    <s v="Puntual"/>
    <s v="Balancin bloqueado"/>
    <d v="1899-12-30T01:25:00"/>
    <d v="1899-12-30T02:45:00"/>
    <d v="2026-04-29T00:00:00"/>
    <s v="Eléctrica"/>
    <s v="Se evidencian sensores en mala posición por tanto no hacen señal, se posicionan y se ajustan, se calibra entrada de aire"/>
    <s v="NA"/>
    <s v="NA"/>
    <s v="O. DUARTE"/>
    <x v="0"/>
  </r>
  <r>
    <n v="1136"/>
    <s v="F. SANCHEZ"/>
    <d v="1899-12-30T17:50:00"/>
    <x v="160"/>
    <x v="14"/>
    <s v="Puntual"/>
    <s v="Zona del molde no calienta"/>
    <d v="1899-12-30T18:10:00"/>
    <d v="1899-12-30T19:00:00"/>
    <d v="2026-04-20T00:00:00"/>
    <s v="Eléctrica"/>
    <s v="Se encuentra temperatura baja en controlador molde, se inspecciono y se encuentra contacto e conector en fallo, se cambio contactor (32A), se realizan pruebas temperatura llego a setpoint y se entrega para arranque"/>
    <s v="1X Contactor 32A"/>
    <s v="NA"/>
    <s v="D. BAUTISTA"/>
    <x v="0"/>
  </r>
  <r>
    <n v="1137"/>
    <m/>
    <m/>
    <x v="3"/>
    <x v="5"/>
    <m/>
    <m/>
    <m/>
    <m/>
    <m/>
    <m/>
    <m/>
    <m/>
    <m/>
    <m/>
    <x v="1"/>
  </r>
  <r>
    <n v="1138"/>
    <s v="J. RINCON"/>
    <d v="1899-12-30T01:15:00"/>
    <x v="161"/>
    <x v="7"/>
    <s v="Puntual"/>
    <s v="Falla embobinador"/>
    <d v="1899-12-30T10:20:00"/>
    <d v="1899-12-30T03:00:00"/>
    <d v="2026-04-22T00:00:00"/>
    <s v="Eléctrica"/>
    <s v="Se encuentra fallo en bobinador se revisa circuito de control, de accionamiento de tambor y bobinador ya que no habilita la maquina para arrancar, se realizan ajustes en componentes eléctricos del circuito, cambio de componentes en mal estado, ajuste de conexiones eléctricas, inspección de tableros de control, se realizan pruebas y se entrega operativa"/>
    <s v="3X Fusibles 40A"/>
    <s v="NA"/>
    <s v="D. BAUTISTA"/>
    <x v="0"/>
  </r>
  <r>
    <n v="1139"/>
    <s v="D. BUESACO"/>
    <d v="1899-12-30T13:45:00"/>
    <x v="161"/>
    <x v="13"/>
    <s v="Puntual"/>
    <s v="Bolsa se queda en las uñas"/>
    <d v="1899-12-30T13:45:00"/>
    <d v="1899-12-30T18:00:00"/>
    <d v="2026-04-21T00:00:00"/>
    <s v="Neúmatica"/>
    <s v="Se realiza comprobación de entreadas de aire, valvulas neúmaticas, se toma consumo en solenoides, queda hacer seguimiento en el turno, se ajusta conteo para minimizar paradas"/>
    <s v="NA"/>
    <s v="NA"/>
    <s v="O. DUARTE"/>
    <x v="0"/>
  </r>
  <r>
    <n v="1140"/>
    <m/>
    <m/>
    <x v="3"/>
    <x v="5"/>
    <m/>
    <m/>
    <m/>
    <m/>
    <m/>
    <m/>
    <m/>
    <m/>
    <m/>
    <m/>
    <x v="1"/>
  </r>
  <r>
    <n v="1141"/>
    <s v="H. TRIANA"/>
    <d v="1899-12-30T08:00:00"/>
    <x v="162"/>
    <x v="8"/>
    <s v="Puntual"/>
    <s v="Cadena del eje embobinador se parte, zona tornillo interno esta recalentada"/>
    <d v="1899-12-30T08:00:00"/>
    <m/>
    <d v="2026-04-22T00:00:00"/>
    <s v="Mecánica"/>
    <s v="Se cambia cadena en eje del embobinador, lo dos costados se revisa zona del tornillo, cambio de termocupla, toma de consumos, sobre parametros se hace segiumiento"/>
    <s v="1X Termocupla tipo J"/>
    <s v="NA"/>
    <s v="O. DUARTE"/>
    <x v="0"/>
  </r>
  <r>
    <n v="1142"/>
    <s v="H. TRIANA"/>
    <d v="1899-12-30T12:00:00"/>
    <x v="163"/>
    <x v="1"/>
    <s v="Puntual"/>
    <s v="Platos corona desajustados se traban, esto hace descalibrar la borbosca"/>
    <m/>
    <m/>
    <m/>
    <m/>
    <m/>
    <m/>
    <m/>
    <m/>
    <x v="3"/>
  </r>
  <r>
    <n v="1143"/>
    <s v="D. ARRIETA"/>
    <d v="1899-12-30T14:38:00"/>
    <x v="162"/>
    <x v="7"/>
    <s v="Puntual"/>
    <s v="Rodamiento del embobinador"/>
    <d v="1899-12-30T14:38:00"/>
    <d v="1899-12-30T15:20:00"/>
    <d v="2026-04-22T00:00:00"/>
    <s v="Mecánica"/>
    <s v="Se hace cambio y ajuste en rodamientos del eje embobinador. Quedo operativo"/>
    <s v="1X Rodamiento 6005_x000a_2X Tornillos M5_x000a_2X Arandelas"/>
    <s v="NA"/>
    <s v="O. DUARTE"/>
    <x v="0"/>
  </r>
  <r>
    <n v="1144"/>
    <s v="D. ARRIETA"/>
    <d v="1899-12-30T06:00:00"/>
    <x v="163"/>
    <x v="7"/>
    <s v="Puntual"/>
    <s v="Diferencia de lado izquierdo se queda que no funciona"/>
    <d v="1899-12-30T06:00:00"/>
    <d v="1899-12-30T06:45:00"/>
    <d v="2026-04-23T00:00:00"/>
    <s v="Eléctrica"/>
    <s v="Se encuentra en caja botonera desconexión mando, se instala terminal, se ajsuta, se organiza tapa de conexión de motor de diferencial queda operativa"/>
    <s v="NA"/>
    <s v="NA"/>
    <s v="O. DUARTE"/>
    <x v="0"/>
  </r>
  <r>
    <n v="1145"/>
    <s v="E. REYES"/>
    <d v="1899-12-30T03:00:00"/>
    <x v="163"/>
    <x v="4"/>
    <s v="Puntual"/>
    <s v="Fallo en temperatura de la mordaza"/>
    <d v="1899-12-30T03:00:00"/>
    <d v="1899-12-30T04:00:00"/>
    <d v="2026-04-23T00:00:00"/>
    <s v="Eléctrica"/>
    <s v="Se encuentra cable de conexión de mordaza superior desconectado, se remplaza cable con terminal de ojo, se instala y se pone a calentar, queda en operación"/>
    <s v="3X Terminales de ojo"/>
    <s v="NA"/>
    <s v="D. BAUTISTA"/>
    <x v="0"/>
  </r>
  <r>
    <n v="1146"/>
    <m/>
    <m/>
    <x v="3"/>
    <x v="5"/>
    <m/>
    <m/>
    <m/>
    <m/>
    <m/>
    <m/>
    <m/>
    <m/>
    <m/>
    <m/>
    <x v="1"/>
  </r>
  <r>
    <n v="1147"/>
    <m/>
    <m/>
    <x v="3"/>
    <x v="5"/>
    <m/>
    <m/>
    <m/>
    <m/>
    <m/>
    <m/>
    <m/>
    <m/>
    <m/>
    <m/>
    <x v="1"/>
  </r>
  <r>
    <n v="1148"/>
    <m/>
    <m/>
    <x v="3"/>
    <x v="5"/>
    <m/>
    <m/>
    <m/>
    <m/>
    <m/>
    <m/>
    <m/>
    <m/>
    <m/>
    <m/>
    <x v="1"/>
  </r>
  <r>
    <n v="1149"/>
    <m/>
    <m/>
    <x v="3"/>
    <x v="5"/>
    <m/>
    <m/>
    <m/>
    <m/>
    <m/>
    <m/>
    <m/>
    <m/>
    <m/>
    <m/>
    <x v="1"/>
  </r>
  <r>
    <n v="1150"/>
    <m/>
    <m/>
    <x v="3"/>
    <x v="5"/>
    <m/>
    <m/>
    <m/>
    <m/>
    <m/>
    <m/>
    <m/>
    <m/>
    <m/>
    <m/>
    <x v="1"/>
  </r>
  <r>
    <n v="1151"/>
    <m/>
    <m/>
    <x v="3"/>
    <x v="5"/>
    <m/>
    <m/>
    <m/>
    <m/>
    <m/>
    <m/>
    <m/>
    <m/>
    <m/>
    <m/>
    <x v="1"/>
  </r>
  <r>
    <n v="1152"/>
    <s v="A. ROVINA"/>
    <d v="1899-12-30T09:45:00"/>
    <x v="163"/>
    <x v="4"/>
    <s v="Puntual"/>
    <s v="Se desordenaron las correas"/>
    <d v="1899-12-30T09:45:00"/>
    <d v="1899-12-30T10:15:00"/>
    <d v="2026-04-23T00:00:00"/>
    <s v="Mecánica"/>
    <s v="Se realiza ajuste a correas sobremontadas queda resaltar que esta es parte operativa"/>
    <s v="NA"/>
    <s v="NA"/>
    <s v="O. DUARTE"/>
    <x v="2"/>
  </r>
  <r>
    <n v="1153"/>
    <s v="A. ROVINA"/>
    <d v="1899-12-30T12:09:00"/>
    <x v="163"/>
    <x v="0"/>
    <s v="Puntual"/>
    <s v="Molesta la temperatura, sube y baja"/>
    <d v="1899-12-30T12:09:00"/>
    <d v="1899-12-30T13:15:00"/>
    <d v="2026-04-23T00:00:00"/>
    <s v="Eléctrica"/>
    <s v="Se revisa, se cambia terminal de resistencia hacia falso contacto, se ajusta se pone a calentar quedando en temperatura de trabajo"/>
    <s v="NA"/>
    <s v="NA"/>
    <s v="O. DUARTE"/>
    <x v="0"/>
  </r>
  <r>
    <n v="1154"/>
    <s v="H. TRIANA"/>
    <d v="1899-12-30T12:10:00"/>
    <x v="163"/>
    <x v="1"/>
    <s v="Puntual"/>
    <s v="Temperaturas altas y bajas"/>
    <m/>
    <m/>
    <m/>
    <m/>
    <m/>
    <m/>
    <m/>
    <m/>
    <x v="2"/>
  </r>
  <r>
    <n v="1155"/>
    <s v="D. MORENO"/>
    <d v="1899-12-30T16:30:00"/>
    <x v="163"/>
    <x v="24"/>
    <s v="Puntual"/>
    <s v="La corta cores presenta daño en ajuste de tornillo y rodillo del cortacore"/>
    <d v="1899-12-30T16:30:00"/>
    <d v="1899-12-30T17:17:00"/>
    <d v="2026-04-23T00:00:00"/>
    <s v="Mecánica"/>
    <s v="Se cambia tornillo y tierca"/>
    <s v="2X Tuercas M12_x000a_2X Tornillos M12"/>
    <s v="NA"/>
    <s v="O. DUARTE"/>
    <x v="2"/>
  </r>
  <r>
    <n v="1156"/>
    <s v="F. SANCHEZ"/>
    <d v="1899-12-30T20:30:00"/>
    <x v="163"/>
    <x v="6"/>
    <s v="Puntual"/>
    <s v="Problemas con la manguera de salida del IBC, esta rota empate con cinta"/>
    <d v="1899-12-30T20:32:00"/>
    <d v="1899-12-30T21:00:00"/>
    <d v="2026-04-23T00:00:00"/>
    <s v="Neúmatica"/>
    <m/>
    <m/>
    <m/>
    <m/>
    <x v="0"/>
  </r>
  <r>
    <n v="1157"/>
    <s v="S. PATIÑO"/>
    <d v="1899-12-30T22:10:00"/>
    <x v="163"/>
    <x v="14"/>
    <s v="Puntual"/>
    <s v="Corto en la rotación"/>
    <d v="1899-12-30T22:10:00"/>
    <d v="1899-12-30T22:40:00"/>
    <d v="2026-04-23T00:00:00"/>
    <s v="Eléctrica"/>
    <s v="Corto en escobillas de coex 2 se soluciona y queda OK"/>
    <s v="NA"/>
    <s v="NA"/>
    <s v="J. SILVA"/>
    <x v="0"/>
  </r>
  <r>
    <n v="1158"/>
    <s v="J. PARDO"/>
    <d v="1899-12-30T20:00:00"/>
    <x v="163"/>
    <x v="7"/>
    <s v="Puntual"/>
    <s v="La maquina arranca y sube velocidad sola"/>
    <m/>
    <m/>
    <m/>
    <m/>
    <m/>
    <m/>
    <m/>
    <m/>
    <x v="2"/>
  </r>
  <r>
    <n v="1159"/>
    <s v="S. PATIÑO"/>
    <d v="1899-12-30T18:10:00"/>
    <x v="163"/>
    <x v="1"/>
    <s v="Repetitiva"/>
    <s v="Platos corona desjaustados"/>
    <d v="1899-12-30T18:30:00"/>
    <d v="1899-12-30T19:57:00"/>
    <d v="2026-04-23T00:00:00"/>
    <s v="Mecánica"/>
    <s v="Se destraban discos, se les coloca teflon quedan listos provisionalmente"/>
    <s v="NA"/>
    <s v="NA"/>
    <s v="J. SILVA"/>
    <x v="0"/>
  </r>
  <r>
    <n v="1160"/>
    <m/>
    <m/>
    <x v="3"/>
    <x v="5"/>
    <m/>
    <m/>
    <m/>
    <m/>
    <m/>
    <m/>
    <m/>
    <m/>
    <m/>
    <m/>
    <x v="1"/>
  </r>
  <r>
    <n v="1161"/>
    <s v="H. TRIANA"/>
    <d v="1899-12-30T14:40:00"/>
    <x v="48"/>
    <x v="8"/>
    <s v="Repetitiva"/>
    <s v="Mangas tratador se quemaron"/>
    <d v="1899-12-30T14:40:00"/>
    <d v="1899-12-30T16:00:00"/>
    <d v="2026-04-24T00:00:00"/>
    <s v="Mecánica"/>
    <s v="Se limpia mangas con alcohol, se aplica silicona alte temperatura, se recomienda dejar seca 30 min"/>
    <s v="NA"/>
    <s v="Silicona Alta temperatura"/>
    <s v="O. DUARTE"/>
    <x v="0"/>
  </r>
  <r>
    <n v="1162"/>
    <s v="C. CASTRO"/>
    <d v="1899-12-30T08:00:00"/>
    <x v="164"/>
    <x v="9"/>
    <s v="Puntual"/>
    <s v="Daño en la toma de corriente "/>
    <d v="1899-12-30T08:00:00"/>
    <d v="1899-12-30T09:00:00"/>
    <d v="2026-04-25T00:00:00"/>
    <s v="Eléctrica"/>
    <s v="Se encuentra toma 220V trifasica partida y genera corto, se remplaza toma y trs fusibles 16A que quemo en el corto, quedo operativo"/>
    <s v="3X Fusibles 16A_x000a_1X Toma trifasica"/>
    <s v="NA"/>
    <s v="D. BAUTISTA"/>
    <x v="0"/>
  </r>
  <r>
    <n v="1163"/>
    <s v="H. TRIANA"/>
    <d v="1899-12-30T06:30:00"/>
    <x v="165"/>
    <x v="14"/>
    <s v="Puntual"/>
    <s v="Fallo en escobillas de rotación"/>
    <d v="1899-12-30T06:30:00"/>
    <d v="1899-12-30T09:00:00"/>
    <d v="2026-04-27T00:00:00"/>
    <s v="Eléctrica"/>
    <s v="Se calibran escobillas, hay una que el soporte ya no agarra bien"/>
    <s v="NA"/>
    <s v="NA"/>
    <s v="J. SILVA"/>
    <x v="0"/>
  </r>
  <r>
    <n v="1164"/>
    <s v="L. FLOREZ"/>
    <d v="1899-12-30T15:00:00"/>
    <x v="165"/>
    <x v="11"/>
    <s v="Puntual"/>
    <s v="Se necesitan materiales para taller de mantenimiento"/>
    <m/>
    <m/>
    <m/>
    <m/>
    <m/>
    <m/>
    <m/>
    <m/>
    <x v="2"/>
  </r>
  <r>
    <n v="1165"/>
    <m/>
    <m/>
    <x v="3"/>
    <x v="5"/>
    <m/>
    <m/>
    <m/>
    <m/>
    <m/>
    <m/>
    <m/>
    <m/>
    <m/>
    <m/>
    <x v="1"/>
  </r>
  <r>
    <n v="1166"/>
    <m/>
    <m/>
    <x v="3"/>
    <x v="5"/>
    <m/>
    <m/>
    <m/>
    <m/>
    <m/>
    <m/>
    <m/>
    <m/>
    <m/>
    <m/>
    <x v="1"/>
  </r>
  <r>
    <n v="1167"/>
    <s v="A. CESPEDES"/>
    <d v="1899-12-30T21:50:00"/>
    <x v="165"/>
    <x v="4"/>
    <s v="Puntual"/>
    <s v="Se daña manguera de aire de las uñas"/>
    <d v="1899-12-30T21:50:00"/>
    <d v="1899-12-30T22:40:00"/>
    <d v="2026-04-27T00:00:00"/>
    <s v="Neúmatica"/>
    <s v="Se realiza cambio de manguera, se encuentra partida, se da ajuste queda operativa"/>
    <s v="1X Tramo de manguera de 8m X 50mm"/>
    <s v="NA"/>
    <s v="O. DUARTE"/>
    <x v="0"/>
  </r>
  <r>
    <n v="1168"/>
    <m/>
    <m/>
    <x v="3"/>
    <x v="5"/>
    <m/>
    <m/>
    <m/>
    <m/>
    <m/>
    <m/>
    <m/>
    <m/>
    <m/>
    <m/>
    <x v="1"/>
  </r>
  <r>
    <n v="1169"/>
    <s v="S. BRICEÑO"/>
    <d v="1899-12-30T04:15:00"/>
    <x v="166"/>
    <x v="7"/>
    <s v="Puntual"/>
    <s v="Soldadura del piñon del desembobinador se rompe"/>
    <d v="1899-12-30T04:15:00"/>
    <d v="1899-12-30T05:00:00"/>
    <d v="2026-04-28T00:00:00"/>
    <s v="Mecánica"/>
    <s v="Se aplica soldadura a eje desembobinador queda operativo"/>
    <s v="NA"/>
    <s v="Soldadura 6013"/>
    <s v="O. DUARTE"/>
    <x v="2"/>
  </r>
  <r>
    <n v="1170"/>
    <m/>
    <m/>
    <x v="3"/>
    <x v="5"/>
    <m/>
    <m/>
    <m/>
    <m/>
    <m/>
    <m/>
    <m/>
    <m/>
    <m/>
    <m/>
    <x v="1"/>
  </r>
  <r>
    <n v="1171"/>
    <m/>
    <m/>
    <x v="3"/>
    <x v="5"/>
    <m/>
    <m/>
    <m/>
    <m/>
    <m/>
    <m/>
    <m/>
    <m/>
    <m/>
    <m/>
    <x v="1"/>
  </r>
  <r>
    <n v="1172"/>
    <s v="H. TRIANA"/>
    <d v="1899-12-30T16:33:00"/>
    <x v="166"/>
    <x v="1"/>
    <s v="Puntual"/>
    <s v="Prensa se frena"/>
    <d v="1899-12-30T16:33:00"/>
    <d v="1899-12-30T17:00:00"/>
    <d v="2026-04-28T00:00:00"/>
    <s v="Mecánica"/>
    <s v="Se lubrican rodamientos de chumaceras, se ajusta tensión motor y se realizan pruebas en operación"/>
    <s v="NA"/>
    <s v="NA"/>
    <s v="D. BAUTISTA"/>
    <x v="0"/>
  </r>
  <r>
    <n v="1173"/>
    <s v="E. REYES"/>
    <d v="1899-12-30T17:00:00"/>
    <x v="166"/>
    <x v="0"/>
    <s v="Puntual"/>
    <s v="Fotocelda falla"/>
    <d v="1899-12-30T17:00:00"/>
    <d v="1899-12-30T17:30:00"/>
    <d v="2026-04-28T00:00:00"/>
    <s v="Eléctrica"/>
    <s v="Se realizo cambio de fotocelda y la operaria realiza cambio de parametros quedando operativa"/>
    <s v="NA"/>
    <s v="NA"/>
    <s v="D. BAUTISTA"/>
    <x v="0"/>
  </r>
  <r>
    <n v="1174"/>
    <s v="B. RODRIGUEZ"/>
    <d v="1899-12-30T17:30:00"/>
    <x v="166"/>
    <x v="10"/>
    <s v="Puntual"/>
    <s v="Cambio de rodillo pisador"/>
    <d v="1899-12-30T17:30:00"/>
    <d v="1899-12-30T17:40:00"/>
    <d v="2026-04-28T00:00:00"/>
    <s v="Mecánica"/>
    <s v="Se realiza cambio de rodillo pisador superior"/>
    <s v="NA"/>
    <s v="NA"/>
    <s v="D. BAUTISTA"/>
    <x v="0"/>
  </r>
  <r>
    <n v="1175"/>
    <s v="A. CESPEDES"/>
    <d v="1899-12-30T00:45:00"/>
    <x v="34"/>
    <x v="0"/>
    <s v="Puntual"/>
    <s v="Daño en piñon del servo se sigue trabando bajo seguimiento"/>
    <d v="1899-12-30T00:45:00"/>
    <d v="1899-12-30T05:00:00"/>
    <d v="2026-04-29T00:00:00"/>
    <s v="Mecánica"/>
    <s v="Se evidencia piñon dañado por falta de dientes, se busca en el taller, no se encuentra repuesto para remplazar_x000a_Seguimiento durante el turno"/>
    <m/>
    <m/>
    <s v="O. DUARTE"/>
    <x v="2"/>
  </r>
  <r>
    <n v="1176"/>
    <s v="A. ROVINA"/>
    <d v="1899-12-30T07:10:00"/>
    <x v="34"/>
    <x v="0"/>
    <s v="Puntual"/>
    <s v="Se enreda el material en el servo, se arreglan las uñas"/>
    <d v="1899-12-30T07:12:00"/>
    <d v="1899-12-30T07:45:00"/>
    <d v="2026-04-29T00:00:00"/>
    <s v="Mecánica"/>
    <s v="Se retiran uñas, se desdoblan_x000a_Quedan OK"/>
    <s v="NA"/>
    <s v="NA"/>
    <s v="J. SILVA"/>
    <x v="2"/>
  </r>
  <r>
    <n v="1177"/>
    <m/>
    <m/>
    <x v="3"/>
    <x v="5"/>
    <m/>
    <m/>
    <m/>
    <m/>
    <m/>
    <m/>
    <m/>
    <m/>
    <m/>
    <m/>
    <x v="1"/>
  </r>
  <r>
    <n v="1178"/>
    <s v="D. CUESTA"/>
    <d v="1899-12-30T08:15:00"/>
    <x v="33"/>
    <x v="6"/>
    <s v="Puntual"/>
    <s v="Correa del halador destencionada"/>
    <d v="1899-12-30T08:15:00"/>
    <d v="1899-12-30T08:30:00"/>
    <d v="2026-04-30T00:00:00"/>
    <s v="Mecánica"/>
    <s v="Se tensiona correa sincronica de halador ya que se encuentra demasiado destencionada"/>
    <s v="NA"/>
    <s v="NA"/>
    <s v="D. BAUTISTA"/>
    <x v="0"/>
  </r>
  <r>
    <n v="1179"/>
    <s v="H. TRIANA"/>
    <d v="1899-12-30T05:55:00"/>
    <x v="33"/>
    <x v="1"/>
    <s v="Puntual"/>
    <s v="Echa candela el tratador"/>
    <d v="1899-12-30T07:30:00"/>
    <d v="1899-12-30T08:15:00"/>
    <d v="2026-04-30T00:00:00"/>
    <s v="Eléctrica"/>
    <s v="Se realiza ajuste en conectores, se aisla terminal de potencia y se ajustan cuchillas de tratado, se realizan pruebas y queda operativo, se entrega para arranque"/>
    <s v="NA"/>
    <s v="NA"/>
    <s v="D. BAUTISTA"/>
    <x v="0"/>
  </r>
  <r>
    <n v="1180"/>
    <s v="L. FLOREZ"/>
    <d v="1899-12-30T11:00:00"/>
    <x v="33"/>
    <x v="8"/>
    <s v="Puntual"/>
    <s v="Fabricación de mangas tratadoras 51mm X 55mm X 1100mm X3 unidades"/>
    <m/>
    <m/>
    <m/>
    <m/>
    <m/>
    <m/>
    <m/>
    <m/>
    <x v="2"/>
  </r>
  <r>
    <n v="1181"/>
    <m/>
    <m/>
    <x v="3"/>
    <x v="5"/>
    <m/>
    <m/>
    <m/>
    <m/>
    <m/>
    <m/>
    <m/>
    <m/>
    <m/>
    <m/>
    <x v="1"/>
  </r>
  <r>
    <n v="1182"/>
    <s v="J. LUCAS"/>
    <d v="1899-12-30T13:40:00"/>
    <x v="33"/>
    <x v="0"/>
    <s v="Puntual"/>
    <s v="Muestrar error en sensor 05"/>
    <d v="1899-12-30T13:40:00"/>
    <d v="1899-12-30T14:00:00"/>
    <d v="2026-04-30T00:00:00"/>
    <s v="Eléctrica"/>
    <s v="Falla 05 en sensor drive, se ajusto sensor, se reseteo maquina y se realizan pruebas"/>
    <s v="NA"/>
    <s v="NA"/>
    <s v="D. BAUTISTA"/>
    <x v="0"/>
  </r>
  <r>
    <n v="1183"/>
    <s v="S. PATIÑO"/>
    <d v="1899-12-30T08:30:00"/>
    <x v="33"/>
    <x v="1"/>
    <s v="Puntual"/>
    <s v="Zona 1 (Tolva) no calienta"/>
    <d v="1899-12-30T08:30:00"/>
    <d v="1899-12-30T09:00:00"/>
    <d v="2026-04-30T00:00:00"/>
    <s v="Eléctrica"/>
    <s v="Se realiza cambio de pirometro de tolva"/>
    <s v="1X Pirometro"/>
    <s v="NA"/>
    <s v="D. BAUTISTA"/>
    <x v="0"/>
  </r>
  <r>
    <n v="1184"/>
    <s v="H. TRIANA"/>
    <d v="1899-12-30T19:35:00"/>
    <x v="33"/>
    <x v="8"/>
    <s v="Puntual"/>
    <s v="Falla en tratador (echa candela)"/>
    <d v="1899-12-30T19:35:00"/>
    <d v="1899-12-30T23:40:00"/>
    <d v="2026-04-30T00:00:00"/>
    <s v="Eléctrica"/>
    <s v="Se encuentra aislador quemado, se cambia por el del cable a tierra ya que no hay en stock, queda OK_x000a_Se solicita para su cambio"/>
    <s v="1X Aislador"/>
    <s v="NA"/>
    <s v="J. SILVA"/>
    <x v="0"/>
  </r>
  <r>
    <n v="1185"/>
    <s v="D. CUESTA"/>
    <d v="1899-12-30T17:50:00"/>
    <x v="33"/>
    <x v="6"/>
    <s v="Puntual"/>
    <s v="Ajustar clavos de los perforadores"/>
    <d v="1899-12-30T18:20:00"/>
    <d v="1899-12-30T21:40:00"/>
    <d v="2026-04-30T00:00:00"/>
    <s v="Mecánica"/>
    <s v="Se calibran perforadores, se les echa superbonder como medida transitoria"/>
    <s v="NA"/>
    <s v="NA"/>
    <s v="J. SILVA"/>
    <x v="0"/>
  </r>
  <r>
    <n v="1186"/>
    <m/>
    <m/>
    <x v="3"/>
    <x v="5"/>
    <m/>
    <m/>
    <m/>
    <m/>
    <m/>
    <m/>
    <m/>
    <m/>
    <m/>
    <m/>
    <x v="1"/>
  </r>
  <r>
    <n v="1187"/>
    <s v="E. BOHORQUEZ"/>
    <d v="1899-12-30T00:28:00"/>
    <x v="167"/>
    <x v="4"/>
    <s v="Puntual"/>
    <s v="Daño en el balancin"/>
    <d v="1899-12-30T00:30:00"/>
    <d v="1899-12-30T01:00:00"/>
    <d v="2026-05-01T00:00:00"/>
    <s v="Mecánica"/>
    <s v="Se ajustan rodamientos Queda OK"/>
    <s v="NA"/>
    <s v="NA"/>
    <s v="J. SILVA"/>
    <x v="0"/>
  </r>
  <r>
    <n v="1188"/>
    <s v="D. ARRIETA"/>
    <m/>
    <x v="167"/>
    <x v="7"/>
    <s v="Puntual"/>
    <s v="Diferencial izquierda no subia, bombas neumatica y eléctricas"/>
    <m/>
    <m/>
    <m/>
    <m/>
    <s v="Se revisan bombas, clavijas mal conexión, la neúmatica se le hace mantenimiento, diferencial cable abierto, se remplaza, todo queda OK"/>
    <s v="NA"/>
    <s v="NA"/>
    <s v="J. SILVA"/>
    <x v="0"/>
  </r>
  <r>
    <n v="1189"/>
    <s v="E. BELLO"/>
    <d v="1899-12-30T00:50:00"/>
    <x v="167"/>
    <x v="2"/>
    <s v="Puntual"/>
    <s v="Daño en cilindro neúmatico del perforador"/>
    <d v="1899-12-30T00:55:00"/>
    <d v="1899-12-30T01:10:00"/>
    <d v="2026-05-01T00:00:00"/>
    <s v="Mecánica"/>
    <s v="Se cambio cilindro neúmatico por daño en rosca"/>
    <s v="1X Cilindro Neúmatico"/>
    <s v="NA"/>
    <s v="J. SILVA"/>
    <x v="0"/>
  </r>
  <r>
    <n v="1190"/>
    <s v="A. ROVINA"/>
    <d v="1899-12-30T10:00:00"/>
    <x v="167"/>
    <x v="0"/>
    <s v="Puntual"/>
    <s v="Se enreda el material en el servo y se doblan las uñas"/>
    <d v="1899-12-30T10:00:00"/>
    <d v="1899-12-30T12:31:00"/>
    <d v="2026-05-01T00:00:00"/>
    <s v="Mecánica"/>
    <s v="Se evidencia material y cinta enredados en rodillo servo, se doblan las uñas, se desmontan se enderezan, se limpian rodillos, se hacen pruebas queda operativa"/>
    <s v="NA"/>
    <s v="NA"/>
    <s v="O. DUARTE"/>
    <x v="0"/>
  </r>
  <r>
    <n v="1191"/>
    <m/>
    <m/>
    <x v="3"/>
    <x v="5"/>
    <m/>
    <m/>
    <m/>
    <m/>
    <m/>
    <m/>
    <m/>
    <m/>
    <m/>
    <m/>
    <x v="1"/>
  </r>
  <r>
    <n v="1192"/>
    <s v="A. CESPEDES"/>
    <d v="1899-12-30T00:10:00"/>
    <x v="168"/>
    <x v="4"/>
    <s v="Puntual"/>
    <s v="Se rompe correa del servo"/>
    <d v="1899-12-30T00:10:00"/>
    <d v="1899-12-30T01:20:00"/>
    <d v="2026-05-02T00:00:00"/>
    <s v="Mecánica"/>
    <s v="Se realiza cambio de correa de rodillo de cuchilla ya que se encuentra y queda operativa"/>
    <s v="NA"/>
    <s v="NA"/>
    <s v="D. BAUTISTA"/>
    <x v="0"/>
  </r>
  <r>
    <n v="1193"/>
    <m/>
    <m/>
    <x v="3"/>
    <x v="5"/>
    <m/>
    <m/>
    <m/>
    <m/>
    <m/>
    <m/>
    <m/>
    <m/>
    <m/>
    <m/>
    <x v="1"/>
  </r>
  <r>
    <n v="1194"/>
    <m/>
    <m/>
    <x v="3"/>
    <x v="5"/>
    <m/>
    <m/>
    <m/>
    <m/>
    <m/>
    <m/>
    <m/>
    <m/>
    <m/>
    <m/>
    <x v="1"/>
  </r>
  <r>
    <n v="1195"/>
    <s v="D. CUESTA"/>
    <d v="1899-12-30T19:00:00"/>
    <x v="167"/>
    <x v="6"/>
    <s v="Puntual"/>
    <s v="Manguera del IBC ROTA"/>
    <d v="1899-12-30T19:00:00"/>
    <d v="1899-12-30T19:40:00"/>
    <d v="2026-05-01T00:00:00"/>
    <s v="Mecánica"/>
    <s v="Se realiza cambio de manguera de salida del IBC la cual se encuentra en mal estado, se interviene en cambio de mallas del cañon A y C, queda lista para arrancar"/>
    <s v="NA"/>
    <s v="NA"/>
    <s v="D. BAUTISTA"/>
    <x v="0"/>
  </r>
  <r>
    <n v="1196"/>
    <m/>
    <m/>
    <x v="3"/>
    <x v="5"/>
    <m/>
    <m/>
    <m/>
    <m/>
    <m/>
    <m/>
    <m/>
    <m/>
    <m/>
    <m/>
    <x v="1"/>
  </r>
  <r>
    <n v="1197"/>
    <s v="A. ROVINA"/>
    <d v="1899-12-30T07:50:00"/>
    <x v="168"/>
    <x v="4"/>
    <s v="Puntual"/>
    <s v="Rodillo en mal estado"/>
    <d v="1899-12-30T07:50:00"/>
    <d v="1899-12-30T08:40:00"/>
    <d v="2026-05-02T00:00:00"/>
    <s v="Mecánica"/>
    <s v="Se evidencia polea de transmisión rodillo halador servo suelto, se ajusta cuña y prisionero y queda operativo"/>
    <s v="NA"/>
    <s v="NA"/>
    <s v="O. DUARTE"/>
    <x v="0"/>
  </r>
  <r>
    <n v="1198"/>
    <s v="A. ROVINA"/>
    <d v="1899-12-30T10:00:00"/>
    <x v="168"/>
    <x v="4"/>
    <s v="Puntual"/>
    <s v="Se rompe rodillo punta del transportador"/>
    <d v="1899-12-30T10:00:00"/>
    <d v="1899-12-30T11:30:00"/>
    <d v="2026-05-02T00:00:00"/>
    <s v="Mecánica"/>
    <s v="Se desmonta rodillo tensor de transportador, se reconstruye punta se da ajuste al eje, se tensionan correas y queda operativa la maquina"/>
    <s v="NA"/>
    <s v="Soldadura 60113"/>
    <s v="O. DUARTE"/>
    <x v="0"/>
  </r>
  <r>
    <n v="1199"/>
    <s v="E. BOHORQUEZ"/>
    <d v="1899-12-30T22:17:00"/>
    <x v="168"/>
    <x v="0"/>
    <s v="Puntual"/>
    <s v="Maquina presenta variación de emperatura (baja)"/>
    <d v="1899-12-30T22:20:00"/>
    <d v="1899-12-30T22:40:00"/>
    <d v="2026-05-02T00:00:00"/>
    <s v="Eléctrica"/>
    <s v="Se encuentra cable de derivación a resistencia de mordaza superior en mal estado, se realizo el cambio y se instala bornera, queda operativa"/>
    <s v="1X Bornera"/>
    <s v="NA"/>
    <s v="D. BAUTISTA"/>
    <x v="0"/>
  </r>
  <r>
    <n v="1200"/>
    <s v="F. SANCHEZ"/>
    <d v="1899-12-30T10:00:00"/>
    <x v="169"/>
    <x v="6"/>
    <s v="Puntual"/>
    <s v="Probelmas con los tratadores no funcionan para abrir y para cerrar las densiddes, no funcionan para calcularles lasque es"/>
    <d v="1899-12-30T10:00:00"/>
    <d v="1899-12-30T12:00:00"/>
    <d v="2026-04-03T00:00:00"/>
    <s v="Eléctrica"/>
    <s v="Se revisa tablero, control de tablero y paletas, se identifica cableado, se da conexión y ajuste por parte operario queda operativa, se reinicio el equipo pero persiste falla de densidad para calcular"/>
    <s v="NA"/>
    <s v="NA"/>
    <s v="O. DUARTE"/>
    <x v="2"/>
  </r>
  <r>
    <n v="1201"/>
    <s v="A. ROVINA"/>
    <d v="1899-12-30T08:00:00"/>
    <x v="170"/>
    <x v="4"/>
    <s v="Puntual"/>
    <s v="Cambio de cuchilla"/>
    <m/>
    <m/>
    <m/>
    <m/>
    <m/>
    <m/>
    <m/>
    <m/>
    <x v="2"/>
  </r>
  <r>
    <n v="1202"/>
    <s v="L. FLOREZ"/>
    <d v="1899-12-30T08:02:00"/>
    <x v="170"/>
    <x v="1"/>
    <m/>
    <s v="Compra urgente:_x000a_X30 Tornillo bristol M16 X 60mm_x000a_X2 Llaves bristol M14 largas_x000a_X2 Laves bristol 9/16&quot; largas_x000a_X1 Palanca para dado 1/2&quot;"/>
    <m/>
    <m/>
    <m/>
    <m/>
    <m/>
    <m/>
    <m/>
    <m/>
    <x v="2"/>
  </r>
  <r>
    <n v="1203"/>
    <s v="L. FLOREZ"/>
    <d v="1899-12-30T07:04:00"/>
    <x v="170"/>
    <x v="11"/>
    <m/>
    <s v="X2 cuñetes aceite 320 Frixo"/>
    <m/>
    <m/>
    <m/>
    <m/>
    <m/>
    <m/>
    <m/>
    <m/>
    <x v="2"/>
  </r>
  <r>
    <n v="1204"/>
    <s v="L. FLOREZ"/>
    <d v="1899-12-30T07:42:00"/>
    <x v="171"/>
    <x v="0"/>
    <m/>
    <s v="Correa 240L 075 X6 u/n correa dentada "/>
    <m/>
    <m/>
    <m/>
    <m/>
    <m/>
    <m/>
    <m/>
    <m/>
    <x v="2"/>
  </r>
  <r>
    <n v="1205"/>
    <s v="H. TRIANA"/>
    <d v="1899-12-30T14:00:00"/>
    <x v="170"/>
    <x v="8"/>
    <s v="Puntual"/>
    <s v="Tornillo esta muy duro y no sirve"/>
    <d v="1899-12-30T14:00:00"/>
    <d v="1899-12-30T16:30:00"/>
    <d v="2026-05-04T00:00:00"/>
    <s v="Mecánica"/>
    <s v="Se aplica soldadura se rompe tornillo, se extrae con buje de camisa, se reporta a producción equipo parado mientras traen repuesto, tornillos nuevos"/>
    <m/>
    <s v="NA"/>
    <s v="O. DUARTE"/>
    <x v="0"/>
  </r>
  <r>
    <n v="1206"/>
    <m/>
    <m/>
    <x v="3"/>
    <x v="5"/>
    <m/>
    <m/>
    <m/>
    <m/>
    <m/>
    <m/>
    <m/>
    <m/>
    <m/>
    <m/>
    <x v="1"/>
  </r>
  <r>
    <n v="1207"/>
    <s v="D. ARRIETA"/>
    <d v="1899-12-30T11:40:00"/>
    <x v="170"/>
    <x v="7"/>
    <s v="Puntual"/>
    <s v="Balancin del embobinador al momento de prender el embobinador se arrancaba sola y se subia la velocidad a 35"/>
    <d v="1899-12-30T11:40:00"/>
    <d v="1899-12-30T14:00:00"/>
    <d v="2026-05-04T00:00:00"/>
    <s v="Eléctrica"/>
    <s v="Se realiza inspección de circuitos, se condiciona velocidad de motor tambor para operar a baja velocidad ya que se necesita cambio de potenciometro selector el cual se pidio para el cambio, se tiene en seguimiento"/>
    <s v="NA"/>
    <s v="NA"/>
    <s v="L. FLOREZ"/>
    <x v="0"/>
  </r>
  <r>
    <n v="1208"/>
    <s v="C. BARAJAS"/>
    <d v="1899-12-30T15:50:00"/>
    <x v="170"/>
    <x v="13"/>
    <s v="Puntual"/>
    <s v="Falla en sensor"/>
    <d v="1899-12-30T15:50:00"/>
    <d v="1899-12-30T16:50:00"/>
    <d v="2026-05-04T00:00:00"/>
    <s v="Eléctrica"/>
    <s v="Sensor del desembobinador golpeado y cable trozado, se hace empalme cables y posicionamiento de sensor queda operativo"/>
    <s v="NA"/>
    <s v="NA"/>
    <s v="O. DUARTE"/>
    <x v="0"/>
  </r>
  <r>
    <n v="1209"/>
    <s v="J. PARDO"/>
    <d v="1899-12-30T19:00:00"/>
    <x v="170"/>
    <x v="7"/>
    <s v="Puntual"/>
    <s v="Daño en potenciometro_x000a_No sube la velocidad_x000a_No frena se abaja rampa de descenso"/>
    <d v="1899-12-30T06:30:00"/>
    <d v="1899-12-30T08:00:00"/>
    <d v="2026-05-05T00:00:00"/>
    <s v="Eléctrica"/>
    <s v="Se realizo cambio de pontecniometro, se da ajuste a freno, se realizan pruebas y queda operativa"/>
    <s v="1X Potenciometro"/>
    <s v="NA"/>
    <s v="L. FLOREZ"/>
    <x v="0"/>
  </r>
  <r>
    <n v="1210"/>
    <s v="E. REYES"/>
    <d v="1899-12-30T21:10:00"/>
    <x v="170"/>
    <x v="13"/>
    <s v="Puntual"/>
    <s v="Cambio de teflon"/>
    <d v="1899-12-30T21:10:00"/>
    <d v="1899-12-30T21:45:00"/>
    <d v="2026-05-04T00:00:00"/>
    <s v="Mecánica"/>
    <s v="Se cambia teflon, se coloca y queda OK"/>
    <s v="NA"/>
    <s v="NA"/>
    <s v="J. SILVA"/>
    <x v="0"/>
  </r>
  <r>
    <n v="1211"/>
    <s v="E. REYES"/>
    <d v="1899-12-30T22:39:00"/>
    <x v="170"/>
    <x v="4"/>
    <s v="Puntual"/>
    <s v="Rectficar rosca"/>
    <d v="1899-12-30T22:39:00"/>
    <d v="1899-12-30T23:50:00"/>
    <d v="2026-05-04T00:00:00"/>
    <s v="Mecánica"/>
    <s v="Se repasa rosca de mordaza"/>
    <s v="NA"/>
    <s v="NA"/>
    <s v="J. SILVA"/>
    <x v="0"/>
  </r>
  <r>
    <n v="1212"/>
    <s v="E."/>
    <d v="1899-12-30T01:00:00"/>
    <x v="171"/>
    <x v="23"/>
    <s v="Puntual"/>
    <s v="Atasco en tolva por material"/>
    <d v="1899-12-30T01:20:00"/>
    <d v="1899-12-30T03:00:00"/>
    <d v="2026-05-05T00:00:00"/>
    <s v="Mecánica"/>
    <s v="Se destraba tolva queda OK"/>
    <s v="NA"/>
    <s v="NA"/>
    <s v="J. SILVA"/>
    <x v="0"/>
  </r>
  <r>
    <n v="1213"/>
    <s v="L. FLOREZ"/>
    <d v="1899-12-30T08:00:00"/>
    <x v="171"/>
    <x v="8"/>
    <s v="Puntual"/>
    <s v="Fabricación de camisas roscadas DE CAMISAS ROSCADAS M16 Ø INTERNO X M22 Ø EXTERNO X 30 MM LONGITUD portamallas"/>
    <m/>
    <m/>
    <m/>
    <m/>
    <m/>
    <m/>
    <m/>
    <m/>
    <x v="2"/>
  </r>
  <r>
    <n v="1214"/>
    <m/>
    <m/>
    <x v="3"/>
    <x v="5"/>
    <m/>
    <m/>
    <m/>
    <m/>
    <m/>
    <m/>
    <m/>
    <m/>
    <m/>
    <m/>
    <x v="1"/>
  </r>
  <r>
    <n v="1215"/>
    <s v="D. MENDOZA"/>
    <d v="1899-12-30T13:00:00"/>
    <x v="171"/>
    <x v="11"/>
    <s v="Puntual"/>
    <s v="Daño selladora manual_x000a_Soldadura sueta en el pedal"/>
    <d v="1899-12-30T13:00:00"/>
    <d v="1899-12-30T16:00:00"/>
    <d v="2026-05-05T00:00:00"/>
    <s v="Mecánica"/>
    <s v="Se aplica soldadura a soportes del pedal"/>
    <s v="NA"/>
    <s v="NA"/>
    <s v="D. BAUTISTA"/>
    <x v="0"/>
  </r>
  <r>
    <n v="1216"/>
    <s v="A"/>
    <d v="1899-12-30T15:00:00"/>
    <x v="171"/>
    <x v="2"/>
    <s v="Puntual"/>
    <s v="Daño en los perforadores desde las 15:00"/>
    <d v="1899-12-30T17:00:00"/>
    <d v="1899-12-30T17:55:00"/>
    <d v="2026-05-05T00:00:00"/>
    <s v="Mecánica"/>
    <s v="Se solda soporte de perforadores ya que se encuentra partido y se instalan tornillos"/>
    <s v="4X Tornillos M6 X 30mm"/>
    <s v="NA"/>
    <s v="D. BAUTISTA"/>
    <x v="2"/>
  </r>
  <r>
    <n v="1217"/>
    <s v="J. LUCAS"/>
    <d v="1899-12-30T16:50:00"/>
    <x v="171"/>
    <x v="13"/>
    <s v="Puntual"/>
    <s v="La cuchilla rompe la bolsa"/>
    <d v="1899-12-30T16:50:00"/>
    <d v="1899-12-30T17:30:00"/>
    <d v="2026-05-05T00:00:00"/>
    <s v="Mecánica"/>
    <s v="Se da ajuste en cuchilla y mordaza, se ajusta temperatura, se realizan puebas y queda en operación"/>
    <s v="NA"/>
    <s v="NA"/>
    <s v="D. BAUTISTA"/>
    <x v="0"/>
  </r>
  <r>
    <n v="1218"/>
    <s v="J. LUCAS"/>
    <d v="1899-12-30T19:50:00"/>
    <x v="171"/>
    <x v="13"/>
    <s v="Puntual"/>
    <s v="Daño en perforación"/>
    <d v="1899-12-30T19:51:00"/>
    <d v="1899-12-30T20:35:00"/>
    <d v="2026-05-05T00:00:00"/>
    <s v="Neúmatica"/>
    <s v="Cambio de cilindro"/>
    <s v="1X Cilindro neumático"/>
    <s v="NA"/>
    <s v="J. SILVA"/>
    <x v="0"/>
  </r>
  <r>
    <n v="1219"/>
    <s v="E. REYES"/>
    <d v="1899-12-30T03:12:00"/>
    <x v="172"/>
    <x v="0"/>
    <s v="Puntual"/>
    <s v="Manguera del aire se suelta"/>
    <d v="1899-12-30T03:15:00"/>
    <d v="1899-12-30T04:00:00"/>
    <d v="2026-05-06T00:00:00"/>
    <s v="Neúmatica"/>
    <s v="Se ajusta manguera y cilindro neumático queda operativo"/>
    <s v="NA"/>
    <s v="NA"/>
    <s v="J. SILVA"/>
    <x v="0"/>
  </r>
  <r>
    <n v="1220"/>
    <m/>
    <m/>
    <x v="3"/>
    <x v="5"/>
    <m/>
    <m/>
    <m/>
    <m/>
    <m/>
    <m/>
    <m/>
    <m/>
    <m/>
    <m/>
    <x v="1"/>
  </r>
  <r>
    <n v="1221"/>
    <m/>
    <m/>
    <x v="3"/>
    <x v="5"/>
    <m/>
    <m/>
    <m/>
    <m/>
    <m/>
    <m/>
    <m/>
    <m/>
    <m/>
    <m/>
    <x v="1"/>
  </r>
  <r>
    <n v="1222"/>
    <s v="H. TRIANA"/>
    <d v="1899-12-30T19:25:00"/>
    <x v="172"/>
    <x v="1"/>
    <s v="Puntual"/>
    <s v="Falla ventilador del motor halador prensa"/>
    <d v="1899-12-30T21:00:00"/>
    <d v="1899-12-30T22:30:00"/>
    <d v="2026-05-06T00:00:00"/>
    <s v="Eléctrica"/>
    <s v="Se cambia y se adapta blower_x000a_Queda OK"/>
    <s v="NA"/>
    <s v="NA"/>
    <s v="J. SILVA"/>
    <x v="2"/>
  </r>
  <r>
    <n v="1223"/>
    <s v="H. TRIANA"/>
    <d v="1899-12-30T12:00:00"/>
    <x v="172"/>
    <x v="8"/>
    <s v="Puntual"/>
    <s v="Temperatura tornillo externo elevada"/>
    <d v="1899-12-30T12:20:00"/>
    <d v="1899-12-30T01:35:00"/>
    <d v="2026-05-06T00:00:00"/>
    <s v="Eléctrica"/>
    <s v="Se cambia relé estado solido y termocupla queda bajando temperatura"/>
    <s v="NA"/>
    <s v="NA"/>
    <s v="J. SILVA"/>
    <x v="2"/>
  </r>
  <r>
    <n v="1224"/>
    <s v="A. CESPEDES"/>
    <d v="1899-12-30T23:22:00"/>
    <x v="173"/>
    <x v="16"/>
    <s v="Puntual"/>
    <s v="Daño en las uñas"/>
    <d v="1899-12-30T23:30:00"/>
    <d v="1899-12-30T00:30:00"/>
    <d v="2026-05-09T00:00:00"/>
    <s v="Mecánica"/>
    <s v="Se desmontan uñas, se enderezan uñas de las flautas, se retira desgaste en uñas y queda en operación"/>
    <s v="NA"/>
    <s v="NA"/>
    <s v="D. BAUTISTA"/>
    <x v="0"/>
  </r>
  <r>
    <n v="1225"/>
    <m/>
    <m/>
    <x v="3"/>
    <x v="5"/>
    <m/>
    <m/>
    <m/>
    <m/>
    <m/>
    <m/>
    <m/>
    <m/>
    <m/>
    <m/>
    <x v="1"/>
  </r>
  <r>
    <n v="1226"/>
    <s v="A. CESPEDES"/>
    <d v="1899-12-30T14:30:00"/>
    <x v="174"/>
    <x v="4"/>
    <s v="Repetitiva"/>
    <s v="Daño en soporte de perforadores"/>
    <d v="1899-12-30T14:30:00"/>
    <d v="1899-12-30T14:50:00"/>
    <d v="2026-05-07T00:00:00"/>
    <s v="Mecánica"/>
    <s v="Se desmonta soporte perforadores, se aplica soldadura, se monta y se ajusta queda operativa"/>
    <s v="NA"/>
    <s v="NA"/>
    <s v="O. DUARTE"/>
    <x v="0"/>
  </r>
  <r>
    <n v="1227"/>
    <s v="S. PATIÑO"/>
    <d v="1899-12-30T12:00:00"/>
    <x v="174"/>
    <x v="14"/>
    <s v="Puntual"/>
    <s v="Torpedo del molde suelto"/>
    <d v="1899-12-30T12:00:00"/>
    <d v="1899-12-30T15:00:00"/>
    <d v="2026-05-07T00:00:00"/>
    <s v="Mecánica"/>
    <s v="Se ajusta torpedo del equipo y se entrega a el operario"/>
    <s v="NA"/>
    <s v="NA"/>
    <s v="O. DUARTE"/>
    <x v="0"/>
  </r>
  <r>
    <n v="1228"/>
    <s v="F. SANCHEZ"/>
    <d v="1899-12-30T06:30:00"/>
    <x v="173"/>
    <x v="6"/>
    <s v="Puntual"/>
    <s v="Rodillo loco rodamiento en mal estado"/>
    <d v="1899-12-30T06:30:00"/>
    <d v="1899-12-30T09:00:00"/>
    <d v="2026-05-08T00:00:00"/>
    <s v="Mecánica"/>
    <s v="Se revisa rodillo loco estaba girando en su eje por que la chumacera estaba pegada, se hace limpieza lubricación y ajuste en ambos costados y queda operativo, se lija rodillo "/>
    <s v="NA"/>
    <s v="NA"/>
    <s v="O. DUARTE"/>
    <x v="0"/>
  </r>
  <r>
    <n v="1229"/>
    <s v="O. DUARTE"/>
    <d v="1899-12-30T10:00:00"/>
    <x v="173"/>
    <x v="6"/>
    <s v="Puntual"/>
    <s v="Se requiere chumacera UC FL 206 para equipo coex 5, rodillo loco"/>
    <m/>
    <m/>
    <m/>
    <m/>
    <m/>
    <m/>
    <m/>
    <m/>
    <x v="2"/>
  </r>
  <r>
    <n v="1230"/>
    <m/>
    <m/>
    <x v="3"/>
    <x v="5"/>
    <m/>
    <m/>
    <m/>
    <m/>
    <m/>
    <m/>
    <m/>
    <m/>
    <m/>
    <m/>
    <x v="1"/>
  </r>
  <r>
    <n v="1231"/>
    <s v="A. CESPEDES"/>
    <d v="1899-12-30T03:55:00"/>
    <x v="175"/>
    <x v="16"/>
    <s v="Puntual"/>
    <s v="Daño en el transportador"/>
    <d v="1899-12-30T03:55:00"/>
    <d v="1899-12-30T04:25:00"/>
    <d v="2026-05-09T00:00:00"/>
    <s v="Mecánica"/>
    <s v="Se parte tornillo de sujeción de rodillo tenso transportador, se extrae tornillo y se instala tornillo,se realiza montaje y queda en operación"/>
    <s v="2X Tornillo M5 X 20MM"/>
    <s v="NA"/>
    <s v="D. BAUTISTA"/>
    <x v="0"/>
  </r>
  <r>
    <n v="1232"/>
    <s v="H. TRIANA"/>
    <d v="1899-12-30T17:00:00"/>
    <x v="175"/>
    <x v="14"/>
    <s v="Puntual"/>
    <s v="Cables del porta mallas desconectado"/>
    <d v="1899-12-30T17:00:00"/>
    <d v="1899-12-30T20:00:00"/>
    <d v="2026-05-09T00:00:00"/>
    <s v="Eléctrica"/>
    <s v="Se evdencia cable desnconectado en resistencia se daña, terminal hace corto, se conecta nuevamente, se hace seguimiento en el turno"/>
    <s v="NA"/>
    <s v="NA"/>
    <s v="O. DUARTE"/>
    <x v="0"/>
  </r>
  <r>
    <n v="1233"/>
    <s v="H. TRIANA"/>
    <d v="1899-12-30T00:00:00"/>
    <x v="175"/>
    <x v="8"/>
    <s v="Puntual"/>
    <s v="Falla en el tratador (se apaga)"/>
    <d v="1899-12-30T00:00:00"/>
    <d v="1899-12-30T02:00:00"/>
    <d v="2026-05-09T00:00:00"/>
    <s v="Eléctrica"/>
    <s v="Se evidencia punto caliente, se hace ajuste se cambia cinta, se hace prueba y persiste corto, se evidencia mangas quemadas y cable dañado, se hace cambio cable y terminales, se aplica silicona de alta temperatuura, queda operativa y se hace seguimiento durante el turno"/>
    <s v="5X Terminales"/>
    <s v="Cinta aislante_x000a_Silicona alta temperatura_x000a_"/>
    <s v="O. DUARTE"/>
    <x v="2"/>
  </r>
  <r>
    <n v="1234"/>
    <s v="L. GALVIS"/>
    <d v="1899-12-30T03:00:00"/>
    <x v="176"/>
    <x v="11"/>
    <s v="Puntual"/>
    <s v="Manzana corta cores no aprieta, rosca dañada"/>
    <d v="1899-12-30T03:00:00"/>
    <d v="1899-12-30T03:40:00"/>
    <d v="2026-05-10T00:00:00"/>
    <s v="Mecánica"/>
    <s v="Se remplaza tuerca y tornillo por desgaste y exceso de ajust"/>
    <s v="1X Tornillo M12_x000a_1X Tuerca M12"/>
    <s v="NA"/>
    <s v="O. DUARTE"/>
    <x v="2"/>
  </r>
  <r>
    <n v="1235"/>
    <m/>
    <m/>
    <x v="3"/>
    <x v="5"/>
    <m/>
    <m/>
    <m/>
    <m/>
    <m/>
    <m/>
    <m/>
    <m/>
    <m/>
    <m/>
    <x v="1"/>
  </r>
  <r>
    <n v="1236"/>
    <m/>
    <m/>
    <x v="3"/>
    <x v="5"/>
    <m/>
    <m/>
    <m/>
    <m/>
    <m/>
    <m/>
    <m/>
    <m/>
    <m/>
    <m/>
    <x v="1"/>
  </r>
  <r>
    <n v="1237"/>
    <m/>
    <m/>
    <x v="3"/>
    <x v="5"/>
    <m/>
    <m/>
    <m/>
    <m/>
    <m/>
    <m/>
    <m/>
    <m/>
    <m/>
    <m/>
    <x v="1"/>
  </r>
  <r>
    <n v="1238"/>
    <m/>
    <m/>
    <x v="3"/>
    <x v="5"/>
    <m/>
    <m/>
    <m/>
    <m/>
    <m/>
    <m/>
    <m/>
    <m/>
    <m/>
    <m/>
    <x v="1"/>
  </r>
  <r>
    <n v="1239"/>
    <m/>
    <m/>
    <x v="3"/>
    <x v="5"/>
    <m/>
    <m/>
    <m/>
    <m/>
    <m/>
    <m/>
    <m/>
    <m/>
    <m/>
    <m/>
    <x v="1"/>
  </r>
  <r>
    <n v="1240"/>
    <m/>
    <m/>
    <x v="3"/>
    <x v="5"/>
    <m/>
    <m/>
    <m/>
    <m/>
    <m/>
    <m/>
    <m/>
    <m/>
    <m/>
    <m/>
    <x v="1"/>
  </r>
  <r>
    <n v="1241"/>
    <m/>
    <m/>
    <x v="3"/>
    <x v="5"/>
    <m/>
    <m/>
    <m/>
    <m/>
    <m/>
    <m/>
    <m/>
    <m/>
    <m/>
    <m/>
    <x v="1"/>
  </r>
  <r>
    <n v="1242"/>
    <m/>
    <m/>
    <x v="3"/>
    <x v="5"/>
    <m/>
    <m/>
    <m/>
    <m/>
    <m/>
    <m/>
    <m/>
    <m/>
    <m/>
    <m/>
    <x v="1"/>
  </r>
  <r>
    <n v="1243"/>
    <m/>
    <m/>
    <x v="3"/>
    <x v="5"/>
    <m/>
    <m/>
    <m/>
    <m/>
    <m/>
    <m/>
    <m/>
    <m/>
    <m/>
    <m/>
    <x v="1"/>
  </r>
  <r>
    <n v="1244"/>
    <m/>
    <m/>
    <x v="3"/>
    <x v="5"/>
    <m/>
    <m/>
    <m/>
    <m/>
    <m/>
    <m/>
    <m/>
    <m/>
    <m/>
    <m/>
    <x v="1"/>
  </r>
  <r>
    <n v="1245"/>
    <m/>
    <m/>
    <x v="3"/>
    <x v="5"/>
    <m/>
    <m/>
    <m/>
    <m/>
    <m/>
    <m/>
    <m/>
    <m/>
    <m/>
    <m/>
    <x v="1"/>
  </r>
  <r>
    <n v="1246"/>
    <m/>
    <m/>
    <x v="3"/>
    <x v="5"/>
    <m/>
    <m/>
    <m/>
    <m/>
    <m/>
    <m/>
    <m/>
    <m/>
    <m/>
    <m/>
    <x v="1"/>
  </r>
  <r>
    <n v="1247"/>
    <m/>
    <m/>
    <x v="3"/>
    <x v="5"/>
    <m/>
    <m/>
    <m/>
    <m/>
    <m/>
    <m/>
    <m/>
    <m/>
    <m/>
    <m/>
    <x v="1"/>
  </r>
  <r>
    <n v="1248"/>
    <m/>
    <m/>
    <x v="3"/>
    <x v="5"/>
    <m/>
    <m/>
    <m/>
    <m/>
    <m/>
    <m/>
    <m/>
    <m/>
    <m/>
    <m/>
    <x v="1"/>
  </r>
  <r>
    <n v="1249"/>
    <m/>
    <m/>
    <x v="3"/>
    <x v="5"/>
    <m/>
    <m/>
    <m/>
    <m/>
    <m/>
    <m/>
    <m/>
    <m/>
    <m/>
    <m/>
    <x v="1"/>
  </r>
  <r>
    <n v="1250"/>
    <m/>
    <m/>
    <x v="3"/>
    <x v="5"/>
    <m/>
    <m/>
    <m/>
    <m/>
    <m/>
    <m/>
    <m/>
    <m/>
    <m/>
    <m/>
    <x v="1"/>
  </r>
  <r>
    <n v="1251"/>
    <m/>
    <m/>
    <x v="3"/>
    <x v="5"/>
    <m/>
    <m/>
    <m/>
    <m/>
    <m/>
    <m/>
    <m/>
    <m/>
    <m/>
    <m/>
    <x v="1"/>
  </r>
  <r>
    <n v="1252"/>
    <m/>
    <m/>
    <x v="3"/>
    <x v="5"/>
    <m/>
    <m/>
    <m/>
    <m/>
    <m/>
    <m/>
    <m/>
    <m/>
    <m/>
    <m/>
    <x v="1"/>
  </r>
  <r>
    <n v="1253"/>
    <m/>
    <m/>
    <x v="3"/>
    <x v="5"/>
    <m/>
    <m/>
    <m/>
    <m/>
    <m/>
    <m/>
    <m/>
    <m/>
    <m/>
    <m/>
    <x v="1"/>
  </r>
  <r>
    <n v="1254"/>
    <m/>
    <m/>
    <x v="3"/>
    <x v="5"/>
    <m/>
    <m/>
    <m/>
    <m/>
    <m/>
    <m/>
    <m/>
    <m/>
    <m/>
    <m/>
    <x v="1"/>
  </r>
  <r>
    <n v="1255"/>
    <m/>
    <m/>
    <x v="3"/>
    <x v="5"/>
    <m/>
    <m/>
    <m/>
    <m/>
    <m/>
    <m/>
    <m/>
    <m/>
    <m/>
    <m/>
    <x v="1"/>
  </r>
  <r>
    <n v="1256"/>
    <m/>
    <m/>
    <x v="3"/>
    <x v="5"/>
    <m/>
    <m/>
    <m/>
    <m/>
    <m/>
    <m/>
    <m/>
    <m/>
    <m/>
    <m/>
    <x v="1"/>
  </r>
  <r>
    <n v="1257"/>
    <m/>
    <m/>
    <x v="3"/>
    <x v="5"/>
    <m/>
    <m/>
    <m/>
    <m/>
    <m/>
    <m/>
    <m/>
    <m/>
    <m/>
    <m/>
    <x v="1"/>
  </r>
  <r>
    <n v="1258"/>
    <m/>
    <m/>
    <x v="3"/>
    <x v="5"/>
    <m/>
    <m/>
    <m/>
    <m/>
    <m/>
    <m/>
    <m/>
    <m/>
    <m/>
    <m/>
    <x v="1"/>
  </r>
  <r>
    <n v="1259"/>
    <m/>
    <m/>
    <x v="3"/>
    <x v="5"/>
    <m/>
    <m/>
    <m/>
    <m/>
    <m/>
    <m/>
    <m/>
    <m/>
    <m/>
    <m/>
    <x v="1"/>
  </r>
  <r>
    <n v="1260"/>
    <m/>
    <m/>
    <x v="3"/>
    <x v="5"/>
    <m/>
    <m/>
    <m/>
    <m/>
    <m/>
    <m/>
    <m/>
    <m/>
    <m/>
    <m/>
    <x v="1"/>
  </r>
  <r>
    <n v="1261"/>
    <m/>
    <m/>
    <x v="3"/>
    <x v="5"/>
    <m/>
    <m/>
    <m/>
    <m/>
    <m/>
    <m/>
    <m/>
    <m/>
    <m/>
    <m/>
    <x v="1"/>
  </r>
  <r>
    <n v="1262"/>
    <m/>
    <m/>
    <x v="3"/>
    <x v="5"/>
    <m/>
    <m/>
    <m/>
    <m/>
    <m/>
    <m/>
    <m/>
    <m/>
    <m/>
    <m/>
    <x v="1"/>
  </r>
  <r>
    <n v="1263"/>
    <m/>
    <m/>
    <x v="3"/>
    <x v="5"/>
    <m/>
    <m/>
    <m/>
    <m/>
    <m/>
    <m/>
    <m/>
    <m/>
    <m/>
    <m/>
    <x v="1"/>
  </r>
  <r>
    <n v="1264"/>
    <m/>
    <m/>
    <x v="3"/>
    <x v="5"/>
    <m/>
    <m/>
    <m/>
    <m/>
    <m/>
    <m/>
    <m/>
    <m/>
    <m/>
    <m/>
    <x v="1"/>
  </r>
  <r>
    <n v="1265"/>
    <m/>
    <m/>
    <x v="3"/>
    <x v="5"/>
    <m/>
    <m/>
    <m/>
    <m/>
    <m/>
    <m/>
    <m/>
    <m/>
    <m/>
    <m/>
    <x v="1"/>
  </r>
  <r>
    <n v="1266"/>
    <m/>
    <m/>
    <x v="3"/>
    <x v="5"/>
    <m/>
    <m/>
    <m/>
    <m/>
    <m/>
    <m/>
    <m/>
    <m/>
    <m/>
    <m/>
    <x v="1"/>
  </r>
  <r>
    <n v="1267"/>
    <m/>
    <m/>
    <x v="3"/>
    <x v="5"/>
    <m/>
    <m/>
    <m/>
    <m/>
    <m/>
    <m/>
    <m/>
    <m/>
    <m/>
    <m/>
    <x v="1"/>
  </r>
  <r>
    <n v="1268"/>
    <m/>
    <m/>
    <x v="3"/>
    <x v="5"/>
    <m/>
    <m/>
    <m/>
    <m/>
    <m/>
    <m/>
    <m/>
    <m/>
    <m/>
    <m/>
    <x v="1"/>
  </r>
  <r>
    <n v="1269"/>
    <m/>
    <m/>
    <x v="3"/>
    <x v="5"/>
    <m/>
    <m/>
    <m/>
    <m/>
    <m/>
    <m/>
    <m/>
    <m/>
    <m/>
    <m/>
    <x v="1"/>
  </r>
  <r>
    <n v="1270"/>
    <m/>
    <m/>
    <x v="3"/>
    <x v="5"/>
    <m/>
    <m/>
    <m/>
    <m/>
    <m/>
    <m/>
    <m/>
    <m/>
    <m/>
    <m/>
    <x v="1"/>
  </r>
  <r>
    <n v="1271"/>
    <m/>
    <m/>
    <x v="3"/>
    <x v="5"/>
    <m/>
    <m/>
    <m/>
    <m/>
    <m/>
    <m/>
    <m/>
    <m/>
    <m/>
    <m/>
    <x v="1"/>
  </r>
  <r>
    <n v="1272"/>
    <m/>
    <m/>
    <x v="3"/>
    <x v="5"/>
    <m/>
    <m/>
    <m/>
    <m/>
    <m/>
    <m/>
    <m/>
    <m/>
    <m/>
    <m/>
    <x v="1"/>
  </r>
  <r>
    <n v="1273"/>
    <m/>
    <m/>
    <x v="3"/>
    <x v="5"/>
    <m/>
    <m/>
    <m/>
    <m/>
    <m/>
    <m/>
    <m/>
    <m/>
    <m/>
    <m/>
    <x v="1"/>
  </r>
  <r>
    <n v="1274"/>
    <m/>
    <m/>
    <x v="3"/>
    <x v="5"/>
    <m/>
    <m/>
    <m/>
    <m/>
    <m/>
    <m/>
    <m/>
    <m/>
    <m/>
    <m/>
    <x v="1"/>
  </r>
  <r>
    <n v="1275"/>
    <m/>
    <m/>
    <x v="3"/>
    <x v="5"/>
    <m/>
    <m/>
    <m/>
    <m/>
    <m/>
    <m/>
    <m/>
    <m/>
    <m/>
    <m/>
    <x v="1"/>
  </r>
  <r>
    <n v="1276"/>
    <m/>
    <m/>
    <x v="3"/>
    <x v="5"/>
    <m/>
    <m/>
    <m/>
    <m/>
    <m/>
    <m/>
    <m/>
    <m/>
    <m/>
    <m/>
    <x v="1"/>
  </r>
  <r>
    <n v="1277"/>
    <m/>
    <m/>
    <x v="3"/>
    <x v="5"/>
    <m/>
    <m/>
    <m/>
    <m/>
    <m/>
    <m/>
    <m/>
    <m/>
    <m/>
    <m/>
    <x v="1"/>
  </r>
  <r>
    <n v="1278"/>
    <m/>
    <m/>
    <x v="3"/>
    <x v="5"/>
    <m/>
    <m/>
    <m/>
    <m/>
    <m/>
    <m/>
    <m/>
    <m/>
    <m/>
    <m/>
    <x v="1"/>
  </r>
  <r>
    <n v="1279"/>
    <m/>
    <m/>
    <x v="3"/>
    <x v="5"/>
    <m/>
    <m/>
    <m/>
    <m/>
    <m/>
    <m/>
    <m/>
    <m/>
    <m/>
    <m/>
    <x v="1"/>
  </r>
  <r>
    <n v="1280"/>
    <m/>
    <m/>
    <x v="3"/>
    <x v="5"/>
    <m/>
    <m/>
    <m/>
    <m/>
    <m/>
    <m/>
    <m/>
    <m/>
    <m/>
    <m/>
    <x v="1"/>
  </r>
  <r>
    <n v="1281"/>
    <m/>
    <m/>
    <x v="3"/>
    <x v="5"/>
    <m/>
    <m/>
    <m/>
    <m/>
    <m/>
    <m/>
    <m/>
    <m/>
    <m/>
    <m/>
    <x v="1"/>
  </r>
  <r>
    <n v="1282"/>
    <m/>
    <m/>
    <x v="3"/>
    <x v="5"/>
    <m/>
    <m/>
    <m/>
    <m/>
    <m/>
    <m/>
    <m/>
    <m/>
    <m/>
    <m/>
    <x v="1"/>
  </r>
  <r>
    <n v="1283"/>
    <m/>
    <m/>
    <x v="3"/>
    <x v="5"/>
    <m/>
    <m/>
    <m/>
    <m/>
    <m/>
    <m/>
    <m/>
    <m/>
    <m/>
    <m/>
    <x v="1"/>
  </r>
  <r>
    <n v="1284"/>
    <m/>
    <m/>
    <x v="3"/>
    <x v="5"/>
    <m/>
    <m/>
    <m/>
    <m/>
    <m/>
    <m/>
    <m/>
    <m/>
    <m/>
    <m/>
    <x v="1"/>
  </r>
  <r>
    <n v="1285"/>
    <m/>
    <m/>
    <x v="3"/>
    <x v="5"/>
    <m/>
    <m/>
    <m/>
    <m/>
    <m/>
    <m/>
    <m/>
    <m/>
    <m/>
    <m/>
    <x v="1"/>
  </r>
  <r>
    <n v="1286"/>
    <m/>
    <m/>
    <x v="3"/>
    <x v="5"/>
    <m/>
    <m/>
    <m/>
    <m/>
    <m/>
    <m/>
    <m/>
    <m/>
    <m/>
    <m/>
    <x v="1"/>
  </r>
  <r>
    <n v="1287"/>
    <m/>
    <m/>
    <x v="3"/>
    <x v="5"/>
    <m/>
    <m/>
    <m/>
    <m/>
    <m/>
    <m/>
    <m/>
    <m/>
    <m/>
    <m/>
    <x v="1"/>
  </r>
  <r>
    <n v="1288"/>
    <m/>
    <m/>
    <x v="3"/>
    <x v="5"/>
    <m/>
    <m/>
    <m/>
    <m/>
    <m/>
    <m/>
    <m/>
    <m/>
    <m/>
    <m/>
    <x v="1"/>
  </r>
  <r>
    <n v="1289"/>
    <m/>
    <m/>
    <x v="3"/>
    <x v="5"/>
    <m/>
    <m/>
    <m/>
    <m/>
    <m/>
    <m/>
    <m/>
    <m/>
    <m/>
    <m/>
    <x v="1"/>
  </r>
  <r>
    <n v="1290"/>
    <m/>
    <m/>
    <x v="3"/>
    <x v="5"/>
    <m/>
    <m/>
    <m/>
    <m/>
    <m/>
    <m/>
    <m/>
    <m/>
    <m/>
    <m/>
    <x v="1"/>
  </r>
  <r>
    <n v="1291"/>
    <m/>
    <m/>
    <x v="3"/>
    <x v="5"/>
    <m/>
    <m/>
    <m/>
    <m/>
    <m/>
    <m/>
    <m/>
    <m/>
    <m/>
    <m/>
    <x v="1"/>
  </r>
  <r>
    <n v="1292"/>
    <m/>
    <m/>
    <x v="3"/>
    <x v="5"/>
    <m/>
    <m/>
    <m/>
    <m/>
    <m/>
    <m/>
    <m/>
    <m/>
    <m/>
    <m/>
    <x v="1"/>
  </r>
  <r>
    <n v="1293"/>
    <m/>
    <m/>
    <x v="3"/>
    <x v="5"/>
    <m/>
    <m/>
    <m/>
    <m/>
    <m/>
    <m/>
    <m/>
    <m/>
    <m/>
    <m/>
    <x v="1"/>
  </r>
  <r>
    <n v="1294"/>
    <m/>
    <m/>
    <x v="3"/>
    <x v="5"/>
    <m/>
    <m/>
    <m/>
    <m/>
    <m/>
    <m/>
    <m/>
    <m/>
    <m/>
    <m/>
    <x v="1"/>
  </r>
  <r>
    <n v="1295"/>
    <m/>
    <m/>
    <x v="3"/>
    <x v="5"/>
    <m/>
    <m/>
    <m/>
    <m/>
    <m/>
    <m/>
    <m/>
    <m/>
    <m/>
    <m/>
    <x v="1"/>
  </r>
  <r>
    <n v="1296"/>
    <m/>
    <m/>
    <x v="3"/>
    <x v="5"/>
    <m/>
    <m/>
    <m/>
    <m/>
    <m/>
    <m/>
    <m/>
    <m/>
    <m/>
    <m/>
    <x v="1"/>
  </r>
  <r>
    <n v="1297"/>
    <m/>
    <m/>
    <x v="3"/>
    <x v="5"/>
    <m/>
    <m/>
    <m/>
    <m/>
    <m/>
    <m/>
    <m/>
    <m/>
    <m/>
    <m/>
    <x v="1"/>
  </r>
  <r>
    <n v="1298"/>
    <m/>
    <m/>
    <x v="3"/>
    <x v="5"/>
    <m/>
    <m/>
    <m/>
    <m/>
    <m/>
    <m/>
    <m/>
    <m/>
    <m/>
    <m/>
    <x v="1"/>
  </r>
  <r>
    <n v="1299"/>
    <m/>
    <m/>
    <x v="3"/>
    <x v="5"/>
    <m/>
    <m/>
    <m/>
    <m/>
    <m/>
    <m/>
    <m/>
    <m/>
    <m/>
    <m/>
    <x v="1"/>
  </r>
  <r>
    <n v="1300"/>
    <m/>
    <m/>
    <x v="3"/>
    <x v="5"/>
    <m/>
    <m/>
    <m/>
    <m/>
    <m/>
    <m/>
    <m/>
    <m/>
    <m/>
    <m/>
    <x v="1"/>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TPM"/>
    <s v="NOMBRE DE QUIEN REPORTA"/>
    <m/>
    <x v="3"/>
    <x v="28"/>
    <s v="TIPO FALLA"/>
    <s v="DESCIPCIÓN "/>
    <m/>
    <m/>
    <m/>
    <s v="TIPO INTERVENCIÓN"/>
    <s v="ACCIÓN TOMADA"/>
    <s v="REPUESTOS USADOS"/>
    <s v="INSUMOS UTILIZADOS"/>
    <s v="TÉCNICO ENCARGADO"/>
    <x v="4"/>
  </r>
  <r>
    <s v="E1"/>
    <s v="D. CUESTA"/>
    <d v="1899-12-30T20:39:00"/>
    <x v="124"/>
    <x v="6"/>
    <s v="Puntual"/>
    <s v="Coex #5 presenta varias alarmas y se apaga los husillos A-B-C falla en el alimentador A"/>
    <d v="1899-12-30T20:40:00"/>
    <d v="1899-12-30T22:10:00"/>
    <d v="2026-02-21T00:00:00"/>
    <s v="Eléctrica"/>
    <s v="Sensor brazo alimentador con sensor mal reparado y en corto, se toma prestado un sensor de la selladora #4 temporalmente quedando OK. Se requiere RQ para compra de sensores según muestra"/>
    <s v="Sensor posicionamiento selladora #4"/>
    <s v="NA"/>
    <s v="L. CASTILLA"/>
    <x v="0"/>
  </r>
  <r>
    <s v="E10"/>
    <s v="E. BELLO"/>
    <d v="1899-12-30T06:15:00"/>
    <x v="24"/>
    <x v="11"/>
    <s v="Puntual"/>
    <s v="Resistencia en mal estado, el cubrimiento echa chispa"/>
    <m/>
    <m/>
    <m/>
    <m/>
    <m/>
    <m/>
    <m/>
    <m/>
    <x v="2"/>
  </r>
  <r>
    <s v="E1090"/>
    <m/>
    <m/>
    <x v="3"/>
    <x v="5"/>
    <m/>
    <m/>
    <m/>
    <m/>
    <m/>
    <m/>
    <m/>
    <m/>
    <m/>
    <m/>
    <x v="1"/>
  </r>
  <r>
    <s v="E1091"/>
    <m/>
    <m/>
    <x v="3"/>
    <x v="5"/>
    <m/>
    <m/>
    <m/>
    <m/>
    <m/>
    <m/>
    <m/>
    <m/>
    <m/>
    <m/>
    <x v="1"/>
  </r>
  <r>
    <s v="E1092"/>
    <m/>
    <m/>
    <x v="3"/>
    <x v="5"/>
    <m/>
    <m/>
    <m/>
    <m/>
    <m/>
    <m/>
    <m/>
    <m/>
    <m/>
    <m/>
    <x v="1"/>
  </r>
  <r>
    <s v="E1093"/>
    <m/>
    <m/>
    <x v="3"/>
    <x v="5"/>
    <m/>
    <m/>
    <m/>
    <m/>
    <m/>
    <m/>
    <m/>
    <m/>
    <m/>
    <m/>
    <x v="1"/>
  </r>
  <r>
    <s v="E1094"/>
    <m/>
    <m/>
    <x v="3"/>
    <x v="5"/>
    <m/>
    <m/>
    <m/>
    <m/>
    <m/>
    <m/>
    <m/>
    <m/>
    <m/>
    <m/>
    <x v="1"/>
  </r>
  <r>
    <s v="E1095"/>
    <m/>
    <m/>
    <x v="3"/>
    <x v="5"/>
    <m/>
    <m/>
    <m/>
    <m/>
    <m/>
    <m/>
    <m/>
    <m/>
    <m/>
    <m/>
    <x v="1"/>
  </r>
  <r>
    <s v="E1096"/>
    <s v="S. CARDENAL"/>
    <d v="1899-12-30T09:30:00"/>
    <x v="154"/>
    <x v="4"/>
    <s v="Puntual"/>
    <s v="Base de perforadores esta torcida y hace falta tornillo y ruercas "/>
    <d v="1899-12-30T09:30:00"/>
    <d v="1899-12-30T10:00:00"/>
    <d v="2026-03-30T00:00:00"/>
    <s v="Mecánica"/>
    <s v="Se apoya a operario a ajuste de base perforación de precorte, se realizan pruebas, se instalas 2 tornillos M6 X 30mm y 3 tuercas M6_x000a_Se requieren mas tornillos y tuercas"/>
    <s v="2X Tornillo M6 X 30mm_x000a_3X Tuerca M6"/>
    <s v="NA"/>
    <s v="D. BAUTISTA"/>
    <x v="0"/>
  </r>
  <r>
    <s v="E1097"/>
    <m/>
    <m/>
    <x v="3"/>
    <x v="5"/>
    <m/>
    <m/>
    <m/>
    <m/>
    <m/>
    <m/>
    <m/>
    <m/>
    <m/>
    <m/>
    <x v="1"/>
  </r>
  <r>
    <s v="E1098"/>
    <m/>
    <m/>
    <x v="3"/>
    <x v="5"/>
    <m/>
    <m/>
    <m/>
    <m/>
    <m/>
    <m/>
    <m/>
    <m/>
    <m/>
    <m/>
    <x v="1"/>
  </r>
  <r>
    <s v="E1099"/>
    <s v="H. TRIANA"/>
    <d v="1899-12-30T11:50:00"/>
    <x v="177"/>
    <x v="14"/>
    <s v="Puntual"/>
    <s v="Zona del tornillo interior 50° por encima de lo establecido"/>
    <d v="1899-12-30T11:55:00"/>
    <d v="1899-12-30T12:10:00"/>
    <d v="2026-04-10T00:00:00"/>
    <s v="Eléctrica"/>
    <s v="Se cambia relé de estado solido"/>
    <s v="1X SSR 40A 3-32 VAC"/>
    <s v="NA"/>
    <s v="J. SILVA"/>
    <x v="0"/>
  </r>
  <r>
    <s v="E1100"/>
    <s v="F. SANCHEZ"/>
    <d v="1899-12-30T06:15:00"/>
    <x v="177"/>
    <x v="6"/>
    <s v="Puntual"/>
    <s v="Sensor de la tolva 4 de la B_x000a_No tiene"/>
    <d v="1899-12-30T06:30:00"/>
    <d v="1899-12-30T06:45:00"/>
    <d v="2026-04-10T00:00:00"/>
    <s v="Eléctrica"/>
    <s v="Se coloca sensor este se toma de la tolva A4 ya que no se cuenta con otro. Ya se solicito hace un mes"/>
    <s v="NA"/>
    <s v="NA"/>
    <s v="J. SILVA"/>
    <x v="0"/>
  </r>
  <r>
    <s v="E1101"/>
    <m/>
    <m/>
    <x v="3"/>
    <x v="5"/>
    <m/>
    <m/>
    <m/>
    <m/>
    <m/>
    <m/>
    <m/>
    <m/>
    <m/>
    <m/>
    <x v="1"/>
  </r>
  <r>
    <s v="E1102"/>
    <s v="J. SILVA"/>
    <d v="1899-12-30T16:25:00"/>
    <x v="154"/>
    <x v="8"/>
    <s v="Puntual"/>
    <s v="Daño en manga interior del tratador"/>
    <m/>
    <m/>
    <m/>
    <m/>
    <s v="Fabricación funda de tratador, se necesita fabricar no hay en stock, medidas Dext56mm, Dint 50mm, 1.1m longitud"/>
    <m/>
    <m/>
    <m/>
    <x v="2"/>
  </r>
  <r>
    <s v="E1103"/>
    <m/>
    <m/>
    <x v="3"/>
    <x v="5"/>
    <m/>
    <m/>
    <m/>
    <m/>
    <m/>
    <m/>
    <m/>
    <m/>
    <m/>
    <m/>
    <x v="1"/>
  </r>
  <r>
    <s v="E1104"/>
    <m/>
    <m/>
    <x v="3"/>
    <x v="5"/>
    <m/>
    <m/>
    <m/>
    <m/>
    <m/>
    <m/>
    <m/>
    <m/>
    <m/>
    <m/>
    <x v="1"/>
  </r>
  <r>
    <s v="E1105"/>
    <m/>
    <m/>
    <x v="3"/>
    <x v="5"/>
    <m/>
    <m/>
    <m/>
    <m/>
    <m/>
    <m/>
    <m/>
    <m/>
    <m/>
    <m/>
    <x v="1"/>
  </r>
  <r>
    <s v="E1106"/>
    <m/>
    <m/>
    <x v="3"/>
    <x v="5"/>
    <m/>
    <m/>
    <m/>
    <m/>
    <m/>
    <m/>
    <m/>
    <m/>
    <m/>
    <m/>
    <x v="1"/>
  </r>
  <r>
    <s v="E1107"/>
    <m/>
    <m/>
    <x v="3"/>
    <x v="5"/>
    <m/>
    <m/>
    <m/>
    <m/>
    <m/>
    <m/>
    <m/>
    <m/>
    <m/>
    <m/>
    <x v="1"/>
  </r>
  <r>
    <s v="E1108"/>
    <m/>
    <m/>
    <x v="3"/>
    <x v="5"/>
    <m/>
    <m/>
    <m/>
    <m/>
    <m/>
    <m/>
    <m/>
    <m/>
    <m/>
    <m/>
    <x v="1"/>
  </r>
  <r>
    <s v="E1109"/>
    <s v="J. RINCON"/>
    <d v="1899-12-30T18:40:00"/>
    <x v="178"/>
    <x v="7"/>
    <s v="Puntual"/>
    <s v="Correa de los motores_x000a_Se daña por segunda vez 22:36"/>
    <d v="1899-12-30T18:40:00"/>
    <d v="1899-12-30T01:00:00"/>
    <d v="2026-04-09T00:00:00"/>
    <s v="Mecánica"/>
    <s v="Se encuentra polea de transmisión de embobinador superior suelto,se instala nuevo prisioneros, se da ajuste y queda operativo_x000a_Fallo nuevamente 22:38 reporte 23:0 en tiempo de comida tecnico, interveción 23:15_x000a_Se dosmonta polea, se extrae prisionero, se rectifica rosca M8 de prisionero de la polea, se instala prisionero M8 X 30mm, se realiza montaje y pruebasen vacio, se entrga operativo"/>
    <s v="1X Prisionero M8 X 30mm"/>
    <s v="NA"/>
    <s v="D. BAUTISTA"/>
    <x v="0"/>
  </r>
  <r>
    <s v="E1110"/>
    <s v="E. REYES"/>
    <d v="1899-12-30T03:26:00"/>
    <x v="179"/>
    <x v="4"/>
    <s v="Puntual"/>
    <s v="Corto en cable"/>
    <d v="1899-12-30T03:27:00"/>
    <d v="1899-12-30T04:00:00"/>
    <d v="2026-04-01T00:00:00"/>
    <s v="Eléctrica"/>
    <s v="Se remplaza terminal, se aisla y quedo OK"/>
    <s v="NA"/>
    <s v="NA"/>
    <s v="J. SILVA"/>
    <x v="0"/>
  </r>
  <r>
    <s v="E1111"/>
    <s v="E. REYES"/>
    <d v="1899-12-30T05:00:00"/>
    <x v="169"/>
    <x v="13"/>
    <s v="Puntual"/>
    <s v="Cilindro perforador"/>
    <d v="1899-12-30T05:00:00"/>
    <d v="1899-12-30T05:15:00"/>
    <d v="2026-04-03T00:00:00"/>
    <s v="Neúmatica"/>
    <s v="Se realiza cambio de cilindro en perforadores por rasgado, se da ajuste en el soporte"/>
    <s v="1X Cilindro 16 X 25mm grafado"/>
    <s v="NA"/>
    <s v="O. DUARTE"/>
    <x v="0"/>
  </r>
  <r>
    <s v="E1112"/>
    <m/>
    <m/>
    <x v="3"/>
    <x v="5"/>
    <m/>
    <m/>
    <m/>
    <m/>
    <m/>
    <m/>
    <m/>
    <m/>
    <m/>
    <m/>
    <x v="1"/>
  </r>
  <r>
    <s v="E1113"/>
    <m/>
    <m/>
    <x v="3"/>
    <x v="5"/>
    <m/>
    <m/>
    <m/>
    <m/>
    <m/>
    <m/>
    <m/>
    <m/>
    <m/>
    <m/>
    <x v="1"/>
  </r>
  <r>
    <s v="E1114"/>
    <m/>
    <m/>
    <x v="3"/>
    <x v="5"/>
    <m/>
    <m/>
    <m/>
    <m/>
    <m/>
    <m/>
    <m/>
    <m/>
    <m/>
    <m/>
    <x v="1"/>
  </r>
  <r>
    <s v="E1115"/>
    <m/>
    <m/>
    <x v="3"/>
    <x v="5"/>
    <m/>
    <m/>
    <m/>
    <m/>
    <m/>
    <m/>
    <m/>
    <m/>
    <m/>
    <m/>
    <x v="1"/>
  </r>
  <r>
    <s v="E1116"/>
    <m/>
    <m/>
    <x v="3"/>
    <x v="5"/>
    <m/>
    <m/>
    <m/>
    <m/>
    <m/>
    <m/>
    <m/>
    <m/>
    <m/>
    <m/>
    <x v="1"/>
  </r>
  <r>
    <s v="E1117"/>
    <m/>
    <m/>
    <x v="3"/>
    <x v="5"/>
    <m/>
    <m/>
    <m/>
    <m/>
    <m/>
    <m/>
    <m/>
    <m/>
    <m/>
    <m/>
    <x v="1"/>
  </r>
  <r>
    <s v="E1118"/>
    <m/>
    <m/>
    <x v="3"/>
    <x v="5"/>
    <m/>
    <m/>
    <m/>
    <m/>
    <m/>
    <m/>
    <m/>
    <m/>
    <m/>
    <m/>
    <x v="1"/>
  </r>
  <r>
    <s v="E1119"/>
    <m/>
    <m/>
    <x v="3"/>
    <x v="5"/>
    <m/>
    <m/>
    <m/>
    <m/>
    <m/>
    <m/>
    <m/>
    <m/>
    <m/>
    <m/>
    <x v="1"/>
  </r>
  <r>
    <s v="E1120"/>
    <m/>
    <m/>
    <x v="3"/>
    <x v="5"/>
    <m/>
    <m/>
    <m/>
    <m/>
    <m/>
    <m/>
    <m/>
    <m/>
    <m/>
    <m/>
    <x v="1"/>
  </r>
  <r>
    <s v="E1121"/>
    <s v="D. BUESACO"/>
    <d v="1899-12-30T12:00:00"/>
    <x v="169"/>
    <x v="13"/>
    <s v="Puntual"/>
    <s v="Maquina se para varias veces, se le avisa a mantenimiento (sensor)"/>
    <m/>
    <m/>
    <m/>
    <m/>
    <m/>
    <m/>
    <m/>
    <m/>
    <x v="2"/>
  </r>
  <r>
    <s v="E1122"/>
    <s v="D. BUESACO"/>
    <d v="1899-12-30T09:10:00"/>
    <x v="180"/>
    <x v="4"/>
    <s v="Puntual"/>
    <s v="Cuchilla"/>
    <d v="1899-12-30T09:33:00"/>
    <d v="1899-12-30T09:42:00"/>
    <d v="2026-04-04T00:00:00"/>
    <s v="Mecánica"/>
    <s v="Afilamento de cuchilla quedo filo OK"/>
    <s v="NA"/>
    <s v="NA"/>
    <s v="J. SILVA"/>
    <x v="0"/>
  </r>
  <r>
    <s v="E1123"/>
    <m/>
    <m/>
    <x v="3"/>
    <x v="5"/>
    <m/>
    <m/>
    <m/>
    <m/>
    <m/>
    <m/>
    <m/>
    <m/>
    <m/>
    <m/>
    <x v="1"/>
  </r>
  <r>
    <s v="E1124"/>
    <m/>
    <m/>
    <x v="3"/>
    <x v="5"/>
    <m/>
    <m/>
    <m/>
    <m/>
    <m/>
    <m/>
    <m/>
    <m/>
    <m/>
    <m/>
    <x v="1"/>
  </r>
  <r>
    <s v="E1125"/>
    <m/>
    <m/>
    <x v="3"/>
    <x v="5"/>
    <m/>
    <m/>
    <m/>
    <m/>
    <m/>
    <m/>
    <m/>
    <m/>
    <m/>
    <m/>
    <x v="1"/>
  </r>
  <r>
    <s v="E1126"/>
    <s v="L. MIRANDA"/>
    <d v="1899-12-30T18:20:00"/>
    <x v="180"/>
    <x v="14"/>
    <s v="Puntual"/>
    <s v="Prensa del embobinador esta partido (arrastre)"/>
    <m/>
    <m/>
    <m/>
    <m/>
    <s v="Se realiza desmonte de rodillo conducido de prensa, se encuentra espigo partido, se requiere servicio externo coex parada"/>
    <m/>
    <m/>
    <m/>
    <x v="2"/>
  </r>
  <r>
    <s v="E1127"/>
    <s v="D. ARRIETA"/>
    <d v="1899-12-30T20:08:00"/>
    <x v="169"/>
    <x v="7"/>
    <s v="Puntual"/>
    <s v="Rodamiento del seguro del eje embobinador"/>
    <d v="1899-12-30T20:08:00"/>
    <d v="1899-12-30T20:30:00"/>
    <d v="2026-04-03T00:00:00"/>
    <s v="Mecánica"/>
    <s v="Se realiza cambio de tornillo tuerca y arandelas, se da ajuste al rodamiento"/>
    <s v="1X Tornillo M6 X 60mm"/>
    <s v="NA"/>
    <s v="O. DUARTE"/>
    <x v="0"/>
  </r>
  <r>
    <s v="E1128"/>
    <s v="D. ARRIETA"/>
    <d v="1899-12-30T21:00:00"/>
    <x v="181"/>
    <x v="7"/>
    <s v="Puntual"/>
    <s v="Daño en rodamiento"/>
    <d v="1899-12-30T21:00:00"/>
    <d v="1899-12-30T21:30:00"/>
    <d v="2026-04-05T00:00:00"/>
    <s v="Mecánica"/>
    <s v="Se realiza cambio de 2 rodamientos KR22 - PP - A (Seguidor de leva de unidad #2) desembobinador inferior"/>
    <s v="NAA"/>
    <s v="NA"/>
    <s v="D. BAUTISTA"/>
    <x v="0"/>
  </r>
  <r>
    <s v="E1129"/>
    <s v="M. MARTINEZ"/>
    <d v="1899-12-30T01:00:00"/>
    <x v="182"/>
    <x v="4"/>
    <s v="Puntual"/>
    <s v="Calibración tornillo de presión_x000a_Ajuste rodamiento eje de tensión de correas"/>
    <d v="1899-12-30T01:10:00"/>
    <d v="1899-12-30T01:50:00"/>
    <d v="2026-04-07T00:00:00"/>
    <s v="Mecánica"/>
    <s v="Se ajustan tuercas de tornillo de presión para poder calibrar ser verifica rodamiento y se ajusta"/>
    <s v="NA"/>
    <s v="NA"/>
    <s v="J. SILVA"/>
    <x v="0"/>
  </r>
  <r>
    <s v="E1130"/>
    <s v="D. ARRIETA"/>
    <d v="1899-12-30T16:30:00"/>
    <x v="182"/>
    <x v="7"/>
    <s v="Puntual"/>
    <s v="Eje bobinador pinchado"/>
    <d v="1899-12-30T16:30:00"/>
    <d v="1899-12-30T17:13:00"/>
    <d v="2026-04-07T00:00:00"/>
    <s v="Mecánica"/>
    <s v="Se realiza inspección de eje se observa fuga interna, se realiza cambio de eje y se entrega operativa"/>
    <s v="NA"/>
    <s v="NA"/>
    <s v="D. BAUTISTA"/>
    <x v="0"/>
  </r>
  <r>
    <s v="E1131"/>
    <s v="A. ROVINA"/>
    <d v="1899-12-30T06:36:00"/>
    <x v="178"/>
    <x v="9"/>
    <s v="Puntual"/>
    <s v="No embobina"/>
    <d v="1899-12-30T06:36:00"/>
    <d v="1899-12-30T09:00:00"/>
    <d v="2026-04-08T00:00:00"/>
    <s v="Eléctrica"/>
    <s v="Se realiza seguimeitno y comprobación componentes eléctricos, se hace seguimiento contactor pegado, se soluciona queda operativo el equipo"/>
    <s v="NA"/>
    <s v="NA"/>
    <s v="O. DUARTE"/>
    <x v="0"/>
  </r>
  <r>
    <s v="E1132"/>
    <m/>
    <m/>
    <x v="3"/>
    <x v="5"/>
    <m/>
    <m/>
    <m/>
    <m/>
    <m/>
    <m/>
    <m/>
    <m/>
    <m/>
    <m/>
    <x v="1"/>
  </r>
  <r>
    <s v="E1133"/>
    <m/>
    <m/>
    <x v="3"/>
    <x v="5"/>
    <m/>
    <m/>
    <m/>
    <m/>
    <m/>
    <m/>
    <m/>
    <m/>
    <m/>
    <m/>
    <x v="1"/>
  </r>
  <r>
    <s v="E1134"/>
    <m/>
    <m/>
    <x v="3"/>
    <x v="5"/>
    <m/>
    <m/>
    <m/>
    <m/>
    <m/>
    <m/>
    <m/>
    <m/>
    <m/>
    <m/>
    <x v="1"/>
  </r>
  <r>
    <s v="E1135"/>
    <s v="M. MARTINEZ"/>
    <d v="1899-12-30T01:00:00"/>
    <x v="177"/>
    <x v="4"/>
    <s v="Puntual"/>
    <s v="Falla en correa de transmisión"/>
    <d v="1899-12-30T01:00:00"/>
    <d v="1899-12-30T02:30:00"/>
    <d v="2026-04-10T00:00:00"/>
    <s v="Mecánica"/>
    <s v="Se encuentra polea de transmisión sin cuña, el espacio de la cuña M8 se encuentra con desgaste, se fabrica cuña a medida del desgaste, se rectifican roscas M8 para los prisioneros de la polea y se instala buje de posición , se arma sistema de transmisión, se realiza pruebas y queda en operación"/>
    <s v="NA"/>
    <s v="NA"/>
    <s v="D. BAUTISTA"/>
    <x v="0"/>
  </r>
  <r>
    <s v="E1136"/>
    <s v="H. TRIANA"/>
    <d v="1899-12-30T13:23:00"/>
    <x v="182"/>
    <x v="14"/>
    <s v="Puntual"/>
    <s v="Temperatura baja en barril"/>
    <d v="1899-12-30T13:30:00"/>
    <d v="1899-12-30T13:50:00"/>
    <d v="2026-04-07T00:00:00"/>
    <s v="Eléctrica"/>
    <s v="Se encuentra contactor de potencia en falla con punto caliente, se corrige fallo quedando operativo"/>
    <s v="NA"/>
    <s v="NA"/>
    <s v="L. FLOREZ"/>
    <x v="0"/>
  </r>
  <r>
    <s v="E1137"/>
    <s v="L. GARZON"/>
    <d v="1899-12-30T19:15:00"/>
    <x v="183"/>
    <x v="4"/>
    <s v="Puntual"/>
    <s v="Se suelta rodillo y daño de rodamiento en el mismp corea del servo suelto"/>
    <d v="1899-12-30T19:15:00"/>
    <d v="1899-12-30T20:10:00"/>
    <d v="2026-04-09T00:00:00"/>
    <s v="Mecánica"/>
    <s v="Se da ajuste a rodillo #22, se necesita repuesto para cambio, se ajusta polea de transmisión de prensa ya que se suelta y queda sin cuña"/>
    <s v="NA"/>
    <s v="NA"/>
    <s v="D. BAUTISTA"/>
    <x v="0"/>
  </r>
  <r>
    <s v="E1138"/>
    <s v="D. SANCHEZ"/>
    <d v="1899-12-30T06:00:00"/>
    <x v="184"/>
    <x v="29"/>
    <s v="Puntual"/>
    <s v="Falla en la corta cores daño de la pera"/>
    <d v="1899-12-30T06:20:00"/>
    <d v="1899-12-30T07:25:00"/>
    <m/>
    <s v="Mecánica"/>
    <s v="Se instala tornillo y tuerca M12 para ajuste de pera del contactor"/>
    <s v="1X Tornillo M12 X 60mm_x000a_1X Tuerca M12"/>
    <s v="NA"/>
    <s v="D. BAUTISTA"/>
    <x v="0"/>
  </r>
  <r>
    <s v="E1139"/>
    <m/>
    <m/>
    <x v="3"/>
    <x v="5"/>
    <m/>
    <m/>
    <m/>
    <m/>
    <m/>
    <m/>
    <m/>
    <m/>
    <m/>
    <m/>
    <x v="1"/>
  </r>
  <r>
    <s v="E1140"/>
    <m/>
    <m/>
    <x v="3"/>
    <x v="5"/>
    <m/>
    <m/>
    <m/>
    <m/>
    <m/>
    <m/>
    <m/>
    <m/>
    <m/>
    <m/>
    <x v="1"/>
  </r>
  <r>
    <s v="E1141"/>
    <m/>
    <m/>
    <x v="3"/>
    <x v="5"/>
    <m/>
    <m/>
    <m/>
    <m/>
    <m/>
    <m/>
    <m/>
    <m/>
    <m/>
    <m/>
    <x v="1"/>
  </r>
  <r>
    <s v="E1142"/>
    <m/>
    <m/>
    <x v="3"/>
    <x v="5"/>
    <m/>
    <m/>
    <m/>
    <m/>
    <m/>
    <m/>
    <m/>
    <m/>
    <m/>
    <m/>
    <x v="1"/>
  </r>
  <r>
    <s v="E1143"/>
    <m/>
    <m/>
    <x v="3"/>
    <x v="5"/>
    <m/>
    <m/>
    <m/>
    <m/>
    <m/>
    <m/>
    <m/>
    <m/>
    <m/>
    <m/>
    <x v="1"/>
  </r>
  <r>
    <s v="E1144"/>
    <m/>
    <m/>
    <x v="3"/>
    <x v="5"/>
    <m/>
    <m/>
    <m/>
    <m/>
    <m/>
    <m/>
    <m/>
    <m/>
    <m/>
    <m/>
    <x v="1"/>
  </r>
  <r>
    <s v="E1145"/>
    <m/>
    <m/>
    <x v="3"/>
    <x v="5"/>
    <m/>
    <m/>
    <m/>
    <m/>
    <m/>
    <m/>
    <m/>
    <m/>
    <m/>
    <m/>
    <x v="1"/>
  </r>
  <r>
    <s v="E1146"/>
    <m/>
    <m/>
    <x v="3"/>
    <x v="5"/>
    <m/>
    <m/>
    <m/>
    <m/>
    <m/>
    <m/>
    <m/>
    <m/>
    <m/>
    <m/>
    <x v="1"/>
  </r>
  <r>
    <s v="E1147"/>
    <m/>
    <m/>
    <x v="3"/>
    <x v="5"/>
    <m/>
    <m/>
    <m/>
    <m/>
    <m/>
    <m/>
    <m/>
    <m/>
    <m/>
    <m/>
    <x v="1"/>
  </r>
  <r>
    <s v="E1148"/>
    <m/>
    <m/>
    <x v="3"/>
    <x v="5"/>
    <m/>
    <m/>
    <m/>
    <m/>
    <m/>
    <m/>
    <m/>
    <m/>
    <m/>
    <m/>
    <x v="1"/>
  </r>
  <r>
    <s v="E1149"/>
    <m/>
    <m/>
    <x v="3"/>
    <x v="5"/>
    <m/>
    <m/>
    <m/>
    <m/>
    <m/>
    <m/>
    <m/>
    <m/>
    <m/>
    <m/>
    <x v="1"/>
  </r>
  <r>
    <s v="E1150"/>
    <m/>
    <m/>
    <x v="3"/>
    <x v="5"/>
    <m/>
    <m/>
    <m/>
    <m/>
    <m/>
    <m/>
    <m/>
    <m/>
    <m/>
    <m/>
    <x v="1"/>
  </r>
  <r>
    <s v="E1151"/>
    <m/>
    <m/>
    <x v="3"/>
    <x v="5"/>
    <m/>
    <m/>
    <m/>
    <m/>
    <m/>
    <m/>
    <m/>
    <m/>
    <m/>
    <m/>
    <x v="1"/>
  </r>
  <r>
    <s v="E1152"/>
    <m/>
    <m/>
    <x v="3"/>
    <x v="5"/>
    <m/>
    <m/>
    <m/>
    <m/>
    <m/>
    <m/>
    <m/>
    <m/>
    <m/>
    <m/>
    <x v="1"/>
  </r>
  <r>
    <s v="E1153"/>
    <m/>
    <m/>
    <x v="3"/>
    <x v="5"/>
    <m/>
    <m/>
    <m/>
    <m/>
    <m/>
    <m/>
    <m/>
    <m/>
    <m/>
    <m/>
    <x v="1"/>
  </r>
  <r>
    <s v="E1154"/>
    <m/>
    <m/>
    <x v="3"/>
    <x v="5"/>
    <m/>
    <m/>
    <m/>
    <m/>
    <m/>
    <m/>
    <m/>
    <m/>
    <m/>
    <m/>
    <x v="1"/>
  </r>
  <r>
    <s v="E1155"/>
    <m/>
    <m/>
    <x v="3"/>
    <x v="5"/>
    <m/>
    <m/>
    <m/>
    <m/>
    <m/>
    <m/>
    <m/>
    <m/>
    <m/>
    <m/>
    <x v="1"/>
  </r>
  <r>
    <s v="E1156"/>
    <m/>
    <m/>
    <x v="3"/>
    <x v="5"/>
    <m/>
    <m/>
    <m/>
    <m/>
    <m/>
    <m/>
    <m/>
    <m/>
    <m/>
    <m/>
    <x v="1"/>
  </r>
  <r>
    <s v="E1157"/>
    <m/>
    <m/>
    <x v="3"/>
    <x v="5"/>
    <m/>
    <m/>
    <m/>
    <m/>
    <m/>
    <m/>
    <m/>
    <m/>
    <m/>
    <m/>
    <x v="1"/>
  </r>
  <r>
    <s v="E1158"/>
    <m/>
    <m/>
    <x v="3"/>
    <x v="5"/>
    <m/>
    <m/>
    <m/>
    <m/>
    <m/>
    <m/>
    <m/>
    <m/>
    <m/>
    <m/>
    <x v="1"/>
  </r>
  <r>
    <s v="E1159"/>
    <m/>
    <m/>
    <x v="3"/>
    <x v="5"/>
    <m/>
    <m/>
    <m/>
    <m/>
    <m/>
    <m/>
    <m/>
    <m/>
    <m/>
    <m/>
    <x v="1"/>
  </r>
  <r>
    <s v="E1160"/>
    <m/>
    <m/>
    <x v="3"/>
    <x v="5"/>
    <m/>
    <m/>
    <m/>
    <m/>
    <m/>
    <m/>
    <m/>
    <m/>
    <m/>
    <m/>
    <x v="1"/>
  </r>
  <r>
    <s v="E1161"/>
    <m/>
    <m/>
    <x v="3"/>
    <x v="5"/>
    <m/>
    <m/>
    <m/>
    <m/>
    <m/>
    <m/>
    <m/>
    <m/>
    <m/>
    <m/>
    <x v="1"/>
  </r>
  <r>
    <s v="E1162"/>
    <m/>
    <m/>
    <x v="3"/>
    <x v="5"/>
    <m/>
    <m/>
    <m/>
    <m/>
    <m/>
    <m/>
    <m/>
    <m/>
    <m/>
    <m/>
    <x v="1"/>
  </r>
  <r>
    <s v="E1163"/>
    <m/>
    <m/>
    <x v="3"/>
    <x v="5"/>
    <m/>
    <m/>
    <m/>
    <m/>
    <m/>
    <m/>
    <m/>
    <m/>
    <m/>
    <m/>
    <x v="1"/>
  </r>
  <r>
    <s v="E1164"/>
    <m/>
    <m/>
    <x v="3"/>
    <x v="5"/>
    <m/>
    <m/>
    <m/>
    <m/>
    <m/>
    <m/>
    <m/>
    <m/>
    <m/>
    <m/>
    <x v="1"/>
  </r>
  <r>
    <s v="E1165"/>
    <m/>
    <m/>
    <x v="3"/>
    <x v="5"/>
    <m/>
    <m/>
    <m/>
    <m/>
    <m/>
    <m/>
    <m/>
    <m/>
    <m/>
    <m/>
    <x v="1"/>
  </r>
  <r>
    <s v="E1166"/>
    <m/>
    <m/>
    <x v="3"/>
    <x v="5"/>
    <m/>
    <m/>
    <m/>
    <m/>
    <m/>
    <m/>
    <m/>
    <m/>
    <m/>
    <m/>
    <x v="1"/>
  </r>
  <r>
    <s v="E1167"/>
    <m/>
    <m/>
    <x v="3"/>
    <x v="5"/>
    <m/>
    <m/>
    <m/>
    <m/>
    <m/>
    <m/>
    <m/>
    <m/>
    <m/>
    <m/>
    <x v="1"/>
  </r>
  <r>
    <s v="E1168"/>
    <m/>
    <m/>
    <x v="3"/>
    <x v="5"/>
    <m/>
    <m/>
    <m/>
    <m/>
    <m/>
    <m/>
    <m/>
    <m/>
    <m/>
    <m/>
    <x v="1"/>
  </r>
  <r>
    <s v="E1169"/>
    <m/>
    <m/>
    <x v="3"/>
    <x v="5"/>
    <m/>
    <m/>
    <m/>
    <m/>
    <m/>
    <m/>
    <m/>
    <m/>
    <m/>
    <m/>
    <x v="1"/>
  </r>
  <r>
    <s v="E1170"/>
    <m/>
    <m/>
    <x v="3"/>
    <x v="5"/>
    <m/>
    <m/>
    <m/>
    <m/>
    <m/>
    <m/>
    <m/>
    <m/>
    <m/>
    <m/>
    <x v="1"/>
  </r>
  <r>
    <s v="E1171"/>
    <m/>
    <m/>
    <x v="3"/>
    <x v="5"/>
    <m/>
    <m/>
    <m/>
    <m/>
    <m/>
    <m/>
    <m/>
    <m/>
    <m/>
    <m/>
    <x v="1"/>
  </r>
  <r>
    <s v="E1172"/>
    <m/>
    <m/>
    <x v="3"/>
    <x v="5"/>
    <m/>
    <m/>
    <m/>
    <m/>
    <m/>
    <m/>
    <m/>
    <m/>
    <m/>
    <m/>
    <x v="1"/>
  </r>
  <r>
    <s v="E1173"/>
    <m/>
    <m/>
    <x v="3"/>
    <x v="5"/>
    <m/>
    <m/>
    <m/>
    <m/>
    <m/>
    <m/>
    <m/>
    <m/>
    <m/>
    <m/>
    <x v="1"/>
  </r>
  <r>
    <s v="E1174"/>
    <m/>
    <m/>
    <x v="3"/>
    <x v="5"/>
    <m/>
    <m/>
    <m/>
    <m/>
    <m/>
    <m/>
    <m/>
    <m/>
    <m/>
    <m/>
    <x v="1"/>
  </r>
  <r>
    <s v="E1175"/>
    <m/>
    <m/>
    <x v="3"/>
    <x v="5"/>
    <m/>
    <m/>
    <m/>
    <m/>
    <m/>
    <m/>
    <m/>
    <m/>
    <m/>
    <m/>
    <x v="1"/>
  </r>
  <r>
    <s v="E1176"/>
    <m/>
    <m/>
    <x v="3"/>
    <x v="5"/>
    <m/>
    <m/>
    <m/>
    <m/>
    <m/>
    <m/>
    <m/>
    <m/>
    <m/>
    <m/>
    <x v="1"/>
  </r>
  <r>
    <s v="E1177"/>
    <m/>
    <m/>
    <x v="3"/>
    <x v="5"/>
    <m/>
    <m/>
    <m/>
    <m/>
    <m/>
    <m/>
    <m/>
    <m/>
    <m/>
    <m/>
    <x v="1"/>
  </r>
  <r>
    <s v="E1178"/>
    <m/>
    <m/>
    <x v="3"/>
    <x v="5"/>
    <m/>
    <m/>
    <m/>
    <m/>
    <m/>
    <m/>
    <m/>
    <m/>
    <m/>
    <m/>
    <x v="1"/>
  </r>
  <r>
    <s v="E1179"/>
    <m/>
    <m/>
    <x v="3"/>
    <x v="5"/>
    <m/>
    <m/>
    <m/>
    <m/>
    <m/>
    <m/>
    <m/>
    <m/>
    <m/>
    <m/>
    <x v="1"/>
  </r>
  <r>
    <s v="E1180"/>
    <m/>
    <m/>
    <x v="3"/>
    <x v="5"/>
    <m/>
    <m/>
    <m/>
    <m/>
    <m/>
    <m/>
    <m/>
    <m/>
    <m/>
    <m/>
    <x v="1"/>
  </r>
  <r>
    <s v="E1181"/>
    <m/>
    <m/>
    <x v="3"/>
    <x v="5"/>
    <m/>
    <m/>
    <m/>
    <m/>
    <m/>
    <m/>
    <m/>
    <m/>
    <m/>
    <m/>
    <x v="1"/>
  </r>
  <r>
    <s v="E1182"/>
    <m/>
    <m/>
    <x v="3"/>
    <x v="5"/>
    <m/>
    <m/>
    <m/>
    <m/>
    <m/>
    <m/>
    <m/>
    <m/>
    <m/>
    <m/>
    <x v="1"/>
  </r>
  <r>
    <s v="E1183"/>
    <m/>
    <m/>
    <x v="3"/>
    <x v="5"/>
    <m/>
    <m/>
    <m/>
    <m/>
    <m/>
    <m/>
    <m/>
    <m/>
    <m/>
    <m/>
    <x v="1"/>
  </r>
  <r>
    <s v="E1184"/>
    <m/>
    <m/>
    <x v="3"/>
    <x v="5"/>
    <m/>
    <m/>
    <m/>
    <m/>
    <m/>
    <m/>
    <m/>
    <m/>
    <m/>
    <m/>
    <x v="1"/>
  </r>
  <r>
    <s v="E1185"/>
    <m/>
    <m/>
    <x v="3"/>
    <x v="5"/>
    <m/>
    <m/>
    <m/>
    <m/>
    <m/>
    <m/>
    <m/>
    <m/>
    <m/>
    <m/>
    <x v="1"/>
  </r>
  <r>
    <s v="E1186"/>
    <m/>
    <m/>
    <x v="3"/>
    <x v="5"/>
    <m/>
    <m/>
    <m/>
    <m/>
    <m/>
    <m/>
    <m/>
    <m/>
    <m/>
    <m/>
    <x v="1"/>
  </r>
  <r>
    <s v="E1187"/>
    <m/>
    <m/>
    <x v="3"/>
    <x v="5"/>
    <m/>
    <m/>
    <m/>
    <m/>
    <m/>
    <m/>
    <m/>
    <m/>
    <m/>
    <m/>
    <x v="1"/>
  </r>
  <r>
    <s v="E1188"/>
    <m/>
    <m/>
    <x v="3"/>
    <x v="5"/>
    <m/>
    <m/>
    <m/>
    <m/>
    <m/>
    <m/>
    <m/>
    <m/>
    <m/>
    <m/>
    <x v="1"/>
  </r>
  <r>
    <s v="E1189"/>
    <m/>
    <m/>
    <x v="3"/>
    <x v="5"/>
    <m/>
    <m/>
    <m/>
    <m/>
    <m/>
    <m/>
    <m/>
    <m/>
    <m/>
    <m/>
    <x v="1"/>
  </r>
  <r>
    <s v="E1190"/>
    <m/>
    <m/>
    <x v="3"/>
    <x v="5"/>
    <m/>
    <m/>
    <m/>
    <m/>
    <m/>
    <m/>
    <m/>
    <m/>
    <m/>
    <m/>
    <x v="1"/>
  </r>
  <r>
    <s v="E1191"/>
    <m/>
    <m/>
    <x v="3"/>
    <x v="5"/>
    <m/>
    <m/>
    <m/>
    <m/>
    <m/>
    <m/>
    <m/>
    <m/>
    <m/>
    <m/>
    <x v="1"/>
  </r>
  <r>
    <s v="E1192"/>
    <m/>
    <m/>
    <x v="3"/>
    <x v="5"/>
    <m/>
    <m/>
    <m/>
    <m/>
    <m/>
    <m/>
    <m/>
    <m/>
    <m/>
    <m/>
    <x v="1"/>
  </r>
  <r>
    <s v="E1193"/>
    <m/>
    <m/>
    <x v="3"/>
    <x v="5"/>
    <m/>
    <m/>
    <m/>
    <m/>
    <m/>
    <m/>
    <m/>
    <m/>
    <m/>
    <m/>
    <x v="1"/>
  </r>
  <r>
    <s v="E1194"/>
    <m/>
    <m/>
    <x v="3"/>
    <x v="5"/>
    <m/>
    <m/>
    <m/>
    <m/>
    <m/>
    <m/>
    <m/>
    <m/>
    <m/>
    <m/>
    <x v="1"/>
  </r>
  <r>
    <s v="E1195"/>
    <m/>
    <m/>
    <x v="3"/>
    <x v="5"/>
    <m/>
    <m/>
    <m/>
    <m/>
    <m/>
    <m/>
    <m/>
    <m/>
    <m/>
    <m/>
    <x v="1"/>
  </r>
  <r>
    <s v="E1196"/>
    <m/>
    <m/>
    <x v="3"/>
    <x v="5"/>
    <m/>
    <m/>
    <m/>
    <m/>
    <m/>
    <m/>
    <m/>
    <m/>
    <m/>
    <m/>
    <x v="1"/>
  </r>
  <r>
    <s v="E1197"/>
    <m/>
    <m/>
    <x v="3"/>
    <x v="5"/>
    <m/>
    <m/>
    <m/>
    <m/>
    <m/>
    <m/>
    <m/>
    <m/>
    <m/>
    <m/>
    <x v="1"/>
  </r>
  <r>
    <s v="E1198"/>
    <m/>
    <m/>
    <x v="3"/>
    <x v="5"/>
    <m/>
    <m/>
    <m/>
    <m/>
    <m/>
    <m/>
    <m/>
    <m/>
    <m/>
    <m/>
    <x v="1"/>
  </r>
  <r>
    <s v="E1199"/>
    <m/>
    <m/>
    <x v="3"/>
    <x v="5"/>
    <m/>
    <m/>
    <m/>
    <m/>
    <m/>
    <m/>
    <m/>
    <m/>
    <m/>
    <m/>
    <x v="1"/>
  </r>
  <r>
    <s v="E1200"/>
    <m/>
    <m/>
    <x v="3"/>
    <x v="5"/>
    <m/>
    <m/>
    <m/>
    <m/>
    <m/>
    <m/>
    <m/>
    <m/>
    <m/>
    <m/>
    <x v="1"/>
  </r>
  <r>
    <s v="E2"/>
    <s v="D. CUESTA"/>
    <d v="1899-12-30T22:40:00"/>
    <x v="124"/>
    <x v="6"/>
    <s v="Puntual"/>
    <s v="Flautas desalienadas"/>
    <d v="1899-12-30T22:40:00"/>
    <d v="1899-12-30T23:00:00"/>
    <d v="2026-02-21T00:00:00"/>
    <s v="Mecánica"/>
    <s v="Se alinean flautas de torre ya que se encuentran desalineadas, se da ajuste y se entrega maquina para arranque "/>
    <s v="NA"/>
    <s v="NA"/>
    <s v="D. BAUTISTA"/>
    <x v="0"/>
  </r>
  <r>
    <s v="E3"/>
    <s v="D. CUESTA"/>
    <d v="1899-12-30T22:10:00"/>
    <x v="124"/>
    <x v="6"/>
    <s v="Puntual"/>
    <s v="Revisar corona no sube tampoco baja"/>
    <d v="1899-12-30T22:10:00"/>
    <d v="1899-12-30T22:40:00"/>
    <d v="2026-02-21T00:00:00"/>
    <s v="Mecánica"/>
    <s v="Se encuentra cadena de transmisión de reductor salido y sin candado, se alinean piñones, se monta cadena, se instala candado y se realizan pruebas en vacio"/>
    <s v="NA"/>
    <s v="NA"/>
    <s v="D. BAUTISTA"/>
    <x v="0"/>
  </r>
  <r>
    <s v="E4"/>
    <s v="S. CARDENAL"/>
    <d v="1899-12-30T23:15:00"/>
    <x v="124"/>
    <x v="4"/>
    <s v="Puntual"/>
    <s v="El transportador tiene un ruido"/>
    <d v="1899-12-30T23:15:00"/>
    <d v="1899-12-30T02:45:00"/>
    <d v="2026-02-22T00:00:00"/>
    <s v="Mecánica"/>
    <s v="Se encuentra sistema de transportador con sonido anormal, se procede a desarmar para encontrar el fallo, se encuentra rodamiento sin lubricación de eje inferior de transmisión, se procede a limpieza y lubricación, se arma nuevamente"/>
    <s v="NA"/>
    <s v="NA"/>
    <s v="D. BAUTISTA"/>
    <x v="0"/>
  </r>
  <r>
    <s v="E5"/>
    <m/>
    <m/>
    <x v="3"/>
    <x v="5"/>
    <m/>
    <m/>
    <m/>
    <m/>
    <m/>
    <m/>
    <m/>
    <m/>
    <m/>
    <m/>
    <x v="1"/>
  </r>
  <r>
    <s v="E6"/>
    <s v="S. PATIÑO"/>
    <d v="1899-12-30T22:30:00"/>
    <x v="185"/>
    <x v="1"/>
    <s v="Puntual"/>
    <s v="Variador del halador no enciende"/>
    <d v="1899-12-30T22:35:00"/>
    <d v="1899-12-30T22:45:00"/>
    <d v="2026-02-22T00:00:00"/>
    <s v="Eléctrica"/>
    <s v="Se reseteo y se enciende nuevamente variador quedando operativo"/>
    <s v="NA"/>
    <s v="NA"/>
    <s v="D. BAUTISTA"/>
    <x v="0"/>
  </r>
  <r>
    <s v="E7"/>
    <s v="F. SANCHEZ"/>
    <d v="1899-12-30T18:00:00"/>
    <x v="185"/>
    <x v="6"/>
    <s v="Puntual"/>
    <s v="Temperatura del molde no estaba calentando y mando de temperatura de presiones desconectado"/>
    <d v="1899-12-30T18:00:00"/>
    <d v="1899-12-30T18:40:00"/>
    <d v="2026-02-22T00:00:00"/>
    <s v="Eléctrica"/>
    <s v="Temperatura para 1 molde bajo el setpoint, se encuentra breaker disparado, se resetea y se toma lectura de consumo, se da espera a que suba la temperatura. Conector sensor temperatura portamallas tornillo A desconectado y por ello no mostraba lectura"/>
    <s v="NA"/>
    <s v="NA"/>
    <s v="D. BAUTISTA"/>
    <x v="0"/>
  </r>
  <r>
    <s v="E8"/>
    <s v="L. GARZON"/>
    <d v="1899-12-30T15:20:00"/>
    <x v="64"/>
    <x v="4"/>
    <s v="Puntual"/>
    <s v="Se parte tornillo soporte perforadores"/>
    <d v="1899-12-30T15:20:00"/>
    <d v="1899-12-30T15:35:00"/>
    <d v="2025-12-12T00:00:00"/>
    <s v="Mecánica"/>
    <s v="Se encuentra tornillo partido, se extrae y se instalo tornillo M8 x 30mm, se da ajuste y quedo en operación"/>
    <s v="1X Tornillo M8 x 30mm"/>
    <s v="NA"/>
    <s v="D. BAUTISTA"/>
    <x v="0"/>
  </r>
  <r>
    <s v="E9"/>
    <s v="E. BELLO"/>
    <d v="1899-12-30T06:50:00"/>
    <x v="66"/>
    <x v="11"/>
    <s v="Puntual"/>
    <s v="Se reventaron las coreas de el molino"/>
    <d v="1899-12-30T07:45:00"/>
    <d v="1899-12-30T08:45:00"/>
    <d v="2025-12-15T00:00:00"/>
    <s v="Mecánica"/>
    <s v="Se realizo cambio de 4 correas de transmisión del molino de peletizadora"/>
    <s v="4x Correas transmisión"/>
    <s v="NA"/>
    <s v="D. BAUTISTA"/>
    <x v="0"/>
  </r>
  <r>
    <m/>
    <m/>
    <m/>
    <x v="3"/>
    <x v="5"/>
    <m/>
    <m/>
    <m/>
    <m/>
    <m/>
    <m/>
    <m/>
    <m/>
    <m/>
    <m/>
    <x v="1"/>
  </r>
  <r>
    <m/>
    <m/>
    <m/>
    <x v="3"/>
    <x v="5"/>
    <m/>
    <m/>
    <m/>
    <m/>
    <m/>
    <m/>
    <m/>
    <m/>
    <m/>
    <m/>
    <x v="1"/>
  </r>
  <r>
    <m/>
    <m/>
    <m/>
    <x v="3"/>
    <x v="5"/>
    <m/>
    <m/>
    <m/>
    <m/>
    <m/>
    <m/>
    <m/>
    <m/>
    <m/>
    <m/>
    <x v="1"/>
  </r>
  <r>
    <m/>
    <m/>
    <m/>
    <x v="3"/>
    <x v="5"/>
    <m/>
    <m/>
    <m/>
    <m/>
    <m/>
    <m/>
    <m/>
    <m/>
    <m/>
    <m/>
    <x v="1"/>
  </r>
  <r>
    <m/>
    <s v="Etiquetas de fila"/>
    <m/>
    <x v="3"/>
    <x v="5"/>
    <m/>
    <m/>
    <m/>
    <m/>
    <m/>
    <m/>
    <m/>
    <m/>
    <m/>
    <m/>
    <x v="1"/>
  </r>
  <r>
    <m/>
    <s v="C. ORTEGA"/>
    <m/>
    <x v="3"/>
    <x v="5"/>
    <m/>
    <m/>
    <m/>
    <m/>
    <m/>
    <m/>
    <m/>
    <m/>
    <m/>
    <m/>
    <x v="1"/>
  </r>
  <r>
    <m/>
    <s v="D. BAUTISTA"/>
    <m/>
    <x v="3"/>
    <x v="5"/>
    <m/>
    <m/>
    <m/>
    <m/>
    <m/>
    <m/>
    <m/>
    <m/>
    <m/>
    <m/>
    <x v="1"/>
  </r>
  <r>
    <m/>
    <s v="L. CASTILLA"/>
    <m/>
    <x v="3"/>
    <x v="5"/>
    <m/>
    <m/>
    <m/>
    <m/>
    <m/>
    <m/>
    <m/>
    <m/>
    <m/>
    <m/>
    <x v="1"/>
  </r>
  <r>
    <m/>
    <s v="L. FLOREZ"/>
    <m/>
    <x v="3"/>
    <x v="5"/>
    <m/>
    <m/>
    <m/>
    <m/>
    <m/>
    <m/>
    <m/>
    <m/>
    <m/>
    <m/>
    <x v="1"/>
  </r>
  <r>
    <m/>
    <s v="O. DUARTE"/>
    <m/>
    <x v="3"/>
    <x v="5"/>
    <m/>
    <m/>
    <m/>
    <m/>
    <m/>
    <m/>
    <m/>
    <m/>
    <m/>
    <m/>
    <x v="1"/>
  </r>
  <r>
    <m/>
    <s v="(en blanco)"/>
    <m/>
    <x v="3"/>
    <x v="5"/>
    <m/>
    <m/>
    <m/>
    <m/>
    <m/>
    <m/>
    <m/>
    <m/>
    <m/>
    <m/>
    <x v="1"/>
  </r>
  <r>
    <m/>
    <s v="Total general"/>
    <m/>
    <x v="3"/>
    <x v="5"/>
    <m/>
    <m/>
    <m/>
    <m/>
    <m/>
    <m/>
    <m/>
    <m/>
    <m/>
    <m/>
    <x v="1"/>
  </r>
  <r>
    <m/>
    <m/>
    <m/>
    <x v="3"/>
    <x v="5"/>
    <m/>
    <m/>
    <m/>
    <m/>
    <m/>
    <m/>
    <m/>
    <m/>
    <m/>
    <m/>
    <x v="1"/>
  </r>
  <r>
    <m/>
    <m/>
    <m/>
    <x v="3"/>
    <x v="5"/>
    <m/>
    <m/>
    <m/>
    <m/>
    <m/>
    <m/>
    <m/>
    <m/>
    <m/>
    <m/>
    <x v="1"/>
  </r>
  <r>
    <m/>
    <m/>
    <m/>
    <x v="3"/>
    <x v="5"/>
    <m/>
    <m/>
    <m/>
    <m/>
    <m/>
    <m/>
    <m/>
    <m/>
    <m/>
    <m/>
    <x v="1"/>
  </r>
  <r>
    <m/>
    <s v="Etiquetas de fila"/>
    <m/>
    <x v="3"/>
    <x v="5"/>
    <m/>
    <m/>
    <m/>
    <m/>
    <m/>
    <m/>
    <m/>
    <m/>
    <m/>
    <m/>
    <x v="1"/>
  </r>
  <r>
    <m/>
    <s v="C. ORTEGA"/>
    <m/>
    <x v="3"/>
    <x v="5"/>
    <m/>
    <m/>
    <m/>
    <m/>
    <m/>
    <m/>
    <m/>
    <m/>
    <m/>
    <m/>
    <x v="1"/>
  </r>
  <r>
    <m/>
    <s v="D. BAUTISTA"/>
    <m/>
    <x v="3"/>
    <x v="5"/>
    <m/>
    <m/>
    <m/>
    <m/>
    <m/>
    <m/>
    <m/>
    <m/>
    <m/>
    <m/>
    <x v="1"/>
  </r>
  <r>
    <m/>
    <s v="L. CASTILLA"/>
    <m/>
    <x v="3"/>
    <x v="5"/>
    <m/>
    <m/>
    <m/>
    <m/>
    <m/>
    <m/>
    <m/>
    <m/>
    <m/>
    <m/>
    <x v="1"/>
  </r>
  <r>
    <m/>
    <s v="L. FLOREZ"/>
    <m/>
    <x v="3"/>
    <x v="5"/>
    <m/>
    <m/>
    <m/>
    <m/>
    <m/>
    <m/>
    <m/>
    <m/>
    <m/>
    <m/>
    <x v="1"/>
  </r>
  <r>
    <m/>
    <s v="NA"/>
    <m/>
    <x v="3"/>
    <x v="5"/>
    <m/>
    <m/>
    <m/>
    <m/>
    <m/>
    <m/>
    <m/>
    <m/>
    <m/>
    <m/>
    <x v="1"/>
  </r>
  <r>
    <m/>
    <s v="O. DUARTE"/>
    <m/>
    <x v="3"/>
    <x v="5"/>
    <m/>
    <m/>
    <m/>
    <m/>
    <m/>
    <m/>
    <m/>
    <m/>
    <m/>
    <m/>
    <x v="1"/>
  </r>
  <r>
    <m/>
    <s v="(en blanco)"/>
    <m/>
    <x v="3"/>
    <x v="5"/>
    <m/>
    <m/>
    <m/>
    <m/>
    <m/>
    <m/>
    <m/>
    <m/>
    <m/>
    <m/>
    <x v="1"/>
  </r>
  <r>
    <m/>
    <s v="Total general"/>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r>
    <m/>
    <m/>
    <m/>
    <x v="3"/>
    <x v="5"/>
    <m/>
    <m/>
    <m/>
    <m/>
    <m/>
    <m/>
    <m/>
    <m/>
    <m/>
    <m/>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n v="1"/>
    <s v="S. CARDENAL"/>
    <d v="1899-12-30T06:50:00"/>
    <d v="2025-10-28T00:00:00"/>
    <x v="0"/>
    <s v="Puntual"/>
    <s v="La tuerca que aprieta el teflon esta dañada."/>
    <d v="1899-12-30T07:30:00"/>
    <d v="1899-12-30T07:40:00"/>
    <x v="0"/>
    <s v="Mecánica"/>
    <s v="Se cambia tuerca 5/16 porque se daño el paso, se cambia por una nueva."/>
    <s v="2 tuercas"/>
    <s v="NA"/>
    <s v="C. ORTEGA"/>
    <x v="0"/>
    <d v="1899-12-30T00:10:00"/>
    <d v="2025-10-28T06:50:00"/>
    <d v="2025-10-28T07:40:00"/>
    <d v="1899-12-30T00:50:00"/>
  </r>
  <r>
    <n v="2"/>
    <s v="S. CARDENAL"/>
    <d v="1899-12-30T07:45:00"/>
    <d v="2025-10-28T00:00:00"/>
    <x v="0"/>
    <s v="Repetitiva"/>
    <s v="La cuchilla se baja sola"/>
    <d v="1899-12-30T07:43:00"/>
    <d v="1899-12-30T07:59:00"/>
    <x v="0"/>
    <s v="Mecánica"/>
    <s v="Se le da 1/4 de vuelta al freno del motor de abajo para que sostenga la leva."/>
    <s v="NA"/>
    <s v="NA"/>
    <s v="C. ORTEGA"/>
    <x v="0"/>
    <d v="1899-12-30T00:16:00"/>
    <d v="2025-10-28T07:45:00"/>
    <d v="2025-10-28T07:59:00"/>
    <d v="1899-12-30T00:14:00"/>
  </r>
  <r>
    <n v="3"/>
    <s v="H. TRIANA"/>
    <d v="1899-12-30T15:20:00"/>
    <d v="2025-10-28T00:00:00"/>
    <x v="1"/>
    <s v="Repetitiva"/>
    <s v="Se solicita retirar torta de los discos de rotación."/>
    <d v="1899-12-30T15:30:00"/>
    <d v="1899-12-30T16:00:00"/>
    <x v="0"/>
    <s v="Mecánica"/>
    <s v="Retiro de material residuo torta discos de rotación."/>
    <s v="NA"/>
    <s v="Cinta de alta temperatura"/>
    <s v="O. DUARTE"/>
    <x v="0"/>
    <d v="1899-12-30T00:30:00"/>
    <d v="2025-10-28T15:20:00"/>
    <d v="2025-10-28T16:00:00"/>
    <d v="1899-12-30T00:40:00"/>
  </r>
  <r>
    <n v="4"/>
    <s v="L. GARZON"/>
    <d v="1899-12-30T20:20:00"/>
    <d v="2025-10-28T00:00:00"/>
    <x v="2"/>
    <s v="Puntual"/>
    <s v="La cuchilla estaba suelta."/>
    <d v="1899-12-30T20:20:00"/>
    <d v="1899-12-30T20:40:00"/>
    <x v="0"/>
    <s v="Mecánica"/>
    <s v="Se ajustan prisioneros de ajuste de mordaza. "/>
    <s v="NA"/>
    <s v="NA"/>
    <s v="D. BAUTISTA"/>
    <x v="0"/>
    <d v="1899-12-30T00:20:00"/>
    <d v="2025-10-28T20:20:00"/>
    <d v="2025-10-28T20:40:00"/>
    <d v="1899-12-30T00:20:00"/>
  </r>
  <r>
    <n v="5"/>
    <s v="D. CUESTA"/>
    <d v="1899-12-30T04:00:00"/>
    <d v="2025-10-29T00:00:00"/>
    <x v="3"/>
    <s v="Puntual"/>
    <s v="Revisar zona de temperatura zona exterior del tornillo."/>
    <d v="1899-12-30T04:00:00"/>
    <d v="1899-12-30T04:30:00"/>
    <x v="1"/>
    <s v="Eléctrica"/>
    <s v="Se realiza inspección a los componentes como controlador, rele y termocupla, se realiza calibración de termocupla."/>
    <s v="NA"/>
    <s v="NA"/>
    <s v="L. CASTILLA"/>
    <x v="0"/>
    <d v="1899-12-30T00:30:00"/>
    <d v="2025-10-29T04:00:00"/>
    <d v="2025-10-29T04:30:00"/>
    <d v="1899-12-30T00:30:00"/>
  </r>
  <r>
    <n v="6"/>
    <s v="S. CARDENAL"/>
    <d v="1899-12-30T12:50:00"/>
    <d v="2025-10-29T00:00:00"/>
    <x v="4"/>
    <s v="Puntual"/>
    <s v="Carretes del transportadora rompen bolsa y se queda atrapada. "/>
    <d v="1899-12-30T13:00:00"/>
    <d v="1899-12-30T13:43:00"/>
    <x v="1"/>
    <s v="Mecánica"/>
    <s v="Se ajustan rodillos con corredera a la salida del transportador tornillo no roscaba, se cambia por otro."/>
    <s v="Tornillo 5/16 por 2&quot;"/>
    <s v="NA"/>
    <s v="C. ORTEGA"/>
    <x v="0"/>
    <d v="1899-12-30T00:43:00"/>
    <d v="2025-10-29T12:50:00"/>
    <d v="2025-10-29T13:43:00"/>
    <d v="1899-12-30T00:53:00"/>
  </r>
  <r>
    <n v="7"/>
    <s v="A. CESPEDES"/>
    <d v="1899-12-30T00:25:00"/>
    <d v="2025-10-30T00:00:00"/>
    <x v="0"/>
    <s v="Puntual"/>
    <s v="Transportador no prende."/>
    <d v="1899-12-30T00:25:00"/>
    <d v="1899-12-30T01:15:00"/>
    <x v="2"/>
    <s v="Mecánica"/>
    <s v="Se inspecciona el transportador encontrando el rodamiento averiado y se realiza cambio quedando bien."/>
    <s v="1 Rodamiento 6064 zz NR"/>
    <s v="NA"/>
    <s v="L. CASTILLA"/>
    <x v="0"/>
    <d v="1899-12-30T00:50:00"/>
    <d v="2025-10-30T00:25:00"/>
    <d v="2025-10-30T01:15:00"/>
    <d v="1899-12-30T00:50:00"/>
  </r>
  <r>
    <n v="8"/>
    <s v="J. LUCAS"/>
    <d v="1899-12-30T07:25:00"/>
    <d v="2025-10-30T00:00:00"/>
    <x v="0"/>
    <s v="Puntual"/>
    <s v="Bolsa se rompe en los carretes por falta de carretes."/>
    <d v="1899-12-30T07:40:00"/>
    <d v="1899-12-30T08:40:00"/>
    <x v="2"/>
    <s v="Mecánica"/>
    <s v="Lubricar carretes y correr un espacio para cubrir los que se rompieron."/>
    <s v="NA"/>
    <s v="Lubricante"/>
    <s v="O. DUARTE"/>
    <x v="0"/>
    <d v="1899-12-30T01:00:00"/>
    <d v="2025-10-30T07:25:00"/>
    <d v="2025-10-30T08:40:00"/>
    <d v="1899-12-30T01:15:00"/>
  </r>
  <r>
    <n v="9"/>
    <s v="J. LUCAS"/>
    <d v="1899-12-30T10:50:00"/>
    <d v="2025-10-30T00:00:00"/>
    <x v="0"/>
    <s v="Puntual"/>
    <s v="La cuchilla se baja sola y no se sostiene arriba"/>
    <d v="1899-12-30T10:50:00"/>
    <d v="1899-12-30T11:13:00"/>
    <x v="2"/>
    <s v="Mecánica"/>
    <s v="Ajuste del freno motor cuchilla no se mantenia estable quedando operativa. "/>
    <s v="NA"/>
    <s v="NA"/>
    <s v="O. DUARTE"/>
    <x v="0"/>
    <d v="1899-12-30T00:23:00"/>
    <d v="2025-10-30T10:50:00"/>
    <d v="2025-10-30T11:13:00"/>
    <d v="1899-12-30T00:23:00"/>
  </r>
  <r>
    <n v="10"/>
    <m/>
    <m/>
    <m/>
    <x v="5"/>
    <m/>
    <m/>
    <m/>
    <m/>
    <x v="3"/>
    <m/>
    <m/>
    <m/>
    <m/>
    <m/>
    <x v="1"/>
    <d v="1899-12-30T00:00:00"/>
    <d v="1899-12-30T00:00:00"/>
    <d v="1899-12-30T00:00:00"/>
    <d v="1899-12-30T00:00:00"/>
  </r>
  <r>
    <n v="11"/>
    <m/>
    <m/>
    <m/>
    <x v="5"/>
    <m/>
    <m/>
    <m/>
    <m/>
    <x v="3"/>
    <m/>
    <m/>
    <m/>
    <m/>
    <m/>
    <x v="1"/>
    <d v="1899-12-30T00:00:00"/>
    <d v="1899-12-30T00:00:00"/>
    <d v="1899-12-30T00:00:00"/>
    <d v="1899-12-30T00:00:00"/>
  </r>
  <r>
    <n v="12"/>
    <m/>
    <m/>
    <m/>
    <x v="5"/>
    <m/>
    <m/>
    <m/>
    <m/>
    <x v="3"/>
    <m/>
    <m/>
    <m/>
    <m/>
    <m/>
    <x v="1"/>
    <d v="1899-12-30T00:00:00"/>
    <d v="1899-12-30T00:00:00"/>
    <d v="1899-12-30T00:00:00"/>
    <d v="1899-12-30T00:00:00"/>
  </r>
  <r>
    <n v="13"/>
    <s v="L. GARZON"/>
    <d v="1899-12-30T17:50:00"/>
    <d v="2025-10-30T00:00:00"/>
    <x v="4"/>
    <s v="Puntual"/>
    <s v="Se para máquina para afilar y limpiar cuhilla."/>
    <d v="1899-12-30T17:50:00"/>
    <d v="1899-12-30T20:40:00"/>
    <x v="2"/>
    <s v="Mecánica"/>
    <s v="Se realiza proceso para afilar la cuchilla por daño en el material."/>
    <s v="NA"/>
    <s v="NA"/>
    <s v="D. BAUTISTA"/>
    <x v="0"/>
    <d v="1899-12-30T02:50:00"/>
    <d v="2025-10-30T17:50:00"/>
    <d v="2025-10-30T20:40:00"/>
    <d v="1899-12-30T02:50:00"/>
  </r>
  <r>
    <n v="14"/>
    <s v="A. MIRANDA"/>
    <d v="1899-12-30T17:40:00"/>
    <d v="2025-10-30T00:00:00"/>
    <x v="6"/>
    <s v="Puntual"/>
    <s v="Fallo en molino de refile."/>
    <d v="1899-12-30T17:40:00"/>
    <d v="1899-12-30T18:20:00"/>
    <x v="2"/>
    <s v="Mecánica"/>
    <s v="Se presento atascamiento de ducto de refile, se desmonta ducto y se retira atascamiento, nuevamente se instala y se realizan pruebas."/>
    <s v="NA"/>
    <s v="NA"/>
    <s v="D. BAUTISTA"/>
    <x v="0"/>
    <d v="1899-12-30T00:40:00"/>
    <d v="2025-10-30T17:40:00"/>
    <d v="2025-10-30T18:20:00"/>
    <d v="1899-12-30T00:40:00"/>
  </r>
  <r>
    <n v="15"/>
    <s v="D. CUESTA"/>
    <d v="1899-12-30T19:00:00"/>
    <d v="2025-10-30T00:00:00"/>
    <x v="3"/>
    <s v="Puntual"/>
    <s v="Corto en cable de rotación."/>
    <d v="1899-12-30T19:00:00"/>
    <d v="1899-12-30T19:10:00"/>
    <x v="2"/>
    <s v="Eléctrica"/>
    <s v="Se instala 30 cm de cinta de fibra de vidrio."/>
    <s v="NA"/>
    <s v="NA"/>
    <s v="D. BAUTISTA"/>
    <x v="0"/>
    <d v="1899-12-30T00:10:00"/>
    <d v="2025-10-30T19:00:00"/>
    <d v="2025-10-30T19:10:00"/>
    <d v="1899-12-30T00:10:00"/>
  </r>
  <r>
    <n v="16"/>
    <m/>
    <m/>
    <m/>
    <x v="5"/>
    <m/>
    <m/>
    <m/>
    <m/>
    <x v="3"/>
    <m/>
    <m/>
    <m/>
    <m/>
    <m/>
    <x v="1"/>
    <d v="1899-12-30T00:00:00"/>
    <d v="1899-12-30T00:00:00"/>
    <d v="1899-12-30T00:00:00"/>
    <d v="1899-12-30T00:00:00"/>
  </r>
  <r>
    <n v="17"/>
    <m/>
    <m/>
    <m/>
    <x v="5"/>
    <m/>
    <m/>
    <m/>
    <m/>
    <x v="3"/>
    <m/>
    <m/>
    <m/>
    <m/>
    <m/>
    <x v="1"/>
    <d v="1899-12-30T00:00:00"/>
    <d v="1899-12-30T00:00:00"/>
    <d v="1899-12-30T00:00:00"/>
    <d v="1899-12-30T00:00:00"/>
  </r>
  <r>
    <n v="18"/>
    <s v="L. GARZON"/>
    <d v="1899-12-30T17:30:00"/>
    <d v="2025-10-31T00:00:00"/>
    <x v="0"/>
    <s v="Repetitiva"/>
    <s v="Rollo en transportador."/>
    <d v="1899-12-30T18:00:00"/>
    <d v="1899-12-30T21:30:00"/>
    <x v="4"/>
    <s v="Mecánica"/>
    <s v="Se encuentra variador transportador en rollo, se reinicia y se realiza seguimiento ya que falla continuo."/>
    <s v="NA"/>
    <s v="NA"/>
    <s v="D. BAUTISTA"/>
    <x v="0"/>
    <d v="1899-12-30T03:30:00"/>
    <d v="2025-10-31T17:30:00"/>
    <d v="2025-10-31T21:30:00"/>
    <d v="1899-12-30T04:00:00"/>
  </r>
  <r>
    <n v="19"/>
    <s v="K. RAMOS"/>
    <d v="1899-12-30T21:30:00"/>
    <d v="2025-11-01T00:00:00"/>
    <x v="6"/>
    <s v="Puntual"/>
    <s v="Tablero superior no abria"/>
    <d v="1899-12-30T21:30:00"/>
    <d v="1899-12-30T22:15:00"/>
    <x v="5"/>
    <s v="Eléctrica"/>
    <s v="Se realiza continuidad a cables de tablero encontrando 2 abiertos, se colocan 2 cables directos temporalmente para poder abrir las paletas."/>
    <s v="NA"/>
    <s v="NA"/>
    <s v="L. CASTILLA"/>
    <x v="0"/>
    <d v="1899-12-30T00:45:00"/>
    <d v="2025-11-01T21:30:00"/>
    <d v="2025-11-01T22:15:00"/>
    <d v="1899-12-30T00:45:00"/>
  </r>
  <r>
    <n v="20"/>
    <s v="R. CUESTA"/>
    <d v="1899-12-30T23:45:00"/>
    <d v="2025-11-03T00:00:00"/>
    <x v="7"/>
    <s v="Puntual"/>
    <s v="Piñon del eje neumatico se partio la soldadura."/>
    <d v="1899-12-30T23:45:00"/>
    <d v="1899-12-30T00:10:00"/>
    <x v="6"/>
    <s v="Mecánica"/>
    <s v="Se aplica soldadura para sujeción de piñon matriz de eje embobinador."/>
    <s v="Disco flap y Soldadura 6013"/>
    <s v="NA"/>
    <s v="D. BAUTISTA"/>
    <x v="0"/>
    <n v="-0.98263888888888895"/>
    <d v="2025-11-03T23:45:00"/>
    <d v="2025-11-03T00:10:00"/>
    <n v="-0.98263888889050577"/>
  </r>
  <r>
    <n v="21"/>
    <s v="H. TRIANA"/>
    <d v="1899-12-30T13:00:00"/>
    <d v="2025-11-04T00:00:00"/>
    <x v="8"/>
    <s v="Repetitiva"/>
    <s v="Cambio de tornillos bristol"/>
    <d v="1899-12-30T13:00:00"/>
    <d v="1899-12-30T13:40:00"/>
    <x v="7"/>
    <s v="Mecánica"/>
    <s v="Se machuelea número 10 para ajustar prisioneros que no roscaban."/>
    <s v="Prisioneros 10X15mm"/>
    <s v="NA"/>
    <s v="C. ORTEGA"/>
    <x v="0"/>
    <d v="1899-12-30T00:40:00"/>
    <d v="2025-11-04T13:00:00"/>
    <d v="2025-11-04T13:40:00"/>
    <d v="1899-12-30T00:40:00"/>
  </r>
  <r>
    <n v="22"/>
    <s v="K. RAMOS"/>
    <d v="1899-12-30T21:32:00"/>
    <d v="2025-11-04T00:00:00"/>
    <x v="6"/>
    <s v="Puntual"/>
    <s v="Calibración de celdas de carga."/>
    <d v="1899-12-30T21:32:00"/>
    <d v="1899-12-30T23:30:00"/>
    <x v="7"/>
    <s v="Mecánica"/>
    <s v="Se realiza calibración de caldas de carga con masa de 20kg"/>
    <s v="NA"/>
    <s v="NA"/>
    <s v="D. BAUTISTA"/>
    <x v="0"/>
    <d v="1899-12-30T01:58:00"/>
    <d v="2025-11-04T21:32:00"/>
    <d v="2025-11-04T23:30:00"/>
    <d v="1899-12-30T01:58:00"/>
  </r>
  <r>
    <n v="23"/>
    <s v="O. ALVAREZ"/>
    <d v="1899-12-30T08:40:00"/>
    <d v="2025-11-05T00:00:00"/>
    <x v="9"/>
    <s v="Puntual"/>
    <s v="Escape en la barra "/>
    <m/>
    <d v="1899-12-30T08:45:00"/>
    <x v="8"/>
    <s v="Neumática"/>
    <s v="Se aplica silicona en el prisionero y queda operativa."/>
    <s v="NA"/>
    <s v="Silicona"/>
    <s v="O. DUARTE"/>
    <x v="0"/>
    <d v="1899-12-30T08:45:00"/>
    <d v="2025-11-05T08:40:00"/>
    <d v="2025-11-05T08:45:00"/>
    <d v="1899-12-30T00:05:00"/>
  </r>
  <r>
    <n v="24"/>
    <m/>
    <m/>
    <m/>
    <x v="5"/>
    <m/>
    <m/>
    <m/>
    <m/>
    <x v="3"/>
    <m/>
    <m/>
    <m/>
    <m/>
    <m/>
    <x v="1"/>
    <d v="1899-12-30T00:00:00"/>
    <d v="1899-12-30T00:00:00"/>
    <d v="1899-12-30T00:00:00"/>
    <d v="1899-12-30T00:00:00"/>
  </r>
  <r>
    <n v="25"/>
    <s v="L. GARZON"/>
    <d v="1899-12-30T00:28:00"/>
    <d v="2025-11-06T00:00:00"/>
    <x v="0"/>
    <s v="Puntual"/>
    <s v="Se para carretes de salida bolsa."/>
    <d v="1899-12-30T00:18:00"/>
    <d v="1899-12-30T00:38:00"/>
    <x v="9"/>
    <s v="Mecánica"/>
    <s v="Se encuentra sistema de carretes atascado, se alinean carretes y se realiza pruebas de funcionamiento."/>
    <s v="NA"/>
    <s v="NA"/>
    <s v="D. BAUTISTA"/>
    <x v="0"/>
    <d v="1899-12-30T00:20:00"/>
    <d v="2025-11-06T00:28:00"/>
    <d v="2025-11-06T00:38:00"/>
    <d v="1899-12-30T00:10:00"/>
  </r>
  <r>
    <n v="26"/>
    <s v="A. ROVINA"/>
    <d v="1899-12-30T12:30:00"/>
    <d v="2025-11-05T00:00:00"/>
    <x v="10"/>
    <s v="Repetitiva"/>
    <s v="Modificación de castañas"/>
    <m/>
    <m/>
    <x v="3"/>
    <m/>
    <m/>
    <m/>
    <m/>
    <m/>
    <x v="2"/>
    <d v="1899-12-30T00:00:00"/>
    <d v="2025-11-05T12:30:00"/>
    <d v="1899-12-30T00:00:00"/>
    <n v="-45966.520833333336"/>
  </r>
  <r>
    <n v="27"/>
    <s v="D. ARRIETA"/>
    <d v="1899-12-30T18:10:00"/>
    <d v="2025-11-05T00:00:00"/>
    <x v="7"/>
    <s v="Puntual"/>
    <s v="Rodillo loco del desembobinador se paro."/>
    <d v="1899-12-30T18:10:00"/>
    <d v="1899-12-30T21:00:00"/>
    <x v="8"/>
    <s v="Mecánica"/>
    <s v="Se cae rodillo de impresora, se amarra con zuncho esta dañado la parte del prisionero."/>
    <s v="NA"/>
    <s v="NA"/>
    <s v="C. ORTEGA"/>
    <x v="0"/>
    <d v="1899-12-30T02:50:00"/>
    <d v="2025-11-05T18:10:00"/>
    <d v="2025-11-05T21:00:00"/>
    <d v="1899-12-30T02:50:00"/>
  </r>
  <r>
    <n v="28"/>
    <s v="E. BOREA"/>
    <d v="1899-12-30T07:24:00"/>
    <d v="2025-11-05T00:00:00"/>
    <x v="11"/>
    <s v="Puntual"/>
    <s v="No arranca tornillo de alimentación de la tolva"/>
    <d v="1899-12-30T01:15:00"/>
    <d v="1899-12-30T01:30:00"/>
    <x v="9"/>
    <s v="Eléctrica"/>
    <s v="Se realiza inspección de circuito eléctrico de control de motor, se encuentra cableado desconectado, se conecta nuevamente y se realizan pruebas."/>
    <s v="NA"/>
    <s v="NA"/>
    <s v="D. BAUTISTA"/>
    <x v="0"/>
    <d v="1899-12-30T00:15:00"/>
    <d v="2025-11-05T07:24:00"/>
    <d v="2025-11-06T01:30:00"/>
    <d v="1899-12-30T18:06:00"/>
  </r>
  <r>
    <n v="29"/>
    <s v="A. MIRANDA"/>
    <d v="1899-12-30T14:00:00"/>
    <d v="2025-11-05T00:00:00"/>
    <x v="6"/>
    <s v="Repetitiva"/>
    <s v="Fallo en variador del tornillo B."/>
    <d v="1899-12-30T14:00:00"/>
    <d v="1899-12-30T23:00:00"/>
    <x v="8"/>
    <s v="Eléctrica"/>
    <s v="Se instala ventilador de respaldo para el variador de frecuencia a 220v, se requiere cambio de ventilador para refrigeración."/>
    <s v="NA"/>
    <s v="NA"/>
    <s v="D. BAUTISTA"/>
    <x v="0"/>
    <d v="1899-12-30T09:00:00"/>
    <d v="2025-11-05T14:00:00"/>
    <d v="2025-11-05T23:00:00"/>
    <d v="1899-12-30T09:00:00"/>
  </r>
  <r>
    <n v="30"/>
    <s v="A. CEPEDES"/>
    <d v="1899-12-30T06:00:00"/>
    <d v="2025-11-06T00:00:00"/>
    <x v="0"/>
    <s v="Puntual"/>
    <s v="Se cae rodillo del transportador."/>
    <d v="1899-12-30T06:15:00"/>
    <d v="1899-12-30T06:40:00"/>
    <x v="9"/>
    <s v="Mecánica"/>
    <s v="Se extrae tornillo roto y se ajusta el rodillo, se hacen pruebas."/>
    <s v="Tornillos y arandelas."/>
    <s v="NA"/>
    <s v="O. DUARTE"/>
    <x v="0"/>
    <d v="1899-12-30T00:25:00"/>
    <d v="2025-11-06T06:00:00"/>
    <d v="2025-11-06T06:40:00"/>
    <d v="1899-12-30T00:40:00"/>
  </r>
  <r>
    <n v="31"/>
    <s v="D. BUESACO"/>
    <d v="1899-12-30T07:00:00"/>
    <d v="2025-11-06T00:00:00"/>
    <x v="12"/>
    <s v="Puntual"/>
    <s v="Falla en carrete, se frena transportador de salida."/>
    <d v="1899-12-30T07:05:00"/>
    <d v="1899-12-30T07:42:00"/>
    <x v="9"/>
    <s v="Eléctrica"/>
    <s v="Revisión del variador, toma de parametros, reinicio de equipo varias veces, se realizan pruebas."/>
    <s v="NA"/>
    <s v="NA"/>
    <s v="O. DUARTE"/>
    <x v="0"/>
    <d v="1899-12-30T00:37:00"/>
    <d v="2025-11-06T07:00:00"/>
    <d v="2025-11-06T07:42:00"/>
    <d v="1899-12-30T00:42:00"/>
  </r>
  <r>
    <n v="32"/>
    <s v="O. VALENCIA"/>
    <d v="1899-12-30T06:00:00"/>
    <d v="2025-11-07T00:00:00"/>
    <x v="11"/>
    <s v="Puntual"/>
    <s v="Cableado suelto en resistencias del cable filtros."/>
    <d v="1899-12-30T07:40:00"/>
    <d v="1899-12-30T08:51:00"/>
    <x v="10"/>
    <s v="Eléctrica"/>
    <s v="Se realiza intervención en resistencias desconectadas, se desenergiza, se empalma con borneras recubrimiento cinta de alta temperatura."/>
    <s v="Cinta alta temperatura, borneras."/>
    <s v="NA"/>
    <s v="O. DUARTE"/>
    <x v="0"/>
    <d v="1899-12-30T01:11:00"/>
    <d v="2025-11-07T06:00:00"/>
    <d v="2025-11-07T08:51:00"/>
    <d v="1899-12-30T02:51:00"/>
  </r>
  <r>
    <n v="33"/>
    <s v="D. SANCHEZ"/>
    <d v="1899-12-30T20:18:00"/>
    <d v="2025-11-06T00:00:00"/>
    <x v="13"/>
    <s v="Puntual"/>
    <s v="Se solicita el cambio de la iluminaria ya que se encuentra en mal estado y genera molestias visuales a los operarios de sellado."/>
    <m/>
    <m/>
    <x v="3"/>
    <m/>
    <m/>
    <m/>
    <m/>
    <m/>
    <x v="2"/>
    <d v="1899-12-30T00:00:00"/>
    <d v="2025-11-06T20:18:00"/>
    <d v="1899-12-30T00:00:00"/>
    <n v="-45967.845833333333"/>
  </r>
  <r>
    <n v="34"/>
    <s v="J. MIRANDA"/>
    <d v="1899-12-30T22:30:00"/>
    <d v="2025-11-06T00:00:00"/>
    <x v="14"/>
    <s v="Puntual"/>
    <s v="Motor de la tolva del pigmento esta fallando, no esta consumiendo lo que se programa, consume más de lo que debe consumir."/>
    <m/>
    <m/>
    <x v="3"/>
    <m/>
    <m/>
    <m/>
    <m/>
    <m/>
    <x v="2"/>
    <d v="1899-12-30T00:00:00"/>
    <d v="2025-11-06T22:30:00"/>
    <d v="1899-12-30T00:00:00"/>
    <n v="-45967.9375"/>
  </r>
  <r>
    <n v="35"/>
    <s v="L. GARZON"/>
    <d v="1899-12-30T00:27:00"/>
    <d v="2025-11-07T00:00:00"/>
    <x v="15"/>
    <s v="Repetitiva"/>
    <s v="Daño en el transportador."/>
    <d v="1899-12-30T00:27:00"/>
    <d v="1899-12-30T01:00:00"/>
    <x v="10"/>
    <s v="Mecánica"/>
    <s v="Se tensiona rodillo tensor de correas de transportador."/>
    <s v="NA"/>
    <s v="NA"/>
    <s v="D. BAUTISTA"/>
    <x v="0"/>
    <d v="1899-12-30T00:33:00"/>
    <d v="2025-11-07T00:27:00"/>
    <d v="2025-11-07T01:00:00"/>
    <d v="1899-12-30T00:33:00"/>
  </r>
  <r>
    <n v="36"/>
    <s v="C. CASTRO"/>
    <d v="1899-12-30T04:00:00"/>
    <d v="2025-11-07T00:00:00"/>
    <x v="10"/>
    <s v="Repetitiva"/>
    <s v="Cambiar rodillos para refilar papel, acondicionar castañas de bobinadores."/>
    <d v="1899-12-30T04:00:00"/>
    <d v="1899-12-30T04:40:00"/>
    <x v="10"/>
    <s v="Mecánica"/>
    <s v="Se instalan rodillos de corto para trabajar papel, se adecuan castañas de bobinadores para refilar papel."/>
    <s v="NA"/>
    <s v="NA"/>
    <s v="D. BAUTISTA"/>
    <x v="0"/>
    <d v="1899-12-30T00:40:00"/>
    <d v="2025-11-07T04:00:00"/>
    <d v="2025-11-07T04:40:00"/>
    <d v="1899-12-30T00:40:00"/>
  </r>
  <r>
    <n v="37"/>
    <s v="R. CUSIA"/>
    <d v="1899-12-30T08:20:00"/>
    <d v="2025-11-07T00:00:00"/>
    <x v="7"/>
    <s v="Puntual"/>
    <s v="Diferencial con cable roto del control"/>
    <d v="1899-12-30T08:30:00"/>
    <d v="1899-12-30T09:00:00"/>
    <x v="10"/>
    <s v="Eléctrica"/>
    <s v="Cables averiados, se corta 30cm para sacar parte averiada y se realiza empalme nuevamente quedando OK."/>
    <s v="Cable para reemplazar"/>
    <s v="NA"/>
    <s v="L. CASTILLA"/>
    <x v="0"/>
    <d v="1899-12-30T00:30:00"/>
    <d v="2025-11-07T08:20:00"/>
    <d v="2025-11-07T09:00:00"/>
    <d v="1899-12-30T00:40:00"/>
  </r>
  <r>
    <n v="38"/>
    <m/>
    <m/>
    <m/>
    <x v="5"/>
    <m/>
    <m/>
    <m/>
    <m/>
    <x v="3"/>
    <m/>
    <m/>
    <m/>
    <m/>
    <m/>
    <x v="1"/>
    <d v="1899-12-30T00:00:00"/>
    <d v="1899-12-30T00:00:00"/>
    <d v="1899-12-30T00:00:00"/>
    <d v="1899-12-30T00:00:00"/>
  </r>
  <r>
    <n v="39"/>
    <m/>
    <m/>
    <m/>
    <x v="5"/>
    <m/>
    <m/>
    <m/>
    <m/>
    <x v="3"/>
    <m/>
    <m/>
    <m/>
    <m/>
    <m/>
    <x v="1"/>
    <d v="1899-12-30T00:00:00"/>
    <d v="1899-12-30T00:00:00"/>
    <d v="1899-12-30T00:00:00"/>
    <d v="1899-12-30T00:00:00"/>
  </r>
  <r>
    <n v="40"/>
    <s v="F. SANCHEZ"/>
    <d v="1899-12-30T16:58:00"/>
    <d v="2025-11-07T00:00:00"/>
    <x v="6"/>
    <s v="Puntual"/>
    <s v="Problemas para cuadrar tabular variación de medida de 15 centimetros + o - por el IBC, no se mantiene la medida estantar."/>
    <m/>
    <m/>
    <x v="3"/>
    <m/>
    <m/>
    <m/>
    <m/>
    <m/>
    <x v="2"/>
    <d v="1899-12-30T00:00:00"/>
    <d v="2025-11-07T16:58:00"/>
    <d v="1899-12-30T00:00:00"/>
    <n v="-45968.706944444442"/>
  </r>
  <r>
    <n v="41"/>
    <s v="F. SANCHEZ"/>
    <d v="1899-12-30T16:53:00"/>
    <d v="2025-11-07T00:00:00"/>
    <x v="6"/>
    <s v="Puntual"/>
    <s v="Paletas en mal funcionamiento, partidas, tienen juego, no estabilizan para poder cuadrar fuelle."/>
    <m/>
    <m/>
    <x v="3"/>
    <m/>
    <m/>
    <m/>
    <m/>
    <m/>
    <x v="2"/>
    <d v="1899-12-30T00:00:00"/>
    <d v="2025-11-07T16:53:00"/>
    <d v="1899-12-30T00:00:00"/>
    <n v="-45968.703472222223"/>
  </r>
  <r>
    <n v="42"/>
    <s v="D. BUESACO"/>
    <d v="1899-12-30T07:40:00"/>
    <d v="2025-11-08T00:00:00"/>
    <x v="0"/>
    <s v="Puntual"/>
    <s v="Material sale por la mitad."/>
    <d v="1899-12-30T07:40:00"/>
    <d v="1899-12-30T08:50:00"/>
    <x v="11"/>
    <s v="Mecánica"/>
    <s v="Aplicar soldadura, cambio de tornillo de polea tensora, ajuste de correa y se realizan pruebas de funcionamiento."/>
    <s v="Tornillo 8 mm."/>
    <s v="Soldadura"/>
    <s v="O. DUARTE"/>
    <x v="0"/>
    <d v="1899-12-30T01:10:00"/>
    <d v="2025-11-08T07:40:00"/>
    <d v="2025-11-08T08:50:00"/>
    <d v="1899-12-30T01:10:00"/>
  </r>
  <r>
    <n v="43"/>
    <s v="E. REYES"/>
    <d v="1899-12-30T14:00:00"/>
    <d v="2025-11-08T00:00:00"/>
    <x v="16"/>
    <s v="Repetitiva"/>
    <s v="Afilar cuchilla"/>
    <d v="1899-12-30T14:00:00"/>
    <d v="1899-12-30T14:30:00"/>
    <x v="11"/>
    <s v="Mecánica"/>
    <s v="Afilar cuchilla, se deja enfriar, se hace pruebas."/>
    <s v="NA"/>
    <s v="NA"/>
    <s v="O. DUARTE"/>
    <x v="0"/>
    <d v="1899-12-30T00:30:00"/>
    <d v="2025-11-08T14:00:00"/>
    <d v="2025-11-08T14:30:00"/>
    <d v="1899-12-30T00:30:00"/>
  </r>
  <r>
    <n v="44"/>
    <s v="NA"/>
    <d v="1899-12-30T00:25:00"/>
    <d v="2025-11-09T00:00:00"/>
    <x v="7"/>
    <s v="Puntual"/>
    <s v="Registro lateral en mal estado se paro por llevar pieza al taller para su reparación."/>
    <d v="1899-12-30T00:25:00"/>
    <d v="1899-12-30T02:20:00"/>
    <x v="12"/>
    <s v="Mecánica"/>
    <s v="Se repara registro lateral se colocan tornillos, se vuelve aramar."/>
    <s v="NA"/>
    <s v="NA"/>
    <s v="C. ORTEGA"/>
    <x v="0"/>
    <d v="1899-12-30T01:55:00"/>
    <d v="2025-11-09T00:25:00"/>
    <d v="2025-11-09T02:20:00"/>
    <d v="1899-12-30T01:55:00"/>
  </r>
  <r>
    <n v="45"/>
    <s v="H. TRIANA"/>
    <d v="1899-12-30T06:40:00"/>
    <d v="2025-11-10T00:00:00"/>
    <x v="3"/>
    <s v="Puntual"/>
    <s v="Porta mallas inferior no calienta."/>
    <d v="1899-12-30T06:40:00"/>
    <d v="1899-12-30T07:00:00"/>
    <x v="13"/>
    <s v="Eléctrica"/>
    <s v="Se realiza inspección y se encuentra cable de conexión partido, se reconecta y se deja el equipo calentando."/>
    <s v="NA"/>
    <s v="NA"/>
    <s v="D. BAUTISTA"/>
    <x v="0"/>
    <d v="1899-12-30T00:20:00"/>
    <d v="2025-11-10T06:40:00"/>
    <d v="2025-11-10T07:00:00"/>
    <d v="1899-12-30T00:20:00"/>
  </r>
  <r>
    <n v="46"/>
    <s v="A. POVIRA"/>
    <d v="1899-12-30T07:45:00"/>
    <d v="2025-11-10T00:00:00"/>
    <x v="17"/>
    <s v="Puntual"/>
    <s v="Eje de embobinador se pincha."/>
    <d v="1899-12-30T07:50:00"/>
    <d v="1899-12-30T08:40:00"/>
    <x v="13"/>
    <s v="Mecánica"/>
    <s v="Se encuentra fuga en prisioneros de ajuste, se realiza aplicación de silicona y ajuste, queda en observación."/>
    <s v="NA"/>
    <s v="NA"/>
    <s v="D. BAUTISTA"/>
    <x v="0"/>
    <d v="1899-12-30T00:50:00"/>
    <d v="2025-11-10T07:45:00"/>
    <d v="2025-11-10T08:40:00"/>
    <d v="1899-12-30T00:55:00"/>
  </r>
  <r>
    <n v="47"/>
    <s v="A. POVIRA"/>
    <d v="1899-12-30T08:30:00"/>
    <d v="2025-11-10T00:00:00"/>
    <x v="10"/>
    <s v="Repetitiva"/>
    <s v="Cambio de castañas y prensa."/>
    <d v="1899-12-30T08:50:00"/>
    <d v="1899-12-30T09:13:00"/>
    <x v="13"/>
    <s v="Mecánica"/>
    <s v="Se realiza cambio de rodillos pisador para trabajar plastico y se ajustan las castañas para operar."/>
    <s v="NA"/>
    <s v="NA"/>
    <s v="D. BAUTISTA"/>
    <x v="0"/>
    <d v="1899-12-30T00:23:00"/>
    <d v="2025-11-10T08:30:00"/>
    <d v="2025-11-10T09:13:00"/>
    <d v="1899-12-30T00:43:00"/>
  </r>
  <r>
    <n v="48"/>
    <s v="D. PARDO"/>
    <d v="1899-12-30T12:20:00"/>
    <d v="2025-11-10T00:00:00"/>
    <x v="7"/>
    <s v="Puntual"/>
    <s v="Se parten dos tornillos."/>
    <d v="1899-12-30T12:20:00"/>
    <d v="1899-12-30T12:30:00"/>
    <x v="13"/>
    <s v="Mecánica"/>
    <s v="Se encuentran 2 tornillos M8 partidos, se extraen y se reemplazan, quedando operativo."/>
    <s v="2 Tornillos M8"/>
    <s v="NA"/>
    <s v="D. BAUTISTA"/>
    <x v="0"/>
    <d v="1899-12-30T00:10:00"/>
    <d v="2025-11-10T12:20:00"/>
    <d v="2025-11-10T12:30:00"/>
    <d v="1899-12-30T00:10:00"/>
  </r>
  <r>
    <n v="49"/>
    <s v="D. CUESTA"/>
    <d v="1899-12-30T21:10:00"/>
    <d v="2025-11-10T00:00:00"/>
    <x v="14"/>
    <s v="Puntual"/>
    <s v="Se esta calibrando porque ele material sale con puntos descalibrados, se mira que la corona esta un poco caida."/>
    <d v="1899-12-30T21:10:00"/>
    <d v="1899-12-30T21:40:00"/>
    <x v="13"/>
    <s v="Mecánica"/>
    <s v="Se coloca nivel en el molde y presenta desnivel, se realiza calibración con nivel quedando OK."/>
    <s v="NA"/>
    <s v="NA"/>
    <s v="L. CASTILLA"/>
    <x v="0"/>
    <d v="1899-12-30T00:30:00"/>
    <d v="2025-11-10T21:10:00"/>
    <d v="2025-11-10T21:40:00"/>
    <d v="1899-12-30T00:30:00"/>
  </r>
  <r>
    <n v="50"/>
    <s v="J. CORREA"/>
    <d v="1899-12-30T13:00:00"/>
    <d v="2025-11-11T00:00:00"/>
    <x v="18"/>
    <s v="Puntual"/>
    <s v="Se revienta correa y se esta derritiendo el material en eje inferior interno."/>
    <d v="1899-12-30T13:00:00"/>
    <d v="1899-12-30T15:00:00"/>
    <x v="14"/>
    <s v="Mecánica"/>
    <s v="Se cambian correas de mezcladora, se da tensión para que la transmisión inicie."/>
    <s v="Correa 45"/>
    <s v="NA"/>
    <s v="C. ORTEGA"/>
    <x v="0"/>
    <d v="1899-12-30T02:00:00"/>
    <d v="2025-11-11T13:00:00"/>
    <d v="2025-11-11T15:00:00"/>
    <d v="1899-12-30T02:00:00"/>
  </r>
  <r>
    <n v="51"/>
    <m/>
    <m/>
    <m/>
    <x v="5"/>
    <m/>
    <m/>
    <m/>
    <m/>
    <x v="3"/>
    <m/>
    <m/>
    <m/>
    <m/>
    <m/>
    <x v="1"/>
    <d v="1899-12-30T00:00:00"/>
    <d v="1899-12-30T00:00:00"/>
    <d v="1899-12-30T00:00:00"/>
    <d v="1899-12-30T00:00:00"/>
  </r>
  <r>
    <n v="52"/>
    <s v="R. MEJIA"/>
    <d v="1899-12-30T15:20:00"/>
    <d v="2025-11-11T00:00:00"/>
    <x v="7"/>
    <s v="Puntual"/>
    <s v="Cable diferencial izquierdo se partio solo funciona lado derecho."/>
    <d v="1899-12-30T15:30:00"/>
    <d v="1899-12-30T17:20:00"/>
    <x v="14"/>
    <s v="Eléctrica"/>
    <s v="Cable abierto desprendidos de bornera, muy cortos, se corre reserva y se empalman."/>
    <s v="NA"/>
    <s v="NA"/>
    <s v="L. CASTILLA"/>
    <x v="0"/>
    <d v="1899-12-30T01:50:00"/>
    <d v="2025-11-11T15:20:00"/>
    <d v="2025-11-11T17:20:00"/>
    <d v="1899-12-30T02:00:00"/>
  </r>
  <r>
    <n v="53"/>
    <s v="J. MIRANDA"/>
    <d v="1899-12-30T16:40:00"/>
    <d v="2025-11-11T00:00:00"/>
    <x v="1"/>
    <s v="Puntual"/>
    <s v="Se frena la prensa por favor revisar."/>
    <d v="1899-12-30T17:50:00"/>
    <d v="1899-12-30T18:20:00"/>
    <x v="14"/>
    <s v="Eléctrica"/>
    <s v="Se revisa circuito encontrando conductor con punto caliente, se realiza ajuste quedando OK."/>
    <s v="NA"/>
    <s v="NA"/>
    <s v="L. CASTILLA"/>
    <x v="0"/>
    <d v="1899-12-30T00:30:00"/>
    <d v="2025-11-11T16:40:00"/>
    <d v="2025-11-11T18:20:00"/>
    <d v="1899-12-30T01:40:00"/>
  </r>
  <r>
    <n v="54"/>
    <s v="R. MEJIA"/>
    <d v="1899-12-30T17:00:00"/>
    <d v="2025-11-11T00:00:00"/>
    <x v="7"/>
    <s v="Puntual"/>
    <s v="Parada para arreglar bobinador ya que el rodamiento se partio."/>
    <d v="1899-12-30T17:00:00"/>
    <d v="1899-12-30T17:20:00"/>
    <x v="14"/>
    <s v="Mecánica"/>
    <s v="Rodamiento guia rodillo embobinador averiado, se realiza desmonte para cambio quedando OK."/>
    <s v="NA"/>
    <s v="NA"/>
    <s v="L. CASTILLA"/>
    <x v="0"/>
    <d v="1899-12-30T00:20:00"/>
    <d v="2025-11-11T17:00:00"/>
    <d v="2025-11-11T17:20:00"/>
    <d v="1899-12-30T00:20:00"/>
  </r>
  <r>
    <n v="55"/>
    <s v="C. BARAJAS"/>
    <d v="1899-12-30T21:30:00"/>
    <d v="2025-11-11T00:00:00"/>
    <x v="2"/>
    <s v="Puntual"/>
    <s v="El servo arrastra demasiado el material."/>
    <d v="1899-12-30T21:30:00"/>
    <d v="1899-12-30T21:45:00"/>
    <x v="14"/>
    <s v="Eléctrica"/>
    <s v="Sensorde balanza averiado, se ajusta y se deja OK."/>
    <s v="NA"/>
    <s v="NA"/>
    <s v="L. CASTILLA"/>
    <x v="0"/>
    <d v="1899-12-30T00:15:00"/>
    <d v="2025-11-11T21:30:00"/>
    <d v="2025-11-11T21:45:00"/>
    <d v="1899-12-30T00:15:00"/>
  </r>
  <r>
    <n v="56"/>
    <s v="D. CUESTA"/>
    <d v="1899-12-30T23:50:00"/>
    <d v="2025-11-11T00:00:00"/>
    <x v="3"/>
    <s v="Puntual"/>
    <s v="Se para extrusora 4 por fuga de material."/>
    <m/>
    <m/>
    <x v="3"/>
    <m/>
    <m/>
    <m/>
    <m/>
    <m/>
    <x v="2"/>
    <d v="1899-12-30T00:00:00"/>
    <d v="2025-11-11T23:50:00"/>
    <d v="1899-12-30T00:00:00"/>
    <n v="-45972.993055555555"/>
  </r>
  <r>
    <n v="57"/>
    <m/>
    <m/>
    <m/>
    <x v="5"/>
    <m/>
    <m/>
    <m/>
    <m/>
    <x v="3"/>
    <m/>
    <m/>
    <m/>
    <m/>
    <m/>
    <x v="1"/>
    <d v="1899-12-30T00:00:00"/>
    <d v="1899-12-30T00:00:00"/>
    <d v="1899-12-30T00:00:00"/>
    <d v="1899-12-30T00:00:00"/>
  </r>
  <r>
    <n v="58"/>
    <s v="Y. BERNAL"/>
    <d v="1899-12-30T07:51:00"/>
    <d v="2025-11-18T00:00:00"/>
    <x v="18"/>
    <s v="Puntual"/>
    <s v="Mezcladora capa externa con fricción interna en el tornillo, esta derritiendo la resina."/>
    <d v="1899-12-30T07:51:00"/>
    <d v="1899-12-30T10:09:00"/>
    <x v="15"/>
    <s v="Mecánica"/>
    <s v="Se cambian empaques, se limpia rodamientos, se lubrica rodamientos y chumaceras."/>
    <s v="Chumacera f208"/>
    <s v="Empaques"/>
    <s v="C. ORTEGA"/>
    <x v="0"/>
    <d v="1899-12-30T02:18:00"/>
    <d v="2025-11-18T07:51:00"/>
    <d v="2025-11-18T10:09:00"/>
    <d v="1899-12-30T02:18:00"/>
  </r>
  <r>
    <n v="59"/>
    <s v="H. TRIANA"/>
    <d v="1899-12-30T15:30:00"/>
    <d v="2025-11-12T00:00:00"/>
    <x v="3"/>
    <s v="Puntual"/>
    <s v="Falla grafilador."/>
    <d v="1899-12-30T15:30:00"/>
    <d v="1899-12-30T18:00:00"/>
    <x v="16"/>
    <s v="Mecánica"/>
    <s v="Se desmonta motor para inspección en transmisión, se ajusta y se realizan pruebas, se tiene en seguimiento."/>
    <s v="NA"/>
    <s v="NA"/>
    <s v="D. BAUTISTA"/>
    <x v="0"/>
    <d v="1899-12-30T02:30:00"/>
    <d v="2025-11-12T15:30:00"/>
    <d v="2025-11-12T18:00:00"/>
    <d v="1899-12-30T02:30:00"/>
  </r>
  <r>
    <n v="60"/>
    <s v="C. CASTRO"/>
    <d v="1899-12-30T18:00:00"/>
    <d v="2025-11-12T00:00:00"/>
    <x v="10"/>
    <s v="Puntual"/>
    <s v="Daño en la manguera del embobinador superior y en el tornillo que soporta la punta de la manguera."/>
    <m/>
    <m/>
    <x v="3"/>
    <m/>
    <m/>
    <m/>
    <m/>
    <m/>
    <x v="2"/>
    <d v="1899-12-30T00:00:00"/>
    <d v="2025-11-12T18:00:00"/>
    <d v="1899-12-30T00:00:00"/>
    <n v="-45973.75"/>
  </r>
  <r>
    <n v="61"/>
    <s v="D. CUESTA"/>
    <d v="1899-12-30T20:17:00"/>
    <d v="2025-11-12T00:00:00"/>
    <x v="1"/>
    <s v="Puntual"/>
    <s v="Se para prensa."/>
    <m/>
    <m/>
    <x v="3"/>
    <m/>
    <m/>
    <m/>
    <m/>
    <m/>
    <x v="2"/>
    <d v="1899-12-30T00:00:00"/>
    <d v="2025-11-12T20:17:00"/>
    <d v="1899-12-30T00:00:00"/>
    <n v="-45973.845138888886"/>
  </r>
  <r>
    <n v="62"/>
    <s v="F. SANCHEZ"/>
    <d v="1899-12-30T20:20:00"/>
    <d v="2025-11-12T00:00:00"/>
    <x v="6"/>
    <s v="Puntual"/>
    <s v="Clavo se queda pegado del alimentador cuando se hace el cambio de bobina del embobinador 2."/>
    <d v="1899-12-30T21:20:00"/>
    <d v="1899-12-30T21:40:00"/>
    <x v="16"/>
    <s v="Mecánica"/>
    <s v="Se realizo ajuste de tornilleria y lubricación a pieza de desplazamiento, se realiza seguimiento."/>
    <s v="NA"/>
    <s v="NA"/>
    <s v="D. BAUTISTA"/>
    <x v="0"/>
    <d v="1899-12-30T00:20:00"/>
    <d v="2025-11-12T20:20:00"/>
    <d v="2025-11-12T21:40:00"/>
    <d v="1899-12-30T01:20:00"/>
  </r>
  <r>
    <n v="63"/>
    <s v="F. SANCHEZ"/>
    <d v="1899-12-30T23:50:00"/>
    <d v="2025-11-12T00:00:00"/>
    <x v="6"/>
    <s v="Puntual"/>
    <s v="Prisioneros de la segunda barra del embobinador 2 en mal estado, se sueltan y comienzan a fallar."/>
    <d v="1899-12-30T23:50:00"/>
    <d v="1899-12-30T02:00:00"/>
    <x v="16"/>
    <s v="Mecánica"/>
    <s v="Se cambian prisioneros M8 dañados."/>
    <s v="2 Prisioneros M8."/>
    <s v="NA"/>
    <s v="C. ORTEGA"/>
    <x v="0"/>
    <n v="-0.90972222222222221"/>
    <d v="2025-11-12T23:50:00"/>
    <d v="2025-11-12T02:00:00"/>
    <n v="-0.90972222221898846"/>
  </r>
  <r>
    <n v="64"/>
    <s v="W. SANDOVAL"/>
    <d v="1899-12-30T07:00:00"/>
    <d v="2025-11-13T00:00:00"/>
    <x v="10"/>
    <s v="Puntual"/>
    <s v="Mangueras de ejes embobinadores pinchadas."/>
    <d v="1899-12-30T07:00:00"/>
    <d v="1899-12-30T09:50:00"/>
    <x v="17"/>
    <s v="Neumática"/>
    <s v="Se hizo cambio de mangueras, se extraen tornillos, se reconstruye pisador y queda operativo."/>
    <s v="Manguera 16mm, tornillos."/>
    <s v="Felpa"/>
    <s v="O. DUARTE"/>
    <x v="0"/>
    <d v="1899-12-30T02:50:00"/>
    <d v="2025-11-13T07:00:00"/>
    <d v="2025-11-13T09:50:00"/>
    <d v="1899-12-30T02:50:00"/>
  </r>
  <r>
    <n v="65"/>
    <s v="R. OLIVARES"/>
    <d v="1899-12-30T09:00:00"/>
    <d v="2025-11-13T00:00:00"/>
    <x v="19"/>
    <s v="Puntual"/>
    <s v="Se safa el tornillo que soporta la barra de los perforadores."/>
    <d v="1899-12-30T09:00:00"/>
    <d v="1899-12-30T09:50:00"/>
    <x v="17"/>
    <s v="Mecánica"/>
    <s v="Se ajusta tornillo en rodillo perforador, se hace seguimiento, se asegura con un prisionero."/>
    <s v="NA"/>
    <s v="NA"/>
    <s v="O. DUARTE"/>
    <x v="0"/>
    <d v="1899-12-30T00:50:00"/>
    <d v="2025-11-13T09:00:00"/>
    <d v="2025-11-13T09:50:00"/>
    <d v="1899-12-30T00:50:00"/>
  </r>
  <r>
    <n v="66"/>
    <s v="H. TRIANA"/>
    <d v="1899-12-30T09:55:00"/>
    <d v="2025-11-13T00:00:00"/>
    <x v="3"/>
    <s v="Repetitiva"/>
    <s v="Falla en embobinador, se detiene."/>
    <d v="1899-12-30T09:55:00"/>
    <d v="1899-12-30T10:55:00"/>
    <x v="17"/>
    <s v="Mecánica"/>
    <s v="Se desmonta motorreductor, se cambian rodamientos de corona y sin fin, se entrega OK."/>
    <s v="2 rodaientos 6006 y 2 rodamientos 6205"/>
    <s v="NA"/>
    <s v="L. FLOREZ"/>
    <x v="0"/>
    <d v="1899-12-30T01:00:00"/>
    <d v="2025-11-13T09:55:00"/>
    <d v="2025-11-13T10:55:00"/>
    <d v="1899-12-30T01:00:00"/>
  </r>
  <r>
    <n v="67"/>
    <s v="R. OLIVARES"/>
    <d v="1899-12-30T15:30:00"/>
    <d v="2025-11-13T00:00:00"/>
    <x v="6"/>
    <s v="Puntual"/>
    <s v="Los filtros de la bomba de vacio todos estan rotos y dañados."/>
    <m/>
    <m/>
    <x v="3"/>
    <m/>
    <m/>
    <m/>
    <m/>
    <m/>
    <x v="2"/>
    <d v="1899-12-30T00:00:00"/>
    <d v="2025-11-13T15:30:00"/>
    <d v="1899-12-30T00:00:00"/>
    <n v="-45974.645833333336"/>
  </r>
  <r>
    <n v="68"/>
    <m/>
    <m/>
    <m/>
    <x v="5"/>
    <m/>
    <m/>
    <m/>
    <m/>
    <x v="3"/>
    <m/>
    <m/>
    <m/>
    <m/>
    <m/>
    <x v="1"/>
    <d v="1899-12-30T00:00:00"/>
    <d v="1899-12-30T00:00:00"/>
    <d v="1899-12-30T00:00:00"/>
    <d v="1899-12-30T00:00:00"/>
  </r>
  <r>
    <n v="69"/>
    <s v="D. BUESACO"/>
    <d v="1899-12-30T14:00:00"/>
    <d v="2025-11-14T00:00:00"/>
    <x v="0"/>
    <s v="Puntual"/>
    <s v="Rodillo esta muy alto y jala la bolsa."/>
    <d v="1899-12-30T19:00:00"/>
    <d v="1899-12-30T19:20:00"/>
    <x v="18"/>
    <s v="Mecánica"/>
    <s v="Rodillo con tuercas ausente y levantado, se reponen tuercas y se calibra corrigiendo falla."/>
    <s v="2 tuercas"/>
    <s v="NA"/>
    <s v="L. CASTILLA"/>
    <x v="0"/>
    <d v="1899-12-30T00:20:00"/>
    <d v="2025-11-14T14:00:00"/>
    <d v="2025-11-14T19:20:00"/>
    <d v="1899-12-30T05:20:00"/>
  </r>
  <r>
    <n v="70"/>
    <s v="D. CUESTA"/>
    <d v="1899-12-30T20:08:00"/>
    <d v="2025-11-14T00:00:00"/>
    <x v="1"/>
    <s v="Puntual"/>
    <s v="Corto en la extrusora."/>
    <d v="1899-12-30T20:08:00"/>
    <d v="1899-12-30T20:18:00"/>
    <x v="18"/>
    <s v="Eléctrica"/>
    <s v="Conductor abierto por corto, se realiza empalme y se recubre con cinta tela fibra de vidrio, pendiente cambiar conductor."/>
    <s v="NA"/>
    <s v="NA"/>
    <s v="L. CASTILLA"/>
    <x v="0"/>
    <d v="1899-12-30T00:10:00"/>
    <d v="2025-11-14T20:08:00"/>
    <d v="2025-11-14T20:18:00"/>
    <d v="1899-12-30T00:10:00"/>
  </r>
  <r>
    <n v="71"/>
    <s v="R. OLIVARES"/>
    <d v="1899-12-30T15:20:00"/>
    <d v="2025-11-16T00:00:00"/>
    <x v="6"/>
    <s v="Puntual"/>
    <s v="Falla carter tornillo A."/>
    <d v="1899-12-30T15:20:00"/>
    <d v="1899-12-30T15:30:00"/>
    <x v="19"/>
    <s v="Mecánica"/>
    <s v="Se encuentra abierto carter cañon A, se requiere cambio de tapa de carter ya que se encuentra en mal estado y puede volver a fallar."/>
    <s v="NA"/>
    <s v="NA"/>
    <s v="D. BAUTISTA"/>
    <x v="0"/>
    <d v="1899-12-30T00:10:00"/>
    <d v="2025-11-16T15:20:00"/>
    <d v="2025-11-16T15:30:00"/>
    <d v="1899-12-30T00:10:00"/>
  </r>
  <r>
    <n v="72"/>
    <s v="D. ARRIETA"/>
    <d v="1899-12-30T22:35:00"/>
    <d v="2025-11-17T00:00:00"/>
    <x v="7"/>
    <s v="Puntual"/>
    <s v="Correa del embobinador."/>
    <d v="1899-12-30T22:35:00"/>
    <d v="1899-12-30T00:00:00"/>
    <x v="3"/>
    <s v="Mecánica"/>
    <s v="Se desmontan las bases de polea y se monta correa quedando operativo."/>
    <s v="Correa 1120 XH"/>
    <s v="NA"/>
    <s v="L. CASTILLA"/>
    <x v="0"/>
    <n v="-0.94097222222222221"/>
    <d v="2025-11-17T22:35:00"/>
    <d v="1899-12-30T00:00:00"/>
    <n v="-45978.940972222219"/>
  </r>
  <r>
    <n v="73"/>
    <s v="E. BELLO"/>
    <d v="1899-12-30T03:21:00"/>
    <d v="2025-11-14T00:00:00"/>
    <x v="20"/>
    <s v="Puntual"/>
    <s v="Zona con temperatura baja. En porta malla."/>
    <d v="1899-12-30T15:40:00"/>
    <d v="1899-12-30T17:00:00"/>
    <x v="18"/>
    <s v="Eléctrica"/>
    <s v="Resistencia averiada en terminales, se lleva hasta el taller planta 1, se realiza reparación colocando terminales y se realiza montaje."/>
    <s v="NA"/>
    <s v="NA"/>
    <s v="L. CASTILLA"/>
    <x v="0"/>
    <d v="1899-12-30T01:20:00"/>
    <d v="2025-11-14T03:21:00"/>
    <d v="2025-11-14T17:00:00"/>
    <d v="1899-12-30T13:39:00"/>
  </r>
  <r>
    <n v="74"/>
    <m/>
    <m/>
    <m/>
    <x v="5"/>
    <m/>
    <m/>
    <m/>
    <m/>
    <x v="3"/>
    <m/>
    <m/>
    <m/>
    <m/>
    <m/>
    <x v="1"/>
    <d v="1899-12-30T00:00:00"/>
    <d v="1899-12-30T00:00:00"/>
    <d v="1899-12-30T00:00:00"/>
    <d v="1899-12-30T00:00:00"/>
  </r>
  <r>
    <n v="75"/>
    <s v="A. CESPEDES"/>
    <d v="1899-12-30T18:10:00"/>
    <d v="2025-11-18T00:00:00"/>
    <x v="0"/>
    <s v="Puntual"/>
    <s v="La cuchilla se cae."/>
    <d v="1899-12-30T18:10:00"/>
    <d v="1899-12-30T18:40:00"/>
    <x v="15"/>
    <s v="Mecánica"/>
    <s v="Se realiza ajuste de pesos porque la cuchilla se cae cuando se detiene, se da 1/2 vuelta pero se tiene en seguimiento."/>
    <s v="NA"/>
    <s v="NA"/>
    <s v="D. BAUTISTA"/>
    <x v="0"/>
    <d v="1899-12-30T00:30:00"/>
    <d v="2025-11-18T18:10:00"/>
    <d v="2025-11-18T18:40:00"/>
    <d v="1899-12-30T00:30:00"/>
  </r>
  <r>
    <n v="76"/>
    <s v="D. ARRIETA"/>
    <d v="1899-12-30T06:00:00"/>
    <d v="2025-11-18T00:00:00"/>
    <x v="15"/>
    <s v="Puntual"/>
    <s v="Rodamiento del embobinador."/>
    <d v="1899-12-30T06:00:00"/>
    <d v="1899-12-30T06:26:00"/>
    <x v="15"/>
    <s v="Mecánica"/>
    <s v="Se cambia rodamiento por que estaba partido por uno nuevo."/>
    <s v="Rodamiento 6204 ZZ"/>
    <s v="NA"/>
    <s v="C. ORTEGA"/>
    <x v="0"/>
    <d v="1899-12-30T00:26:00"/>
    <d v="2025-11-18T06:00:00"/>
    <d v="2025-11-18T06:26:00"/>
    <d v="1899-12-30T00:26:00"/>
  </r>
  <r>
    <n v="77"/>
    <m/>
    <m/>
    <m/>
    <x v="5"/>
    <m/>
    <m/>
    <m/>
    <m/>
    <x v="3"/>
    <m/>
    <m/>
    <m/>
    <m/>
    <m/>
    <x v="1"/>
    <d v="1899-12-30T00:00:00"/>
    <d v="1899-12-30T00:00:00"/>
    <d v="1899-12-30T00:00:00"/>
    <d v="1899-12-30T00:00:00"/>
  </r>
  <r>
    <n v="78"/>
    <s v="D. CUESTA"/>
    <d v="1899-12-30T20:25:00"/>
    <d v="2025-11-18T00:00:00"/>
    <x v="6"/>
    <s v="Puntual"/>
    <s v="Se para la máquina por el IBC, no estabiliza."/>
    <d v="1899-12-30T20:25:00"/>
    <d v="1899-12-30T21:10:00"/>
    <x v="15"/>
    <s v="Mecánica"/>
    <s v="Se realiza inpección de manguera la cual se encuentra partida con un orificio, re empalma, se retira resina."/>
    <s v="NA"/>
    <s v="NA"/>
    <s v="D. BAUTISTA"/>
    <x v="0"/>
    <d v="1899-12-30T00:45:00"/>
    <d v="2025-11-18T20:25:00"/>
    <d v="2025-11-18T21:10:00"/>
    <d v="1899-12-30T00:45:00"/>
  </r>
  <r>
    <n v="79"/>
    <s v="DEISY"/>
    <d v="1899-12-30T03:00:00"/>
    <d v="2025-11-19T00:00:00"/>
    <x v="0"/>
    <s v="Puntual"/>
    <s v="Se para transportador"/>
    <d v="1899-12-30T03:00:00"/>
    <d v="1899-12-30T05:30:00"/>
    <x v="20"/>
    <s v="Eléctrica"/>
    <s v="Ajuste de prisioneros en piñones, revisión del motor presenta alta temperatura, lubricación, toma de consumos."/>
    <s v="NA"/>
    <s v="NA"/>
    <s v="O. DUARTE"/>
    <x v="0"/>
    <d v="1899-12-30T02:30:00"/>
    <d v="2025-11-19T03:00:00"/>
    <d v="2025-11-19T05:30:00"/>
    <d v="1899-12-30T02:30:00"/>
  </r>
  <r>
    <n v="80"/>
    <s v="D. ARRIETA"/>
    <d v="1899-12-30T15:00:00"/>
    <d v="2025-11-19T00:00:00"/>
    <x v="7"/>
    <s v="Puntual"/>
    <s v="Se parte eje embobinador"/>
    <d v="1899-12-30T15:00:00"/>
    <d v="1899-12-30T16:00:00"/>
    <x v="20"/>
    <s v="Mecánica"/>
    <s v="Se intercambia eje neumatico desembobinador por bobinador, se realiza cambio de piñon matriz y se instalo."/>
    <s v="Rodamiento 6205"/>
    <s v="NA"/>
    <s v="D. BAUTISTA"/>
    <x v="0"/>
    <d v="1899-12-30T01:00:00"/>
    <d v="2025-11-19T15:00:00"/>
    <d v="2025-11-19T16:00:00"/>
    <d v="1899-12-30T01:00:00"/>
  </r>
  <r>
    <n v="81"/>
    <s v="Y. BERNAL"/>
    <d v="1899-12-30T16:54:00"/>
    <d v="2025-11-19T00:00:00"/>
    <x v="18"/>
    <s v="Repetitiva"/>
    <s v="Se evidencia resistencias quemadas capa externa, vibración y olor a caucho quemado."/>
    <d v="1899-12-30T16:55:00"/>
    <d v="1899-12-30T17:00:00"/>
    <x v="20"/>
    <s v="Mecánica"/>
    <s v="Cambio de empaques debajo de la chumacera, se realizan nuevos por deterioro."/>
    <s v="Empaques para chumacera."/>
    <s v="NA"/>
    <s v="C. ORTEGA"/>
    <x v="0"/>
    <d v="1899-12-30T00:05:00"/>
    <d v="2025-11-19T16:54:00"/>
    <d v="2025-11-19T17:00:00"/>
    <d v="1899-12-30T00:06:00"/>
  </r>
  <r>
    <n v="82"/>
    <s v="S. CARDENAL"/>
    <d v="1899-12-30T11:30:00"/>
    <d v="2025-11-19T00:00:00"/>
    <x v="13"/>
    <s v="Puntual"/>
    <s v="Máquina no prende."/>
    <d v="1899-12-30T16:00:00"/>
    <d v="1899-12-30T18:00:00"/>
    <x v="20"/>
    <s v="Eléctrica"/>
    <s v="Máquina no habilitada, se realiza inpección de sensores de puertas, se revisan reles de seguridad y conexiones electricas, se cambia relevos de 24 DC."/>
    <s v="Reles 24VDC"/>
    <s v="NA"/>
    <s v="D. BAUTISTA"/>
    <x v="0"/>
    <d v="1899-12-30T02:00:00"/>
    <d v="2025-11-19T11:30:00"/>
    <d v="2025-11-19T18:00:00"/>
    <d v="1899-12-30T06:30:00"/>
  </r>
  <r>
    <n v="83"/>
    <s v="H. TRIANA"/>
    <d v="1899-12-30T19:49:00"/>
    <d v="2025-11-19T00:00:00"/>
    <x v="15"/>
    <s v="Puntual"/>
    <s v="Falla embobinador delantero."/>
    <d v="1899-12-30T19:50:00"/>
    <d v="1899-12-30T20:00:00"/>
    <x v="20"/>
    <s v="Eléctrica"/>
    <s v="Se realiza cambio de muletilla y contacto encendido de bobinador, se entrego operativo."/>
    <s v="NA"/>
    <s v="NA"/>
    <s v="D. BAUTISTA"/>
    <x v="0"/>
    <d v="1899-12-30T00:10:00"/>
    <d v="2025-11-19T19:49:00"/>
    <d v="2025-11-19T20:00:00"/>
    <d v="1899-12-30T00:11:00"/>
  </r>
  <r>
    <n v="84"/>
    <m/>
    <m/>
    <m/>
    <x v="5"/>
    <m/>
    <m/>
    <m/>
    <m/>
    <x v="3"/>
    <m/>
    <m/>
    <m/>
    <m/>
    <m/>
    <x v="1"/>
    <d v="1899-12-30T00:00:00"/>
    <d v="1899-12-30T00:00:00"/>
    <d v="1899-12-30T00:00:00"/>
    <d v="1899-12-30T00:00:00"/>
  </r>
  <r>
    <n v="85"/>
    <s v="R. MEJIA"/>
    <d v="1899-12-30T00:20:00"/>
    <d v="2025-11-20T00:00:00"/>
    <x v="7"/>
    <s v="Puntual"/>
    <s v="Se daña rosca de las guardas o tapas de los rodillos porta clise, los tornillos quedan libres."/>
    <d v="1899-12-30T00:20:00"/>
    <d v="1899-12-30T00:40:00"/>
    <x v="21"/>
    <s v="Mecánica"/>
    <s v="Se evidencia rosca helicil ausente, se rectifica rosca y reemplazo de rosca quedando OK."/>
    <s v="Helicoil M10 "/>
    <s v="NA"/>
    <s v="L. CASTILLA"/>
    <x v="0"/>
    <d v="1899-12-30T00:20:00"/>
    <d v="2025-11-20T00:20:00"/>
    <d v="2025-11-20T00:40:00"/>
    <d v="1899-12-30T00:20:00"/>
  </r>
  <r>
    <n v="86"/>
    <s v="J. MIRANDA"/>
    <d v="1899-12-30T12:41:00"/>
    <d v="2025-11-20T00:00:00"/>
    <x v="21"/>
    <s v="Puntual"/>
    <s v="Zona del porta malla externo esta presentando falla."/>
    <d v="1899-12-30T13:15:00"/>
    <d v="1899-12-30T13:30:00"/>
    <x v="21"/>
    <s v="Eléctrica"/>
    <s v="Termocupla averiada, se realiza cambio de termocupla y termoposo quedando OK."/>
    <s v="1 Termocupla tipo J"/>
    <s v="NA"/>
    <s v="L. CASTILLA"/>
    <x v="0"/>
    <d v="1899-12-30T00:15:00"/>
    <d v="2025-11-20T12:41:00"/>
    <d v="2025-11-20T13:30:00"/>
    <d v="1899-12-30T00:49:00"/>
  </r>
  <r>
    <n v="87"/>
    <s v="DEISY"/>
    <d v="1899-12-30T22:45:00"/>
    <d v="2025-11-20T00:00:00"/>
    <x v="0"/>
    <s v="Puntual"/>
    <s v="Daño en perforadores."/>
    <d v="1899-12-30T22:45:00"/>
    <d v="1899-12-30T23:35:00"/>
    <x v="21"/>
    <s v="Neumática"/>
    <s v="Electrovalvula averiada, se realiza cambio por una usada regular quedando OK. Tope de balancin superior ausente, se encuentra con tornillos partidos, se extraen y se reemplazan."/>
    <s v="1 Electrovalvula mono estable 5/2 y tornillos M8 V 30 mm"/>
    <s v="NA"/>
    <s v="L. CASTILLA"/>
    <x v="0"/>
    <d v="1899-12-30T00:50:00"/>
    <d v="2025-11-20T22:45:00"/>
    <d v="2025-11-20T23:35:00"/>
    <d v="1899-12-30T00:50:00"/>
  </r>
  <r>
    <n v="88"/>
    <s v="DEISY"/>
    <d v="1899-12-30T01:50:00"/>
    <d v="2025-11-21T00:00:00"/>
    <x v="0"/>
    <s v="Puntual"/>
    <s v="Se rompe correa."/>
    <d v="1899-12-30T02:00:00"/>
    <d v="1899-12-30T02:15:00"/>
    <x v="22"/>
    <s v="Mecánica"/>
    <s v="Correa de transmisión de prensas partida, se retira guarda y se realiza reemplazo de la correa."/>
    <s v="1 Correa 900H"/>
    <s v="NA"/>
    <s v="L. CASTILLA"/>
    <x v="0"/>
    <d v="1899-12-30T00:15:00"/>
    <d v="2025-11-21T01:50:00"/>
    <d v="2025-11-21T02:15:00"/>
    <d v="1899-12-30T00:25:00"/>
  </r>
  <r>
    <n v="89"/>
    <s v="L. MIRANDA"/>
    <d v="1899-12-30T19:30:00"/>
    <d v="2025-11-20T00:00:00"/>
    <x v="3"/>
    <s v="Puntual"/>
    <s v="La cortina de seguridad presenta falla."/>
    <d v="1899-12-30T03:30:00"/>
    <d v="1899-12-30T04:10:00"/>
    <x v="22"/>
    <s v="Eléctrica"/>
    <s v="Se alinean soportes, calibración cortinas quedando OK."/>
    <s v="NA"/>
    <s v="NA"/>
    <s v="L. CASTILLA"/>
    <x v="0"/>
    <d v="1899-12-30T00:40:00"/>
    <d v="2025-11-20T19:30:00"/>
    <d v="2025-11-21T04:10:00"/>
    <d v="1899-12-30T08:40:00"/>
  </r>
  <r>
    <n v="90"/>
    <m/>
    <m/>
    <m/>
    <x v="5"/>
    <m/>
    <m/>
    <m/>
    <m/>
    <x v="3"/>
    <m/>
    <m/>
    <m/>
    <m/>
    <m/>
    <x v="1"/>
    <d v="1899-12-30T00:00:00"/>
    <d v="1899-12-30T00:00:00"/>
    <d v="1899-12-30T00:00:00"/>
    <d v="1899-12-30T00:00:00"/>
  </r>
  <r>
    <n v="91"/>
    <s v="S. CARDENAL"/>
    <d v="1899-12-30T08:45:00"/>
    <d v="2025-11-21T00:00:00"/>
    <x v="4"/>
    <s v="Puntual"/>
    <s v="Se daña rodillo."/>
    <d v="1899-12-30T08:45:00"/>
    <d v="1899-12-30T09:30:00"/>
    <x v="22"/>
    <s v="Mecánica"/>
    <s v="Se cambia rodillo por daño de rodamientos."/>
    <s v="NA"/>
    <s v="NA"/>
    <s v="C. ORTEGA"/>
    <x v="0"/>
    <d v="1899-12-30T00:45:00"/>
    <d v="2025-11-21T08:45:00"/>
    <d v="2025-11-21T09:30:00"/>
    <d v="1899-12-30T00:45:00"/>
  </r>
  <r>
    <n v="92"/>
    <m/>
    <m/>
    <m/>
    <x v="5"/>
    <m/>
    <m/>
    <m/>
    <m/>
    <x v="3"/>
    <m/>
    <m/>
    <m/>
    <m/>
    <m/>
    <x v="1"/>
    <d v="1899-12-30T00:00:00"/>
    <d v="1899-12-30T00:00:00"/>
    <d v="1899-12-30T00:00:00"/>
    <d v="1899-12-30T00:00:00"/>
  </r>
  <r>
    <n v="93"/>
    <s v="J. PARADA"/>
    <d v="1899-12-30T10:00:00"/>
    <d v="2025-11-21T00:00:00"/>
    <x v="7"/>
    <s v="Puntual"/>
    <s v="Se daña alineador."/>
    <d v="1899-12-30T10:00:00"/>
    <d v="1899-12-30T10:30:00"/>
    <x v="22"/>
    <s v="Neumática"/>
    <s v="Se realiza ajuste a mordaza fife (alineador) quedando operativo."/>
    <s v="NA"/>
    <s v="NA"/>
    <s v="L. FLOREZ"/>
    <x v="0"/>
    <d v="1899-12-30T00:30:00"/>
    <d v="2025-11-21T10:00:00"/>
    <d v="2025-11-21T10:30:00"/>
    <d v="1899-12-30T00:30:00"/>
  </r>
  <r>
    <n v="94"/>
    <s v="R. MEJIA"/>
    <d v="1899-12-30T04:00:00"/>
    <d v="2025-11-25T00:00:00"/>
    <x v="7"/>
    <s v="Puntual"/>
    <s v="Seguro bobinador dañado."/>
    <d v="1899-12-30T04:00:00"/>
    <d v="1899-12-30T04:20:00"/>
    <x v="23"/>
    <s v="Mecánica"/>
    <s v="Se realiza cambio de seguro bobinador ya que la rosca se pierde de la mordaza de ajuste."/>
    <s v="NA"/>
    <s v="NA"/>
    <s v="D. BAUTISTA"/>
    <x v="0"/>
    <d v="1899-12-30T00:20:00"/>
    <d v="2025-11-25T04:00:00"/>
    <d v="2025-11-25T04:20:00"/>
    <d v="1899-12-30T00:20:00"/>
  </r>
  <r>
    <n v="95"/>
    <m/>
    <m/>
    <m/>
    <x v="5"/>
    <m/>
    <m/>
    <m/>
    <m/>
    <x v="3"/>
    <m/>
    <m/>
    <m/>
    <m/>
    <m/>
    <x v="1"/>
    <d v="1899-12-30T00:00:00"/>
    <d v="1899-12-30T00:00:00"/>
    <d v="1899-12-30T00:00:00"/>
    <d v="1899-12-30T00:00:00"/>
  </r>
  <r>
    <n v="96"/>
    <s v="F. SANCHEZ"/>
    <d v="1899-12-30T09:15:00"/>
    <d v="2025-11-23T00:00:00"/>
    <x v="6"/>
    <s v="Puntual"/>
    <s v="Problemas con el rodillo donde van las ruedas con los clavos para hacer los huecos al material, se cae el rodillo."/>
    <d v="1899-12-30T09:15:00"/>
    <d v="1899-12-30T15:00:00"/>
    <x v="24"/>
    <s v="Mecánica"/>
    <s v="Daño en pieza sostiene el rodillo, se desoldo, se cae el rodillo, se coloca nuevamente para no parar máquina, se ajusta prisionero."/>
    <s v="NA"/>
    <s v="NA"/>
    <s v="C. ORTEGA"/>
    <x v="0"/>
    <d v="1899-12-30T05:45:00"/>
    <d v="2025-11-23T09:15:00"/>
    <d v="2025-11-23T15:00:00"/>
    <d v="1899-12-30T05:45:00"/>
  </r>
  <r>
    <n v="97"/>
    <s v="F. SANCHEZ"/>
    <d v="1899-12-30T11:30:00"/>
    <d v="2025-11-23T00:00:00"/>
    <x v="6"/>
    <s v="Puntual"/>
    <s v="Problemas con las cortinas de los embobinadores A y B, falla de lectura."/>
    <d v="1899-12-30T11:30:00"/>
    <d v="1899-12-30T15:00:00"/>
    <x v="24"/>
    <s v="Mecánica"/>
    <s v="Se ajusta cortinas pero no estan atornilladas, pendiente hacer soportes para atornillar cortinas a la base."/>
    <s v="NA"/>
    <s v="NA"/>
    <s v="C. ORTEGA"/>
    <x v="0"/>
    <d v="1899-12-30T03:30:00"/>
    <d v="2025-11-23T11:30:00"/>
    <d v="2025-11-23T15:00:00"/>
    <d v="1899-12-30T03:30:00"/>
  </r>
  <r>
    <n v="98"/>
    <s v="Y. BERNAL"/>
    <d v="1899-12-30T08:10:00"/>
    <d v="2025-11-24T00:00:00"/>
    <x v="18"/>
    <s v="Repetitiva"/>
    <s v="Se solicita revisión porque se apaga cada 10 segundos la mezcladora externa."/>
    <d v="1899-12-30T08:10:00"/>
    <d v="1899-12-30T08:30:00"/>
    <x v="25"/>
    <s v="Eléctrica"/>
    <s v="Se encuentra temporizadorpara apagado automatico y se ajusta para mas tiempo."/>
    <s v="NA"/>
    <s v="NA"/>
    <s v="L. FLOREZ"/>
    <x v="0"/>
    <d v="1899-12-30T00:20:00"/>
    <d v="2025-11-24T08:10:00"/>
    <d v="2025-11-24T08:30:00"/>
    <d v="1899-12-30T00:20:00"/>
  </r>
  <r>
    <n v="99"/>
    <s v="Y. BERNAL"/>
    <d v="1899-12-30T11:25:00"/>
    <d v="2025-11-24T00:00:00"/>
    <x v="18"/>
    <s v="Repetitiva"/>
    <s v="Se apaga constantemente el mezclador externo, se informa a mtto."/>
    <d v="1899-12-30T11:30:00"/>
    <m/>
    <x v="25"/>
    <s v="Eléctrica"/>
    <s v="Se desmonta chumacera para limpieza y se inspecciona temporizador y presenta falla ."/>
    <m/>
    <m/>
    <m/>
    <x v="2"/>
    <n v="-0.47916666666666669"/>
    <d v="2025-11-24T11:25:00"/>
    <d v="2025-11-24T00:00:00"/>
    <n v="-0.47569444444525288"/>
  </r>
  <r>
    <n v="100"/>
    <s v="D. ZAMORA"/>
    <d v="1899-12-30T14:35:00"/>
    <d v="2025-11-24T00:00:00"/>
    <x v="10"/>
    <s v="Repetitiva"/>
    <s v="La felpa se mete entre la manguera lo que hace que el core coja mayor tensión con el material y quede atrapado entre las castañas."/>
    <d v="1899-12-30T14:35:00"/>
    <d v="1899-12-30T14:55:00"/>
    <x v="25"/>
    <s v="Neumática"/>
    <s v="Se desmontan las castañas y se realiza cambio de felpa."/>
    <s v="NA"/>
    <s v="NA"/>
    <s v="L. CASTILLA"/>
    <x v="0"/>
    <d v="1899-12-30T00:20:00"/>
    <d v="2025-11-24T14:35:00"/>
    <d v="2025-11-24T14:55:00"/>
    <d v="1899-12-30T00:20:00"/>
  </r>
  <r>
    <n v="101"/>
    <s v="L. GARZON"/>
    <d v="1899-12-30T13:06:00"/>
    <d v="2025-11-10T00:00:00"/>
    <x v="11"/>
    <s v="Puntual"/>
    <s v="Se desconecta cable del pedal de troque."/>
    <d v="1899-12-30T13:06:00"/>
    <d v="1899-12-30T13:16:00"/>
    <x v="13"/>
    <s v="Eléctrica"/>
    <s v="Se encuentra cable de pedal de accionamiento del troque desconectado, se realiza conexión."/>
    <s v="NA"/>
    <s v="NA"/>
    <s v="D. BAUTISTA"/>
    <x v="0"/>
    <d v="1899-12-30T00:10:00"/>
    <d v="2025-11-10T13:06:00"/>
    <d v="2025-11-10T13:16:00"/>
    <d v="1899-12-30T00:10:00"/>
  </r>
  <r>
    <n v="102"/>
    <s v="L. GARZON"/>
    <d v="1899-12-30T08:10:00"/>
    <d v="2025-11-11T00:00:00"/>
    <x v="2"/>
    <s v="Puntual"/>
    <s v="Se para por destensión en correas transportadoras. "/>
    <d v="1899-12-30T08:10:00"/>
    <d v="1899-12-30T12:30:00"/>
    <x v="14"/>
    <s v="Mecánica"/>
    <s v="Se da más tensión repetidamente para ajustar correas."/>
    <s v="NA"/>
    <s v="NA"/>
    <s v="D. BAUTISTA"/>
    <x v="0"/>
    <d v="1899-12-30T04:20:00"/>
    <d v="2025-11-11T08:10:00"/>
    <d v="2025-11-11T12:30:00"/>
    <d v="1899-12-30T04:20:00"/>
  </r>
  <r>
    <n v="103"/>
    <s v="Y. SIUTA"/>
    <d v="1899-12-30T14:00:00"/>
    <d v="2025-11-12T00:00:00"/>
    <x v="11"/>
    <s v="Puntual"/>
    <s v="Baño tapado"/>
    <d v="1899-12-30T14:30:00"/>
    <d v="1899-12-30T14:50:00"/>
    <x v="16"/>
    <s v="NA"/>
    <s v="Se aplica diablo rojo para destapar el baño."/>
    <s v="NA"/>
    <s v="Diablo rojo"/>
    <s v="M. PEREZ"/>
    <x v="0"/>
    <d v="1899-12-30T00:20:00"/>
    <d v="2025-11-12T14:00:00"/>
    <d v="2025-11-12T14:50:00"/>
    <d v="1899-12-30T00:50:00"/>
  </r>
  <r>
    <n v="104"/>
    <s v="Y. SIUTA"/>
    <d v="1899-12-30T10:30:00"/>
    <d v="2025-11-13T00:00:00"/>
    <x v="11"/>
    <s v="Puntual"/>
    <s v="Acondicionar cuarto de rodillos y taller de mantenimiento para impedir el ingreso de voladores._x000a_Según instrucción dada a Jorge Fontecha"/>
    <d v="1899-12-30T07:00:00"/>
    <d v="1899-12-30T07:40:00"/>
    <x v="15"/>
    <s v="Mecánica"/>
    <s v="Se tapa con polisombra y espuma de poliuterano expansiva los espacios donde pueden ingresar los insectos."/>
    <s v="NA"/>
    <s v="Espuma y polisombra."/>
    <s v="J. FONTECHA"/>
    <x v="2"/>
    <d v="1899-12-30T00:40:00"/>
    <d v="2025-11-13T10:30:00"/>
    <d v="2025-11-18T07:40:00"/>
    <d v="1900-01-03T21:10:00"/>
  </r>
  <r>
    <n v="105"/>
    <s v="Y. SIUTA"/>
    <d v="1899-12-30T07:00:00"/>
    <d v="2025-11-13T00:00:00"/>
    <x v="22"/>
    <s v="Puntual"/>
    <s v="Realizar mueble para bolsas de contramuestras de calidad."/>
    <m/>
    <m/>
    <x v="3"/>
    <m/>
    <m/>
    <m/>
    <m/>
    <m/>
    <x v="2"/>
    <d v="1899-12-30T00:00:00"/>
    <d v="2025-11-13T07:00:00"/>
    <d v="1899-12-30T00:00:00"/>
    <n v="-45974.291666666664"/>
  </r>
  <r>
    <n v="106"/>
    <s v="L. GARZON"/>
    <d v="1899-12-30T07:44:00"/>
    <d v="2025-11-14T00:00:00"/>
    <x v="2"/>
    <s v="Puntual"/>
    <s v="Falla en pantalla"/>
    <d v="1899-12-30T07:44:00"/>
    <d v="1899-12-30T07:55:00"/>
    <x v="18"/>
    <s v="Eléctrica"/>
    <s v="Se encuentra sensor de la pelicula accionado, se realiza ajuste y quedo operativo."/>
    <s v="NA"/>
    <s v="NA"/>
    <s v="D. BAUTISTA"/>
    <x v="0"/>
    <d v="1899-12-30T00:11:00"/>
    <d v="2025-11-14T07:44:00"/>
    <d v="2025-11-14T07:55:00"/>
    <d v="1899-12-30T00:11:00"/>
  </r>
  <r>
    <n v="107"/>
    <s v="P. JEREZ"/>
    <d v="1899-12-30T12:24:00"/>
    <d v="2025-11-19T00:00:00"/>
    <x v="22"/>
    <s v="Puntual"/>
    <s v="Toma corriente no sirve, no da energia."/>
    <m/>
    <m/>
    <x v="3"/>
    <m/>
    <m/>
    <m/>
    <m/>
    <m/>
    <x v="2"/>
    <d v="1899-12-30T00:00:00"/>
    <d v="2025-11-19T12:24:00"/>
    <d v="1899-12-30T00:00:00"/>
    <n v="-45980.51666666667"/>
  </r>
  <r>
    <n v="108"/>
    <s v="Y. SIUTA"/>
    <d v="1899-12-30T07:00:00"/>
    <d v="2025-11-24T00:00:00"/>
    <x v="22"/>
    <s v="Puntual"/>
    <s v="Revisión de equipo termoencogido, presenta  ruidos en el ventilador al iniciar calentamiento."/>
    <m/>
    <m/>
    <x v="3"/>
    <m/>
    <m/>
    <m/>
    <m/>
    <m/>
    <x v="2"/>
    <d v="1899-12-30T00:00:00"/>
    <d v="2025-11-24T07:00:00"/>
    <d v="1899-12-30T00:00:00"/>
    <n v="-45985.291666666664"/>
  </r>
  <r>
    <n v="109"/>
    <s v="Y. SIUTA"/>
    <d v="1899-12-30T10:00:00"/>
    <d v="2025-10-22T00:00:00"/>
    <x v="22"/>
    <s v="Puntual"/>
    <s v="Selladora de laboratorio No tiene temperatura uniforme, validar la opción de construir un equipo nuevo o dejar a punto la maquina actual"/>
    <m/>
    <m/>
    <x v="3"/>
    <m/>
    <s v="Se implementa selladora para muestras de calidad, se capacita personal y se hace entrega"/>
    <m/>
    <m/>
    <s v="J. FONTECHA"/>
    <x v="0"/>
    <d v="1899-12-30T00:00:00"/>
    <d v="2025-10-22T10:00:00"/>
    <d v="1899-12-30T00:00:00"/>
    <n v="-45952.416666666664"/>
  </r>
  <r>
    <n v="110"/>
    <s v="Y. SIUTA"/>
    <d v="1899-12-30T10:00:00"/>
    <d v="2025-10-22T00:00:00"/>
    <x v="11"/>
    <s v="Puntual"/>
    <s v="Daño de soporte bascula compactado, requiere soldadura de soporte._x000a_Implementar soporte de protección para evitar futuros daños"/>
    <d v="1899-12-30T09:00:00"/>
    <d v="1899-12-30T12:00:00"/>
    <x v="16"/>
    <s v="Mecánica"/>
    <s v="Se ancla bascula compactado"/>
    <s v="NA"/>
    <s v="NA"/>
    <s v="M. PEREZ"/>
    <x v="0"/>
    <d v="1899-12-30T03:00:00"/>
    <d v="2025-10-22T10:00:00"/>
    <d v="2025-11-12T12:00:00"/>
    <d v="1900-01-20T02:00:00"/>
  </r>
  <r>
    <n v="111"/>
    <m/>
    <m/>
    <m/>
    <x v="5"/>
    <m/>
    <m/>
    <m/>
    <m/>
    <x v="3"/>
    <m/>
    <m/>
    <m/>
    <m/>
    <m/>
    <x v="1"/>
    <d v="1899-12-30T00:00:00"/>
    <d v="1899-12-30T00:00:00"/>
    <d v="1899-12-30T00:00:00"/>
    <d v="1899-12-30T00:00:00"/>
  </r>
  <r>
    <n v="112"/>
    <s v="P. JEREZ"/>
    <d v="1899-12-30T09:09:00"/>
    <d v="2025-12-20T00:00:00"/>
    <x v="22"/>
    <s v="Puntual"/>
    <s v="Equipos del laboratorio no encienden, revisión toma."/>
    <d v="1899-12-30T09:25:00"/>
    <d v="1899-12-30T09:40:00"/>
    <x v="26"/>
    <s v="Eléctrica"/>
    <s v="Tomas GFCI activan protección al momento de encender, el equipo de retracción, se coloca toma temporalmente y se solicita RQ para cambio de tomas."/>
    <s v="1 Toma corriente"/>
    <s v="NA"/>
    <s v="L. CASTILLA"/>
    <x v="0"/>
    <d v="1899-12-30T00:15:00"/>
    <d v="2025-12-20T09:09:00"/>
    <d v="2025-12-20T09:40:00"/>
    <d v="1899-12-30T00:31:00"/>
  </r>
  <r>
    <n v="113"/>
    <s v="P. JEREZ"/>
    <m/>
    <d v="2026-01-08T00:00:00"/>
    <x v="22"/>
    <s v="Puntual"/>
    <s v="Reparación entre paños muebles de calidad"/>
    <m/>
    <m/>
    <x v="3"/>
    <m/>
    <m/>
    <m/>
    <m/>
    <m/>
    <x v="2"/>
    <d v="1899-12-30T00:00:00"/>
    <d v="2026-01-08T00:00:00"/>
    <d v="1899-12-30T00:00:00"/>
    <n v="-46030"/>
  </r>
  <r>
    <n v="114"/>
    <s v="J. BRICEÑO"/>
    <d v="1899-12-30T16:03:00"/>
    <d v="2026-02-01T00:00:00"/>
    <x v="7"/>
    <s v="Puntual"/>
    <s v="Eje pinchado"/>
    <d v="1899-12-30T16:05:00"/>
    <d v="1899-12-30T16:25:00"/>
    <x v="27"/>
    <s v="Neúmatica"/>
    <s v="Se inspeccionan mangueras encontrandose una con fisuras, se realiza cambio quedando OK"/>
    <s v="Manguera"/>
    <s v="NA"/>
    <s v="L. CASTILLA"/>
    <x v="0"/>
    <d v="1899-12-30T00:20:00"/>
    <d v="2026-02-01T16:03:00"/>
    <d v="2026-02-01T16:25:00"/>
    <d v="1899-12-30T00:22:00"/>
  </r>
  <r>
    <n v="115"/>
    <s v="A. MENDOZA"/>
    <d v="1899-12-30T22:15:00"/>
    <d v="2026-02-27T00:00:00"/>
    <x v="11"/>
    <s v="Puntual"/>
    <s v="Toma corriente no funciona en area de laboratorio"/>
    <m/>
    <m/>
    <x v="3"/>
    <m/>
    <m/>
    <m/>
    <m/>
    <m/>
    <x v="2"/>
    <d v="1899-12-30T00:00:00"/>
    <d v="2026-02-27T22:15:00"/>
    <d v="1899-12-30T00:00:00"/>
    <n v="-46080.927083333336"/>
  </r>
  <r>
    <n v="116"/>
    <s v="D. CUESTA"/>
    <d v="1899-12-30T00:25:00"/>
    <d v="2026-04-13T00:00:00"/>
    <x v="9"/>
    <s v="Puntual"/>
    <s v="Tornillo daño la rosca no ajusta la manzana para apretar apretar el rollo"/>
    <m/>
    <d v="1899-12-30T01:00:00"/>
    <x v="3"/>
    <m/>
    <s v="Se repaza por marchos M10_x000a_Se cambia tornillo por roscado dañado"/>
    <s v="1X Tornillo M10"/>
    <s v="NA"/>
    <s v="O. DUARTE"/>
    <x v="0"/>
    <d v="1899-12-30T01:00:00"/>
    <d v="2026-04-13T00:25:00"/>
    <d v="1899-12-30T01:00:00"/>
    <n v="-46124.975694444445"/>
  </r>
  <r>
    <n v="117"/>
    <m/>
    <m/>
    <m/>
    <x v="5"/>
    <m/>
    <m/>
    <m/>
    <m/>
    <x v="3"/>
    <m/>
    <m/>
    <m/>
    <m/>
    <m/>
    <x v="1"/>
    <d v="1899-12-30T00:00:00"/>
    <d v="1899-12-30T00:00:00"/>
    <d v="1899-12-30T00:00:00"/>
    <d v="1899-12-30T00:00:00"/>
  </r>
  <r>
    <n v="118"/>
    <s v="H. TRIANA"/>
    <d v="1899-12-30T00:00:00"/>
    <d v="2026-04-30T00:00:00"/>
    <x v="8"/>
    <s v="Puntual"/>
    <s v="Se cae silicona en las manijasquemadas"/>
    <d v="1899-12-30T00:00:00"/>
    <d v="1899-12-30T01:03:00"/>
    <x v="28"/>
    <s v="Mecánica"/>
    <s v="Se hace aplicación de silicona alta temperatura, se deja secar por tiempo de 40 minutos"/>
    <s v="NA"/>
    <s v="Silicona alta temperatura"/>
    <s v="O. DUARTE"/>
    <x v="0"/>
    <d v="1899-12-30T01:03:00"/>
    <d v="2026-04-30T00:00:00"/>
    <d v="2026-04-30T01:03:00"/>
    <d v="1899-12-30T01:03:00"/>
  </r>
  <r>
    <n v="119"/>
    <s v="F. SANCHEZ"/>
    <d v="1899-12-30T22:30:00"/>
    <d v="2026-04-29T00:00:00"/>
    <x v="6"/>
    <s v="Puntual"/>
    <s v="Problemas con los clavos de los huecos no perforan"/>
    <d v="1899-12-30T06:00:00"/>
    <m/>
    <x v="3"/>
    <s v="Mecánica"/>
    <s v="Se realiza afilado de clavos y montaje de sistema de perforaciones, se realizan pruebas y se entrega en operación 7:45_x000a_Se tiene en seguimiento el resto del turno"/>
    <s v="NA"/>
    <s v="NA"/>
    <s v="D. BAUTISTA"/>
    <x v="2"/>
    <n v="-0.25"/>
    <d v="2026-04-29T22:30:00"/>
    <d v="1899-12-30T00:00:00"/>
    <n v="-46141.9375"/>
  </r>
  <r>
    <n v="120"/>
    <s v="H. TRIANA"/>
    <d v="1899-12-30T10:00:00"/>
    <d v="2026-04-30T00:00:00"/>
    <x v="8"/>
    <s v="Puntual"/>
    <s v="Fallo hecha ccandela el tratador"/>
    <d v="1899-12-30T10:00:00"/>
    <d v="1899-12-30T14:30:00"/>
    <x v="28"/>
    <s v="Mecánica"/>
    <s v="Se desmontan rodillos del tratador para inspección visual los cuales se observan en mal estado para operación 10:00 -&gt; 11:00_x000a_Se realizo montaje de ejes a los rodillos vulcanizados y se realizo montaje en maquina entregandoselo a producción 13:00 -&gt; 14:30"/>
    <s v="NA"/>
    <s v="NA"/>
    <s v="D. BAUTISTA"/>
    <x v="0"/>
    <d v="1899-12-30T04:30:00"/>
    <d v="2026-04-30T10:00:00"/>
    <d v="2026-04-30T14:30:00"/>
    <d v="1899-12-30T04:30:00"/>
  </r>
  <r>
    <n v="121"/>
    <m/>
    <m/>
    <m/>
    <x v="5"/>
    <m/>
    <m/>
    <m/>
    <m/>
    <x v="3"/>
    <m/>
    <m/>
    <m/>
    <m/>
    <m/>
    <x v="1"/>
    <d v="1899-12-30T00:00:00"/>
    <d v="1899-12-30T00:00:00"/>
    <d v="1899-12-30T00:00:00"/>
    <d v="1899-12-30T00:00:00"/>
  </r>
  <r>
    <n v="122"/>
    <m/>
    <m/>
    <m/>
    <x v="5"/>
    <m/>
    <m/>
    <m/>
    <m/>
    <x v="3"/>
    <m/>
    <m/>
    <m/>
    <m/>
    <m/>
    <x v="1"/>
    <d v="1899-12-30T00:00:00"/>
    <d v="1899-12-30T00:00:00"/>
    <d v="1899-12-30T00:00:00"/>
    <d v="1899-12-30T00:00:00"/>
  </r>
  <r>
    <n v="123"/>
    <m/>
    <m/>
    <m/>
    <x v="5"/>
    <m/>
    <m/>
    <m/>
    <m/>
    <x v="3"/>
    <m/>
    <m/>
    <m/>
    <m/>
    <m/>
    <x v="1"/>
    <d v="1899-12-30T00:00:00"/>
    <d v="1899-12-30T00:00:00"/>
    <d v="1899-12-30T00:00:00"/>
    <d v="1899-12-30T00:00:00"/>
  </r>
  <r>
    <n v="124"/>
    <m/>
    <m/>
    <m/>
    <x v="5"/>
    <m/>
    <m/>
    <m/>
    <m/>
    <x v="3"/>
    <m/>
    <m/>
    <m/>
    <m/>
    <m/>
    <x v="1"/>
    <d v="1899-12-30T00:00:00"/>
    <d v="1899-12-30T00:00:00"/>
    <d v="1899-12-30T00:00:00"/>
    <d v="1899-12-30T00:00:00"/>
  </r>
  <r>
    <n v="125"/>
    <m/>
    <m/>
    <m/>
    <x v="5"/>
    <m/>
    <m/>
    <m/>
    <m/>
    <x v="3"/>
    <m/>
    <m/>
    <m/>
    <m/>
    <m/>
    <x v="1"/>
    <d v="1899-12-30T00:00:00"/>
    <d v="1899-12-30T00:00:00"/>
    <d v="1899-12-30T00:00:00"/>
    <d v="1899-12-30T00:00:00"/>
  </r>
  <r>
    <n v="126"/>
    <m/>
    <m/>
    <m/>
    <x v="5"/>
    <m/>
    <m/>
    <m/>
    <m/>
    <x v="3"/>
    <m/>
    <m/>
    <m/>
    <m/>
    <m/>
    <x v="1"/>
    <d v="1899-12-30T00:00:00"/>
    <d v="1899-12-30T00:00:00"/>
    <d v="1899-12-30T00:00:00"/>
    <d v="1899-12-30T00:00:00"/>
  </r>
  <r>
    <n v="127"/>
    <m/>
    <m/>
    <m/>
    <x v="5"/>
    <m/>
    <m/>
    <m/>
    <m/>
    <x v="3"/>
    <m/>
    <m/>
    <m/>
    <m/>
    <m/>
    <x v="1"/>
    <d v="1899-12-30T00:00:00"/>
    <d v="1899-12-30T00:00:00"/>
    <d v="1899-12-30T00:00:00"/>
    <d v="1899-12-30T00:00:00"/>
  </r>
  <r>
    <n v="128"/>
    <m/>
    <m/>
    <m/>
    <x v="5"/>
    <m/>
    <m/>
    <m/>
    <m/>
    <x v="3"/>
    <m/>
    <m/>
    <m/>
    <m/>
    <m/>
    <x v="1"/>
    <d v="1899-12-30T00:00:00"/>
    <d v="1899-12-30T00:00:00"/>
    <d v="1899-12-30T00:00:00"/>
    <d v="1899-12-30T00:00:00"/>
  </r>
  <r>
    <n v="129"/>
    <m/>
    <m/>
    <m/>
    <x v="5"/>
    <m/>
    <m/>
    <m/>
    <m/>
    <x v="3"/>
    <m/>
    <m/>
    <m/>
    <m/>
    <m/>
    <x v="1"/>
    <d v="1899-12-30T00:00:00"/>
    <d v="1899-12-30T00:00:00"/>
    <d v="1899-12-30T00:00:00"/>
    <d v="1899-12-30T00:00:00"/>
  </r>
  <r>
    <n v="130"/>
    <m/>
    <m/>
    <m/>
    <x v="5"/>
    <m/>
    <m/>
    <m/>
    <m/>
    <x v="3"/>
    <m/>
    <m/>
    <m/>
    <m/>
    <m/>
    <x v="1"/>
    <d v="1899-12-30T00:00:00"/>
    <d v="1899-12-30T00:00:00"/>
    <d v="1899-12-30T00:00:00"/>
    <d v="1899-12-30T00:00:00"/>
  </r>
  <r>
    <n v="131"/>
    <m/>
    <m/>
    <m/>
    <x v="5"/>
    <m/>
    <m/>
    <m/>
    <m/>
    <x v="3"/>
    <m/>
    <m/>
    <m/>
    <m/>
    <m/>
    <x v="1"/>
    <d v="1899-12-30T00:00:00"/>
    <d v="1899-12-30T00:00:00"/>
    <d v="1899-12-30T00:00:00"/>
    <d v="1899-12-30T00:00:00"/>
  </r>
  <r>
    <n v="132"/>
    <m/>
    <m/>
    <m/>
    <x v="5"/>
    <m/>
    <m/>
    <m/>
    <m/>
    <x v="3"/>
    <m/>
    <m/>
    <m/>
    <m/>
    <m/>
    <x v="1"/>
    <d v="1899-12-30T00:00:00"/>
    <d v="1899-12-30T00:00:00"/>
    <d v="1899-12-30T00:00:00"/>
    <d v="1899-12-30T00:00:00"/>
  </r>
  <r>
    <n v="133"/>
    <m/>
    <m/>
    <m/>
    <x v="5"/>
    <m/>
    <m/>
    <m/>
    <m/>
    <x v="3"/>
    <m/>
    <m/>
    <m/>
    <m/>
    <m/>
    <x v="1"/>
    <d v="1899-12-30T00:00:00"/>
    <d v="1899-12-30T00:00:00"/>
    <d v="1899-12-30T00:00:00"/>
    <d v="1899-12-30T00:00:00"/>
  </r>
  <r>
    <n v="134"/>
    <m/>
    <m/>
    <m/>
    <x v="5"/>
    <m/>
    <m/>
    <m/>
    <m/>
    <x v="3"/>
    <m/>
    <m/>
    <m/>
    <m/>
    <m/>
    <x v="1"/>
    <d v="1899-12-30T00:00:00"/>
    <d v="1899-12-30T00:00:00"/>
    <d v="1899-12-30T00:00:00"/>
    <d v="1899-12-30T00:00:00"/>
  </r>
  <r>
    <n v="135"/>
    <m/>
    <m/>
    <m/>
    <x v="5"/>
    <m/>
    <m/>
    <m/>
    <m/>
    <x v="3"/>
    <m/>
    <m/>
    <m/>
    <m/>
    <m/>
    <x v="1"/>
    <d v="1899-12-30T00:00:00"/>
    <d v="1899-12-30T00:00:00"/>
    <d v="1899-12-30T00:00:00"/>
    <d v="1899-12-30T00:00:00"/>
  </r>
  <r>
    <n v="136"/>
    <m/>
    <m/>
    <m/>
    <x v="5"/>
    <m/>
    <m/>
    <m/>
    <m/>
    <x v="3"/>
    <m/>
    <m/>
    <m/>
    <m/>
    <m/>
    <x v="1"/>
    <d v="1899-12-30T00:00:00"/>
    <d v="1899-12-30T00:00:00"/>
    <d v="1899-12-30T00:00:00"/>
    <d v="1899-12-30T00:00:00"/>
  </r>
  <r>
    <n v="137"/>
    <m/>
    <m/>
    <m/>
    <x v="5"/>
    <m/>
    <m/>
    <m/>
    <m/>
    <x v="3"/>
    <m/>
    <m/>
    <m/>
    <m/>
    <m/>
    <x v="1"/>
    <d v="1899-12-30T00:00:00"/>
    <d v="1899-12-30T00:00:00"/>
    <d v="1899-12-30T00:00:00"/>
    <d v="1899-12-30T00:00:00"/>
  </r>
  <r>
    <n v="138"/>
    <m/>
    <m/>
    <m/>
    <x v="5"/>
    <m/>
    <m/>
    <m/>
    <m/>
    <x v="3"/>
    <m/>
    <m/>
    <m/>
    <m/>
    <m/>
    <x v="1"/>
    <d v="1899-12-30T00:00:00"/>
    <d v="1899-12-30T00:00:00"/>
    <d v="1899-12-30T00:00:00"/>
    <d v="1899-12-30T00:00:00"/>
  </r>
  <r>
    <n v="139"/>
    <m/>
    <m/>
    <m/>
    <x v="5"/>
    <m/>
    <m/>
    <m/>
    <m/>
    <x v="3"/>
    <m/>
    <m/>
    <m/>
    <m/>
    <m/>
    <x v="1"/>
    <d v="1899-12-30T00:00:00"/>
    <d v="1899-12-30T00:00:00"/>
    <d v="1899-12-30T00:00:00"/>
    <d v="1899-12-30T00:00:00"/>
  </r>
  <r>
    <n v="140"/>
    <m/>
    <m/>
    <m/>
    <x v="5"/>
    <m/>
    <m/>
    <m/>
    <m/>
    <x v="3"/>
    <m/>
    <m/>
    <m/>
    <m/>
    <m/>
    <x v="1"/>
    <d v="1899-12-30T00:00:00"/>
    <d v="1899-12-30T00:00:00"/>
    <d v="1899-12-30T00:00:00"/>
    <d v="1899-12-30T00:00:00"/>
  </r>
  <r>
    <n v="141"/>
    <m/>
    <m/>
    <m/>
    <x v="5"/>
    <m/>
    <m/>
    <m/>
    <m/>
    <x v="3"/>
    <m/>
    <m/>
    <m/>
    <m/>
    <m/>
    <x v="1"/>
    <d v="1899-12-30T00:00:00"/>
    <d v="1899-12-30T00:00:00"/>
    <d v="1899-12-30T00:00:00"/>
    <d v="1899-12-30T00:00:00"/>
  </r>
  <r>
    <n v="142"/>
    <m/>
    <m/>
    <m/>
    <x v="5"/>
    <m/>
    <m/>
    <m/>
    <m/>
    <x v="3"/>
    <m/>
    <m/>
    <m/>
    <m/>
    <m/>
    <x v="1"/>
    <d v="1899-12-30T00:00:00"/>
    <d v="1899-12-30T00:00:00"/>
    <d v="1899-12-30T00:00:00"/>
    <d v="1899-12-30T00:00:00"/>
  </r>
  <r>
    <n v="143"/>
    <m/>
    <m/>
    <m/>
    <x v="5"/>
    <m/>
    <m/>
    <m/>
    <m/>
    <x v="3"/>
    <m/>
    <m/>
    <m/>
    <m/>
    <m/>
    <x v="1"/>
    <d v="1899-12-30T00:00:00"/>
    <d v="1899-12-30T00:00:00"/>
    <d v="1899-12-30T00:00:00"/>
    <d v="1899-12-30T00:00:00"/>
  </r>
  <r>
    <n v="144"/>
    <m/>
    <m/>
    <m/>
    <x v="5"/>
    <m/>
    <m/>
    <m/>
    <m/>
    <x v="3"/>
    <m/>
    <m/>
    <m/>
    <m/>
    <m/>
    <x v="1"/>
    <d v="1899-12-30T00:00:00"/>
    <d v="1899-12-30T00:00:00"/>
    <d v="1899-12-30T00:00:00"/>
    <d v="1899-12-30T00:00:00"/>
  </r>
  <r>
    <n v="145"/>
    <m/>
    <m/>
    <m/>
    <x v="5"/>
    <m/>
    <m/>
    <m/>
    <m/>
    <x v="3"/>
    <m/>
    <m/>
    <m/>
    <m/>
    <m/>
    <x v="1"/>
    <d v="1899-12-30T00:00:00"/>
    <d v="1899-12-30T00:00:00"/>
    <d v="1899-12-30T00:00:00"/>
    <d v="1899-12-30T00:00:00"/>
  </r>
  <r>
    <n v="146"/>
    <m/>
    <m/>
    <m/>
    <x v="5"/>
    <m/>
    <m/>
    <m/>
    <m/>
    <x v="3"/>
    <m/>
    <m/>
    <m/>
    <m/>
    <m/>
    <x v="1"/>
    <d v="1899-12-30T00:00:00"/>
    <d v="1899-12-30T00:00:00"/>
    <d v="1899-12-30T00:00:00"/>
    <d v="1899-12-30T00:00:00"/>
  </r>
  <r>
    <n v="147"/>
    <m/>
    <m/>
    <m/>
    <x v="5"/>
    <m/>
    <m/>
    <m/>
    <m/>
    <x v="3"/>
    <m/>
    <m/>
    <m/>
    <m/>
    <m/>
    <x v="1"/>
    <d v="1899-12-30T00:00:00"/>
    <d v="1899-12-30T00:00:00"/>
    <d v="1899-12-30T00:00:00"/>
    <d v="1899-12-30T00:00:00"/>
  </r>
  <r>
    <n v="148"/>
    <m/>
    <m/>
    <m/>
    <x v="5"/>
    <m/>
    <m/>
    <m/>
    <m/>
    <x v="3"/>
    <m/>
    <m/>
    <m/>
    <m/>
    <m/>
    <x v="1"/>
    <d v="1899-12-30T00:00:00"/>
    <d v="1899-12-30T00:00:00"/>
    <d v="1899-12-30T00:00:00"/>
    <d v="1899-12-30T00:00:00"/>
  </r>
  <r>
    <n v="149"/>
    <m/>
    <m/>
    <m/>
    <x v="5"/>
    <m/>
    <m/>
    <m/>
    <m/>
    <x v="3"/>
    <m/>
    <m/>
    <m/>
    <m/>
    <m/>
    <x v="1"/>
    <d v="1899-12-30T00:00:00"/>
    <d v="1899-12-30T00:00:00"/>
    <d v="1899-12-30T00:00:00"/>
    <d v="1899-12-30T00:00:00"/>
  </r>
  <r>
    <n v="150"/>
    <m/>
    <m/>
    <m/>
    <x v="5"/>
    <m/>
    <m/>
    <m/>
    <m/>
    <x v="3"/>
    <m/>
    <m/>
    <m/>
    <m/>
    <m/>
    <x v="1"/>
    <d v="1899-12-30T00:00:00"/>
    <d v="1899-12-30T00:00:00"/>
    <d v="1899-12-30T00:00:00"/>
    <d v="1899-12-30T00:00:00"/>
  </r>
  <r>
    <n v="151"/>
    <m/>
    <m/>
    <m/>
    <x v="5"/>
    <m/>
    <m/>
    <m/>
    <m/>
    <x v="3"/>
    <m/>
    <m/>
    <m/>
    <m/>
    <m/>
    <x v="1"/>
    <d v="1899-12-30T00:00:00"/>
    <d v="1899-12-30T00:00:00"/>
    <d v="1899-12-30T00:00:00"/>
    <d v="1899-12-30T00:00:00"/>
  </r>
  <r>
    <n v="152"/>
    <m/>
    <m/>
    <m/>
    <x v="5"/>
    <m/>
    <m/>
    <m/>
    <m/>
    <x v="3"/>
    <m/>
    <m/>
    <m/>
    <m/>
    <m/>
    <x v="1"/>
    <d v="1899-12-30T00:00:00"/>
    <d v="1899-12-30T00:00:00"/>
    <d v="1899-12-30T00:00:00"/>
    <d v="1899-12-30T00:00:00"/>
  </r>
  <r>
    <n v="153"/>
    <m/>
    <m/>
    <m/>
    <x v="5"/>
    <m/>
    <m/>
    <m/>
    <m/>
    <x v="3"/>
    <m/>
    <m/>
    <m/>
    <m/>
    <m/>
    <x v="1"/>
    <d v="1899-12-30T00:00:00"/>
    <d v="1899-12-30T00:00:00"/>
    <d v="1899-12-30T00:00:00"/>
    <d v="1899-12-30T00:00:00"/>
  </r>
  <r>
    <n v="154"/>
    <m/>
    <m/>
    <m/>
    <x v="5"/>
    <m/>
    <m/>
    <m/>
    <m/>
    <x v="3"/>
    <m/>
    <m/>
    <m/>
    <m/>
    <m/>
    <x v="1"/>
    <d v="1899-12-30T00:00:00"/>
    <d v="1899-12-30T00:00:00"/>
    <d v="1899-12-30T00:00:00"/>
    <d v="1899-12-30T00:00:00"/>
  </r>
  <r>
    <n v="155"/>
    <m/>
    <m/>
    <m/>
    <x v="5"/>
    <m/>
    <m/>
    <m/>
    <m/>
    <x v="3"/>
    <m/>
    <m/>
    <m/>
    <m/>
    <m/>
    <x v="1"/>
    <d v="1899-12-30T00:00:00"/>
    <d v="1899-12-30T00:00:00"/>
    <d v="1899-12-30T00:00:00"/>
    <d v="1899-12-30T00:00:00"/>
  </r>
  <r>
    <n v="156"/>
    <m/>
    <m/>
    <m/>
    <x v="5"/>
    <m/>
    <m/>
    <m/>
    <m/>
    <x v="3"/>
    <m/>
    <m/>
    <m/>
    <m/>
    <m/>
    <x v="1"/>
    <d v="1899-12-30T00:00:00"/>
    <d v="1899-12-30T00:00:00"/>
    <d v="1899-12-30T00:00:00"/>
    <d v="1899-12-30T00:00:00"/>
  </r>
  <r>
    <n v="157"/>
    <m/>
    <m/>
    <m/>
    <x v="5"/>
    <m/>
    <m/>
    <m/>
    <m/>
    <x v="3"/>
    <m/>
    <m/>
    <m/>
    <m/>
    <m/>
    <x v="1"/>
    <d v="1899-12-30T00:00:00"/>
    <d v="1899-12-30T00:00:00"/>
    <d v="1899-12-30T00:00:00"/>
    <d v="1899-12-30T00:00:00"/>
  </r>
  <r>
    <n v="158"/>
    <m/>
    <m/>
    <m/>
    <x v="5"/>
    <m/>
    <m/>
    <m/>
    <m/>
    <x v="3"/>
    <m/>
    <m/>
    <m/>
    <m/>
    <m/>
    <x v="1"/>
    <d v="1899-12-30T00:00:00"/>
    <d v="1899-12-30T00:00:00"/>
    <d v="1899-12-30T00:00:00"/>
    <d v="1899-12-30T00:00:00"/>
  </r>
  <r>
    <n v="159"/>
    <m/>
    <m/>
    <m/>
    <x v="5"/>
    <m/>
    <m/>
    <m/>
    <m/>
    <x v="3"/>
    <m/>
    <m/>
    <m/>
    <m/>
    <m/>
    <x v="1"/>
    <d v="1899-12-30T00:00:00"/>
    <d v="1899-12-30T00:00:00"/>
    <d v="1899-12-30T00:00:00"/>
    <d v="1899-12-30T00:00:00"/>
  </r>
  <r>
    <n v="160"/>
    <m/>
    <m/>
    <m/>
    <x v="5"/>
    <m/>
    <m/>
    <m/>
    <m/>
    <x v="3"/>
    <m/>
    <m/>
    <m/>
    <m/>
    <m/>
    <x v="1"/>
    <d v="1899-12-30T00:00:00"/>
    <d v="1899-12-30T00:00:00"/>
    <d v="1899-12-30T00:00:00"/>
    <d v="1899-12-30T00:00:00"/>
  </r>
  <r>
    <n v="161"/>
    <m/>
    <m/>
    <m/>
    <x v="5"/>
    <m/>
    <m/>
    <m/>
    <m/>
    <x v="3"/>
    <m/>
    <m/>
    <m/>
    <m/>
    <m/>
    <x v="1"/>
    <d v="1899-12-30T00:00:00"/>
    <d v="1899-12-30T00:00:00"/>
    <d v="1899-12-30T00:00:00"/>
    <d v="1899-12-30T00:00:00"/>
  </r>
  <r>
    <n v="162"/>
    <m/>
    <m/>
    <m/>
    <x v="5"/>
    <m/>
    <m/>
    <m/>
    <m/>
    <x v="3"/>
    <m/>
    <m/>
    <m/>
    <m/>
    <m/>
    <x v="1"/>
    <d v="1899-12-30T00:00:00"/>
    <d v="1899-12-30T00:00:00"/>
    <d v="1899-12-30T00:00:00"/>
    <d v="1899-12-30T00:00:00"/>
  </r>
  <r>
    <n v="163"/>
    <m/>
    <m/>
    <m/>
    <x v="5"/>
    <m/>
    <m/>
    <m/>
    <m/>
    <x v="3"/>
    <m/>
    <m/>
    <m/>
    <m/>
    <m/>
    <x v="1"/>
    <d v="1899-12-30T00:00:00"/>
    <d v="1899-12-30T00:00:00"/>
    <d v="1899-12-30T00:00:00"/>
    <d v="1899-12-30T00:00:00"/>
  </r>
  <r>
    <n v="164"/>
    <m/>
    <m/>
    <m/>
    <x v="5"/>
    <m/>
    <m/>
    <m/>
    <m/>
    <x v="3"/>
    <m/>
    <m/>
    <m/>
    <m/>
    <m/>
    <x v="1"/>
    <d v="1899-12-30T00:00:00"/>
    <d v="1899-12-30T00:00:00"/>
    <d v="1899-12-30T00:00:00"/>
    <d v="1899-12-30T00:00:00"/>
  </r>
  <r>
    <n v="165"/>
    <m/>
    <m/>
    <m/>
    <x v="5"/>
    <m/>
    <m/>
    <m/>
    <m/>
    <x v="3"/>
    <m/>
    <m/>
    <m/>
    <m/>
    <m/>
    <x v="1"/>
    <d v="1899-12-30T00:00:00"/>
    <d v="1899-12-30T00:00:00"/>
    <d v="1899-12-30T00:00:00"/>
    <d v="1899-12-30T00:00:00"/>
  </r>
  <r>
    <n v="166"/>
    <m/>
    <m/>
    <m/>
    <x v="5"/>
    <m/>
    <m/>
    <m/>
    <m/>
    <x v="3"/>
    <m/>
    <m/>
    <m/>
    <m/>
    <m/>
    <x v="1"/>
    <d v="1899-12-30T00:00:00"/>
    <d v="1899-12-30T00:00:00"/>
    <d v="1899-12-30T00:00:00"/>
    <d v="1899-12-30T00:00:00"/>
  </r>
  <r>
    <n v="167"/>
    <m/>
    <m/>
    <m/>
    <x v="5"/>
    <m/>
    <m/>
    <m/>
    <m/>
    <x v="3"/>
    <m/>
    <m/>
    <m/>
    <m/>
    <m/>
    <x v="1"/>
    <d v="1899-12-30T00:00:00"/>
    <d v="1899-12-30T00:00:00"/>
    <d v="1899-12-30T00:00:00"/>
    <d v="1899-12-30T00:00:00"/>
  </r>
  <r>
    <n v="168"/>
    <m/>
    <m/>
    <m/>
    <x v="5"/>
    <m/>
    <m/>
    <m/>
    <m/>
    <x v="3"/>
    <m/>
    <m/>
    <m/>
    <m/>
    <m/>
    <x v="1"/>
    <d v="1899-12-30T00:00:00"/>
    <d v="1899-12-30T00:00:00"/>
    <d v="1899-12-30T00:00:00"/>
    <d v="1899-12-30T00:00:00"/>
  </r>
  <r>
    <n v="169"/>
    <m/>
    <m/>
    <m/>
    <x v="5"/>
    <m/>
    <m/>
    <m/>
    <m/>
    <x v="3"/>
    <m/>
    <m/>
    <m/>
    <m/>
    <m/>
    <x v="1"/>
    <d v="1899-12-30T00:00:00"/>
    <d v="1899-12-30T00:00:00"/>
    <d v="1899-12-30T00:00:00"/>
    <d v="1899-12-30T00:00:00"/>
  </r>
  <r>
    <n v="170"/>
    <m/>
    <m/>
    <m/>
    <x v="5"/>
    <m/>
    <m/>
    <m/>
    <m/>
    <x v="3"/>
    <m/>
    <m/>
    <m/>
    <m/>
    <m/>
    <x v="1"/>
    <d v="1899-12-30T00:00:00"/>
    <d v="1899-12-30T00:00:00"/>
    <d v="1899-12-30T00:00:00"/>
    <d v="1899-12-30T00:00:00"/>
  </r>
  <r>
    <n v="171"/>
    <m/>
    <m/>
    <m/>
    <x v="5"/>
    <m/>
    <m/>
    <m/>
    <m/>
    <x v="3"/>
    <m/>
    <m/>
    <m/>
    <m/>
    <m/>
    <x v="1"/>
    <d v="1899-12-30T00:00:00"/>
    <d v="1899-12-30T00:00:00"/>
    <d v="1899-12-30T00:00:00"/>
    <d v="1899-12-30T00:00:00"/>
  </r>
  <r>
    <n v="172"/>
    <m/>
    <m/>
    <m/>
    <x v="5"/>
    <m/>
    <m/>
    <m/>
    <m/>
    <x v="3"/>
    <m/>
    <m/>
    <m/>
    <m/>
    <m/>
    <x v="1"/>
    <d v="1899-12-30T00:00:00"/>
    <d v="1899-12-30T00:00:00"/>
    <d v="1899-12-30T00:00:00"/>
    <d v="1899-12-30T00:00:00"/>
  </r>
  <r>
    <n v="173"/>
    <m/>
    <m/>
    <m/>
    <x v="5"/>
    <m/>
    <m/>
    <m/>
    <m/>
    <x v="3"/>
    <m/>
    <m/>
    <m/>
    <m/>
    <m/>
    <x v="1"/>
    <d v="1899-12-30T00:00:00"/>
    <d v="1899-12-30T00:00:00"/>
    <d v="1899-12-30T00:00:00"/>
    <d v="1899-12-30T00:00:00"/>
  </r>
  <r>
    <n v="174"/>
    <m/>
    <m/>
    <m/>
    <x v="5"/>
    <m/>
    <m/>
    <m/>
    <m/>
    <x v="3"/>
    <m/>
    <m/>
    <m/>
    <m/>
    <m/>
    <x v="1"/>
    <d v="1899-12-30T00:00:00"/>
    <d v="1899-12-30T00:00:00"/>
    <d v="1899-12-30T00:00:00"/>
    <d v="1899-12-30T00:00:00"/>
  </r>
  <r>
    <n v="175"/>
    <m/>
    <m/>
    <m/>
    <x v="5"/>
    <m/>
    <m/>
    <m/>
    <m/>
    <x v="3"/>
    <m/>
    <m/>
    <m/>
    <m/>
    <m/>
    <x v="1"/>
    <d v="1899-12-30T00:00:00"/>
    <d v="1899-12-30T00:00:00"/>
    <d v="1899-12-30T00:00:00"/>
    <d v="1899-12-30T00:00:00"/>
  </r>
  <r>
    <n v="176"/>
    <m/>
    <m/>
    <m/>
    <x v="5"/>
    <m/>
    <m/>
    <m/>
    <m/>
    <x v="3"/>
    <m/>
    <m/>
    <m/>
    <m/>
    <m/>
    <x v="1"/>
    <d v="1899-12-30T00:00:00"/>
    <d v="1899-12-30T00:00:00"/>
    <d v="1899-12-30T00:00:00"/>
    <d v="1899-12-30T00:00:00"/>
  </r>
  <r>
    <n v="177"/>
    <m/>
    <m/>
    <m/>
    <x v="5"/>
    <m/>
    <m/>
    <m/>
    <m/>
    <x v="3"/>
    <m/>
    <m/>
    <m/>
    <m/>
    <m/>
    <x v="1"/>
    <d v="1899-12-30T00:00:00"/>
    <d v="1899-12-30T00:00:00"/>
    <d v="1899-12-30T00:00:00"/>
    <d v="1899-12-30T00:00:00"/>
  </r>
  <r>
    <n v="178"/>
    <m/>
    <m/>
    <m/>
    <x v="5"/>
    <m/>
    <m/>
    <m/>
    <m/>
    <x v="3"/>
    <m/>
    <m/>
    <m/>
    <m/>
    <m/>
    <x v="1"/>
    <d v="1899-12-30T00:00:00"/>
    <d v="1899-12-30T00:00:00"/>
    <d v="1899-12-30T00:00:00"/>
    <d v="1899-12-30T00:00:00"/>
  </r>
  <r>
    <n v="179"/>
    <m/>
    <m/>
    <m/>
    <x v="5"/>
    <m/>
    <m/>
    <m/>
    <m/>
    <x v="3"/>
    <m/>
    <m/>
    <m/>
    <m/>
    <m/>
    <x v="1"/>
    <d v="1899-12-30T00:00:00"/>
    <d v="1899-12-30T00:00:00"/>
    <d v="1899-12-30T00:00:00"/>
    <d v="1899-12-30T00:00:00"/>
  </r>
  <r>
    <n v="180"/>
    <m/>
    <m/>
    <m/>
    <x v="5"/>
    <m/>
    <m/>
    <m/>
    <m/>
    <x v="3"/>
    <m/>
    <m/>
    <m/>
    <m/>
    <m/>
    <x v="1"/>
    <d v="1899-12-30T00:00:00"/>
    <d v="1899-12-30T00:00:00"/>
    <d v="1899-12-30T00:00:00"/>
    <d v="1899-12-30T00:00:00"/>
  </r>
  <r>
    <n v="181"/>
    <m/>
    <m/>
    <m/>
    <x v="5"/>
    <m/>
    <m/>
    <m/>
    <m/>
    <x v="3"/>
    <m/>
    <m/>
    <m/>
    <m/>
    <m/>
    <x v="1"/>
    <d v="1899-12-30T00:00:00"/>
    <d v="1899-12-30T00:00:00"/>
    <d v="1899-12-30T00:00:00"/>
    <d v="1899-12-30T00:00:00"/>
  </r>
  <r>
    <n v="182"/>
    <m/>
    <m/>
    <m/>
    <x v="5"/>
    <m/>
    <m/>
    <m/>
    <m/>
    <x v="3"/>
    <m/>
    <m/>
    <m/>
    <m/>
    <m/>
    <x v="1"/>
    <d v="1899-12-30T00:00:00"/>
    <d v="1899-12-30T00:00:00"/>
    <d v="1899-12-30T00:00:00"/>
    <d v="1899-12-30T00:00:00"/>
  </r>
  <r>
    <n v="183"/>
    <m/>
    <m/>
    <m/>
    <x v="5"/>
    <m/>
    <m/>
    <m/>
    <m/>
    <x v="3"/>
    <m/>
    <m/>
    <m/>
    <m/>
    <m/>
    <x v="1"/>
    <d v="1899-12-30T00:00:00"/>
    <d v="1899-12-30T00:00:00"/>
    <d v="1899-12-30T00:00:00"/>
    <d v="1899-12-30T00:00:00"/>
  </r>
  <r>
    <n v="184"/>
    <m/>
    <m/>
    <m/>
    <x v="5"/>
    <m/>
    <m/>
    <m/>
    <m/>
    <x v="3"/>
    <m/>
    <m/>
    <m/>
    <m/>
    <m/>
    <x v="1"/>
    <d v="1899-12-30T00:00:00"/>
    <d v="1899-12-30T00:00:00"/>
    <d v="1899-12-30T00:00:00"/>
    <d v="1899-12-30T00:00:00"/>
  </r>
  <r>
    <n v="185"/>
    <m/>
    <m/>
    <m/>
    <x v="5"/>
    <m/>
    <m/>
    <m/>
    <m/>
    <x v="3"/>
    <m/>
    <m/>
    <m/>
    <m/>
    <m/>
    <x v="1"/>
    <d v="1899-12-30T00:00:00"/>
    <d v="1899-12-30T00:00:00"/>
    <d v="1899-12-30T00:00:00"/>
    <d v="1899-12-30T00:00:00"/>
  </r>
  <r>
    <n v="186"/>
    <m/>
    <m/>
    <m/>
    <x v="5"/>
    <m/>
    <m/>
    <m/>
    <m/>
    <x v="3"/>
    <m/>
    <m/>
    <m/>
    <m/>
    <m/>
    <x v="1"/>
    <d v="1899-12-30T00:00:00"/>
    <d v="1899-12-30T00:00:00"/>
    <d v="1899-12-30T00:00:00"/>
    <d v="1899-12-30T00:00:00"/>
  </r>
  <r>
    <n v="187"/>
    <m/>
    <m/>
    <m/>
    <x v="5"/>
    <m/>
    <m/>
    <m/>
    <m/>
    <x v="3"/>
    <m/>
    <m/>
    <m/>
    <m/>
    <m/>
    <x v="1"/>
    <d v="1899-12-30T00:00:00"/>
    <d v="1899-12-30T00:00:00"/>
    <d v="1899-12-30T00:00:00"/>
    <d v="1899-12-30T00:00:00"/>
  </r>
  <r>
    <n v="188"/>
    <m/>
    <m/>
    <m/>
    <x v="5"/>
    <m/>
    <m/>
    <m/>
    <m/>
    <x v="3"/>
    <m/>
    <m/>
    <m/>
    <m/>
    <m/>
    <x v="1"/>
    <d v="1899-12-30T00:00:00"/>
    <d v="1899-12-30T00:00:00"/>
    <d v="1899-12-30T00:00:00"/>
    <d v="1899-12-30T00:00:00"/>
  </r>
  <r>
    <n v="189"/>
    <m/>
    <m/>
    <m/>
    <x v="5"/>
    <m/>
    <m/>
    <m/>
    <m/>
    <x v="3"/>
    <m/>
    <m/>
    <m/>
    <m/>
    <m/>
    <x v="1"/>
    <d v="1899-12-30T00:00:00"/>
    <d v="1899-12-30T00:00:00"/>
    <d v="1899-12-30T00:00:00"/>
    <d v="1899-12-30T00:00:00"/>
  </r>
  <r>
    <n v="190"/>
    <m/>
    <m/>
    <m/>
    <x v="5"/>
    <m/>
    <m/>
    <m/>
    <m/>
    <x v="3"/>
    <m/>
    <m/>
    <m/>
    <m/>
    <m/>
    <x v="1"/>
    <d v="1899-12-30T00:00:00"/>
    <d v="1899-12-30T00:00:00"/>
    <d v="1899-12-30T00:00:00"/>
    <d v="1899-12-30T00:00:00"/>
  </r>
  <r>
    <n v="191"/>
    <m/>
    <m/>
    <m/>
    <x v="5"/>
    <m/>
    <m/>
    <m/>
    <m/>
    <x v="3"/>
    <m/>
    <m/>
    <m/>
    <m/>
    <m/>
    <x v="1"/>
    <d v="1899-12-30T00:00:00"/>
    <d v="1899-12-30T00:00:00"/>
    <d v="1899-12-30T00:00:00"/>
    <d v="1899-12-30T00:00:00"/>
  </r>
  <r>
    <n v="201"/>
    <s v="J. PINZÓN"/>
    <d v="1899-12-30T11:47:00"/>
    <d v="2025-11-05T00:00:00"/>
    <x v="11"/>
    <s v="Puntual"/>
    <s v="Compra e instalación de reflectores o lamparas, para la parte perimetral de la bodega, ruta de evacuación muy oscuro. Revisar la posibilidad de sensores de movimiento."/>
    <m/>
    <m/>
    <x v="3"/>
    <m/>
    <m/>
    <m/>
    <m/>
    <m/>
    <x v="2"/>
    <d v="1899-12-30T00:00:00"/>
    <d v="2025-11-05T11:47:00"/>
    <d v="1899-12-30T00:00:00"/>
    <n v="-45966.490972222222"/>
  </r>
  <r>
    <n v="202"/>
    <s v="A. VIRGUEZ"/>
    <d v="1899-12-30T07:00:00"/>
    <d v="2025-11-05T00:00:00"/>
    <x v="11"/>
    <s v="Puntual"/>
    <s v="Se requiere reparar bateria del elevador de rollos ya que se encuentra operando conectado el equipo."/>
    <d v="1899-12-30T10:00:00"/>
    <d v="1899-12-30T10:30:00"/>
    <x v="8"/>
    <s v="Eléctrica"/>
    <s v="Se reemplaza la baterial al equipo ya que estaba dañada."/>
    <s v="Bateria"/>
    <s v="NA"/>
    <s v="J. FONTECHA"/>
    <x v="0"/>
    <d v="1899-12-30T00:30:00"/>
    <d v="2025-11-05T07:00:00"/>
    <d v="2025-11-05T10:30:00"/>
    <d v="1899-12-30T03:30:00"/>
  </r>
  <r>
    <n v="203"/>
    <s v="A. VIRGUEZ"/>
    <d v="1899-12-30T07:00:00"/>
    <d v="2025-11-05T00:00:00"/>
    <x v="11"/>
    <s v="Puntual"/>
    <s v="Se requiere reemplazar la lampara colgante que esta ubicada en el area de sellado."/>
    <m/>
    <m/>
    <x v="3"/>
    <m/>
    <m/>
    <m/>
    <m/>
    <m/>
    <x v="2"/>
    <d v="1899-12-30T00:00:00"/>
    <d v="2025-11-05T07:00:00"/>
    <d v="1899-12-30T00:00:00"/>
    <n v="-45966.291666666664"/>
  </r>
  <r>
    <n v="204"/>
    <s v="A. VIRGUEZ"/>
    <d v="1899-12-30T07:00:00"/>
    <d v="2025-11-05T00:00:00"/>
    <x v="11"/>
    <s v="Puntual"/>
    <s v="Se requiere realizar mejora en proceso de secado del material a peletizar por medio del ventilador ya que genera derrame de agua."/>
    <m/>
    <m/>
    <x v="3"/>
    <m/>
    <m/>
    <m/>
    <m/>
    <m/>
    <x v="2"/>
    <d v="1899-12-30T00:00:00"/>
    <d v="2025-11-05T07:00:00"/>
    <d v="1899-12-30T00:00:00"/>
    <n v="-45966.291666666664"/>
  </r>
  <r>
    <n v="205"/>
    <s v="A. VIRGUEZ"/>
    <d v="1899-12-30T07:00:00"/>
    <d v="2025-11-05T00:00:00"/>
    <x v="11"/>
    <s v="Puntual"/>
    <s v="Se requiere adecuar el cuarto que se encuentra junto al muelle para llevar acabo la atención de AT."/>
    <m/>
    <m/>
    <x v="3"/>
    <m/>
    <m/>
    <m/>
    <m/>
    <m/>
    <x v="2"/>
    <d v="1899-12-30T00:00:00"/>
    <d v="2025-11-05T07:00:00"/>
    <d v="1899-12-30T00:00:00"/>
    <n v="-45966.291666666664"/>
  </r>
  <r>
    <n v="206"/>
    <s v="J. PINZÓN"/>
    <d v="1899-12-30T07:00:00"/>
    <d v="2025-11-19T00:00:00"/>
    <x v="11"/>
    <s v="Puntual"/>
    <s v="Instalación paros de emergencia de todas las máquinas cerca del área de manipulación."/>
    <m/>
    <m/>
    <x v="3"/>
    <m/>
    <m/>
    <m/>
    <m/>
    <m/>
    <x v="2"/>
    <d v="1899-12-30T00:00:00"/>
    <d v="2025-11-19T07:00:00"/>
    <d v="1899-12-30T00:00:00"/>
    <n v="-45980.291666666664"/>
  </r>
  <r>
    <n v="207"/>
    <s v="A. VIRGUEZ"/>
    <d v="1899-12-30T07:00:00"/>
    <d v="2025-11-25T00:00:00"/>
    <x v="11"/>
    <s v="Puntual"/>
    <s v="Se solicita realizar una revisión y ajuste de las guardas de las trampas de roedores, ya que algunas se encuentran sueltas."/>
    <d v="1899-12-30T07:00:00"/>
    <d v="1899-12-30T08:00:00"/>
    <x v="29"/>
    <s v="Mecánica"/>
    <s v="Se justan trampas de los roedores"/>
    <s v="NA"/>
    <s v="NA"/>
    <s v="M. PEREZ"/>
    <x v="0"/>
    <d v="1899-12-30T01:00:00"/>
    <d v="2025-11-25T07:00:00"/>
    <d v="2025-12-12T08:00:00"/>
    <d v="1900-01-16T01:00:00"/>
  </r>
  <r>
    <n v="208"/>
    <s v="J. PINZÓN"/>
    <d v="1899-12-30T15:30:00"/>
    <d v="2025-11-22T00:00:00"/>
    <x v="11"/>
    <s v="Puntual"/>
    <s v="Se requiere instalación eléctrica independiente para la lampara atrapa insectos."/>
    <d v="1899-12-30T10:00:00"/>
    <d v="1899-12-30T12:00:00"/>
    <x v="24"/>
    <s v="Eléctrica"/>
    <s v="Se dejan en paralelo la conexión de las lamparas e independientes al interruptor."/>
    <s v="NA"/>
    <s v="NA"/>
    <s v="M. PEREZ"/>
    <x v="0"/>
    <d v="1899-12-30T02:00:00"/>
    <d v="2025-11-22T15:30:00"/>
    <d v="2025-11-23T12:00:00"/>
    <d v="1899-12-30T20:30:00"/>
  </r>
  <r>
    <n v="209"/>
    <s v="A. VIRGUEZ"/>
    <d v="1899-12-30T07:00:00"/>
    <d v="2025-11-24T00:00:00"/>
    <x v="6"/>
    <s v="Puntual"/>
    <s v="Se requiere ajustar la tapa del piso de refile."/>
    <m/>
    <m/>
    <x v="3"/>
    <m/>
    <m/>
    <m/>
    <m/>
    <m/>
    <x v="1"/>
    <d v="1899-12-30T00:00:00"/>
    <d v="2025-11-24T07:00:00"/>
    <d v="1899-12-30T00:00:00"/>
    <n v="-45985.291666666664"/>
  </r>
  <r>
    <n v="210"/>
    <s v="A. VIRGUEZ"/>
    <d v="1899-12-30T02:30:00"/>
    <d v="2025-11-17T00:00:00"/>
    <x v="11"/>
    <s v="Puntual"/>
    <s v="Compra e instalación de manija para ventanas en el área administrativa. 2."/>
    <m/>
    <m/>
    <x v="3"/>
    <m/>
    <m/>
    <m/>
    <m/>
    <m/>
    <x v="2"/>
    <d v="1899-12-30T00:00:00"/>
    <d v="2025-11-17T02:30:00"/>
    <d v="1899-12-30T00:00:00"/>
    <n v="-45978.104166666664"/>
  </r>
  <r>
    <n v="211"/>
    <s v="J. PINZÓN"/>
    <d v="1899-12-30T03:05:00"/>
    <d v="2025-12-02T00:00:00"/>
    <x v="11"/>
    <s v="Puntual"/>
    <s v="Mantenimiento a la puerta corrediza de la cafeteria."/>
    <d v="1899-12-30T08:00:00"/>
    <d v="1899-12-30T10:00:00"/>
    <x v="30"/>
    <s v="Mecánica"/>
    <s v="Se cambian rodamientos inferiores de la puerta y se lubrica con grasa."/>
    <s v="NA"/>
    <s v="NA"/>
    <s v="M. PEREZ"/>
    <x v="0"/>
    <d v="1899-12-30T02:00:00"/>
    <d v="2025-12-02T03:05:00"/>
    <d v="2025-12-03T10:00:00"/>
    <d v="1899-12-31T06:55:00"/>
  </r>
  <r>
    <n v="212"/>
    <s v="A. VIRGUEZ"/>
    <d v="1899-12-30T06:00:00"/>
    <d v="2025-12-11T00:00:00"/>
    <x v="11"/>
    <s v="Puntual"/>
    <s v="Se requiere reubicar lampara del muelle, la blanca, se tiene que bajar y conectarla ya que el proveedor indica que esta muy elevada."/>
    <d v="1899-12-30T07:00:00"/>
    <d v="1899-12-30T09:00:00"/>
    <x v="31"/>
    <s v="Mecánica"/>
    <s v="Se fija más abajo la lampara, y se corre el cartel, queda operativa."/>
    <s v="NA"/>
    <s v="NA"/>
    <s v="M. PEREZ"/>
    <x v="0"/>
    <d v="1899-12-30T02:00:00"/>
    <d v="2025-12-11T06:00:00"/>
    <d v="2025-12-11T09:00:00"/>
    <d v="1899-12-30T03:00:00"/>
  </r>
  <r>
    <n v="213"/>
    <s v="A. VIRGUEZ"/>
    <m/>
    <d v="2025-12-11T00:00:00"/>
    <x v="11"/>
    <s v="Puntual"/>
    <s v="Se requiere instalar la puerta del control de tacos en el area de peletizado"/>
    <m/>
    <m/>
    <x v="3"/>
    <m/>
    <m/>
    <m/>
    <m/>
    <m/>
    <x v="2"/>
    <d v="1899-12-30T00:00:00"/>
    <d v="2025-12-11T00:00:00"/>
    <d v="1899-12-30T00:00:00"/>
    <n v="-46002"/>
  </r>
  <r>
    <n v="214"/>
    <s v="A. VIRGUEZ"/>
    <m/>
    <d v="2025-02-15T00:00:00"/>
    <x v="11"/>
    <s v="Puntual"/>
    <s v="Se solicita arreglo y mejora de la caja de madera donde se disponen los residuos de los cores cuando se cortan"/>
    <m/>
    <m/>
    <x v="3"/>
    <m/>
    <m/>
    <m/>
    <m/>
    <m/>
    <x v="2"/>
    <d v="1899-12-30T00:00:00"/>
    <d v="2025-02-15T00:00:00"/>
    <d v="1899-12-30T00:00:00"/>
    <n v="-45703"/>
  </r>
  <r>
    <n v="215"/>
    <s v="A. VIRGUEZ"/>
    <m/>
    <d v="2026-01-20T00:00:00"/>
    <x v="11"/>
    <s v="Puntual"/>
    <s v="Se requiere ajuste de la caja de breaker que se encuentra al lado de la mezcladora, ya que se evidencia inclinación para un costado"/>
    <m/>
    <m/>
    <x v="3"/>
    <m/>
    <m/>
    <m/>
    <m/>
    <m/>
    <x v="2"/>
    <d v="1899-12-30T00:00:00"/>
    <d v="2026-01-20T00:00:00"/>
    <d v="1899-12-30T00:00:00"/>
    <n v="-46042"/>
  </r>
  <r>
    <n v="216"/>
    <s v="A. VIRGUEZ"/>
    <m/>
    <d v="2026-01-20T00:00:00"/>
    <x v="11"/>
    <s v="Puntual"/>
    <s v="Se requiere realicen arreglo de gabinete de aseo en el area de extrusión"/>
    <m/>
    <m/>
    <x v="3"/>
    <m/>
    <m/>
    <m/>
    <m/>
    <m/>
    <x v="0"/>
    <d v="1899-12-30T00:00:00"/>
    <d v="2026-01-20T00:00:00"/>
    <d v="1899-12-30T00:00:00"/>
    <n v="-46042"/>
  </r>
  <r>
    <n v="217"/>
    <m/>
    <m/>
    <m/>
    <x v="5"/>
    <s v="Puntual"/>
    <m/>
    <m/>
    <m/>
    <x v="3"/>
    <m/>
    <m/>
    <m/>
    <m/>
    <m/>
    <x v="1"/>
    <d v="1899-12-30T00:00:00"/>
    <d v="1899-12-30T00:00:00"/>
    <d v="1899-12-30T00:00:00"/>
    <d v="1899-12-30T00:00:00"/>
  </r>
  <r>
    <n v="218"/>
    <s v="A. VIRGUEZ"/>
    <m/>
    <d v="2026-01-29T00:00:00"/>
    <x v="11"/>
    <s v="Puntual"/>
    <s v="Se requiere cambio de material de escalera de impresión por material resistente antideslizante"/>
    <m/>
    <m/>
    <x v="3"/>
    <m/>
    <m/>
    <m/>
    <m/>
    <m/>
    <x v="2"/>
    <d v="1899-12-30T00:00:00"/>
    <d v="2026-01-29T00:00:00"/>
    <d v="1899-12-30T00:00:00"/>
    <n v="-46051"/>
  </r>
  <r>
    <n v="219"/>
    <s v="A. VIRGUEZ"/>
    <m/>
    <d v="2026-01-30T00:00:00"/>
    <x v="11"/>
    <s v="Puntual"/>
    <s v="Se requiere fabricar e instalar guarda para trampa de roedores en el muelle #2"/>
    <m/>
    <m/>
    <x v="3"/>
    <m/>
    <m/>
    <m/>
    <m/>
    <m/>
    <x v="2"/>
    <d v="1899-12-30T00:00:00"/>
    <d v="2026-01-30T00:00:00"/>
    <d v="1899-12-30T00:00:00"/>
    <n v="-46052"/>
  </r>
  <r>
    <n v="220"/>
    <s v="A. VIRGUEZ"/>
    <m/>
    <d v="2026-01-30T00:00:00"/>
    <x v="11"/>
    <s v="Puntual"/>
    <s v="Se requiere reparación de ventana de la bodega de peletizado"/>
    <m/>
    <m/>
    <x v="3"/>
    <m/>
    <m/>
    <m/>
    <m/>
    <m/>
    <x v="2"/>
    <d v="1899-12-30T00:00:00"/>
    <d v="2026-01-30T00:00:00"/>
    <d v="1899-12-30T00:00:00"/>
    <n v="-46052"/>
  </r>
  <r>
    <n v="221"/>
    <s v="A. VIRGUEZ"/>
    <m/>
    <d v="2026-01-03T00:00:00"/>
    <x v="11"/>
    <s v="Puntual"/>
    <s v="Se requiere arreglo de la cerradura perilla de la puerta de la oficina de producción"/>
    <m/>
    <m/>
    <x v="3"/>
    <m/>
    <m/>
    <m/>
    <m/>
    <m/>
    <x v="2"/>
    <d v="1899-12-30T00:00:00"/>
    <d v="2026-01-03T00:00:00"/>
    <d v="1899-12-30T00:00:00"/>
    <n v="-46025"/>
  </r>
  <r>
    <n v="222"/>
    <s v="J. CONTRERAS"/>
    <m/>
    <d v="2026-02-12T00:00:00"/>
    <x v="11"/>
    <s v="Puntual"/>
    <s v="Manija de sisterna baño bodega de peletizado dañada"/>
    <m/>
    <m/>
    <x v="3"/>
    <m/>
    <m/>
    <m/>
    <m/>
    <m/>
    <x v="2"/>
    <d v="1899-12-30T00:00:00"/>
    <d v="2026-02-12T00:00:00"/>
    <d v="1899-12-30T00:00:00"/>
    <n v="-46065"/>
  </r>
  <r>
    <n v="223"/>
    <s v="A. VIRGUEZ"/>
    <m/>
    <d v="2026-02-13T00:00:00"/>
    <x v="6"/>
    <s v="Puntual"/>
    <s v="Se requiere aislar cables que estan en el motor del centro de la coestrusora"/>
    <m/>
    <m/>
    <x v="3"/>
    <m/>
    <m/>
    <m/>
    <m/>
    <m/>
    <x v="2"/>
    <d v="1899-12-30T00:00:00"/>
    <d v="2026-02-13T00:00:00"/>
    <d v="1899-12-30T00:00:00"/>
    <n v="-46066"/>
  </r>
  <r>
    <n v="224"/>
    <s v="A. VIRGUEZ"/>
    <m/>
    <d v="2026-02-13T00:00:00"/>
    <x v="23"/>
    <s v="Puntual"/>
    <s v="Se requiere reparación de la puerta de la caja de los breaker en el molino pequeño de la peletizadora"/>
    <m/>
    <m/>
    <x v="3"/>
    <m/>
    <m/>
    <m/>
    <m/>
    <m/>
    <x v="2"/>
    <d v="1899-12-30T00:00:00"/>
    <d v="2026-02-13T00:00:00"/>
    <d v="1899-12-30T00:00:00"/>
    <n v="-46066"/>
  </r>
  <r>
    <n v="225"/>
    <s v="A. VIRGUEZ"/>
    <m/>
    <d v="2026-02-17T00:00:00"/>
    <x v="11"/>
    <s v="Puntual"/>
    <s v="Se solicita realicen cambio de la toma corriente , interructor del cuarto rodillo"/>
    <m/>
    <m/>
    <x v="3"/>
    <m/>
    <m/>
    <m/>
    <m/>
    <m/>
    <x v="2"/>
    <d v="1899-12-30T00:00:00"/>
    <d v="2026-02-17T00:00:00"/>
    <d v="1899-12-30T00:00:00"/>
    <n v="-46070"/>
  </r>
  <r>
    <n v="226"/>
    <s v="A. VIRGUEZ"/>
    <m/>
    <d v="2026-02-17T00:00:00"/>
    <x v="11"/>
    <s v="Puntual"/>
    <s v="Se solicita reparen conexión eléctrica que se encuentra en la parte superior de la pared del muelle #2"/>
    <m/>
    <m/>
    <x v="3"/>
    <m/>
    <m/>
    <m/>
    <m/>
    <m/>
    <x v="2"/>
    <d v="1899-12-30T00:00:00"/>
    <d v="2026-02-17T00:00:00"/>
    <d v="1899-12-30T00:00:00"/>
    <n v="-46070"/>
  </r>
  <r>
    <n v="227"/>
    <s v="A. VIRGUEZ"/>
    <m/>
    <d v="2026-03-06T00:00:00"/>
    <x v="6"/>
    <s v="Puntual"/>
    <s v="Se requeire instalar la tapa de la caja de breaker de la coextrusora #5 que se encuentra caida"/>
    <m/>
    <m/>
    <x v="3"/>
    <m/>
    <m/>
    <m/>
    <m/>
    <m/>
    <x v="1"/>
    <d v="1899-12-30T00:00:00"/>
    <d v="2026-03-06T00:00:00"/>
    <d v="1899-12-30T00:00:00"/>
    <n v="-46087"/>
  </r>
  <r>
    <n v="228"/>
    <m/>
    <m/>
    <m/>
    <x v="5"/>
    <m/>
    <m/>
    <m/>
    <m/>
    <x v="3"/>
    <m/>
    <m/>
    <m/>
    <m/>
    <m/>
    <x v="1"/>
    <d v="1899-12-30T00:00:00"/>
    <d v="1899-12-30T00:00:00"/>
    <d v="1899-12-30T00:00:00"/>
    <d v="1899-12-30T00:00:00"/>
  </r>
  <r>
    <n v="229"/>
    <s v="L. GALVIS"/>
    <d v="1899-12-30T03:44:00"/>
    <d v="2026-04-14T00:00:00"/>
    <x v="11"/>
    <s v="Puntual"/>
    <s v="Se solicita soporte de camilla del area de peletizado"/>
    <m/>
    <m/>
    <x v="3"/>
    <m/>
    <m/>
    <m/>
    <m/>
    <m/>
    <x v="2"/>
    <d v="1899-12-30T00:00:00"/>
    <d v="2026-04-14T03:44:00"/>
    <d v="1899-12-30T00:00:00"/>
    <n v="-46126.155555555553"/>
  </r>
  <r>
    <n v="230"/>
    <s v="A. VIRGUEZ"/>
    <m/>
    <d v="2026-04-24T00:00:00"/>
    <x v="11"/>
    <s v="Puntual"/>
    <s v="Se solicita realizar la instalación de los tableros de seguridad en cada una de las areas"/>
    <m/>
    <m/>
    <x v="3"/>
    <m/>
    <m/>
    <m/>
    <m/>
    <m/>
    <x v="2"/>
    <d v="1899-12-30T00:00:00"/>
    <d v="2026-04-24T00:00:00"/>
    <d v="1899-12-30T00:00:00"/>
    <n v="-46136"/>
  </r>
  <r>
    <n v="231"/>
    <m/>
    <m/>
    <m/>
    <x v="5"/>
    <m/>
    <m/>
    <m/>
    <m/>
    <x v="3"/>
    <m/>
    <m/>
    <m/>
    <m/>
    <m/>
    <x v="1"/>
    <d v="1899-12-30T00:00:00"/>
    <d v="1899-12-30T00:00:00"/>
    <d v="1899-12-30T00:00:00"/>
    <d v="1899-12-30T00:00:00"/>
  </r>
  <r>
    <n v="232"/>
    <m/>
    <m/>
    <m/>
    <x v="5"/>
    <m/>
    <m/>
    <m/>
    <m/>
    <x v="3"/>
    <m/>
    <m/>
    <m/>
    <m/>
    <m/>
    <x v="1"/>
    <d v="1899-12-30T00:00:00"/>
    <d v="1899-12-30T00:00:00"/>
    <d v="1899-12-30T00:00:00"/>
    <d v="1899-12-30T00:00:00"/>
  </r>
  <r>
    <n v="233"/>
    <m/>
    <m/>
    <m/>
    <x v="5"/>
    <m/>
    <m/>
    <m/>
    <m/>
    <x v="3"/>
    <m/>
    <m/>
    <m/>
    <m/>
    <m/>
    <x v="1"/>
    <d v="1899-12-30T00:00:00"/>
    <d v="1899-12-30T00:00:00"/>
    <d v="1899-12-30T00:00:00"/>
    <d v="1899-12-30T00:00:00"/>
  </r>
  <r>
    <n v="234"/>
    <m/>
    <m/>
    <m/>
    <x v="5"/>
    <m/>
    <m/>
    <m/>
    <m/>
    <x v="3"/>
    <m/>
    <m/>
    <m/>
    <m/>
    <m/>
    <x v="1"/>
    <d v="1899-12-30T00:00:00"/>
    <d v="1899-12-30T00:00:00"/>
    <d v="1899-12-30T00:00:00"/>
    <d v="1899-12-30T00:00:00"/>
  </r>
  <r>
    <n v="235"/>
    <m/>
    <m/>
    <m/>
    <x v="5"/>
    <m/>
    <m/>
    <m/>
    <m/>
    <x v="3"/>
    <m/>
    <m/>
    <m/>
    <m/>
    <m/>
    <x v="1"/>
    <d v="1899-12-30T00:00:00"/>
    <d v="1899-12-30T00:00:00"/>
    <d v="1899-12-30T00:00:00"/>
    <d v="1899-12-30T00:00:00"/>
  </r>
  <r>
    <n v="236"/>
    <m/>
    <m/>
    <m/>
    <x v="5"/>
    <m/>
    <m/>
    <m/>
    <m/>
    <x v="3"/>
    <m/>
    <m/>
    <m/>
    <m/>
    <m/>
    <x v="1"/>
    <d v="1899-12-30T00:00:00"/>
    <d v="1899-12-30T00:00:00"/>
    <d v="1899-12-30T00:00:00"/>
    <d v="1899-12-30T00:00:00"/>
  </r>
  <r>
    <n v="237"/>
    <m/>
    <m/>
    <m/>
    <x v="5"/>
    <m/>
    <m/>
    <m/>
    <m/>
    <x v="3"/>
    <m/>
    <m/>
    <m/>
    <m/>
    <m/>
    <x v="1"/>
    <d v="1899-12-30T00:00:00"/>
    <d v="1899-12-30T00:00:00"/>
    <d v="1899-12-30T00:00:00"/>
    <d v="1899-12-30T00:00:00"/>
  </r>
  <r>
    <n v="238"/>
    <m/>
    <m/>
    <m/>
    <x v="5"/>
    <m/>
    <m/>
    <m/>
    <m/>
    <x v="3"/>
    <m/>
    <m/>
    <m/>
    <m/>
    <m/>
    <x v="1"/>
    <d v="1899-12-30T00:00:00"/>
    <d v="1899-12-30T00:00:00"/>
    <d v="1899-12-30T00:00:00"/>
    <d v="1899-12-30T00:00:00"/>
  </r>
  <r>
    <n v="239"/>
    <m/>
    <m/>
    <m/>
    <x v="5"/>
    <m/>
    <m/>
    <m/>
    <m/>
    <x v="3"/>
    <m/>
    <m/>
    <m/>
    <m/>
    <m/>
    <x v="1"/>
    <d v="1899-12-30T00:00:00"/>
    <d v="1899-12-30T00:00:00"/>
    <d v="1899-12-30T00:00:00"/>
    <d v="1899-12-30T00:00:00"/>
  </r>
  <r>
    <n v="240"/>
    <m/>
    <m/>
    <m/>
    <x v="5"/>
    <m/>
    <m/>
    <m/>
    <m/>
    <x v="3"/>
    <m/>
    <m/>
    <m/>
    <m/>
    <m/>
    <x v="1"/>
    <d v="1899-12-30T00:00:00"/>
    <d v="1899-12-30T00:00:00"/>
    <d v="1899-12-30T00:00:00"/>
    <d v="1899-12-30T00:00:00"/>
  </r>
  <r>
    <n v="241"/>
    <m/>
    <m/>
    <m/>
    <x v="5"/>
    <m/>
    <m/>
    <m/>
    <m/>
    <x v="3"/>
    <m/>
    <m/>
    <m/>
    <m/>
    <m/>
    <x v="1"/>
    <d v="1899-12-30T00:00:00"/>
    <d v="1899-12-30T00:00:00"/>
    <d v="1899-12-30T00:00:00"/>
    <d v="1899-12-30T00:00:00"/>
  </r>
  <r>
    <n v="242"/>
    <m/>
    <m/>
    <m/>
    <x v="5"/>
    <m/>
    <m/>
    <m/>
    <m/>
    <x v="3"/>
    <m/>
    <m/>
    <m/>
    <m/>
    <m/>
    <x v="1"/>
    <d v="1899-12-30T00:00:00"/>
    <d v="1899-12-30T00:00:00"/>
    <d v="1899-12-30T00:00:00"/>
    <d v="1899-12-30T00:00:00"/>
  </r>
  <r>
    <n v="243"/>
    <m/>
    <m/>
    <m/>
    <x v="5"/>
    <m/>
    <m/>
    <m/>
    <m/>
    <x v="3"/>
    <m/>
    <m/>
    <m/>
    <m/>
    <m/>
    <x v="1"/>
    <d v="1899-12-30T00:00:00"/>
    <d v="1899-12-30T00:00:00"/>
    <d v="1899-12-30T00:00:00"/>
    <d v="1899-12-30T00:00:00"/>
  </r>
  <r>
    <n v="244"/>
    <m/>
    <m/>
    <m/>
    <x v="5"/>
    <m/>
    <m/>
    <m/>
    <m/>
    <x v="3"/>
    <m/>
    <m/>
    <m/>
    <m/>
    <m/>
    <x v="1"/>
    <d v="1899-12-30T00:00:00"/>
    <d v="1899-12-30T00:00:00"/>
    <d v="1899-12-30T00:00:00"/>
    <d v="1899-12-30T00:00:00"/>
  </r>
  <r>
    <n v="245"/>
    <m/>
    <m/>
    <m/>
    <x v="5"/>
    <m/>
    <m/>
    <m/>
    <m/>
    <x v="3"/>
    <m/>
    <m/>
    <m/>
    <m/>
    <m/>
    <x v="1"/>
    <d v="1899-12-30T00:00:00"/>
    <d v="1899-12-30T00:00:00"/>
    <d v="1899-12-30T00:00:00"/>
    <d v="1899-12-30T00:00:00"/>
  </r>
  <r>
    <n v="246"/>
    <m/>
    <m/>
    <m/>
    <x v="5"/>
    <m/>
    <m/>
    <m/>
    <m/>
    <x v="3"/>
    <m/>
    <m/>
    <m/>
    <m/>
    <m/>
    <x v="1"/>
    <d v="1899-12-30T00:00:00"/>
    <d v="1899-12-30T00:00:00"/>
    <d v="1899-12-30T00:00:00"/>
    <d v="1899-12-30T00:00:00"/>
  </r>
  <r>
    <n v="247"/>
    <m/>
    <m/>
    <m/>
    <x v="5"/>
    <m/>
    <m/>
    <m/>
    <m/>
    <x v="3"/>
    <m/>
    <m/>
    <m/>
    <m/>
    <m/>
    <x v="1"/>
    <d v="1899-12-30T00:00:00"/>
    <d v="1899-12-30T00:00:00"/>
    <d v="1899-12-30T00:00:00"/>
    <d v="1899-12-30T00:00:00"/>
  </r>
  <r>
    <n v="248"/>
    <m/>
    <m/>
    <m/>
    <x v="5"/>
    <m/>
    <m/>
    <m/>
    <m/>
    <x v="3"/>
    <m/>
    <m/>
    <m/>
    <m/>
    <m/>
    <x v="1"/>
    <d v="1899-12-30T00:00:00"/>
    <d v="1899-12-30T00:00:00"/>
    <d v="1899-12-30T00:00:00"/>
    <d v="1899-12-30T00:00:00"/>
  </r>
  <r>
    <n v="249"/>
    <m/>
    <m/>
    <m/>
    <x v="5"/>
    <m/>
    <m/>
    <m/>
    <m/>
    <x v="3"/>
    <m/>
    <m/>
    <m/>
    <m/>
    <m/>
    <x v="1"/>
    <d v="1899-12-30T00:00:00"/>
    <d v="1899-12-30T00:00:00"/>
    <d v="1899-12-30T00:00:00"/>
    <d v="1899-12-30T00:00:00"/>
  </r>
  <r>
    <n v="250"/>
    <m/>
    <m/>
    <m/>
    <x v="5"/>
    <m/>
    <m/>
    <m/>
    <m/>
    <x v="3"/>
    <m/>
    <m/>
    <m/>
    <m/>
    <m/>
    <x v="1"/>
    <d v="1899-12-30T00:00:00"/>
    <d v="1899-12-30T00:00:00"/>
    <d v="1899-12-30T00:00:00"/>
    <d v="1899-12-30T00:00:00"/>
  </r>
  <r>
    <n v="251"/>
    <m/>
    <m/>
    <m/>
    <x v="5"/>
    <m/>
    <m/>
    <m/>
    <m/>
    <x v="3"/>
    <m/>
    <m/>
    <m/>
    <m/>
    <m/>
    <x v="1"/>
    <d v="1899-12-30T00:00:00"/>
    <d v="1899-12-30T00:00:00"/>
    <d v="1899-12-30T00:00:00"/>
    <d v="1899-12-30T00:00:00"/>
  </r>
  <r>
    <n v="252"/>
    <m/>
    <m/>
    <m/>
    <x v="5"/>
    <m/>
    <m/>
    <m/>
    <m/>
    <x v="3"/>
    <m/>
    <m/>
    <m/>
    <m/>
    <m/>
    <x v="1"/>
    <d v="1899-12-30T00:00:00"/>
    <d v="1899-12-30T00:00:00"/>
    <d v="1899-12-30T00:00:00"/>
    <d v="1899-12-30T00:00:00"/>
  </r>
  <r>
    <n v="253"/>
    <m/>
    <m/>
    <m/>
    <x v="5"/>
    <m/>
    <m/>
    <m/>
    <m/>
    <x v="3"/>
    <m/>
    <m/>
    <m/>
    <m/>
    <m/>
    <x v="1"/>
    <d v="1899-12-30T00:00:00"/>
    <d v="1899-12-30T00:00:00"/>
    <d v="1899-12-30T00:00:00"/>
    <d v="1899-12-30T00:00:00"/>
  </r>
  <r>
    <n v="254"/>
    <m/>
    <m/>
    <m/>
    <x v="5"/>
    <m/>
    <m/>
    <m/>
    <m/>
    <x v="3"/>
    <m/>
    <m/>
    <m/>
    <m/>
    <m/>
    <x v="1"/>
    <d v="1899-12-30T00:00:00"/>
    <d v="1899-12-30T00:00:00"/>
    <d v="1899-12-30T00:00:00"/>
    <d v="1899-12-30T00:00:00"/>
  </r>
  <r>
    <n v="255"/>
    <m/>
    <m/>
    <m/>
    <x v="5"/>
    <m/>
    <m/>
    <m/>
    <m/>
    <x v="3"/>
    <m/>
    <m/>
    <m/>
    <m/>
    <m/>
    <x v="1"/>
    <d v="1899-12-30T00:00:00"/>
    <d v="1899-12-30T00:00:00"/>
    <d v="1899-12-30T00:00:00"/>
    <d v="1899-12-30T00:00:00"/>
  </r>
  <r>
    <n v="256"/>
    <m/>
    <m/>
    <m/>
    <x v="5"/>
    <m/>
    <m/>
    <m/>
    <m/>
    <x v="3"/>
    <m/>
    <m/>
    <m/>
    <m/>
    <m/>
    <x v="1"/>
    <d v="1899-12-30T00:00:00"/>
    <d v="1899-12-30T00:00:00"/>
    <d v="1899-12-30T00:00:00"/>
    <d v="1899-12-30T00:00:00"/>
  </r>
  <r>
    <n v="257"/>
    <m/>
    <m/>
    <m/>
    <x v="5"/>
    <m/>
    <m/>
    <m/>
    <m/>
    <x v="3"/>
    <m/>
    <m/>
    <m/>
    <m/>
    <m/>
    <x v="1"/>
    <d v="1899-12-30T00:00:00"/>
    <d v="1899-12-30T00:00:00"/>
    <d v="1899-12-30T00:00:00"/>
    <d v="1899-12-30T00:00:00"/>
  </r>
  <r>
    <n v="258"/>
    <m/>
    <m/>
    <m/>
    <x v="5"/>
    <m/>
    <m/>
    <m/>
    <m/>
    <x v="3"/>
    <m/>
    <m/>
    <m/>
    <m/>
    <m/>
    <x v="1"/>
    <d v="1899-12-30T00:00:00"/>
    <d v="1899-12-30T00:00:00"/>
    <d v="1899-12-30T00:00:00"/>
    <d v="1899-12-30T00:00:00"/>
  </r>
  <r>
    <n v="259"/>
    <m/>
    <m/>
    <m/>
    <x v="5"/>
    <m/>
    <m/>
    <m/>
    <m/>
    <x v="3"/>
    <m/>
    <m/>
    <m/>
    <m/>
    <m/>
    <x v="1"/>
    <d v="1899-12-30T00:00:00"/>
    <d v="1899-12-30T00:00:00"/>
    <d v="1899-12-30T00:00:00"/>
    <d v="1899-12-30T00:00:00"/>
  </r>
  <r>
    <n v="260"/>
    <m/>
    <m/>
    <m/>
    <x v="5"/>
    <m/>
    <m/>
    <m/>
    <m/>
    <x v="3"/>
    <m/>
    <m/>
    <m/>
    <m/>
    <m/>
    <x v="1"/>
    <d v="1899-12-30T00:00:00"/>
    <d v="1899-12-30T00:00:00"/>
    <d v="1899-12-30T00:00:00"/>
    <d v="1899-12-30T00:00:00"/>
  </r>
  <r>
    <n v="261"/>
    <m/>
    <m/>
    <m/>
    <x v="5"/>
    <m/>
    <m/>
    <m/>
    <m/>
    <x v="3"/>
    <m/>
    <m/>
    <m/>
    <m/>
    <m/>
    <x v="1"/>
    <d v="1899-12-30T00:00:00"/>
    <d v="1899-12-30T00:00:00"/>
    <d v="1899-12-30T00:00:00"/>
    <d v="1899-12-30T00:00:00"/>
  </r>
  <r>
    <n v="262"/>
    <m/>
    <m/>
    <m/>
    <x v="5"/>
    <m/>
    <m/>
    <m/>
    <m/>
    <x v="3"/>
    <m/>
    <m/>
    <m/>
    <m/>
    <m/>
    <x v="1"/>
    <d v="1899-12-30T00:00:00"/>
    <d v="1899-12-30T00:00:00"/>
    <d v="1899-12-30T00:00:00"/>
    <d v="1899-12-30T00:00:00"/>
  </r>
  <r>
    <n v="263"/>
    <m/>
    <m/>
    <m/>
    <x v="5"/>
    <m/>
    <m/>
    <m/>
    <m/>
    <x v="3"/>
    <m/>
    <m/>
    <m/>
    <m/>
    <m/>
    <x v="1"/>
    <d v="1899-12-30T00:00:00"/>
    <d v="1899-12-30T00:00:00"/>
    <d v="1899-12-30T00:00:00"/>
    <d v="1899-12-30T00:00:00"/>
  </r>
  <r>
    <n v="264"/>
    <m/>
    <m/>
    <m/>
    <x v="5"/>
    <m/>
    <m/>
    <m/>
    <m/>
    <x v="3"/>
    <m/>
    <m/>
    <m/>
    <m/>
    <m/>
    <x v="1"/>
    <d v="1899-12-30T00:00:00"/>
    <d v="1899-12-30T00:00:00"/>
    <d v="1899-12-30T00:00:00"/>
    <d v="1899-12-30T00:00:00"/>
  </r>
  <r>
    <n v="265"/>
    <m/>
    <m/>
    <m/>
    <x v="5"/>
    <m/>
    <m/>
    <m/>
    <m/>
    <x v="3"/>
    <m/>
    <m/>
    <m/>
    <m/>
    <m/>
    <x v="1"/>
    <d v="1899-12-30T00:00:00"/>
    <d v="1899-12-30T00:00:00"/>
    <d v="1899-12-30T00:00:00"/>
    <d v="1899-12-30T00:00:00"/>
  </r>
  <r>
    <n v="266"/>
    <m/>
    <m/>
    <m/>
    <x v="5"/>
    <m/>
    <m/>
    <m/>
    <m/>
    <x v="3"/>
    <m/>
    <m/>
    <m/>
    <m/>
    <m/>
    <x v="1"/>
    <d v="1899-12-30T00:00:00"/>
    <d v="1899-12-30T00:00:00"/>
    <d v="1899-12-30T00:00:00"/>
    <d v="1899-12-30T00:00:00"/>
  </r>
  <r>
    <n v="267"/>
    <m/>
    <m/>
    <m/>
    <x v="5"/>
    <m/>
    <m/>
    <m/>
    <m/>
    <x v="3"/>
    <m/>
    <m/>
    <m/>
    <m/>
    <m/>
    <x v="1"/>
    <d v="1899-12-30T00:00:00"/>
    <d v="1899-12-30T00:00:00"/>
    <d v="1899-12-30T00:00:00"/>
    <d v="1899-12-30T00:00:00"/>
  </r>
  <r>
    <n v="268"/>
    <m/>
    <m/>
    <m/>
    <x v="5"/>
    <m/>
    <m/>
    <m/>
    <m/>
    <x v="3"/>
    <m/>
    <m/>
    <m/>
    <m/>
    <m/>
    <x v="1"/>
    <d v="1899-12-30T00:00:00"/>
    <d v="1899-12-30T00:00:00"/>
    <d v="1899-12-30T00:00:00"/>
    <d v="1899-12-30T00:00:00"/>
  </r>
  <r>
    <n v="269"/>
    <m/>
    <m/>
    <m/>
    <x v="5"/>
    <m/>
    <m/>
    <m/>
    <m/>
    <x v="3"/>
    <m/>
    <m/>
    <m/>
    <m/>
    <m/>
    <x v="1"/>
    <d v="1899-12-30T00:00:00"/>
    <d v="1899-12-30T00:00:00"/>
    <d v="1899-12-30T00:00:00"/>
    <d v="1899-12-30T00:00:00"/>
  </r>
  <r>
    <n v="270"/>
    <m/>
    <m/>
    <m/>
    <x v="5"/>
    <m/>
    <m/>
    <m/>
    <m/>
    <x v="3"/>
    <m/>
    <m/>
    <m/>
    <m/>
    <m/>
    <x v="1"/>
    <d v="1899-12-30T00:00:00"/>
    <d v="1899-12-30T00:00:00"/>
    <d v="1899-12-30T00:00:00"/>
    <d v="1899-12-30T00:00:00"/>
  </r>
  <r>
    <n v="271"/>
    <m/>
    <m/>
    <m/>
    <x v="5"/>
    <m/>
    <m/>
    <m/>
    <m/>
    <x v="3"/>
    <m/>
    <m/>
    <m/>
    <m/>
    <m/>
    <x v="1"/>
    <d v="1899-12-30T00:00:00"/>
    <d v="1899-12-30T00:00:00"/>
    <d v="1899-12-30T00:00:00"/>
    <d v="1899-12-30T00:00:00"/>
  </r>
  <r>
    <n v="272"/>
    <m/>
    <m/>
    <m/>
    <x v="5"/>
    <m/>
    <m/>
    <m/>
    <m/>
    <x v="3"/>
    <m/>
    <m/>
    <m/>
    <m/>
    <m/>
    <x v="1"/>
    <d v="1899-12-30T00:00:00"/>
    <d v="1899-12-30T00:00:00"/>
    <d v="1899-12-30T00:00:00"/>
    <d v="1899-12-30T00:00:00"/>
  </r>
  <r>
    <n v="273"/>
    <m/>
    <m/>
    <m/>
    <x v="5"/>
    <m/>
    <m/>
    <m/>
    <m/>
    <x v="3"/>
    <m/>
    <m/>
    <m/>
    <m/>
    <m/>
    <x v="1"/>
    <d v="1899-12-30T00:00:00"/>
    <d v="1899-12-30T00:00:00"/>
    <d v="1899-12-30T00:00:00"/>
    <d v="1899-12-30T00:00:00"/>
  </r>
  <r>
    <n v="274"/>
    <m/>
    <m/>
    <m/>
    <x v="5"/>
    <m/>
    <m/>
    <m/>
    <m/>
    <x v="3"/>
    <m/>
    <m/>
    <m/>
    <m/>
    <m/>
    <x v="1"/>
    <d v="1899-12-30T00:00:00"/>
    <d v="1899-12-30T00:00:00"/>
    <d v="1899-12-30T00:00:00"/>
    <d v="1899-12-30T00:00:00"/>
  </r>
  <r>
    <n v="275"/>
    <m/>
    <m/>
    <m/>
    <x v="5"/>
    <m/>
    <m/>
    <m/>
    <m/>
    <x v="3"/>
    <m/>
    <m/>
    <m/>
    <m/>
    <m/>
    <x v="1"/>
    <d v="1899-12-30T00:00:00"/>
    <d v="1899-12-30T00:00:00"/>
    <d v="1899-12-30T00:00:00"/>
    <d v="1899-12-30T00:00:00"/>
  </r>
  <r>
    <n v="276"/>
    <m/>
    <m/>
    <m/>
    <x v="5"/>
    <m/>
    <m/>
    <m/>
    <m/>
    <x v="3"/>
    <m/>
    <m/>
    <m/>
    <m/>
    <m/>
    <x v="1"/>
    <d v="1899-12-30T00:00:00"/>
    <d v="1899-12-30T00:00:00"/>
    <d v="1899-12-30T00:00:00"/>
    <d v="1899-12-30T00:00:00"/>
  </r>
  <r>
    <n v="277"/>
    <m/>
    <m/>
    <m/>
    <x v="5"/>
    <m/>
    <m/>
    <m/>
    <m/>
    <x v="3"/>
    <m/>
    <m/>
    <m/>
    <m/>
    <m/>
    <x v="1"/>
    <d v="1899-12-30T00:00:00"/>
    <d v="1899-12-30T00:00:00"/>
    <d v="1899-12-30T00:00:00"/>
    <d v="1899-12-30T00:00:00"/>
  </r>
  <r>
    <n v="278"/>
    <m/>
    <m/>
    <m/>
    <x v="5"/>
    <m/>
    <m/>
    <m/>
    <m/>
    <x v="3"/>
    <m/>
    <m/>
    <m/>
    <m/>
    <m/>
    <x v="1"/>
    <d v="1899-12-30T00:00:00"/>
    <d v="1899-12-30T00:00:00"/>
    <d v="1899-12-30T00:00:00"/>
    <d v="1899-12-30T00:00:00"/>
  </r>
  <r>
    <n v="279"/>
    <m/>
    <m/>
    <m/>
    <x v="5"/>
    <m/>
    <m/>
    <m/>
    <m/>
    <x v="3"/>
    <m/>
    <m/>
    <m/>
    <m/>
    <m/>
    <x v="1"/>
    <d v="1899-12-30T00:00:00"/>
    <d v="1899-12-30T00:00:00"/>
    <d v="1899-12-30T00:00:00"/>
    <d v="1899-12-30T00:00:00"/>
  </r>
  <r>
    <n v="280"/>
    <m/>
    <m/>
    <m/>
    <x v="5"/>
    <m/>
    <m/>
    <m/>
    <m/>
    <x v="3"/>
    <m/>
    <m/>
    <m/>
    <m/>
    <m/>
    <x v="1"/>
    <d v="1899-12-30T00:00:00"/>
    <d v="1899-12-30T00:00:00"/>
    <d v="1899-12-30T00:00:00"/>
    <d v="1899-12-30T00:00:00"/>
  </r>
  <r>
    <n v="281"/>
    <m/>
    <m/>
    <m/>
    <x v="5"/>
    <m/>
    <m/>
    <m/>
    <m/>
    <x v="3"/>
    <m/>
    <m/>
    <m/>
    <m/>
    <m/>
    <x v="1"/>
    <d v="1899-12-30T00:00:00"/>
    <d v="1899-12-30T00:00:00"/>
    <d v="1899-12-30T00:00:00"/>
    <d v="1899-12-30T00:00:00"/>
  </r>
  <r>
    <n v="282"/>
    <m/>
    <m/>
    <m/>
    <x v="5"/>
    <m/>
    <m/>
    <m/>
    <m/>
    <x v="3"/>
    <m/>
    <m/>
    <m/>
    <m/>
    <m/>
    <x v="1"/>
    <d v="1899-12-30T00:00:00"/>
    <d v="1899-12-30T00:00:00"/>
    <d v="1899-12-30T00:00:00"/>
    <d v="1899-12-30T00:00:00"/>
  </r>
  <r>
    <n v="283"/>
    <m/>
    <m/>
    <m/>
    <x v="5"/>
    <m/>
    <m/>
    <m/>
    <m/>
    <x v="3"/>
    <m/>
    <m/>
    <m/>
    <m/>
    <m/>
    <x v="1"/>
    <d v="1899-12-30T00:00:00"/>
    <d v="1899-12-30T00:00:00"/>
    <d v="1899-12-30T00:00:00"/>
    <d v="1899-12-30T00:00:00"/>
  </r>
  <r>
    <n v="284"/>
    <m/>
    <m/>
    <m/>
    <x v="5"/>
    <m/>
    <m/>
    <m/>
    <m/>
    <x v="3"/>
    <m/>
    <m/>
    <m/>
    <m/>
    <m/>
    <x v="1"/>
    <d v="1899-12-30T00:00:00"/>
    <d v="1899-12-30T00:00:00"/>
    <d v="1899-12-30T00:00:00"/>
    <d v="1899-12-30T00:00:00"/>
  </r>
  <r>
    <n v="285"/>
    <m/>
    <m/>
    <m/>
    <x v="5"/>
    <m/>
    <m/>
    <m/>
    <m/>
    <x v="3"/>
    <m/>
    <m/>
    <m/>
    <m/>
    <m/>
    <x v="1"/>
    <d v="1899-12-30T00:00:00"/>
    <d v="1899-12-30T00:00:00"/>
    <d v="1899-12-30T00:00:00"/>
    <d v="1899-12-30T00:00:00"/>
  </r>
  <r>
    <n v="286"/>
    <m/>
    <m/>
    <m/>
    <x v="5"/>
    <m/>
    <m/>
    <m/>
    <m/>
    <x v="3"/>
    <m/>
    <m/>
    <m/>
    <m/>
    <m/>
    <x v="1"/>
    <d v="1899-12-30T00:00:00"/>
    <d v="1899-12-30T00:00:00"/>
    <d v="1899-12-30T00:00:00"/>
    <d v="1899-12-30T00:00:00"/>
  </r>
  <r>
    <n v="287"/>
    <m/>
    <m/>
    <m/>
    <x v="5"/>
    <m/>
    <m/>
    <m/>
    <m/>
    <x v="3"/>
    <m/>
    <m/>
    <m/>
    <m/>
    <m/>
    <x v="1"/>
    <d v="1899-12-30T00:00:00"/>
    <d v="1899-12-30T00:00:00"/>
    <d v="1899-12-30T00:00:00"/>
    <d v="1899-12-30T00:00:00"/>
  </r>
  <r>
    <n v="288"/>
    <m/>
    <m/>
    <m/>
    <x v="5"/>
    <m/>
    <m/>
    <m/>
    <m/>
    <x v="3"/>
    <m/>
    <m/>
    <m/>
    <m/>
    <m/>
    <x v="1"/>
    <d v="1899-12-30T00:00:00"/>
    <d v="1899-12-30T00:00:00"/>
    <d v="1899-12-30T00:00:00"/>
    <d v="1899-12-30T00:00:00"/>
  </r>
  <r>
    <n v="289"/>
    <m/>
    <m/>
    <m/>
    <x v="5"/>
    <m/>
    <m/>
    <m/>
    <m/>
    <x v="3"/>
    <m/>
    <m/>
    <m/>
    <m/>
    <m/>
    <x v="1"/>
    <d v="1899-12-30T00:00:00"/>
    <d v="1899-12-30T00:00:00"/>
    <d v="1899-12-30T00:00:00"/>
    <d v="1899-12-30T00:00:00"/>
  </r>
  <r>
    <n v="290"/>
    <m/>
    <m/>
    <m/>
    <x v="5"/>
    <m/>
    <m/>
    <m/>
    <m/>
    <x v="3"/>
    <m/>
    <m/>
    <m/>
    <m/>
    <m/>
    <x v="1"/>
    <d v="1899-12-30T00:00:00"/>
    <d v="1899-12-30T00:00:00"/>
    <d v="1899-12-30T00:00:00"/>
    <d v="1899-12-30T00:00:00"/>
  </r>
  <r>
    <n v="291"/>
    <m/>
    <m/>
    <m/>
    <x v="5"/>
    <m/>
    <m/>
    <m/>
    <m/>
    <x v="3"/>
    <m/>
    <m/>
    <m/>
    <m/>
    <m/>
    <x v="1"/>
    <d v="1899-12-30T00:00:00"/>
    <d v="1899-12-30T00:00:00"/>
    <d v="1899-12-30T00:00:00"/>
    <d v="1899-12-30T00:00:00"/>
  </r>
  <r>
    <n v="292"/>
    <m/>
    <m/>
    <m/>
    <x v="5"/>
    <m/>
    <m/>
    <m/>
    <m/>
    <x v="3"/>
    <m/>
    <m/>
    <m/>
    <m/>
    <m/>
    <x v="1"/>
    <d v="1899-12-30T00:00:00"/>
    <d v="1899-12-30T00:00:00"/>
    <d v="1899-12-30T00:00:00"/>
    <d v="1899-12-30T00:00:00"/>
  </r>
  <r>
    <n v="293"/>
    <m/>
    <m/>
    <m/>
    <x v="5"/>
    <m/>
    <m/>
    <m/>
    <m/>
    <x v="3"/>
    <m/>
    <m/>
    <m/>
    <m/>
    <m/>
    <x v="1"/>
    <d v="1899-12-30T00:00:00"/>
    <d v="1899-12-30T00:00:00"/>
    <d v="1899-12-30T00:00:00"/>
    <d v="1899-12-30T00:00:00"/>
  </r>
  <r>
    <n v="294"/>
    <m/>
    <m/>
    <m/>
    <x v="5"/>
    <m/>
    <m/>
    <m/>
    <m/>
    <x v="3"/>
    <m/>
    <m/>
    <m/>
    <m/>
    <m/>
    <x v="1"/>
    <d v="1899-12-30T00:00:00"/>
    <d v="1899-12-30T00:00:00"/>
    <d v="1899-12-30T00:00:00"/>
    <d v="1899-12-30T00:00:00"/>
  </r>
  <r>
    <n v="295"/>
    <m/>
    <m/>
    <m/>
    <x v="5"/>
    <m/>
    <m/>
    <m/>
    <m/>
    <x v="3"/>
    <m/>
    <m/>
    <m/>
    <m/>
    <m/>
    <x v="1"/>
    <d v="1899-12-30T00:00:00"/>
    <d v="1899-12-30T00:00:00"/>
    <d v="1899-12-30T00:00:00"/>
    <d v="1899-12-30T00:00:00"/>
  </r>
  <r>
    <n v="296"/>
    <m/>
    <m/>
    <m/>
    <x v="5"/>
    <m/>
    <m/>
    <m/>
    <m/>
    <x v="3"/>
    <m/>
    <m/>
    <m/>
    <m/>
    <m/>
    <x v="1"/>
    <d v="1899-12-30T00:00:00"/>
    <d v="1899-12-30T00:00:00"/>
    <d v="1899-12-30T00:00:00"/>
    <d v="1899-12-30T00:00:00"/>
  </r>
  <r>
    <n v="297"/>
    <m/>
    <m/>
    <m/>
    <x v="5"/>
    <m/>
    <m/>
    <m/>
    <m/>
    <x v="3"/>
    <m/>
    <m/>
    <m/>
    <m/>
    <m/>
    <x v="1"/>
    <d v="1899-12-30T00:00:00"/>
    <d v="1899-12-30T00:00:00"/>
    <d v="1899-12-30T00:00:00"/>
    <d v="1899-12-30T00:00:00"/>
  </r>
  <r>
    <n v="298"/>
    <m/>
    <m/>
    <m/>
    <x v="5"/>
    <m/>
    <m/>
    <m/>
    <m/>
    <x v="3"/>
    <m/>
    <m/>
    <m/>
    <m/>
    <m/>
    <x v="1"/>
    <d v="1899-12-30T00:00:00"/>
    <d v="1899-12-30T00:00:00"/>
    <d v="1899-12-30T00:00:00"/>
    <d v="1899-12-30T00:00:00"/>
  </r>
  <r>
    <n v="299"/>
    <m/>
    <m/>
    <m/>
    <x v="5"/>
    <m/>
    <m/>
    <m/>
    <m/>
    <x v="3"/>
    <m/>
    <m/>
    <m/>
    <m/>
    <m/>
    <x v="1"/>
    <d v="1899-12-30T00:00:00"/>
    <d v="1899-12-30T00:00:00"/>
    <d v="1899-12-30T00:00:00"/>
    <d v="1899-12-30T00:00:00"/>
  </r>
  <r>
    <n v="300"/>
    <m/>
    <m/>
    <m/>
    <x v="5"/>
    <m/>
    <m/>
    <m/>
    <m/>
    <x v="3"/>
    <m/>
    <m/>
    <m/>
    <m/>
    <m/>
    <x v="1"/>
    <d v="1899-12-30T00:00:00"/>
    <d v="1899-12-30T00:00:00"/>
    <d v="1899-12-30T00:00:00"/>
    <d v="1899-12-30T00:00:00"/>
  </r>
  <r>
    <n v="301"/>
    <s v="J. PARDO"/>
    <d v="1899-12-30T17:05:00"/>
    <d v="2025-11-24T00:00:00"/>
    <x v="7"/>
    <s v="Puntual"/>
    <s v="Manila se sale."/>
    <d v="1899-12-30T17:05:00"/>
    <d v="1899-12-30T17:20:00"/>
    <x v="25"/>
    <s v="Mecánica"/>
    <s v="Se coloca pasador clic plastico de manila registro."/>
    <s v="NA"/>
    <s v="NA"/>
    <s v="L. CASTILLA"/>
    <x v="0"/>
    <d v="1899-12-30T00:15:00"/>
    <d v="2025-11-24T17:05:00"/>
    <d v="2025-11-24T17:20:00"/>
    <d v="1899-12-30T00:15:00"/>
  </r>
  <r>
    <n v="302"/>
    <s v="S. CARDENAL"/>
    <d v="1899-12-30T15:00:00"/>
    <d v="2025-11-24T00:00:00"/>
    <x v="0"/>
    <s v="Puntual"/>
    <s v="Correa dañada"/>
    <d v="1899-12-30T15:00:00"/>
    <d v="1899-12-30T16:00:00"/>
    <x v="25"/>
    <s v="Mecánica"/>
    <s v="Se realiza montaje de correa y calibración de freno motor inferior."/>
    <s v="NA"/>
    <s v="NA"/>
    <s v="L. CASTILLA"/>
    <x v="0"/>
    <d v="1899-12-30T01:00:00"/>
    <d v="2025-11-24T15:00:00"/>
    <d v="2025-11-24T16:00:00"/>
    <d v="1899-12-30T01:00:00"/>
  </r>
  <r>
    <n v="303"/>
    <s v="S. CARDENAL"/>
    <d v="1899-12-30T17:50:00"/>
    <d v="2025-11-24T00:00:00"/>
    <x v="0"/>
    <s v="Puntual"/>
    <s v="Máquina se para sola y aparece código 50."/>
    <d v="1899-12-30T18:00:00"/>
    <m/>
    <x v="25"/>
    <s v="Eléctrica"/>
    <s v="Se encuentra falla de variador por sobre carga, se revisa y se desajusta el freno de motor para dejar mas libre el motor, se resetea, se presenta temperaturas altas, se desmonta freno y se pone a girar en vacio para descartar rodamientos, se da ajuste a las correas, se revisan conexiones. (El motor transportador se acciona con botones que no deberia)."/>
    <s v="NA"/>
    <s v="NA"/>
    <m/>
    <x v="2"/>
    <n v="-0.75"/>
    <d v="2025-11-24T17:50:00"/>
    <d v="2025-11-24T00:00:00"/>
    <n v="-0.74305555555474712"/>
  </r>
  <r>
    <n v="304"/>
    <s v="R. MEJIA"/>
    <d v="1899-12-30T01:10:00"/>
    <d v="2025-11-25T00:00:00"/>
    <x v="7"/>
    <s v="Puntual"/>
    <s v="Rodamiento brazo bobinador se sale ya esta con desgaste considerable."/>
    <d v="1899-12-30T01:13:00"/>
    <d v="1899-12-30T01:40:00"/>
    <x v="25"/>
    <s v="Mecánica"/>
    <s v="Se instala buje de presión para ajustar en espacio para el rodamiento y se instala arandela con mayor diametro."/>
    <s v="Arandelas"/>
    <s v="NA"/>
    <s v="D. BAUTISTA"/>
    <x v="0"/>
    <d v="1899-12-30T00:27:00"/>
    <d v="2025-11-25T01:10:00"/>
    <d v="2025-11-24T01:40:00"/>
    <n v="-0.97916666666424135"/>
  </r>
  <r>
    <n v="305"/>
    <m/>
    <m/>
    <m/>
    <x v="5"/>
    <m/>
    <m/>
    <m/>
    <m/>
    <x v="3"/>
    <m/>
    <m/>
    <m/>
    <m/>
    <m/>
    <x v="1"/>
    <d v="1899-12-30T00:00:00"/>
    <d v="1899-12-30T00:00:00"/>
    <d v="1899-12-30T00:00:00"/>
    <d v="1899-12-30T00:00:00"/>
  </r>
  <r>
    <n v="306"/>
    <m/>
    <m/>
    <m/>
    <x v="5"/>
    <m/>
    <m/>
    <m/>
    <m/>
    <x v="3"/>
    <m/>
    <m/>
    <m/>
    <m/>
    <m/>
    <x v="1"/>
    <d v="1899-12-30T00:00:00"/>
    <d v="1899-12-30T00:00:00"/>
    <d v="1899-12-30T00:00:00"/>
    <d v="1899-12-30T00:00:00"/>
  </r>
  <r>
    <n v="307"/>
    <s v="J. PARDO"/>
    <d v="1899-12-30T07:00:00"/>
    <d v="2025-11-25T00:00:00"/>
    <x v="7"/>
    <s v="Puntual"/>
    <s v="Rodillo 58 torcido."/>
    <m/>
    <m/>
    <x v="3"/>
    <m/>
    <m/>
    <m/>
    <m/>
    <m/>
    <x v="2"/>
    <d v="1899-12-30T00:00:00"/>
    <d v="2025-11-25T07:00:00"/>
    <d v="1899-12-30T00:00:00"/>
    <n v="-45986.291666666664"/>
  </r>
  <r>
    <n v="308"/>
    <s v="L. MORALES"/>
    <d v="1899-12-30T07:00:00"/>
    <d v="2025-11-25T00:00:00"/>
    <x v="24"/>
    <s v="Puntual"/>
    <s v="Falla en la corta core, tornillo se desliza."/>
    <m/>
    <m/>
    <x v="3"/>
    <m/>
    <m/>
    <m/>
    <m/>
    <m/>
    <x v="2"/>
    <d v="1899-12-30T00:00:00"/>
    <d v="2025-11-25T07:00:00"/>
    <d v="1899-12-30T00:00:00"/>
    <n v="-45986.291666666664"/>
  </r>
  <r>
    <n v="309"/>
    <s v="Y. BERNAL"/>
    <d v="1899-12-30T12:30:00"/>
    <d v="2025-11-25T00:00:00"/>
    <x v="18"/>
    <s v="Repetitiva"/>
    <s v="Se presentan particulas que salen de la parte de debajo de la mezcladora externa. Se evidencia que el empaque esta dañado."/>
    <m/>
    <m/>
    <x v="3"/>
    <m/>
    <m/>
    <m/>
    <m/>
    <m/>
    <x v="2"/>
    <d v="1899-12-30T00:00:00"/>
    <d v="2025-11-25T12:30:00"/>
    <d v="1899-12-30T00:00:00"/>
    <n v="-45986.520833333336"/>
  </r>
  <r>
    <n v="310"/>
    <s v="C. BARAJAS"/>
    <d v="1899-12-30T13:30:00"/>
    <d v="2025-11-25T00:00:00"/>
    <x v="2"/>
    <s v="Puntual"/>
    <s v="Variación en temperatura."/>
    <d v="1899-12-30T13:30:00"/>
    <d v="1899-12-30T14:00:00"/>
    <x v="23"/>
    <s v="Eléctrica"/>
    <s v="Se ajusta termocupla, se entrega máquina trabajando."/>
    <s v="NA"/>
    <s v="NA"/>
    <s v="L. FLOREZ"/>
    <x v="0"/>
    <d v="1899-12-30T00:30:00"/>
    <d v="2025-11-25T13:30:00"/>
    <d v="2025-11-25T14:00:00"/>
    <d v="1899-12-30T00:30:00"/>
  </r>
  <r>
    <n v="311"/>
    <m/>
    <m/>
    <m/>
    <x v="5"/>
    <m/>
    <m/>
    <m/>
    <m/>
    <x v="3"/>
    <m/>
    <m/>
    <m/>
    <m/>
    <m/>
    <x v="1"/>
    <d v="1899-12-30T00:00:00"/>
    <d v="1899-12-30T00:00:00"/>
    <d v="1899-12-30T00:00:00"/>
    <d v="1899-12-30T00:00:00"/>
  </r>
  <r>
    <n v="312"/>
    <s v="K. RAMOS"/>
    <d v="1899-12-30T20:20:00"/>
    <d v="2025-11-25T00:00:00"/>
    <x v="6"/>
    <s v="Puntual"/>
    <s v="Se quema contactor que abre el tablero."/>
    <d v="1899-12-30T20:20:00"/>
    <d v="1899-12-30T21:40:00"/>
    <x v="23"/>
    <s v="Eléctrica"/>
    <s v="Se realiza inspección por salto de guardamotor, se realiza inspección de cableado, el cual esta en buen estado, se revisa conexión motor y se encuentra cable partido de conexión a bobina, se mide resistencia de bobinas y se observa desbalanceo, se abre paleta del tablero, se deja de forma manuel y se entrega para arranque."/>
    <s v="NA"/>
    <s v="NA"/>
    <s v="D. BAUTISTA"/>
    <x v="0"/>
    <d v="1899-12-30T01:20:00"/>
    <d v="2025-11-25T20:20:00"/>
    <d v="2025-11-25T21:40:00"/>
    <d v="1899-12-30T01:20:00"/>
  </r>
  <r>
    <n v="313"/>
    <m/>
    <m/>
    <m/>
    <x v="5"/>
    <m/>
    <m/>
    <m/>
    <m/>
    <x v="3"/>
    <m/>
    <m/>
    <m/>
    <m/>
    <m/>
    <x v="1"/>
    <d v="1899-12-30T00:00:00"/>
    <d v="1899-12-30T00:00:00"/>
    <d v="1899-12-30T00:00:00"/>
    <d v="1899-12-30T00:00:00"/>
  </r>
  <r>
    <n v="314"/>
    <s v="D. ZAMORA"/>
    <d v="1899-12-30T06:00:00"/>
    <d v="2025-11-26T00:00:00"/>
    <x v="10"/>
    <s v="Repetitiva"/>
    <s v="Cambio de posicionamiento para las castañas"/>
    <d v="1899-12-30T06:10:00"/>
    <d v="1899-12-30T06:30:00"/>
    <x v="32"/>
    <s v="Mecánica "/>
    <s v="Se realiza cambio de rodillos y organización, castañas superior e inferior."/>
    <s v="NA"/>
    <s v="NA"/>
    <s v="L. CASTILLA"/>
    <x v="0"/>
    <d v="1899-12-30T00:20:00"/>
    <d v="2025-11-26T06:00:00"/>
    <d v="2025-11-26T06:30:00"/>
    <d v="1899-12-30T00:30:00"/>
  </r>
  <r>
    <n v="315"/>
    <s v="J. PARDO"/>
    <d v="1899-12-30T07:00:00"/>
    <d v="2025-11-26T00:00:00"/>
    <x v="7"/>
    <s v="Puntual"/>
    <s v="Daño en rodamientos embobinador."/>
    <d v="1899-12-30T07:10:00"/>
    <d v="1899-12-30T07:30:00"/>
    <x v="32"/>
    <s v="Mecánica"/>
    <s v="Se realiza ajuste seguidor leva y cambio de tornillos."/>
    <s v="2 Tornillos M6 X 20mm."/>
    <s v="NA"/>
    <s v="L. CASTILLA"/>
    <x v="0"/>
    <d v="1899-12-30T00:20:00"/>
    <d v="2025-11-26T07:00:00"/>
    <d v="2025-11-26T07:30:00"/>
    <d v="1899-12-30T00:30:00"/>
  </r>
  <r>
    <n v="316"/>
    <m/>
    <m/>
    <m/>
    <x v="5"/>
    <m/>
    <m/>
    <m/>
    <m/>
    <x v="3"/>
    <m/>
    <m/>
    <m/>
    <m/>
    <m/>
    <x v="1"/>
    <d v="1899-12-30T00:00:00"/>
    <d v="1899-12-30T00:00:00"/>
    <d v="1899-12-30T00:00:00"/>
    <d v="1899-12-30T00:00:00"/>
  </r>
  <r>
    <n v="317"/>
    <s v="D. CUESTA"/>
    <d v="1899-12-30T08:35:00"/>
    <d v="2025-11-26T00:00:00"/>
    <x v="1"/>
    <s v="Puntual"/>
    <s v="Se frena rodillo del embobinador y se enreda el material en el rodillo halador."/>
    <d v="1899-12-30T08:40:00"/>
    <d v="1899-12-30T09:30:00"/>
    <x v="32"/>
    <s v="Eléctrica"/>
    <s v="Motor se apaga por sobrecarga, se establece a un voltaje 180V y trabaja con normalidad."/>
    <s v="NA"/>
    <s v="NA"/>
    <s v="L. CASTILLA"/>
    <x v="0"/>
    <d v="1899-12-30T00:50:00"/>
    <d v="2025-11-26T08:35:00"/>
    <d v="2025-11-26T09:30:00"/>
    <d v="1899-12-30T00:55:00"/>
  </r>
  <r>
    <n v="318"/>
    <s v="C. CASTRO"/>
    <d v="1899-12-30T18:30:00"/>
    <d v="2025-11-26T00:00:00"/>
    <x v="10"/>
    <s v="Puntual"/>
    <s v="Motor refrigerante del freno bloqueado freno recalentado."/>
    <m/>
    <m/>
    <x v="3"/>
    <m/>
    <m/>
    <m/>
    <m/>
    <m/>
    <x v="2"/>
    <d v="1899-12-30T00:00:00"/>
    <d v="2025-11-26T18:30:00"/>
    <d v="1899-12-30T00:00:00"/>
    <n v="-45987.770833333336"/>
  </r>
  <r>
    <n v="319"/>
    <s v="L. GARZON"/>
    <d v="1899-12-30T05:00:00"/>
    <d v="2025-11-27T00:00:00"/>
    <x v="16"/>
    <s v="Puntual"/>
    <s v="Daño en conexión eléctrica de la cuchilla."/>
    <d v="1899-12-30T05:00:00"/>
    <d v="1899-12-30T05:20:00"/>
    <x v="33"/>
    <s v="Eléctrica"/>
    <s v="Empalmar cables de alimentación de cuchilla."/>
    <s v="Cinta aislante y alta temperatura"/>
    <s v="NA"/>
    <s v="O. DUARTE"/>
    <x v="0"/>
    <d v="1899-12-30T00:20:00"/>
    <d v="2025-11-27T05:00:00"/>
    <d v="2025-11-27T05:20:00"/>
    <d v="1899-12-30T00:20:00"/>
  </r>
  <r>
    <n v="320"/>
    <s v="L. GARZON"/>
    <d v="1899-12-30T22:00:00"/>
    <d v="2025-11-27T00:00:00"/>
    <x v="4"/>
    <s v="Puntual"/>
    <s v="Rodillo se mueve con el transportador ya que estas quedan pegadas."/>
    <d v="1899-12-30T22:00:00"/>
    <d v="1899-12-30T23:00:00"/>
    <x v="33"/>
    <s v="Mecánica"/>
    <s v="Se da ajuste a distancia de rodillos y tornilleria quedando operativo."/>
    <s v="NA"/>
    <s v="NA"/>
    <s v="O. DUARTE"/>
    <x v="0"/>
    <d v="1899-12-30T01:00:00"/>
    <d v="2025-11-27T22:00:00"/>
    <d v="2025-11-27T23:00:00"/>
    <d v="1899-12-30T01:00:00"/>
  </r>
  <r>
    <n v="321"/>
    <s v="L. GARZON"/>
    <d v="1899-12-30T22:00:00"/>
    <d v="2025-11-27T00:00:00"/>
    <x v="12"/>
    <s v="Puntual"/>
    <s v="Daño en el rodamiento de las correas del motor del transportador."/>
    <d v="1899-12-30T22:00:00"/>
    <d v="1899-12-30T23:00:00"/>
    <x v="33"/>
    <s v="Mecánica"/>
    <s v="Se encuentra transportador sin movimiento, se realiza inspección y se encuentra rodamiento de polea dañado, se desmonta y se realiza cambio. El eje presenta desgaste, se realiza plano para montaje de RQ."/>
    <s v="2 Rodamientos 6003"/>
    <s v="NA"/>
    <s v="D. BAUTISTA"/>
    <x v="0"/>
    <d v="1899-12-30T01:00:00"/>
    <d v="2025-11-27T22:00:00"/>
    <d v="2025-11-27T23:00:00"/>
    <d v="1899-12-30T01:00:00"/>
  </r>
  <r>
    <n v="322"/>
    <s v="C. CASTRO"/>
    <d v="1899-12-30T03:40:00"/>
    <d v="2025-11-28T00:00:00"/>
    <x v="10"/>
    <s v="Repetitiva"/>
    <s v="Cambio de castañas para trabajo de papel."/>
    <d v="1899-12-30T04:00:00"/>
    <d v="1899-12-30T04:30:00"/>
    <x v="34"/>
    <s v="Mecánica"/>
    <s v="Se modifican posiciones de castañas para trabajar papel por petición de producción."/>
    <s v="NA"/>
    <s v="NA"/>
    <s v="O. DUARTE"/>
    <x v="0"/>
    <d v="1899-12-30T00:30:00"/>
    <d v="2025-11-28T03:40:00"/>
    <d v="2025-11-28T04:30:00"/>
    <d v="1899-12-30T00:50:00"/>
  </r>
  <r>
    <n v="323"/>
    <s v="A. CESPEDES"/>
    <d v="1899-12-30T06:40:00"/>
    <d v="2025-11-28T00:00:00"/>
    <x v="13"/>
    <s v="Puntual"/>
    <s v="Cambio de teflon"/>
    <d v="1899-12-30T06:40:00"/>
    <d v="1899-12-30T07:20:00"/>
    <x v="34"/>
    <s v="Mecánica"/>
    <s v="Cambio de teflon"/>
    <s v="NA"/>
    <s v="NA"/>
    <s v="L. CASTILLA"/>
    <x v="0"/>
    <d v="1899-12-30T00:40:00"/>
    <d v="2025-11-28T06:40:00"/>
    <d v="2025-11-28T07:20:00"/>
    <d v="1899-12-30T00:40:00"/>
  </r>
  <r>
    <n v="324"/>
    <s v="D. ZAMORA"/>
    <d v="1899-12-30T08:40:00"/>
    <d v="2025-11-22T00:00:00"/>
    <x v="10"/>
    <s v="Repetitiva"/>
    <s v="Cambio de castañas y de pisadores."/>
    <d v="1899-12-30T08:40:00"/>
    <d v="1899-12-30T09:00:00"/>
    <x v="35"/>
    <s v="Mecánica"/>
    <s v="Calibración y organización de castañas."/>
    <s v="NA"/>
    <s v="NA"/>
    <s v="L. CASTILLA"/>
    <x v="0"/>
    <d v="1899-12-30T00:20:00"/>
    <d v="2025-11-22T08:40:00"/>
    <d v="2025-11-22T09:00:00"/>
    <d v="1899-12-30T00:20:00"/>
  </r>
  <r>
    <n v="325"/>
    <s v="D. ZAMORA"/>
    <d v="1899-12-30T14:10:00"/>
    <d v="2025-11-28T00:00:00"/>
    <x v="10"/>
    <s v="Repetitiva"/>
    <s v="Se pincha la manguera del rebobinador superior."/>
    <d v="1899-12-30T14:10:00"/>
    <d v="1899-12-30T15:00:00"/>
    <x v="34"/>
    <s v="Neumática"/>
    <s v="Manguera dañada se cambia a una nueva, se coloca recubrimiento de manguera."/>
    <s v="Manguera expansiva."/>
    <s v="NA"/>
    <s v="C. ORTEGA"/>
    <x v="0"/>
    <d v="1899-12-30T00:50:00"/>
    <d v="2025-11-28T14:10:00"/>
    <d v="2025-11-28T15:00:00"/>
    <d v="1899-12-30T00:50:00"/>
  </r>
  <r>
    <n v="326"/>
    <s v="M. MARTINEZ"/>
    <d v="1899-12-30T17:15:00"/>
    <d v="2025-11-28T00:00:00"/>
    <x v="4"/>
    <s v="Puntual"/>
    <s v="La prensa no cierra."/>
    <d v="1899-12-30T17:15:00"/>
    <d v="1899-12-30T18:00:00"/>
    <x v="34"/>
    <s v="Mecánica"/>
    <s v="La prensa se encuentra desalineada, se desmonta seguros y mordazas, se alinea y se da ajuste a pensa."/>
    <s v="NA"/>
    <s v="NA"/>
    <s v="D. BAUTISTA"/>
    <x v="0"/>
    <d v="1899-12-30T00:45:00"/>
    <d v="2025-11-28T17:15:00"/>
    <d v="2025-11-28T18:00:00"/>
    <d v="1899-12-30T00:45:00"/>
  </r>
  <r>
    <n v="327"/>
    <s v="J. PARDO"/>
    <d v="1899-12-30T19:10:00"/>
    <d v="2025-11-28T00:00:00"/>
    <x v="7"/>
    <s v="Puntual"/>
    <s v="Rodamiento caido."/>
    <d v="1899-12-30T19:10:00"/>
    <d v="1899-12-30T19:30:00"/>
    <x v="34"/>
    <s v="Mecánica"/>
    <s v="Se cambia rodamiento y buje en el soporte de bobinador ya que se encuentra dañado."/>
    <s v="1 Rodamiento 3202"/>
    <s v="NA"/>
    <s v="D. BAUTISTA"/>
    <x v="0"/>
    <d v="1899-12-30T00:20:00"/>
    <d v="2025-11-28T19:10:00"/>
    <d v="2025-11-28T19:30:00"/>
    <d v="1899-12-30T00:20:00"/>
  </r>
  <r>
    <n v="328"/>
    <s v="M. MARTINEZ"/>
    <d v="1899-12-30T18:25:00"/>
    <d v="2025-11-28T00:00:00"/>
    <x v="2"/>
    <s v="Puntual"/>
    <s v="Falla en la fotocelda, no toma lectura."/>
    <d v="1899-12-30T18:25:00"/>
    <d v="1899-12-30T18:40:00"/>
    <x v="34"/>
    <s v="Eléctrica"/>
    <s v="Se ajusta posición de fotocelda y se realizan pruebas en funcionamiento."/>
    <s v="NA"/>
    <s v="NA"/>
    <s v="D. BAUTISTA"/>
    <x v="0"/>
    <d v="1899-12-30T00:15:00"/>
    <d v="2025-11-28T18:25:00"/>
    <d v="2025-11-28T18:40:00"/>
    <d v="1899-12-30T00:15:00"/>
  </r>
  <r>
    <n v="329"/>
    <s v="D. ARIETA"/>
    <d v="1899-12-30T17:45:00"/>
    <d v="2025-11-29T00:00:00"/>
    <x v="7"/>
    <s v="Puntual"/>
    <s v="Falla bomba neumatica"/>
    <d v="1899-12-30T18:00:00"/>
    <d v="1899-12-30T18:20:00"/>
    <x v="36"/>
    <s v="Mecánica"/>
    <s v="Se realiza inspección de bomba neumatica ya que no genera succión ni subida de tinta, se realiza desmonte y los acoples se encuentran obstruidos por material, se ensambla y se prueba."/>
    <s v="NA"/>
    <s v="NA"/>
    <s v="D. BAUTISTA"/>
    <x v="0"/>
    <d v="1899-12-30T00:20:00"/>
    <d v="2025-11-29T17:45:00"/>
    <d v="2025-11-29T18:20:00"/>
    <d v="1899-12-30T00:35:00"/>
  </r>
  <r>
    <n v="330"/>
    <s v="D. CUESTA"/>
    <d v="1899-12-30T19:00:00"/>
    <d v="2025-11-29T00:00:00"/>
    <x v="6"/>
    <s v="Puntual"/>
    <s v="Revisar rotación presentando falla"/>
    <d v="1899-12-30T19:00:00"/>
    <d v="1899-12-30T22:00:00"/>
    <x v="36"/>
    <s v="Mecánica"/>
    <s v="Se encuentra falla en rotación, se realiza inspección y se encuentra que la rotación se frena, se evidencia un rodamiento frenado en la rotación y se cambia."/>
    <s v="1 Rodamiento MCFR 52AS"/>
    <s v="NA"/>
    <s v="D. BAUTISTA"/>
    <x v="0"/>
    <d v="1899-12-30T03:00:00"/>
    <d v="2025-11-29T19:00:00"/>
    <d v="2025-11-29T22:00:00"/>
    <d v="1899-12-30T03:00:00"/>
  </r>
  <r>
    <n v="331"/>
    <s v="D. CUESTA"/>
    <d v="1899-12-30T04:50:00"/>
    <d v="2025-11-30T00:00:00"/>
    <x v="6"/>
    <s v="Puntual"/>
    <s v="Revisar barra se le sale el aire."/>
    <d v="1899-12-30T04:50:00"/>
    <d v="1899-12-30T05:10:00"/>
    <x v="37"/>
    <s v="Neumática"/>
    <s v="Se encuentra fuga por valvula, se realiza limpieza a esta, se monto nuevamente y se realizan pruebas."/>
    <s v="NA"/>
    <s v="NA"/>
    <s v="D. BAUTISTA"/>
    <x v="0"/>
    <d v="1899-12-30T00:20:00"/>
    <d v="2025-11-30T04:50:00"/>
    <d v="2025-11-30T05:10:00"/>
    <d v="1899-12-30T00:20:00"/>
  </r>
  <r>
    <n v="332"/>
    <s v="A. CESPEDES"/>
    <d v="1899-12-30T12:20:00"/>
    <d v="2025-11-30T00:00:00"/>
    <x v="12"/>
    <s v="Puntual"/>
    <s v="El material no avanza."/>
    <m/>
    <m/>
    <x v="3"/>
    <m/>
    <m/>
    <m/>
    <m/>
    <m/>
    <x v="2"/>
    <d v="1899-12-30T00:00:00"/>
    <d v="2025-11-30T12:20:00"/>
    <d v="1899-12-30T00:00:00"/>
    <n v="-45991.513888888891"/>
  </r>
  <r>
    <n v="333"/>
    <s v="DANIELA"/>
    <d v="1899-12-30T09:10:00"/>
    <d v="2025-11-30T00:00:00"/>
    <x v="7"/>
    <s v="Puntual"/>
    <s v="Brazo de desembobinador."/>
    <d v="1899-12-30T09:10:00"/>
    <d v="1899-12-30T10:15:00"/>
    <x v="37"/>
    <s v="Mecánica"/>
    <s v="Base brazo desembobinador inferior partido, se fabriica soporte y se traslada el superior al inferior, se ajustan tornillos de base brazo posterior que tambien se desajustaron."/>
    <s v="NA"/>
    <s v="NA"/>
    <s v="L. CASTILLA"/>
    <x v="0"/>
    <d v="1899-12-30T01:05:00"/>
    <d v="2025-11-30T09:10:00"/>
    <d v="2025-11-30T10:15:00"/>
    <d v="1899-12-30T01:05:00"/>
  </r>
  <r>
    <n v="334"/>
    <s v="F. SANCHEZ"/>
    <d v="1899-12-30T18:50:00"/>
    <d v="2025-11-30T00:00:00"/>
    <x v="6"/>
    <s v="Puntual"/>
    <s v="Problemas para cerrar las paletas, no funcionaba para poder cerrar y abrir."/>
    <d v="1899-12-30T19:00:00"/>
    <d v="1899-12-30T21:30:00"/>
    <x v="37"/>
    <s v="Eléctrica"/>
    <s v="Se realiza inspección de sistema de paletas inferiores, los cuales no abren ni cierran, se realizan pruebas, se evidencia cable de alimentación abierto, se realiza intercambio, se ajusta posición de las paletas y se realizan pruebas de funcionamiento."/>
    <s v="NA"/>
    <s v="NA"/>
    <s v="D. BAUTISTA"/>
    <x v="0"/>
    <d v="1899-12-30T02:30:00"/>
    <d v="2025-11-30T18:50:00"/>
    <d v="2025-11-30T21:30:00"/>
    <d v="1899-12-30T02:40:00"/>
  </r>
  <r>
    <n v="335"/>
    <s v="F. SANCHEZ"/>
    <d v="1899-12-30T18:50:00"/>
    <d v="2025-11-30T00:00:00"/>
    <x v="6"/>
    <s v="Puntual"/>
    <s v="El motor de la paleta lado derecho esta que se cae, tiene las bases paridas."/>
    <m/>
    <m/>
    <x v="3"/>
    <m/>
    <m/>
    <m/>
    <m/>
    <m/>
    <x v="2"/>
    <d v="1899-12-30T00:00:00"/>
    <d v="2025-11-30T18:50:00"/>
    <d v="1899-12-30T00:00:00"/>
    <n v="-45991.784722222219"/>
  </r>
  <r>
    <n v="336"/>
    <s v="F. SANCHEZ"/>
    <d v="1899-12-30T20:20:00"/>
    <d v="2025-11-30T00:00:00"/>
    <x v="6"/>
    <s v="Puntual"/>
    <s v="Tubo de la antiestatica se salio en el material al cambio de bobina del embobinador, ese tubo estaba en condiciones malas, no estaba funcionando, la estatica lleva tiempo sin funcionar."/>
    <d v="1899-12-30T20:30:00"/>
    <d v="1899-12-30T20:00:00"/>
    <x v="37"/>
    <s v="Mecánica"/>
    <s v="Se apoya a retirar de la antiestatica atascada en la pelicula de bobinador A, se desconecta y se dejo en el taller. Se monta RQ para la reparación."/>
    <s v="NA"/>
    <s v="NA"/>
    <s v="D. BAUTISTA"/>
    <x v="0"/>
    <n v="-2.0833333333333259E-2"/>
    <d v="2025-11-30T20:20:00"/>
    <d v="2025-11-30T20:00:00"/>
    <n v="-1.3888888883229811E-2"/>
  </r>
  <r>
    <n v="337"/>
    <s v="J. MIRANDA"/>
    <d v="1899-12-30T07:40:00"/>
    <d v="2025-12-01T00:00:00"/>
    <x v="15"/>
    <s v="NA"/>
    <s v="Falla en la temperatura del barril, no estabiliza."/>
    <d v="1899-12-30T07:40:00"/>
    <d v="1899-12-30T08:15:00"/>
    <x v="38"/>
    <s v="Eléctrica"/>
    <s v="Se observa contactor pegado, se hace cambio, se revisa resistencia, se hace seguimiento."/>
    <s v="1 Contactor 32 A"/>
    <s v="NA"/>
    <s v="O. DUARTE"/>
    <x v="0"/>
    <d v="1899-12-30T00:35:00"/>
    <d v="2025-12-01T07:40:00"/>
    <d v="2025-12-01T08:15:00"/>
    <d v="1899-12-30T00:35:00"/>
  </r>
  <r>
    <n v="338"/>
    <s v="L. GARZON"/>
    <d v="1899-12-30T08:25:00"/>
    <d v="2025-12-01T00:00:00"/>
    <x v="4"/>
    <s v="Puntual"/>
    <s v="Máquina se para y se apaga el tablero."/>
    <d v="1899-12-30T08:25:00"/>
    <d v="1899-12-30T08:40:00"/>
    <x v="38"/>
    <s v="Eléctrica"/>
    <s v="Se ajusta conexión servoFriF, Se enciende y entrega trabajando."/>
    <s v="NA"/>
    <s v="NA"/>
    <s v="L. FLOREZ"/>
    <x v="0"/>
    <d v="1899-12-30T00:15:00"/>
    <d v="2025-12-01T08:25:00"/>
    <d v="2025-12-01T08:40:00"/>
    <d v="1899-12-30T00:15:00"/>
  </r>
  <r>
    <n v="339"/>
    <s v="J. MIRANDA"/>
    <d v="1899-12-30T06:00:00"/>
    <d v="2025-02-02T00:00:00"/>
    <x v="3"/>
    <s v="Puntual"/>
    <s v="Prensa del embobinador se esta frenando"/>
    <m/>
    <m/>
    <x v="3"/>
    <m/>
    <m/>
    <m/>
    <m/>
    <m/>
    <x v="2"/>
    <d v="1899-12-30T00:00:00"/>
    <d v="2025-02-02T06:00:00"/>
    <d v="1899-12-30T00:00:00"/>
    <n v="-45690.25"/>
  </r>
  <r>
    <n v="340"/>
    <s v="L. ANTONIO"/>
    <d v="1899-12-30T10:30:00"/>
    <d v="2025-12-01T00:00:00"/>
    <x v="6"/>
    <s v="Puntual"/>
    <s v="Se para rotación continuamente."/>
    <m/>
    <m/>
    <x v="3"/>
    <m/>
    <m/>
    <m/>
    <m/>
    <m/>
    <x v="2"/>
    <d v="1899-12-30T00:00:00"/>
    <d v="2025-12-01T10:30:00"/>
    <d v="1899-12-30T00:00:00"/>
    <n v="-45992.4375"/>
  </r>
  <r>
    <n v="341"/>
    <s v="D. ARIETA"/>
    <d v="1899-12-30T10:30:00"/>
    <d v="2025-12-01T00:00:00"/>
    <x v="7"/>
    <s v="Puntual"/>
    <s v="Control de mando (botones), esta para cambio."/>
    <m/>
    <m/>
    <x v="3"/>
    <s v="Eléctrica"/>
    <s v="Se observa botonera no optura se destapa se encuentran componentes rotos, se solicita cambio total pendiente"/>
    <m/>
    <m/>
    <m/>
    <x v="2"/>
    <d v="1899-12-30T00:00:00"/>
    <d v="2025-12-01T10:30:00"/>
    <d v="1899-12-30T00:00:00"/>
    <n v="-45992.4375"/>
  </r>
  <r>
    <n v="342"/>
    <s v="D. CUESTA"/>
    <d v="1899-12-30T11:15:00"/>
    <d v="2025-12-01T00:00:00"/>
    <x v="7"/>
    <s v="Puntual"/>
    <s v="El pisador del embobinador."/>
    <d v="1899-12-30T11:25:00"/>
    <d v="1899-12-30T12:20:00"/>
    <x v="38"/>
    <s v="Mecánica"/>
    <s v="Se observa tornillos rotos del pisador, se perforan y se extraen para el cambio, se repasa rosca."/>
    <s v="2 Tornillos M8 X 30 mm"/>
    <s v="NA"/>
    <s v="O. DUARTE"/>
    <x v="0"/>
    <d v="1899-12-30T00:55:00"/>
    <d v="2025-12-01T11:15:00"/>
    <d v="2025-12-01T12:20:00"/>
    <d v="1899-12-30T01:05:00"/>
  </r>
  <r>
    <n v="343"/>
    <s v="D. CUESTA"/>
    <d v="1899-12-30T01:40:00"/>
    <d v="2025-12-02T00:00:00"/>
    <x v="1"/>
    <s v="Puntual"/>
    <s v="Revisar temperatura de la rotación."/>
    <d v="1899-12-30T01:40:00"/>
    <d v="1899-12-30T08:00:00"/>
    <x v="39"/>
    <s v="Eléctrica"/>
    <s v="Se verifica conexión de termocuplas elevadas, se verifica que no este desconectada."/>
    <s v="NA"/>
    <s v="NA"/>
    <s v="C. ORTEGA"/>
    <x v="0"/>
    <d v="1899-12-30T06:20:00"/>
    <d v="2025-12-02T01:40:00"/>
    <d v="2025-12-02T08:00:00"/>
    <d v="1899-12-30T06:20:00"/>
  </r>
  <r>
    <n v="344"/>
    <s v="M. MARTINEZ"/>
    <d v="1899-12-30T00:01:00"/>
    <d v="2025-12-02T00:00:00"/>
    <x v="4"/>
    <s v="Puntual"/>
    <s v="Termocupla y temperatura."/>
    <d v="1899-12-30T00:01:00"/>
    <d v="1899-12-30T02:00:00"/>
    <x v="39"/>
    <s v="Eléctrica"/>
    <s v="Se verifican los 220V de salida en la termocupla inferior de 14A en el controlador marca 29°C y en la termocupla no se refleja ese valor."/>
    <s v="1 TERMOCUPLA"/>
    <s v="NA"/>
    <s v="C. ORTEGA"/>
    <x v="0"/>
    <d v="1899-12-30T01:59:00"/>
    <d v="2025-12-02T00:01:00"/>
    <d v="2025-12-02T02:00:00"/>
    <d v="1899-12-30T01:59:00"/>
  </r>
  <r>
    <n v="345"/>
    <s v="M. MARTINEZ"/>
    <d v="1899-12-30T03:00:00"/>
    <d v="2025-12-02T00:00:00"/>
    <x v="4"/>
    <s v="Repetitiva"/>
    <s v="Correas sueltas."/>
    <d v="1899-12-30T03:00:00"/>
    <d v="1899-12-30T04:00:00"/>
    <x v="39"/>
    <s v="Mecánica"/>
    <s v="Rodillo con poca tensión se coloca arandela, guaza para ajustar."/>
    <s v="1 ARANDELA, 1 GUAZA, 1 TORNILLO M6 X 40"/>
    <s v="NA"/>
    <s v="C. ORTEGA"/>
    <x v="0"/>
    <d v="1899-12-30T01:00:00"/>
    <d v="2025-12-02T03:00:00"/>
    <d v="2025-12-02T04:00:00"/>
    <d v="1899-12-30T01:00:00"/>
  </r>
  <r>
    <n v="346"/>
    <s v="O. VALENCIA"/>
    <d v="1899-12-30T10:16:00"/>
    <d v="2025-12-02T00:00:00"/>
    <x v="11"/>
    <s v="Puntual"/>
    <s v="Daño en base del motoro secadora, Daño en caja del motor ajitador."/>
    <d v="1899-12-30T10:16:00"/>
    <d v="1899-12-30T11:22:00"/>
    <x v="39"/>
    <s v="Mecánica"/>
    <s v="Se rectifican roscas e instalan tornillos nuevos, se entrga el equipo bien."/>
    <s v="NA"/>
    <s v="NA"/>
    <s v="L. FLOREZ"/>
    <x v="0"/>
    <d v="1899-12-30T01:06:00"/>
    <d v="2025-12-02T10:16:00"/>
    <d v="2025-12-02T11:22:00"/>
    <d v="1899-12-30T01:06:00"/>
  </r>
  <r>
    <n v="347"/>
    <s v="L. GARZON"/>
    <d v="1899-12-30T11:00:00"/>
    <d v="2025-12-02T00:00:00"/>
    <x v="13"/>
    <s v="Puntual"/>
    <s v="Falla en el suministro de aire despues de haberse ido la energia eléctrica."/>
    <d v="1899-12-30T11:15:00"/>
    <d v="1899-12-30T12:00:00"/>
    <x v="39"/>
    <s v="Eléctrica"/>
    <s v="Se encuentraa aire de flauta inferior directa, se realiza inspección de parametros y ajuste de conexiones."/>
    <s v="NA"/>
    <s v="NA"/>
    <s v="D. BAUTISTA"/>
    <x v="0"/>
    <d v="1899-12-30T00:45:00"/>
    <d v="2025-12-02T11:00:00"/>
    <d v="2025-12-02T12:00:00"/>
    <d v="1899-12-30T01:00:00"/>
  </r>
  <r>
    <n v="348"/>
    <s v="L. GARZON"/>
    <d v="1899-12-30T10:00:00"/>
    <d v="2025-12-02T00:00:00"/>
    <x v="4"/>
    <s v="Puntual"/>
    <s v="Daño en el tornillo de rodillo del transportador."/>
    <d v="1899-12-30T10:00:00"/>
    <d v="1899-12-30T10:30:00"/>
    <x v="39"/>
    <s v="Mecánica"/>
    <s v="Se ajusta tornillo con arandelas y se coloca tornillo de respaldo para que se mantenga."/>
    <s v="TORNILLOS Y ARANDELAS"/>
    <s v="NA"/>
    <s v="O. DUARTE"/>
    <x v="0"/>
    <d v="1899-12-30T00:30:00"/>
    <d v="2025-12-02T10:00:00"/>
    <d v="2025-12-02T10:30:00"/>
    <d v="1899-12-30T00:30:00"/>
  </r>
  <r>
    <n v="349"/>
    <s v="J. PARDO"/>
    <d v="1899-12-30T16:40:00"/>
    <d v="2025-12-02T00:00:00"/>
    <x v="7"/>
    <s v="Puntual"/>
    <s v="Tornillo partido"/>
    <d v="1899-12-30T16:40:00"/>
    <d v="1899-12-30T17:00:00"/>
    <x v="39"/>
    <s v="Mecánica"/>
    <s v="Manila con tornillo roto de desembobinador, se aplica soldadura quedando OK."/>
    <s v="NA"/>
    <s v="1 Soldadura."/>
    <s v="L. CASTILLA"/>
    <x v="0"/>
    <d v="1899-12-30T00:20:00"/>
    <d v="2025-12-02T16:40:00"/>
    <d v="2025-12-02T17:00:00"/>
    <d v="1899-12-30T00:20:00"/>
  </r>
  <r>
    <n v="350"/>
    <m/>
    <m/>
    <m/>
    <x v="5"/>
    <m/>
    <m/>
    <m/>
    <m/>
    <x v="3"/>
    <m/>
    <m/>
    <m/>
    <m/>
    <m/>
    <x v="1"/>
    <d v="1899-12-30T00:00:00"/>
    <d v="1899-12-30T00:00:00"/>
    <d v="1899-12-30T00:00:00"/>
    <d v="1899-12-30T00:00:00"/>
  </r>
  <r>
    <n v="351"/>
    <s v="H. TRIANA"/>
    <d v="1899-12-30T21:30:00"/>
    <d v="2025-12-02T00:00:00"/>
    <x v="8"/>
    <s v="Puntual"/>
    <s v="Falla en las zona 1 del molde."/>
    <d v="1899-12-30T20:40:00"/>
    <d v="1899-12-30T21:10:00"/>
    <x v="39"/>
    <s v="Eléctrica"/>
    <s v="Rele de estado solido averiado, se realiza cambio por uno nuevo."/>
    <s v="1 Rele de estado solido"/>
    <s v="NA"/>
    <s v="L. CASTILLA"/>
    <x v="0"/>
    <d v="1899-12-30T00:30:00"/>
    <d v="2025-12-02T21:30:00"/>
    <d v="2025-12-02T21:10:00"/>
    <n v="-1.3888888890505768E-2"/>
  </r>
  <r>
    <n v="352"/>
    <s v="O. ARRIETA"/>
    <d v="1899-12-30T01:43:00"/>
    <d v="2025-12-03T00:00:00"/>
    <x v="7"/>
    <s v="Puntual"/>
    <s v="Rodamiento de el embobinador."/>
    <d v="1899-12-30T01:43:00"/>
    <d v="1899-12-30T02:00:00"/>
    <x v="30"/>
    <s v="Mecánica"/>
    <s v="Se cambia rodamiento que se daño la jaula se saca y se devuelve a colocar ajustando tornillos."/>
    <s v="1 Rodamiento 3202"/>
    <s v="NA"/>
    <s v="C. ORTEGA"/>
    <x v="0"/>
    <d v="1899-12-30T00:17:00"/>
    <d v="2025-12-03T01:43:00"/>
    <d v="2025-12-03T02:00:00"/>
    <d v="1899-12-30T00:17:00"/>
  </r>
  <r>
    <n v="353"/>
    <m/>
    <m/>
    <m/>
    <x v="5"/>
    <m/>
    <m/>
    <m/>
    <m/>
    <x v="3"/>
    <m/>
    <m/>
    <m/>
    <m/>
    <m/>
    <x v="1"/>
    <d v="1899-12-30T00:00:00"/>
    <d v="1899-12-30T00:00:00"/>
    <d v="1899-12-30T00:00:00"/>
    <d v="1899-12-30T00:00:00"/>
  </r>
  <r>
    <n v="354"/>
    <s v="Y. BERNAL"/>
    <d v="1899-12-30T12:15:00"/>
    <d v="2025-12-03T00:00:00"/>
    <x v="18"/>
    <s v="Puntual"/>
    <s v="Se reporta a mantenimiento correa porfuera del rodillo"/>
    <d v="1899-12-30T12:30:00"/>
    <d v="1899-12-30T01:00:00"/>
    <x v="30"/>
    <s v="Mecánica"/>
    <s v="Se tensiona correa, se ajusta polea."/>
    <s v="NA"/>
    <s v="NA"/>
    <s v="O. DUARTE"/>
    <x v="0"/>
    <n v="-0.47916666666666669"/>
    <d v="2025-12-03T12:15:00"/>
    <d v="2025-12-03T01:00:00"/>
    <n v="-0.46875"/>
  </r>
  <r>
    <n v="355"/>
    <s v="K. RAMOS"/>
    <d v="1899-12-30T16:30:00"/>
    <d v="2025-12-03T00:00:00"/>
    <x v="6"/>
    <s v="Puntual"/>
    <s v="Fallo en la pinza de lectura, se cae."/>
    <d v="1899-12-30T17:20:00"/>
    <d v="1899-12-30T18:50:00"/>
    <x v="30"/>
    <s v="Mecánica"/>
    <s v="Pinza con soporte malobrado y conector roto, se rectifican roscas soporte y se construyen pines de acople quedando funcional."/>
    <s v="2 Tornillos M5 X 20mm"/>
    <s v="NA"/>
    <s v="L. CASTILLA"/>
    <x v="0"/>
    <d v="1899-12-30T01:30:00"/>
    <d v="2025-12-03T16:30:00"/>
    <d v="2025-12-03T18:50:00"/>
    <d v="1899-12-30T02:20:00"/>
  </r>
  <r>
    <n v="356"/>
    <s v="D. CUESTA"/>
    <d v="1899-12-30T23:30:00"/>
    <d v="2025-12-03T00:00:00"/>
    <x v="8"/>
    <s v="Puntual"/>
    <s v="Revisar zona porta mallas exterior, no se para máquina."/>
    <d v="1899-12-30T23:35:00"/>
    <d v="1899-12-30T00:00:00"/>
    <x v="30"/>
    <s v="Eléctrica"/>
    <s v="Termocupla no corresponde o es adecuada para la máquina, se realiza cambio por tipo J."/>
    <s v="1 Termocupla tipo J"/>
    <s v="NA"/>
    <s v="L. CASTILLA"/>
    <x v="0"/>
    <n v="-0.98263888888888884"/>
    <d v="2025-12-03T23:30:00"/>
    <d v="2025-12-03T00:00:00"/>
    <n v="-0.97916666666424135"/>
  </r>
  <r>
    <n v="357"/>
    <s v="D. ZAMORA"/>
    <d v="1899-12-30T23:50:00"/>
    <d v="2025-12-03T00:00:00"/>
    <x v="10"/>
    <s v="Repetitiva"/>
    <s v="Cambio de castañas y de pisadores."/>
    <d v="1899-12-30T00:00:00"/>
    <d v="1899-12-30T00:20:00"/>
    <x v="30"/>
    <s v="Mecánica"/>
    <s v="Cambio de rodillos y castañas."/>
    <s v="NA"/>
    <s v="NA"/>
    <s v="L. CASTILLA"/>
    <x v="0"/>
    <d v="1899-12-30T00:20:00"/>
    <d v="2025-12-03T23:50:00"/>
    <d v="2025-12-03T00:20:00"/>
    <n v="-0.97916666666424135"/>
  </r>
  <r>
    <n v="358"/>
    <s v="D. ZAMORA"/>
    <d v="1899-12-30T02:40:00"/>
    <d v="2025-12-04T00:00:00"/>
    <x v="10"/>
    <s v="Puntual"/>
    <s v="Se entorcha la manguera del rebobinador superior."/>
    <d v="1899-12-30T02:45:00"/>
    <d v="1899-12-30T03:15:00"/>
    <x v="40"/>
    <s v="Mecánica"/>
    <s v="Manguera enrollada se desmontan castañas y se realiza cambio de felpa corrigiendo error."/>
    <s v="NA"/>
    <s v="NA"/>
    <s v="L. CASTILLA"/>
    <x v="0"/>
    <d v="1899-12-30T00:30:00"/>
    <d v="2025-12-04T02:40:00"/>
    <d v="2025-12-04T03:15:00"/>
    <d v="1899-12-30T00:35:00"/>
  </r>
  <r>
    <n v="359"/>
    <s v="S. CARDENAL"/>
    <d v="1899-12-30T03:30:00"/>
    <d v="2025-12-04T00:00:00"/>
    <x v="4"/>
    <s v="Puntual"/>
    <s v="La cuchilla no sube."/>
    <d v="1899-12-30T03:30:00"/>
    <d v="1899-12-30T03:50:00"/>
    <x v="40"/>
    <s v="Mecánica"/>
    <s v="Correas mordaza motor destensionados, se realiza calibración."/>
    <s v="NA"/>
    <s v="NA"/>
    <s v="L. CASTILLA"/>
    <x v="0"/>
    <d v="1899-12-30T00:20:00"/>
    <d v="2025-12-04T03:30:00"/>
    <d v="2025-12-04T03:50:00"/>
    <d v="1899-12-30T00:20:00"/>
  </r>
  <r>
    <n v="360"/>
    <m/>
    <m/>
    <m/>
    <x v="5"/>
    <m/>
    <m/>
    <m/>
    <m/>
    <x v="3"/>
    <m/>
    <m/>
    <m/>
    <m/>
    <m/>
    <x v="1"/>
    <d v="1899-12-30T00:00:00"/>
    <d v="1899-12-30T00:00:00"/>
    <d v="1899-12-30T00:00:00"/>
    <d v="1899-12-30T00:00:00"/>
  </r>
  <r>
    <n v="361"/>
    <s v="O. CESPEDES"/>
    <d v="1899-12-30T08:35:00"/>
    <d v="2025-12-04T00:00:00"/>
    <x v="10"/>
    <s v="Puntual"/>
    <s v="Daño de máquina por motor, se esta recalentando."/>
    <d v="1899-12-30T09:00:00"/>
    <d v="1899-12-30T11:41:00"/>
    <x v="40"/>
    <s v="Eléctrica"/>
    <s v="Se desmonta motor por recalentamiento, se hace cambio de rodamientos, se fabrica jaula y estator, se ajusta y se instala nuevamente."/>
    <s v="1 RODAMIENTO 6205  // 1 RODAMIENTO 6206 2Z."/>
    <s v="NA"/>
    <s v="O. DUARTE"/>
    <x v="0"/>
    <d v="1899-12-30T02:41:00"/>
    <d v="2025-12-04T08:35:00"/>
    <d v="2025-12-04T11:41:00"/>
    <d v="1899-12-30T03:06:00"/>
  </r>
  <r>
    <n v="362"/>
    <s v="A. CESPEDES"/>
    <d v="1899-12-30T14:30:00"/>
    <d v="2025-11-04T00:00:00"/>
    <x v="4"/>
    <s v="Puntual"/>
    <s v="Daño en termocupla."/>
    <d v="1899-12-30T14:30:00"/>
    <d v="1899-12-30T15:15:00"/>
    <x v="40"/>
    <s v="Eléctrica"/>
    <s v="Se extrae termocupla partida en la cuchilla."/>
    <s v="1 Termocupla"/>
    <s v="NA"/>
    <s v="O. DUARTE"/>
    <x v="0"/>
    <d v="1899-12-30T00:45:00"/>
    <d v="2025-11-04T14:30:00"/>
    <d v="2025-12-04T15:15:00"/>
    <d v="1900-01-29T00:45:00"/>
  </r>
  <r>
    <n v="363"/>
    <s v="K. RAMOS"/>
    <d v="1899-12-30T14:00:00"/>
    <d v="2025-12-04T00:00:00"/>
    <x v="6"/>
    <s v="Puntual"/>
    <s v="Se pincha maquina y se pasa la pelicula para un solo lado, el auxiliar apaga los bobinadores y los vuelve a prender, generando que la pelicula se llevara el faisi para dentro y torcerlo."/>
    <d v="1899-12-30T14:00:00"/>
    <d v="1899-12-30T19:30:00"/>
    <x v="40"/>
    <s v="Mecánica"/>
    <s v="Se encuentra pinza fife en malas condiciones, se realiza ajuste electronicamente de tarjeta, cableado y sistema fife."/>
    <s v="NA"/>
    <s v="NA"/>
    <s v="D. BAUTISTA"/>
    <x v="0"/>
    <d v="1899-12-30T05:30:00"/>
    <d v="2025-12-04T14:00:00"/>
    <d v="2025-12-04T19:30:00"/>
    <d v="1899-12-30T05:30:00"/>
  </r>
  <r>
    <n v="364"/>
    <s v="D. ZAMORA"/>
    <d v="1899-12-30T18:00:00"/>
    <d v="2025-12-04T00:00:00"/>
    <x v="10"/>
    <s v="Puntual"/>
    <s v="Cambio de posición de las castañas."/>
    <d v="1899-12-30T18:10:00"/>
    <d v="1899-12-30T18:20:00"/>
    <x v="40"/>
    <s v="Mecánica"/>
    <s v="Se realiza ajuste de castañas para reproceso, por peticion de producción."/>
    <s v="NA"/>
    <s v="NA"/>
    <s v="D. BAUTISTA"/>
    <x v="0"/>
    <d v="1899-12-30T00:10:00"/>
    <d v="2025-12-04T18:00:00"/>
    <d v="2025-12-04T18:20:00"/>
    <d v="1899-12-30T00:20:00"/>
  </r>
  <r>
    <n v="365"/>
    <s v="D. ZAMORA"/>
    <d v="1899-12-30T18:50:00"/>
    <d v="2025-12-04T00:00:00"/>
    <x v="10"/>
    <s v="Repetitiva"/>
    <s v="Se pincha la manguera del rebobinador inferior."/>
    <d v="1899-12-30T19:00:00"/>
    <d v="1899-12-30T20:30:00"/>
    <x v="40"/>
    <s v="Neumática"/>
    <s v="Se encuentra 2 mangueras fisuradas, se realiza el cambio, se cambia el recubrimiento, haciendo falta separadores de teflon en los dos embobinadores."/>
    <s v="Mnaguera expansiva."/>
    <s v="Felpa aislante."/>
    <s v="D. BAUTISTA"/>
    <x v="0"/>
    <d v="1899-12-30T01:30:00"/>
    <d v="2025-12-04T18:50:00"/>
    <d v="2025-12-04T20:30:00"/>
    <d v="1899-12-30T01:40:00"/>
  </r>
  <r>
    <n v="366"/>
    <s v="S. CARDENAL"/>
    <d v="1899-12-30T23:40:00"/>
    <d v="2025-12-04T00:00:00"/>
    <x v="4"/>
    <s v="Puntual"/>
    <s v="Rodamiento dañado."/>
    <d v="1899-12-30T23:40:00"/>
    <d v="1899-12-30T00:00:00"/>
    <x v="40"/>
    <s v="Mecánica"/>
    <s v="Se realiza cambio de rodamiento de eje deembobinador y se instala pin expandible."/>
    <s v="1 rodamiento NA6904-XL. 1 pin expamsivo 6mm X 50 mm."/>
    <s v="NA"/>
    <s v="D. BAUTISTA"/>
    <x v="0"/>
    <n v="-0.98611111111111116"/>
    <d v="2025-12-04T23:40:00"/>
    <d v="2025-12-04T00:00:00"/>
    <n v="-0.98611111110949423"/>
  </r>
  <r>
    <n v="367"/>
    <s v="J. PARDO"/>
    <d v="1899-12-30T20:30:00"/>
    <d v="2025-12-04T00:00:00"/>
    <x v="7"/>
    <s v="Puntual"/>
    <s v="Bomba de tinta no arranca."/>
    <d v="1899-12-30T20:30:00"/>
    <d v="1899-12-30T20:45:00"/>
    <x v="40"/>
    <s v="Neumática"/>
    <s v="Se encuentra bomba de tinta con manguera obstruida por material, se requiere un filtro para desconectar y evitar que se tape las mangueras."/>
    <s v="NA"/>
    <s v="NA"/>
    <s v="D. BAUTISTA"/>
    <x v="0"/>
    <d v="1899-12-30T00:15:00"/>
    <d v="2025-12-04T20:30:00"/>
    <d v="2025-12-04T20:45:00"/>
    <d v="1899-12-30T00:15:00"/>
  </r>
  <r>
    <n v="368"/>
    <s v="K. RAMOS"/>
    <d v="1899-12-30T23:50:00"/>
    <d v="2025-12-04T00:00:00"/>
    <x v="6"/>
    <s v="Puntual"/>
    <s v="Fallo en pantalla."/>
    <d v="1899-12-30T00:00:00"/>
    <d v="1899-12-30T00:40:00"/>
    <x v="40"/>
    <s v="Eléctrica"/>
    <s v="Se encuentra falla de ventiladores en torre de la pantalla, se desenebra la maquina, se revisan blowers de las flautas los cuales se observan en buen estado."/>
    <s v="NA"/>
    <s v="NA"/>
    <s v="D. BAUTISTA"/>
    <x v="0"/>
    <d v="1899-12-30T00:40:00"/>
    <d v="2025-12-04T23:50:00"/>
    <d v="2025-12-04T00:40:00"/>
    <n v="-0.96527777777373558"/>
  </r>
  <r>
    <n v="369"/>
    <s v="S. CARDENAL"/>
    <d v="1899-12-30T03:00:00"/>
    <d v="2025-12-05T00:00:00"/>
    <x v="4"/>
    <s v="Puntual"/>
    <s v="Se daña la puerta de la guarda."/>
    <d v="1899-12-30T03:00:00"/>
    <d v="1899-12-30T03:15:00"/>
    <x v="41"/>
    <s v="Mecánica"/>
    <s v="Se parte bisagra de puerta de acceso a fotocelda y máquina se desabilita, se puentean sensores de presencia para poder trabajar, se deben cambiar las bisagras."/>
    <s v="NA"/>
    <s v="NA"/>
    <s v="D. BAUTISTA"/>
    <x v="0"/>
    <d v="1899-12-30T00:15:00"/>
    <d v="2025-12-05T03:00:00"/>
    <d v="2025-12-05T03:15:00"/>
    <d v="1899-12-30T00:15:00"/>
  </r>
  <r>
    <n v="370"/>
    <s v="J. PARDO"/>
    <d v="1899-12-30T04:00:00"/>
    <d v="2025-12-05T00:00:00"/>
    <x v="7"/>
    <s v="Puntual"/>
    <s v="Se daña el eje mecánico."/>
    <d v="1899-12-30T04:00:00"/>
    <d v="1899-12-30T04:20:00"/>
    <x v="41"/>
    <s v="Mecánica"/>
    <s v="Se ajusta piñon de eje y se solda para dar ajuste."/>
    <s v="NA"/>
    <s v="NA"/>
    <s v="D. BAUTISTA"/>
    <x v="0"/>
    <d v="1899-12-30T00:20:00"/>
    <d v="2025-12-05T04:00:00"/>
    <d v="2025-12-05T04:20:00"/>
    <d v="1899-12-30T00:20:00"/>
  </r>
  <r>
    <n v="371"/>
    <s v="D. MIRANDA"/>
    <d v="1899-12-30T08:09:00"/>
    <d v="2025-12-05T00:00:00"/>
    <x v="21"/>
    <s v="Puntual"/>
    <s v="Cable suelto en el barril, afectando la temperatura."/>
    <d v="1899-12-30T08:20:00"/>
    <d v="1899-12-30T08:30:00"/>
    <x v="41"/>
    <s v="Eléctrica"/>
    <s v="Terminal del circuito barril esta abierta, se realiza cambio y conexión quedando funcional."/>
    <s v="1 terminal tipo ojo #8."/>
    <s v="NA"/>
    <s v="L. CASTILLA"/>
    <x v="0"/>
    <d v="1899-12-30T00:10:00"/>
    <d v="2025-12-05T08:09:00"/>
    <d v="2025-12-05T08:30:00"/>
    <d v="1899-12-30T00:21:00"/>
  </r>
  <r>
    <n v="372"/>
    <s v="L. GARZON"/>
    <d v="1899-12-30T09:40:00"/>
    <d v="2025-12-05T00:00:00"/>
    <x v="4"/>
    <s v="Puntual"/>
    <s v="Se apaga el tablero de la maquina y se apaga."/>
    <d v="1899-12-30T09:55:00"/>
    <d v="1899-12-30T10:05:00"/>
    <x v="41"/>
    <s v="Eléctrica"/>
    <s v="Conector abierto o suelto en la pantalla, se realiza ajuste quedando funcional."/>
    <s v="NA"/>
    <s v="NA"/>
    <s v="L. CASTILLA"/>
    <x v="0"/>
    <d v="1899-12-30T00:10:00"/>
    <d v="2025-12-05T09:40:00"/>
    <d v="2025-12-05T10:05:00"/>
    <d v="1899-12-30T00:25:00"/>
  </r>
  <r>
    <n v="373"/>
    <s v="O. ALVAREZ"/>
    <d v="1899-12-30T16:30:00"/>
    <d v="2025-12-05T00:00:00"/>
    <x v="9"/>
    <s v="Puntual"/>
    <s v="El flay no estaba leyendo."/>
    <d v="1899-12-30T16:30:00"/>
    <d v="1899-12-30T17:00:00"/>
    <x v="41"/>
    <s v="Neumática"/>
    <s v="Parilla del paso del aceite pedido tuerca, se repone tuerca y se realiza calibración."/>
    <s v="1 tuerca M6."/>
    <s v="NA"/>
    <s v="L. CASTILLA"/>
    <x v="0"/>
    <d v="1899-12-30T00:30:00"/>
    <d v="2025-12-05T16:30:00"/>
    <d v="2025-12-05T17:00:00"/>
    <d v="1899-12-30T00:30:00"/>
  </r>
  <r>
    <n v="374"/>
    <s v="NA"/>
    <d v="1899-12-30T19:40:00"/>
    <d v="2025-12-05T00:00:00"/>
    <x v="4"/>
    <s v="Puntual"/>
    <s v="Daño en varilla soporte precorte, la maquina se bloquea y se apaga sola."/>
    <d v="1899-12-30T19:40:00"/>
    <m/>
    <x v="41"/>
    <s v="Mecánica"/>
    <s v="Se solda un tornillo con tuerca para dar ajuste, se hace seguimiento, falla el servo de control, se evidencia que presenta dañado el cable de datos."/>
    <s v="Tornillo M8 con tuerca"/>
    <s v="NA"/>
    <s v="NA"/>
    <x v="0"/>
    <n v="-0.81944444444444442"/>
    <d v="2025-12-05T19:40:00"/>
    <d v="2025-12-05T00:00:00"/>
    <n v="-0.81944444444525288"/>
  </r>
  <r>
    <n v="375"/>
    <s v="L. GARZON"/>
    <d v="1899-12-30T08:00:00"/>
    <d v="2025-12-06T00:00:00"/>
    <x v="4"/>
    <s v="Repetitiva"/>
    <s v="La maquina se apaga el tablero y se para intermitente."/>
    <d v="1899-12-30T08:00:00"/>
    <d v="1899-12-30T14:15:00"/>
    <x v="42"/>
    <s v="Eléctrica"/>
    <s v="Se encuentra fallando pantalla de control, se apaga y se reinicia, se realiza ajuste de conectores y limpieza, se tiene en seguimiento durante el turno."/>
    <s v="NA"/>
    <s v="NA"/>
    <s v="D. BAUTISTA"/>
    <x v="0"/>
    <d v="1899-12-30T06:15:00"/>
    <d v="2025-12-06T08:00:00"/>
    <d v="2025-12-06T14:15:00"/>
    <d v="1899-12-30T06:15:00"/>
  </r>
  <r>
    <n v="376"/>
    <s v="L. GARZON"/>
    <d v="1899-12-30T11:00:00"/>
    <d v="2025-12-06T00:00:00"/>
    <x v="0"/>
    <s v="Puntual"/>
    <s v="Muletilla de transportador suelta."/>
    <d v="1899-12-30T10:50:00"/>
    <d v="1899-12-30T11:01:00"/>
    <x v="42"/>
    <s v="Mecánica"/>
    <s v="Se encuentra muletilla de arranque del transportador con base partida, se realiza el cambio y se da ajuste."/>
    <s v="1 Base de muletilla."/>
    <s v="NA"/>
    <s v="D. BAUTISTA"/>
    <x v="0"/>
    <d v="1899-12-30T00:11:00"/>
    <d v="2025-12-06T11:00:00"/>
    <d v="2025-12-06T11:01:00"/>
    <d v="1899-12-30T00:01:00"/>
  </r>
  <r>
    <n v="377"/>
    <s v="J. GOMEZ"/>
    <d v="1899-12-30T07:30:00"/>
    <d v="2025-12-06T00:00:00"/>
    <x v="24"/>
    <s v="Puntual"/>
    <s v="Tornillo y llave de ajuste de la mordaza en mal estado."/>
    <d v="1899-12-30T07:30:00"/>
    <d v="1899-12-30T08:00:00"/>
    <x v="42"/>
    <s v="Mecánica"/>
    <s v="Se realiza cambio del tornillo de ajuste ya que perdio el cuadrante y se fabrica una llave T."/>
    <s v="1 llave bristol 3/8"/>
    <s v="NA"/>
    <s v="D. BAUTISTA"/>
    <x v="0"/>
    <d v="1899-12-30T00:30:00"/>
    <d v="2025-12-06T07:30:00"/>
    <d v="2025-12-06T08:00:00"/>
    <d v="1899-12-30T00:30:00"/>
  </r>
  <r>
    <n v="378"/>
    <s v="K. RAMOS"/>
    <d v="1899-12-30T09:00:00"/>
    <d v="2025-12-06T00:00:00"/>
    <x v="6"/>
    <s v="Puntual"/>
    <s v="Brazo de alimentacion no sube."/>
    <d v="1899-12-30T09:00:00"/>
    <d v="1899-12-30T09:30:00"/>
    <x v="42"/>
    <s v="Neumática"/>
    <s v="Se encuentran tornillos de ajuste de soporte del actuador de alimentación partidos, se extraen y se realiza el cambio."/>
    <s v="2 Tornillos M4 X 20 mm avellanados."/>
    <s v="NA"/>
    <s v="D. BAUTISTA"/>
    <x v="0"/>
    <d v="1899-12-30T00:30:00"/>
    <d v="2025-12-06T09:00:00"/>
    <d v="2025-12-06T09:30:00"/>
    <d v="1899-12-30T00:30:00"/>
  </r>
  <r>
    <n v="379"/>
    <s v="A. CESPEDES"/>
    <d v="1899-12-30T15:30:00"/>
    <d v="2025-12-06T00:00:00"/>
    <x v="4"/>
    <s v="Repetitiva"/>
    <s v="Daño en el soporte del precorte."/>
    <d v="1899-12-30T15:30:00"/>
    <d v="1899-12-30T15:55:00"/>
    <x v="42"/>
    <s v="Mecánica"/>
    <s v="Se parte el espigo de actuador del sistema de precorte, se realiza cambio de actuador."/>
    <s v="1 actuador DSBC-32-25-PPVA-N3"/>
    <s v="NA"/>
    <s v="D. BAUTISTA"/>
    <x v="0"/>
    <d v="1899-12-30T00:25:00"/>
    <d v="2025-12-06T15:30:00"/>
    <d v="2025-12-06T15:55:00"/>
    <d v="1899-12-30T00:25:00"/>
  </r>
  <r>
    <n v="380"/>
    <m/>
    <m/>
    <m/>
    <x v="5"/>
    <m/>
    <m/>
    <m/>
    <m/>
    <x v="3"/>
    <m/>
    <m/>
    <m/>
    <m/>
    <m/>
    <x v="1"/>
    <d v="1899-12-30T00:00:00"/>
    <d v="1899-12-30T00:00:00"/>
    <d v="1899-12-30T00:00:00"/>
    <d v="1899-12-30T00:00:00"/>
  </r>
  <r>
    <n v="381"/>
    <s v="K. RAMOS"/>
    <d v="1899-12-30T04:45:00"/>
    <d v="2025-12-08T00:00:00"/>
    <x v="6"/>
    <s v="Puntual"/>
    <s v="La corona se cae"/>
    <m/>
    <m/>
    <x v="3"/>
    <m/>
    <m/>
    <m/>
    <m/>
    <m/>
    <x v="2"/>
    <d v="1899-12-30T00:00:00"/>
    <d v="2025-12-08T04:45:00"/>
    <d v="1899-12-30T00:00:00"/>
    <n v="-45999.197916666664"/>
  </r>
  <r>
    <n v="382"/>
    <s v="H. TRIANA"/>
    <d v="1899-12-30T00:10:00"/>
    <d v="2025-12-13T00:00:00"/>
    <x v="1"/>
    <s v="Puntual"/>
    <s v="Falla en contactor en zona de rotación."/>
    <d v="1899-12-30T00:10:00"/>
    <d v="1899-12-30T00:30:00"/>
    <x v="43"/>
    <s v="Eléctrica"/>
    <s v="Controlador averiado, se realiza cambio por uno nuevo quedando OK."/>
    <s v="1 Controlador de temperatura, 58006-85-240VAC."/>
    <s v="NA"/>
    <s v="L. CASTILLA"/>
    <x v="0"/>
    <d v="1899-12-30T00:20:00"/>
    <d v="2025-12-13T00:10:00"/>
    <d v="2025-12-13T00:30:00"/>
    <d v="1899-12-30T00:20:00"/>
  </r>
  <r>
    <n v="383"/>
    <s v="S. CARDENAL"/>
    <d v="1899-12-30T07:40:00"/>
    <d v="2025-12-09T00:00:00"/>
    <x v="4"/>
    <s v="Puntual"/>
    <s v="Se cae base de los perforadores."/>
    <d v="1899-12-30T07:40:00"/>
    <d v="1899-12-30T09:00:00"/>
    <x v="44"/>
    <s v="Mecánica"/>
    <s v="Se encuentra partido espigo de actuador, se realiza cambio de actuador y se instala tuerca de seguridad ya que la convencional se suelta con el movimiento, se instala varilla de sugeción de perforación faltante con tornillo."/>
    <s v="1 Tornillo M8, 1 Tuerca M8"/>
    <s v="NA"/>
    <s v="D. BAUTISTA"/>
    <x v="0"/>
    <d v="1899-12-30T01:20:00"/>
    <d v="2025-12-09T07:40:00"/>
    <d v="2025-12-09T09:00:00"/>
    <d v="1899-12-30T01:20:00"/>
  </r>
  <r>
    <n v="384"/>
    <m/>
    <m/>
    <m/>
    <x v="5"/>
    <m/>
    <m/>
    <m/>
    <m/>
    <x v="3"/>
    <m/>
    <m/>
    <m/>
    <m/>
    <m/>
    <x v="1"/>
    <d v="1899-12-30T00:00:00"/>
    <d v="1899-12-30T00:00:00"/>
    <d v="1899-12-30T00:00:00"/>
    <d v="1899-12-30T00:00:00"/>
  </r>
  <r>
    <n v="385"/>
    <m/>
    <m/>
    <m/>
    <x v="5"/>
    <m/>
    <m/>
    <m/>
    <m/>
    <x v="3"/>
    <m/>
    <m/>
    <m/>
    <m/>
    <m/>
    <x v="1"/>
    <d v="1899-12-30T00:00:00"/>
    <d v="1899-12-30T00:00:00"/>
    <d v="1899-12-30T00:00:00"/>
    <d v="1899-12-30T00:00:00"/>
  </r>
  <r>
    <n v="386"/>
    <s v="S. CARDENAL"/>
    <d v="1899-12-30T11:30:00"/>
    <d v="2025-12-09T00:00:00"/>
    <x v="4"/>
    <s v="Puntual"/>
    <s v="Maquina se apaga sola"/>
    <d v="1899-12-30T11:30:00"/>
    <d v="1899-12-30T18:00:00"/>
    <x v="44"/>
    <s v="Eléctrica"/>
    <s v="Se realizo ajuste de conexiones eléctricas, conectores y se aplica aire forzado._x000a_11:30-11:45_x000a_12:40-13:05_x000a_16:50-17:00_x000a_La falla continua ocasionalmente falla, en algunas ocasiones la operaria reseteo y arranco nuevamente"/>
    <s v="NA"/>
    <s v="NA"/>
    <s v="O. DUARTE"/>
    <x v="0"/>
    <d v="1899-12-30T06:30:00"/>
    <d v="2025-12-09T11:30:00"/>
    <d v="2025-12-09T18:00:00"/>
    <d v="1899-12-30T06:30:00"/>
  </r>
  <r>
    <n v="387"/>
    <s v="L. GARZON"/>
    <d v="1899-12-30T15:00:00"/>
    <d v="2025-12-09T00:00:00"/>
    <x v="4"/>
    <s v="Puntual"/>
    <s v="Tornillos de ajuste de actuador sueltos"/>
    <d v="1899-12-30T15:00:00"/>
    <d v="1899-12-30T15:10:00"/>
    <x v="44"/>
    <s v="Mecánica"/>
    <s v="Se da ajuste a tornillos de ajuste de actuador."/>
    <s v="NA"/>
    <s v="NA"/>
    <s v="D. BAUTISTA"/>
    <x v="0"/>
    <d v="1899-12-30T00:10:00"/>
    <d v="2025-12-09T15:00:00"/>
    <d v="2025-12-09T15:10:00"/>
    <d v="1899-12-30T00:10:00"/>
  </r>
  <r>
    <n v="388"/>
    <m/>
    <m/>
    <m/>
    <x v="5"/>
    <m/>
    <m/>
    <m/>
    <m/>
    <x v="3"/>
    <m/>
    <m/>
    <m/>
    <m/>
    <m/>
    <x v="1"/>
    <d v="1899-12-30T00:00:00"/>
    <d v="1899-12-30T00:00:00"/>
    <d v="1899-12-30T00:00:00"/>
    <d v="1899-12-30T00:00:00"/>
  </r>
  <r>
    <n v="389"/>
    <s v="F. SANCHEZ"/>
    <d v="1899-12-30T00:10:00"/>
    <d v="2025-12-10T00:00:00"/>
    <x v="6"/>
    <s v="Puntual"/>
    <s v="Para la máquina por falla en velocidad."/>
    <d v="1899-12-30T00:10:00"/>
    <d v="1899-12-30T00:30:00"/>
    <x v="45"/>
    <s v="Eléctrica"/>
    <s v="Se evidencia cableado de rotación en vias equivocadas, posiblemente por la limpieza programada, se reubican en sitio adecuado y se entrega OK."/>
    <s v="NA"/>
    <s v="NA"/>
    <s v="L. FLOREZ"/>
    <x v="0"/>
    <d v="1899-12-30T00:20:00"/>
    <d v="2025-12-10T00:10:00"/>
    <d v="2025-12-10T00:30:00"/>
    <d v="1899-12-30T00:20:00"/>
  </r>
  <r>
    <n v="390"/>
    <m/>
    <m/>
    <m/>
    <x v="5"/>
    <m/>
    <m/>
    <m/>
    <m/>
    <x v="3"/>
    <m/>
    <m/>
    <m/>
    <m/>
    <m/>
    <x v="1"/>
    <d v="1899-12-30T00:00:00"/>
    <d v="1899-12-30T00:00:00"/>
    <d v="1899-12-30T00:00:00"/>
    <d v="1899-12-30T00:00:00"/>
  </r>
  <r>
    <n v="391"/>
    <s v="S. PATIÑO"/>
    <d v="1899-12-30T08:00:00"/>
    <d v="2025-12-10T00:00:00"/>
    <x v="1"/>
    <s v="Puntual"/>
    <s v="Tratador corona se apaga y al reiniciarlo no enciende"/>
    <m/>
    <m/>
    <x v="3"/>
    <m/>
    <m/>
    <m/>
    <m/>
    <m/>
    <x v="2"/>
    <d v="1899-12-30T00:00:00"/>
    <d v="2025-12-10T08:00:00"/>
    <d v="1899-12-30T00:00:00"/>
    <n v="-46001.333333333336"/>
  </r>
  <r>
    <n v="392"/>
    <m/>
    <m/>
    <m/>
    <x v="5"/>
    <m/>
    <m/>
    <m/>
    <m/>
    <x v="3"/>
    <m/>
    <m/>
    <m/>
    <m/>
    <m/>
    <x v="1"/>
    <d v="1899-12-30T00:00:00"/>
    <d v="1899-12-30T00:00:00"/>
    <d v="1899-12-30T00:00:00"/>
    <d v="1899-12-30T00:00:00"/>
  </r>
  <r>
    <n v="393"/>
    <s v="D. CUESTA"/>
    <m/>
    <d v="2025-12-10T00:00:00"/>
    <x v="1"/>
    <s v="Puntual"/>
    <s v="Revisar tratador COEX 4"/>
    <d v="1899-12-30T19:00:00"/>
    <d v="1899-12-30T19:30:00"/>
    <x v="45"/>
    <s v="Eléctrica"/>
    <s v="Se realizo inspección de alimentación 220 V a tratador, se realizan pruebas en vacio, quedo pendiente en operación ya que el operario en turno manifesto que se apaga"/>
    <s v="NA"/>
    <s v="NA"/>
    <s v="D. BAUTISTA"/>
    <x v="0"/>
    <d v="1899-12-30T00:30:00"/>
    <d v="2025-12-10T00:00:00"/>
    <d v="2025-12-10T19:30:00"/>
    <d v="1899-12-30T19:30:00"/>
  </r>
  <r>
    <n v="394"/>
    <s v="D. CUESTA"/>
    <d v="1899-12-30T22:30:00"/>
    <d v="2025-12-10T00:00:00"/>
    <x v="8"/>
    <s v="Puntual"/>
    <s v="Cortar cuchillas para cuadrar tratador."/>
    <d v="1899-12-30T22:30:00"/>
    <d v="1899-12-30T23:30:00"/>
    <x v="45"/>
    <s v="Mecánica"/>
    <s v="Se realiza reubicación de las cuchillas del tratador para cuadrar la referencia del material."/>
    <s v="NA"/>
    <s v="NA"/>
    <s v="D. BAUTISTA"/>
    <x v="0"/>
    <d v="1899-12-30T01:00:00"/>
    <d v="2025-12-10T22:30:00"/>
    <d v="2025-12-10T23:30:00"/>
    <d v="1899-12-30T01:00:00"/>
  </r>
  <r>
    <n v="395"/>
    <s v="D. ZAMORA"/>
    <d v="1899-12-30T03:55:00"/>
    <d v="2025-12-11T00:00:00"/>
    <x v="10"/>
    <s v="Repetitiva"/>
    <s v="Cambio de posición de las castañas en rebobinador inferior."/>
    <d v="1899-12-30T03:55:00"/>
    <d v="1899-12-30T04:10:00"/>
    <x v="31"/>
    <s v="Mecánica"/>
    <s v="Se realiza cambio de posición de castañas por petición de producción."/>
    <s v="NA"/>
    <s v="NA"/>
    <s v="D. BAUTISTA"/>
    <x v="0"/>
    <d v="1899-12-30T00:15:00"/>
    <d v="2025-12-11T03:55:00"/>
    <d v="2025-12-11T04:10:00"/>
    <d v="1899-12-30T00:15:00"/>
  </r>
  <r>
    <n v="396"/>
    <s v="E. REYES"/>
    <d v="1899-12-30T02:00:00"/>
    <d v="2025-12-11T00:00:00"/>
    <x v="4"/>
    <s v="Puntual"/>
    <s v="Daño en soporte de los perforadores y varilla."/>
    <d v="1899-12-30T02:00:00"/>
    <d v="1899-12-30T02:30:00"/>
    <x v="31"/>
    <s v="Mecánica"/>
    <s v="Se desmonta soporte de actuadores de los perforadores, se solda  ya que se encuentran partidos y se instala varilla que tensa el tornillo de sujeción  partido."/>
    <s v="NA"/>
    <s v="NA"/>
    <s v="D. BAUTISTA"/>
    <x v="0"/>
    <d v="1899-12-30T00:30:00"/>
    <d v="2025-12-11T02:00:00"/>
    <d v="2025-12-11T02:30:00"/>
    <d v="1899-12-30T00:30:00"/>
  </r>
  <r>
    <n v="397"/>
    <s v="K. RAMOS"/>
    <d v="1899-12-30T21:00:00"/>
    <d v="2025-12-10T00:00:00"/>
    <x v="6"/>
    <s v="Puntual"/>
    <s v="Piñon de perforadores suelto."/>
    <d v="1899-12-30T21:00:00"/>
    <d v="1899-12-30T21:40:00"/>
    <x v="45"/>
    <s v="Mecánica"/>
    <s v="Se encuentra buje de sujeción de piñon de perforadores sin prisioneros."/>
    <s v="NA"/>
    <s v="NA"/>
    <s v="D. BAUTISTA"/>
    <x v="0"/>
    <d v="1899-12-30T00:40:00"/>
    <d v="2025-12-10T21:00:00"/>
    <d v="2025-12-10T21:40:00"/>
    <d v="1899-12-30T00:40:00"/>
  </r>
  <r>
    <n v="398"/>
    <m/>
    <m/>
    <m/>
    <x v="5"/>
    <m/>
    <m/>
    <m/>
    <m/>
    <x v="3"/>
    <m/>
    <m/>
    <m/>
    <m/>
    <m/>
    <x v="1"/>
    <d v="1899-12-30T00:00:00"/>
    <d v="1899-12-30T00:00:00"/>
    <d v="1899-12-30T00:00:00"/>
    <d v="1899-12-30T00:00:00"/>
  </r>
  <r>
    <n v="399"/>
    <s v="D. ZAMORA"/>
    <d v="1899-12-30T04:00:00"/>
    <d v="2025-12-12T00:00:00"/>
    <x v="10"/>
    <s v="Repetitiva"/>
    <s v="Cambio de posición de castañas y cambio de pisador."/>
    <d v="1899-12-30T04:00:00"/>
    <d v="1899-12-30T04:30:00"/>
    <x v="29"/>
    <s v="Mecánica"/>
    <s v="Se realiza cambio de rodillo o pisador y posición de castañas."/>
    <s v="NA"/>
    <s v="NA"/>
    <s v="O. DUARTE"/>
    <x v="0"/>
    <d v="1899-12-30T00:30:00"/>
    <d v="2025-12-12T04:00:00"/>
    <d v="2025-12-12T04:30:00"/>
    <d v="1899-12-30T00:30:00"/>
  </r>
  <r>
    <n v="400"/>
    <s v="R. MEJIA"/>
    <d v="1899-12-30T02:10:00"/>
    <d v="2025-12-12T00:00:00"/>
    <x v="7"/>
    <s v="Puntual"/>
    <s v="Se safa piñon de eje neumatico bobinador."/>
    <d v="1899-12-30T02:10:00"/>
    <d v="1899-12-30T02:30:00"/>
    <x v="29"/>
    <s v="Mecánica"/>
    <s v="Se aplica soldadura a piñon eje bobinador."/>
    <s v="NA"/>
    <s v="Soldadura 308 de 1/8&quot;"/>
    <s v="O. DUARTE"/>
    <x v="0"/>
    <d v="1899-12-30T00:20:00"/>
    <d v="2025-12-12T02:10:00"/>
    <d v="2025-12-12T02:30:00"/>
    <d v="1899-12-30T00:20:00"/>
  </r>
  <r>
    <n v="401"/>
    <s v="R. MEJIA"/>
    <d v="1899-12-30T06:00:00"/>
    <d v="2025-12-13T00:00:00"/>
    <x v="7"/>
    <s v="Puntual"/>
    <s v="Eje neumatico con escape."/>
    <d v="1899-12-30T06:00:00"/>
    <d v="1899-12-30T07:15:00"/>
    <x v="43"/>
    <s v="Neumática"/>
    <s v="Se reemplaza la manguera con escape y queda operativa."/>
    <s v="Manguera de 16mm"/>
    <s v="NA"/>
    <s v="O. DUARTE"/>
    <x v="0"/>
    <d v="1899-12-30T01:15:00"/>
    <d v="2025-12-13T06:00:00"/>
    <d v="2025-12-13T07:15:00"/>
    <d v="1899-12-30T01:15:00"/>
  </r>
  <r>
    <n v="402"/>
    <s v="R. OLIVARES"/>
    <d v="1899-12-30T15:45:00"/>
    <d v="2025-12-13T00:00:00"/>
    <x v="1"/>
    <s v="Puntual"/>
    <s v="El tratado estaba trabajando bien de un momento a otro hace corto y se apago."/>
    <d v="1899-12-30T18:00:00"/>
    <d v="1899-12-30T20:30:00"/>
    <x v="43"/>
    <s v="Eléctrica"/>
    <s v="Se revisa tratador el cual presenta corto, se decide instalar el que esta en el taller, se entrega instalada y probado en vacio."/>
    <s v="NA"/>
    <s v="NA"/>
    <s v="D. BAUTISTA"/>
    <x v="0"/>
    <d v="1899-12-30T02:30:00"/>
    <d v="2025-12-13T15:45:00"/>
    <d v="2025-12-13T20:30:00"/>
    <d v="1899-12-30T04:45:00"/>
  </r>
  <r>
    <n v="403"/>
    <s v="R. MEJIA"/>
    <d v="1899-12-30T06:00:00"/>
    <d v="2025-12-14T00:00:00"/>
    <x v="7"/>
    <s v="Puntual"/>
    <s v="Se paró la máquina por rodamiento bobinador."/>
    <d v="1899-12-30T06:10:00"/>
    <d v="1899-12-30T06:30:00"/>
    <x v="46"/>
    <s v="Mecánica"/>
    <s v="Base porta seguidor de leva sufre desgaste. Perdiendo ajuste en el seguidor de leva, se fabrica arandela gruesa para evitar que se salga."/>
    <s v="NA"/>
    <s v="NA"/>
    <s v="L. CASTILLA"/>
    <x v="0"/>
    <d v="1899-12-30T00:20:00"/>
    <d v="2025-12-14T06:00:00"/>
    <d v="2025-12-14T06:30:00"/>
    <d v="1899-12-30T00:30:00"/>
  </r>
  <r>
    <n v="404"/>
    <s v="R. MEJIA"/>
    <d v="1899-12-30T14:00:00"/>
    <d v="2025-12-14T00:00:00"/>
    <x v="7"/>
    <s v="Puntual"/>
    <s v="Se paró la máquina por daño en el sistema electrico de bobinador."/>
    <d v="1899-12-30T14:00:00"/>
    <d v="1899-12-30T16:00:00"/>
    <x v="46"/>
    <s v="Eléctrica"/>
    <s v="Se inspecciona fusibles en general sin anomalias, se desmontan tarjetas de variador para inspección encontrando relevador averiado, se realiza cambio."/>
    <s v="1 relevador 24vdc"/>
    <s v="NA"/>
    <s v="L. CASTILLA"/>
    <x v="0"/>
    <d v="1899-12-30T02:00:00"/>
    <d v="2025-12-14T14:00:00"/>
    <d v="2025-12-14T16:00:00"/>
    <d v="1899-12-30T02:00:00"/>
  </r>
  <r>
    <n v="405"/>
    <s v="O. VALENCIA"/>
    <d v="1899-12-30T23:30:00"/>
    <d v="2025-12-14T00:00:00"/>
    <x v="11"/>
    <s v="Puntual"/>
    <s v="Daño en soporte del motor del molino."/>
    <d v="1899-12-30T23:30:00"/>
    <d v="1899-12-30T03:40:00"/>
    <x v="46"/>
    <s v="Mecánica"/>
    <s v="Se revisa el motor, se suelta completo, se aplica soldadura, se ajusta y se realizan pruebas."/>
    <s v="NA"/>
    <s v="Equipo de soldadura"/>
    <s v="O. DUARTE"/>
    <x v="0"/>
    <n v="-0.82638888888888884"/>
    <d v="2025-12-14T23:30:00"/>
    <d v="2025-12-14T03:40:00"/>
    <n v="-0.82638888888322981"/>
  </r>
  <r>
    <n v="406"/>
    <s v="S. CARDENAL"/>
    <d v="1899-12-30T16:20:00"/>
    <d v="2025-12-15T00:00:00"/>
    <x v="0"/>
    <s v="Puntual"/>
    <s v="La máquina no trabaja porque hay que bajarle golpes."/>
    <d v="1899-12-30T16:30:00"/>
    <d v="1899-12-30T17:00:00"/>
    <x v="47"/>
    <s v="Eléctrica"/>
    <s v="Se cambia parametros del variador de transportador para disminuir golpes de manera remota, se deja operativa."/>
    <s v="NA"/>
    <s v="NA"/>
    <s v="D. BAUTISTA"/>
    <x v="0"/>
    <d v="1899-12-30T00:30:00"/>
    <d v="2025-12-15T16:20:00"/>
    <d v="2025-12-15T17:00:00"/>
    <d v="1899-12-30T00:40:00"/>
  </r>
  <r>
    <n v="407"/>
    <s v="D. ARRIETA"/>
    <d v="1899-12-30T16:50:00"/>
    <d v="2025-12-15T00:00:00"/>
    <x v="7"/>
    <s v="Puntual"/>
    <s v="Eje del embobinador se sale el aire"/>
    <d v="1899-12-30T16:50:00"/>
    <d v="1899-12-30T17:30:00"/>
    <x v="47"/>
    <s v="Neumática"/>
    <s v="Se encuentran 2 mangueras fisuradas, se reparan y se entrega operativa."/>
    <s v="NA"/>
    <s v="NA"/>
    <s v="D. BAUTISTA"/>
    <x v="0"/>
    <d v="1899-12-30T00:40:00"/>
    <d v="2025-12-15T16:50:00"/>
    <d v="2025-12-15T17:30:00"/>
    <d v="1899-12-30T00:40:00"/>
  </r>
  <r>
    <n v="408"/>
    <s v="R. MEJIA"/>
    <d v="1899-12-30T18:40:00"/>
    <d v="2025-12-15T00:00:00"/>
    <x v="7"/>
    <s v="Puntual"/>
    <s v="Parada de máquina por fuga de aire eje neumático bobinador."/>
    <d v="1899-12-30T18:40:00"/>
    <d v="1899-12-30T19:01:00"/>
    <x v="47"/>
    <s v="Neumática"/>
    <s v="Manguera presenta fuga y muy corta, se realiza cambio por nueva queda operacional."/>
    <s v="1,5 m de manguera m8"/>
    <s v="NA"/>
    <s v="L. CASTILLA"/>
    <x v="0"/>
    <d v="1899-12-30T00:21:00"/>
    <d v="2025-12-15T18:40:00"/>
    <d v="2025-12-15T19:01:00"/>
    <d v="1899-12-30T00:21:00"/>
  </r>
  <r>
    <n v="409"/>
    <s v="K. RAMOS"/>
    <m/>
    <d v="2025-12-16T00:00:00"/>
    <x v="6"/>
    <s v="Puntual"/>
    <s v="Pistola de aire del bobinador A se daño"/>
    <m/>
    <m/>
    <x v="3"/>
    <m/>
    <m/>
    <m/>
    <m/>
    <m/>
    <x v="2"/>
    <d v="1899-12-30T00:00:00"/>
    <d v="2025-12-16T00:00:00"/>
    <d v="1899-12-30T00:00:00"/>
    <n v="-46007"/>
  </r>
  <r>
    <n v="410"/>
    <s v="H. TRIANA"/>
    <d v="1899-12-30T09:20:00"/>
    <d v="2025-12-16T00:00:00"/>
    <x v="14"/>
    <s v="Puntual"/>
    <s v="Falla en el tratador"/>
    <d v="1899-12-30T09:20:00"/>
    <d v="1899-12-30T10:00:00"/>
    <x v="48"/>
    <s v="Eléctrica"/>
    <s v="Se revisa tratador y se limpia, se retiran impuresas del material y queda operativa."/>
    <s v="NA"/>
    <s v="NA"/>
    <s v="O. DUARTE"/>
    <x v="0"/>
    <d v="1899-12-30T00:40:00"/>
    <d v="2025-12-16T09:20:00"/>
    <d v="2025-12-16T10:00:00"/>
    <d v="1899-12-30T00:40:00"/>
  </r>
  <r>
    <n v="411"/>
    <s v="L. MIRANDA"/>
    <d v="1899-12-30T14:35:00"/>
    <d v="2025-12-16T00:00:00"/>
    <x v="6"/>
    <s v="Puntual"/>
    <s v="Presenta una falla en la rotación."/>
    <d v="1899-12-30T14:35:00"/>
    <d v="1899-12-30T17:00:00"/>
    <x v="47"/>
    <s v="Eléctrica"/>
    <s v="se revisa rotación y se corrije el daño aislando un cable."/>
    <s v="1 metro cable encauchetado"/>
    <s v="NA"/>
    <s v="O. DUARTE"/>
    <x v="0"/>
    <d v="1899-12-30T02:25:00"/>
    <d v="2025-12-16T14:35:00"/>
    <d v="2025-12-15T17:00:00"/>
    <n v="-0.89930555555474712"/>
  </r>
  <r>
    <n v="412"/>
    <s v="L. MIRANDA"/>
    <d v="1899-12-30T14:35:00"/>
    <d v="2025-12-16T00:00:00"/>
    <x v="6"/>
    <s v="Puntual"/>
    <s v="Falla en el molino, no prende y esta oliendo a quemado."/>
    <d v="1899-12-30T14:35:00"/>
    <d v="1899-12-30T17:00:00"/>
    <x v="48"/>
    <s v="Eléctrica"/>
    <s v="Se interviene tablero de control del tablero del molino, se evidencia el transformador quemado, se sustituye por otro provicionalmente."/>
    <s v=" 1 Transformador 220v- 24v"/>
    <s v="NA"/>
    <s v="O. DUARTE"/>
    <x v="0"/>
    <d v="1899-12-30T02:25:00"/>
    <d v="2025-12-16T14:35:00"/>
    <d v="2025-12-16T17:00:00"/>
    <d v="1899-12-30T02:25:00"/>
  </r>
  <r>
    <n v="413"/>
    <s v="D. ZAMORA"/>
    <d v="1899-12-30T17:00:00"/>
    <d v="2025-12-16T00:00:00"/>
    <x v="10"/>
    <s v="Puntual"/>
    <s v="Se entorcha la manguera con la felpa de rebobinador superior."/>
    <d v="1899-12-30T17:00:00"/>
    <d v="1899-12-30T17:40:00"/>
    <x v="48"/>
    <s v="Mecánica"/>
    <s v="Se desmontan las castañas, se desentorcha manguera y se cuadra felpa, se monta y se ajustan."/>
    <s v="NA"/>
    <s v="NA"/>
    <s v="O. DUARTE"/>
    <x v="0"/>
    <d v="1899-12-30T00:40:00"/>
    <d v="2025-12-16T17:00:00"/>
    <d v="2025-12-16T17:40:00"/>
    <d v="1899-12-30T00:40:00"/>
  </r>
  <r>
    <n v="414"/>
    <s v="D. CUESTA"/>
    <d v="1899-12-30T01:25:00"/>
    <d v="2025-12-16T00:00:00"/>
    <x v="14"/>
    <s v="Puntual"/>
    <s v="Para cambio cuenta metro coex2"/>
    <d v="1899-12-30T01:25:00"/>
    <d v="1899-12-30T02:25:00"/>
    <x v="48"/>
    <s v="Eléctrica"/>
    <s v="Se realiza cambio de contador ya que no funciona, se realiza cambio en cambio de referencia queda operativo."/>
    <s v="1 Contador CTEM-1P"/>
    <s v="NA"/>
    <s v="D. BAUTISTA"/>
    <x v="0"/>
    <d v="1899-12-30T01:00:00"/>
    <d v="2025-12-16T01:25:00"/>
    <d v="2025-12-16T02:25:00"/>
    <d v="1899-12-30T01:00:00"/>
  </r>
  <r>
    <n v="415"/>
    <m/>
    <m/>
    <m/>
    <x v="5"/>
    <m/>
    <m/>
    <m/>
    <m/>
    <x v="3"/>
    <m/>
    <m/>
    <m/>
    <m/>
    <m/>
    <x v="1"/>
    <d v="1899-12-30T00:00:00"/>
    <d v="1899-12-30T00:00:00"/>
    <d v="1899-12-30T00:00:00"/>
    <d v="1899-12-30T00:00:00"/>
  </r>
  <r>
    <n v="416"/>
    <s v="L. GARZON"/>
    <d v="1899-12-30T23:56:00"/>
    <d v="2025-12-16T00:00:00"/>
    <x v="13"/>
    <s v="Puntual"/>
    <s v="Temperatura molesta por termocupla que no esta haciendo buen contacto."/>
    <d v="1899-12-30T00:00:00"/>
    <d v="1899-12-30T00:15:00"/>
    <x v="48"/>
    <s v="Eléctrica"/>
    <s v="Se encuentra variando temperatura del setpoint, se encuentra conector con fallo, se ajusta conector y se realizan pruebas de funcionamiento."/>
    <s v="NA"/>
    <s v="NA"/>
    <s v="D. BAUTISTA"/>
    <x v="0"/>
    <d v="1899-12-30T00:15:00"/>
    <d v="2025-12-16T23:56:00"/>
    <d v="2025-12-16T00:15:00"/>
    <n v="-0.98680555555620231"/>
  </r>
  <r>
    <n v="417"/>
    <s v="D. BUESACO"/>
    <d v="1899-12-30T11:35:00"/>
    <d v="2025-12-17T00:00:00"/>
    <x v="0"/>
    <s v="Puntual"/>
    <s v="Fotocelda se le pide apoyo a mantenimiento por falla."/>
    <d v="1899-12-30T11:40:00"/>
    <d v="1899-12-30T14:15:00"/>
    <x v="49"/>
    <s v="Eléctrica"/>
    <s v="Se revisa la fotocelda y se encuentra OK, se evidencia la prensa sin resorte, se repone y se realiza calibración, se realiza calibración prensa transportadora corrigiendo falla."/>
    <s v="NA"/>
    <s v="NA"/>
    <s v="L. CASTILLA"/>
    <x v="0"/>
    <d v="1899-12-30T02:35:00"/>
    <d v="2025-12-17T11:35:00"/>
    <d v="2025-12-17T14:15:00"/>
    <d v="1899-12-30T02:40:00"/>
  </r>
  <r>
    <n v="418"/>
    <s v="J. MIRANDA"/>
    <d v="1899-12-30T15:50:00"/>
    <d v="2025-12-17T00:00:00"/>
    <x v="8"/>
    <s v="Puntual"/>
    <s v="Se quemo la manga de la coex3."/>
    <d v="1899-12-30T15:50:00"/>
    <d v="1899-12-30T16:20:00"/>
    <x v="49"/>
    <s v="Neumática"/>
    <s v="Manguera inferior del tratador quemada, se realiza reparación con silicona roja temporalmente, queda operativa."/>
    <s v="NA"/>
    <s v="NA"/>
    <s v="L. CASTILLA"/>
    <x v="0"/>
    <d v="1899-12-30T00:30:00"/>
    <d v="2025-12-17T15:50:00"/>
    <d v="2025-12-17T16:20:00"/>
    <d v="1899-12-30T00:30:00"/>
  </r>
  <r>
    <n v="419"/>
    <s v="R. OLIVARES"/>
    <d v="1899-12-30T11:00:00"/>
    <d v="2025-12-18T00:00:00"/>
    <x v="6"/>
    <s v="Puntual"/>
    <s v="Calibrar las celdas de carga."/>
    <d v="1899-12-30T11:00:00"/>
    <d v="1899-12-30T11:30:00"/>
    <x v="50"/>
    <s v="Mecánica"/>
    <s v="Se realiza calibración de celdas de carga en embobinadores."/>
    <s v="NA"/>
    <s v="NA"/>
    <s v="D. BAUTISTA"/>
    <x v="0"/>
    <d v="1899-12-30T00:30:00"/>
    <d v="2025-12-18T11:00:00"/>
    <d v="2025-12-18T11:30:00"/>
    <d v="1899-12-30T00:30:00"/>
  </r>
  <r>
    <n v="420"/>
    <m/>
    <m/>
    <m/>
    <x v="5"/>
    <m/>
    <m/>
    <m/>
    <m/>
    <x v="3"/>
    <m/>
    <m/>
    <m/>
    <m/>
    <m/>
    <x v="1"/>
    <d v="1899-12-30T00:00:00"/>
    <d v="1899-12-30T00:00:00"/>
    <d v="1899-12-30T00:00:00"/>
    <d v="1899-12-30T00:00:00"/>
  </r>
  <r>
    <n v="421"/>
    <s v="F. SANCHEZ"/>
    <d v="1899-12-30T18:50:00"/>
    <d v="2025-12-18T00:00:00"/>
    <x v="6"/>
    <s v="Puntual"/>
    <s v="Paleta del lado derecho no funciona para abrir y cerrar."/>
    <d v="1899-12-30T18:50:00"/>
    <d v="1899-12-30T19:20:00"/>
    <x v="50"/>
    <s v="Eléctrica"/>
    <s v="Circuito de motor posterior al tablero con conductor abierto, se realiza cambio."/>
    <s v="NA"/>
    <s v="NA"/>
    <s v="L. CASTILLA"/>
    <x v="0"/>
    <d v="1899-12-30T00:30:00"/>
    <d v="2025-12-18T18:50:00"/>
    <d v="2025-12-18T19:20:00"/>
    <d v="1899-12-30T00:30:00"/>
  </r>
  <r>
    <n v="422"/>
    <s v="D. ZAMORA"/>
    <d v="1899-12-30T20:30:00"/>
    <d v="2025-12-18T00:00:00"/>
    <x v="10"/>
    <s v="Puntual"/>
    <s v="Se entorcha la felpa con la manguera en el rebobinador superior."/>
    <d v="1899-12-30T20:35:00"/>
    <d v="1899-12-30T21:10:00"/>
    <x v="50"/>
    <s v="Mecánica"/>
    <s v="Mangeras entorchadas, se desmontan castañas, se fabrican felpa para realizar cambio."/>
    <s v="NA"/>
    <s v="Felpa"/>
    <s v="L. CASTILLA"/>
    <x v="0"/>
    <d v="1899-12-30T00:35:00"/>
    <d v="2025-12-18T20:30:00"/>
    <d v="2025-12-18T21:10:00"/>
    <d v="1899-12-30T00:40:00"/>
  </r>
  <r>
    <n v="423"/>
    <s v="C. BARAJAS"/>
    <d v="1899-12-30T06:50:00"/>
    <d v="2025-12-19T00:00:00"/>
    <x v="4"/>
    <s v="Puntual"/>
    <s v="Falla en la estática."/>
    <d v="1899-12-30T06:50:00"/>
    <d v="1899-12-30T07:40:00"/>
    <x v="51"/>
    <s v="Eléctrica"/>
    <s v="Organizar circuito falla en tratador."/>
    <s v="NA"/>
    <s v="NA"/>
    <s v="O. DUARTE"/>
    <x v="0"/>
    <d v="1899-12-30T00:50:00"/>
    <d v="2025-12-19T06:50:00"/>
    <d v="2025-12-19T07:40:00"/>
    <d v="1899-12-30T00:50:00"/>
  </r>
  <r>
    <n v="424"/>
    <s v="H. TRIANA"/>
    <d v="1899-12-30T08:50:00"/>
    <d v="2025-12-19T00:00:00"/>
    <x v="8"/>
    <s v="Puntual"/>
    <s v="Se daña el rodamiento de la varilla de embobinar rollos"/>
    <d v="1899-12-30T08:50:00"/>
    <d v="1899-12-30T09:45:00"/>
    <x v="51"/>
    <s v="Mecánica"/>
    <s v="Se evidencia rodamiento mal estado, se hace cambio, se da ajuste y se entrga al operario"/>
    <s v="1x Rodamiento 600622"/>
    <s v="NA"/>
    <s v="O. DUARTE"/>
    <x v="0"/>
    <d v="1899-12-30T00:55:00"/>
    <d v="2025-12-19T08:50:00"/>
    <d v="2025-12-19T09:45:00"/>
    <d v="1899-12-30T00:55:00"/>
  </r>
  <r>
    <n v="425"/>
    <s v="S. CARDENAL"/>
    <d v="1899-12-30T17:00:00"/>
    <d v="2025-12-19T00:00:00"/>
    <x v="0"/>
    <s v="Puntual"/>
    <s v="Correas sueltas"/>
    <d v="1899-12-30T17:00:00"/>
    <d v="1899-12-30T17:30:00"/>
    <x v="51"/>
    <s v="Mecánica"/>
    <s v="Cambiar arandelas y ajustar tornillos"/>
    <s v="Arandelas"/>
    <s v="NA"/>
    <s v="O. DUARTE"/>
    <x v="1"/>
    <d v="1899-12-30T00:30:00"/>
    <d v="2025-12-19T17:00:00"/>
    <d v="2025-12-19T17:30:00"/>
    <d v="1899-12-30T00:30:00"/>
  </r>
  <r>
    <n v="426"/>
    <s v="D. ZAMORA"/>
    <d v="1899-12-30T22:20:00"/>
    <d v="2025-12-19T00:00:00"/>
    <x v="10"/>
    <m/>
    <s v="Se entorcha con la felpa del rebobinador superior"/>
    <d v="1899-12-30T22:20:00"/>
    <d v="1899-12-30T22:40:00"/>
    <x v="51"/>
    <s v="Mecánica"/>
    <s v="Se realiza desmonte de castañas de bobinador superior y se acomodan mangueras neúmaticas del eje, se arma nuevamente, no se genera parada, se interviene en tiempo de refrigerio del operario"/>
    <s v="NA"/>
    <s v="NA"/>
    <s v="D. BAUTISTA"/>
    <x v="0"/>
    <d v="1899-12-30T00:20:00"/>
    <d v="2025-12-19T22:20:00"/>
    <d v="2025-12-19T22:40:00"/>
    <d v="1899-12-30T00:20:00"/>
  </r>
  <r>
    <n v="427"/>
    <s v="D. CUESTA"/>
    <d v="1899-12-30T00:20:00"/>
    <d v="2025-12-20T00:00:00"/>
    <x v="1"/>
    <s v="Puntual"/>
    <s v="Coex #3 hace corto en las mangas"/>
    <d v="1899-12-30T00:20:00"/>
    <d v="1899-12-30T03:00:00"/>
    <x v="26"/>
    <s v="Mecánica"/>
    <s v="Se encuentran mangas quemadas por exposición al arco sin pelicula, se retira material y se realiza limpieza, se requiere montar RQ para cambio de mangas ya que estan quemadas"/>
    <s v="NA"/>
    <s v="NA"/>
    <s v="D. BAUTISTA"/>
    <x v="0"/>
    <d v="1899-12-30T02:40:00"/>
    <d v="2025-12-20T00:20:00"/>
    <d v="2025-12-20T03:00:00"/>
    <d v="1899-12-30T02:40:00"/>
  </r>
  <r>
    <n v="428"/>
    <s v="L. GARZON"/>
    <d v="1899-12-30T22:00:00"/>
    <d v="2025-12-19T00:00:00"/>
    <x v="0"/>
    <s v="Puntual"/>
    <s v="Rodillo de transportador sin tornillo"/>
    <d v="1899-12-30T22:00:00"/>
    <d v="1899-12-30T22:12:00"/>
    <x v="51"/>
    <s v="Mecánica"/>
    <s v="Se realiza instalación de tornillo M6 x 20mm de sujeción de rodillo tensor del transportador"/>
    <s v="1x Tornillo M6 x 20mm"/>
    <s v="NA"/>
    <s v="D. BAUTISTA"/>
    <x v="0"/>
    <d v="1899-12-30T00:12:00"/>
    <d v="2025-12-19T22:00:00"/>
    <d v="2025-12-19T22:12:00"/>
    <d v="1899-12-30T00:12:00"/>
  </r>
  <r>
    <n v="429"/>
    <s v="E. BOHORQUEZ"/>
    <d v="1899-12-30T11:45:00"/>
    <d v="2025-12-30T00:00:00"/>
    <x v="5"/>
    <s v="Puntual"/>
    <s v="Falla en el transportador"/>
    <d v="1899-12-30T11:45:00"/>
    <d v="1899-12-30T12:05:00"/>
    <x v="52"/>
    <s v="Eléctrica"/>
    <s v="Se encuentra muletillo de accionamiento desacoplado, se dio ajuste y se realizan pruebas de arranque del transportador, se graduo frecuencia de variador de cuchillo para bajar golpes de 30 a 11.7 Hz"/>
    <s v="NA"/>
    <s v="NA"/>
    <s v="D. BAUTISTA"/>
    <x v="0"/>
    <d v="1899-12-30T00:20:00"/>
    <d v="2025-12-30T11:45:00"/>
    <d v="2025-12-30T12:05:00"/>
    <d v="1899-12-30T00:20:00"/>
  </r>
  <r>
    <n v="430"/>
    <s v="D. ZAMORA"/>
    <d v="1899-12-30T03:00:00"/>
    <d v="2025-12-20T00:00:00"/>
    <x v="10"/>
    <s v="Puntual"/>
    <s v="Se pincha manguera del rebobinador superior"/>
    <d v="1899-12-30T03:15:00"/>
    <d v="1899-12-30T03:25:00"/>
    <x v="26"/>
    <s v="Mecánica"/>
    <s v="Se encuentra mangueros atascados, se acomodan posición de los mangueros y se realizan pruebas quedando operativo"/>
    <s v="NA"/>
    <s v="NA"/>
    <s v="D. BAUTISTA"/>
    <x v="0"/>
    <d v="1899-12-30T00:10:00"/>
    <d v="2025-12-20T03:00:00"/>
    <d v="2025-12-20T03:25:00"/>
    <d v="1899-12-30T00:25:00"/>
  </r>
  <r>
    <n v="431"/>
    <s v="M. NIVIA"/>
    <d v="1899-12-30T03:50:00"/>
    <d v="2025-12-20T00:00:00"/>
    <x v="11"/>
    <s v="Puntual"/>
    <s v="Mordaza de corta cores no ajusto"/>
    <d v="1899-12-30T03:50:00"/>
    <d v="1899-12-30T04:20:00"/>
    <x v="26"/>
    <s v="Mecánica"/>
    <s v="Se encuentra rosca rodada de ajuste de mordaza, se instala tuerca para todnillo 5/16"/>
    <s v="NA"/>
    <s v="NA"/>
    <s v="D. BAUTISTA"/>
    <x v="0"/>
    <d v="1899-12-30T00:30:00"/>
    <d v="2025-12-20T03:50:00"/>
    <d v="2025-12-20T04:20:00"/>
    <d v="1899-12-30T00:30:00"/>
  </r>
  <r>
    <n v="432"/>
    <s v="D. ZAMORA"/>
    <d v="1899-12-30T14:15:00"/>
    <d v="2025-12-20T00:00:00"/>
    <x v="10"/>
    <s v="Puntual"/>
    <s v="Se encuentra la manguera con la felpa del rebobinador superior"/>
    <d v="1899-12-30T19:15:00"/>
    <d v="1899-12-30T19:50:00"/>
    <x v="26"/>
    <s v="Neumática"/>
    <s v="Se revisan mangueras, se desentorchan, se ajusta felpa y castañas, se hace prueba de fuga"/>
    <s v="NA"/>
    <s v="NA"/>
    <s v="O. DUARTE"/>
    <x v="0"/>
    <d v="1899-12-30T00:35:00"/>
    <d v="2025-12-20T14:15:00"/>
    <d v="2025-12-20T19:50:00"/>
    <d v="1899-12-30T05:35:00"/>
  </r>
  <r>
    <n v="433"/>
    <s v="J. MIRANDA"/>
    <d v="1899-12-30T23:50:00"/>
    <d v="2025-12-20T00:00:00"/>
    <x v="14"/>
    <s v="Puntual"/>
    <s v="Zonas de los tornillos estan mal elaborados"/>
    <m/>
    <m/>
    <x v="3"/>
    <m/>
    <s v="Se revisa motor aire forzado el cual se encuentra desfasado, se realizan pruebas en vacio y no arranca, se deja maquina sin aire forzado ya que no tenemos respuesta"/>
    <s v="NA"/>
    <s v="NA"/>
    <m/>
    <x v="2"/>
    <d v="1899-12-30T00:00:00"/>
    <d v="2025-12-20T23:50:00"/>
    <d v="1899-12-30T00:00:00"/>
    <n v="-46011.993055555555"/>
  </r>
  <r>
    <n v="434"/>
    <s v="H. ZEA"/>
    <d v="1899-12-30T07:00:00"/>
    <d v="2025-12-21T00:00:00"/>
    <x v="11"/>
    <m/>
    <s v="Corta cores no ajusto"/>
    <d v="1899-12-30T07:00:00"/>
    <d v="1899-12-30T07:30:00"/>
    <x v="53"/>
    <s v="Mecánica"/>
    <s v="Se encuentra rosca de ajuste de mordaza de ajuste partida, se remplaza tuerca"/>
    <s v="NA"/>
    <s v="NA"/>
    <s v="D. BAUTISTA"/>
    <x v="0"/>
    <d v="1899-12-30T00:30:00"/>
    <d v="2025-12-21T07:00:00"/>
    <d v="2025-12-21T07:30:00"/>
    <d v="1899-12-30T00:30:00"/>
  </r>
  <r>
    <n v="435"/>
    <s v="A. MIRANDA"/>
    <d v="1899-12-30T06:30:00"/>
    <d v="2025-12-21T00:00:00"/>
    <x v="6"/>
    <m/>
    <s v="Se alarma porque brazo no sube"/>
    <d v="1899-12-30T06:30:00"/>
    <d v="1899-12-30T07:00:00"/>
    <x v="53"/>
    <s v="Mecánica / Neumática"/>
    <s v="Brazo de descarga no sube, se cambia racor m6 x 1/4 y se lubrica soporte, se genero parada de máquina"/>
    <m/>
    <m/>
    <s v="D. BAUTISTA"/>
    <x v="0"/>
    <d v="1899-12-30T00:30:00"/>
    <d v="2025-12-21T06:30:00"/>
    <d v="2025-12-21T07:00:00"/>
    <d v="1899-12-30T00:30:00"/>
  </r>
  <r>
    <n v="436"/>
    <s v="L. GARZON"/>
    <d v="1899-12-30T03:17:00"/>
    <d v="2025-12-21T00:00:00"/>
    <x v="0"/>
    <s v="Puntual"/>
    <s v="Daño en transportador"/>
    <d v="1899-12-30T03:17:00"/>
    <d v="1899-12-30T03:30:00"/>
    <x v="54"/>
    <s v="Mecánica"/>
    <s v="Tornillo rodillo trasportador partido, se retira tornillo averiado y se remplaza quedando operacional"/>
    <s v="NA"/>
    <s v="NA"/>
    <s v="L. CASTILLA"/>
    <x v="0"/>
    <d v="1899-12-30T00:13:00"/>
    <d v="2025-12-21T03:17:00"/>
    <d v="2025-12-22T03:30:00"/>
    <d v="1899-12-31T00:13:00"/>
  </r>
  <r>
    <n v="437"/>
    <s v="E. BELLO"/>
    <d v="1899-12-30T09:30:00"/>
    <d v="2025-12-21T00:00:00"/>
    <x v="11"/>
    <m/>
    <s v="Corto en tablero de tornillo de alimentación"/>
    <d v="1899-12-30T09:30:00"/>
    <d v="1899-12-30T10:00:00"/>
    <x v="53"/>
    <s v="Eléctrica"/>
    <s v="Se encuentra cable de control de conexión de muletilla en mal estado, se realiza cambio de cable muletilla y se realizan pruebas quedando operancional"/>
    <s v="NA"/>
    <s v="NA"/>
    <s v="D. BAUTISTA"/>
    <x v="0"/>
    <d v="1899-12-30T00:30:00"/>
    <d v="2025-12-21T09:30:00"/>
    <d v="2025-12-21T10:00:00"/>
    <d v="1899-12-30T00:30:00"/>
  </r>
  <r>
    <n v="438"/>
    <m/>
    <m/>
    <m/>
    <x v="5"/>
    <m/>
    <m/>
    <m/>
    <m/>
    <x v="3"/>
    <m/>
    <m/>
    <m/>
    <m/>
    <m/>
    <x v="1"/>
    <d v="1899-12-30T00:00:00"/>
    <d v="1899-12-30T00:00:00"/>
    <d v="1899-12-30T00:00:00"/>
    <d v="1899-12-30T00:00:00"/>
  </r>
  <r>
    <n v="439"/>
    <s v="L. GARZON"/>
    <d v="1899-12-30T04:30:00"/>
    <d v="2025-12-22T00:00:00"/>
    <x v="4"/>
    <s v="Puntual"/>
    <s v="Problema con temperatura de la cuchilla se baja"/>
    <d v="1899-12-30T04:30:00"/>
    <d v="1899-12-30T04:40:00"/>
    <x v="54"/>
    <s v="Eléctrica"/>
    <s v="Protección de circuito de resistencia activada,se inspecciona circuito, no se encuentra anomalia"/>
    <s v="NA"/>
    <s v="NA"/>
    <s v="L. CASTILLA"/>
    <x v="0"/>
    <d v="1899-12-30T00:10:00"/>
    <d v="2025-12-22T04:30:00"/>
    <d v="2025-12-22T04:40:00"/>
    <d v="1899-12-30T00:10:00"/>
  </r>
  <r>
    <n v="440"/>
    <m/>
    <m/>
    <m/>
    <x v="5"/>
    <m/>
    <m/>
    <m/>
    <m/>
    <x v="3"/>
    <m/>
    <m/>
    <m/>
    <m/>
    <m/>
    <x v="1"/>
    <d v="1899-12-30T00:00:00"/>
    <d v="1899-12-30T00:00:00"/>
    <d v="1899-12-30T00:00:00"/>
    <d v="1899-12-30T00:00:00"/>
  </r>
  <r>
    <n v="441"/>
    <m/>
    <m/>
    <m/>
    <x v="5"/>
    <m/>
    <m/>
    <m/>
    <m/>
    <x v="3"/>
    <m/>
    <m/>
    <m/>
    <m/>
    <m/>
    <x v="1"/>
    <d v="1899-12-30T00:00:00"/>
    <d v="1899-12-30T00:00:00"/>
    <d v="1899-12-30T00:00:00"/>
    <d v="1899-12-30T00:00:00"/>
  </r>
  <r>
    <n v="442"/>
    <s v="S. CARDENAL"/>
    <d v="1899-12-30T18:40:00"/>
    <d v="2025-12-26T00:00:00"/>
    <x v="0"/>
    <m/>
    <s v="El brazo del balancin se cayo"/>
    <d v="1899-12-30T18:40:00"/>
    <d v="1899-12-30T19:00:00"/>
    <x v="55"/>
    <s v="Mecánica"/>
    <s v="Se conecta manguera en piston neumático y se ajusta con tornillos 6mm que faltaba"/>
    <s v="NA"/>
    <s v="Tornillo 6mm"/>
    <s v="O. DUARTE"/>
    <x v="0"/>
    <d v="1899-12-30T00:20:00"/>
    <d v="2025-12-26T18:40:00"/>
    <d v="2025-12-26T19:00:00"/>
    <d v="1899-12-30T00:20:00"/>
  </r>
  <r>
    <n v="443"/>
    <s v="B. RODRIGUEZ"/>
    <d v="1899-12-30T23:30:00"/>
    <m/>
    <x v="11"/>
    <m/>
    <s v="No ajustaba manzana de la cortadora de cores"/>
    <m/>
    <m/>
    <x v="3"/>
    <s v="Mecánica"/>
    <s v="Se cambia tornillo de ajuste, se cambia tuerca, se aplica soldadura, se solda estria de fijación"/>
    <s v="NA"/>
    <s v="NA"/>
    <s v="O. DUARTE"/>
    <x v="0"/>
    <d v="1899-12-30T00:00:00"/>
    <d v="1899-12-30T23:30:00"/>
    <d v="1899-12-30T00:00:00"/>
    <n v="-0.97916666666666663"/>
  </r>
  <r>
    <n v="444"/>
    <s v="C. BARAJAS"/>
    <d v="1899-12-30T03:04:00"/>
    <d v="2025-12-27T00:00:00"/>
    <x v="2"/>
    <m/>
    <s v="Levantamiento en uña (falla)"/>
    <d v="1899-12-30T03:04:00"/>
    <d v="1899-12-30T03:10:00"/>
    <x v="56"/>
    <s v="Mecánica"/>
    <s v="Se reubico posición de uña de flautas inferiores"/>
    <s v="NA"/>
    <s v="NA"/>
    <s v="D. BAUTISTA"/>
    <x v="0"/>
    <d v="1899-12-30T00:06:00"/>
    <d v="2025-12-27T03:04:00"/>
    <d v="2025-12-27T03:10:00"/>
    <d v="1899-12-30T00:06:00"/>
  </r>
  <r>
    <n v="445"/>
    <s v="C. BARAJAS"/>
    <d v="1899-12-30T15:15:00"/>
    <d v="2025-12-27T00:00:00"/>
    <x v="2"/>
    <m/>
    <s v="Se rompe base de los perforadores"/>
    <d v="1899-12-30T15:15:00"/>
    <d v="1899-12-30T16:20:00"/>
    <x v="56"/>
    <s v="Mecánica"/>
    <s v="Se encuentra soporte de perforadores partido, se soldó soporte, se reinstalo y quedo en operación"/>
    <s v="NA"/>
    <s v="NA"/>
    <s v="D. BAUTISTA"/>
    <x v="0"/>
    <d v="1899-12-30T01:05:00"/>
    <d v="2025-12-27T15:15:00"/>
    <d v="2025-12-27T16:20:00"/>
    <d v="1899-12-30T01:05:00"/>
  </r>
  <r>
    <n v="446"/>
    <s v="D. BUESACO"/>
    <d v="1899-12-30T16:20:00"/>
    <d v="2025-12-27T00:00:00"/>
    <x v="0"/>
    <m/>
    <s v="Daño de carretes en operación"/>
    <d v="1899-12-30T16:20:00"/>
    <d v="1899-12-30T17:30:00"/>
    <x v="56"/>
    <s v="Mecánica"/>
    <s v="Material se atasco en los carretes y en el momento de extraerlo se rompen 6 carretes. Se realizo desmonte de sistema carretes, se reubican posición de carretes y se cambia rodamiento 6002, se instalo y quedo operativo"/>
    <s v="NA"/>
    <s v="NA"/>
    <s v="D. BAUTISTA"/>
    <x v="0"/>
    <d v="1899-12-30T01:10:00"/>
    <d v="2025-12-27T16:20:00"/>
    <d v="2025-12-27T17:30:00"/>
    <d v="1899-12-30T01:10:00"/>
  </r>
  <r>
    <n v="447"/>
    <s v="D. BUESACO"/>
    <d v="1899-12-30T20:50:00"/>
    <d v="2025-12-28T00:00:00"/>
    <x v="0"/>
    <m/>
    <s v="Falla perforadores"/>
    <d v="1899-12-30T20:50:00"/>
    <d v="1899-12-30T21:10:00"/>
    <x v="57"/>
    <s v="Mecánica"/>
    <s v="Se instaló tornillo m10 x 35mm de ajuste de actuador de perforadores ya que se parte, quedó en operación"/>
    <s v="NA"/>
    <s v="Tornillo m10 x 35mm"/>
    <s v="D. BAUTISTA"/>
    <x v="0"/>
    <d v="1899-12-30T00:20:00"/>
    <d v="2025-12-28T20:50:00"/>
    <d v="2025-12-28T21:10:00"/>
    <d v="1899-12-30T00:20:00"/>
  </r>
  <r>
    <n v="448"/>
    <s v="L. GARZON"/>
    <d v="1899-12-30T06:10:00"/>
    <d v="2025-12-28T00:00:00"/>
    <x v="4"/>
    <m/>
    <s v="Falla en cilindro de perforadores"/>
    <d v="1899-12-30T06:10:00"/>
    <d v="1899-12-30T06:55:00"/>
    <x v="57"/>
    <s v="Mecánica"/>
    <s v="Se le einstala tuerca para dar ajuste en presiona piston de perforadores"/>
    <s v="NA"/>
    <s v="NA"/>
    <s v="O. DUARTE"/>
    <x v="0"/>
    <d v="1899-12-30T00:45:00"/>
    <d v="2025-12-28T06:10:00"/>
    <d v="2025-12-28T06:55:00"/>
    <d v="1899-12-30T00:45:00"/>
  </r>
  <r>
    <n v="449"/>
    <s v="S. CARDENAL"/>
    <d v="1899-12-30T01:50:00"/>
    <d v="2025-12-29T00:00:00"/>
    <x v="0"/>
    <m/>
    <s v="Botón del transportador se solto"/>
    <d v="1899-12-30T01:30:00"/>
    <d v="1899-12-30T02:05:00"/>
    <x v="58"/>
    <s v="Mecánica"/>
    <s v="Se encuentra muletilla de arranque de transportador desacoplada, se realiza ajuste y se entrega operativo"/>
    <s v="NA"/>
    <s v="NA"/>
    <s v="D. BAUTISTA"/>
    <x v="0"/>
    <d v="1899-12-30T00:35:00"/>
    <d v="2025-12-29T01:50:00"/>
    <d v="2025-12-29T02:05:00"/>
    <d v="1899-12-30T00:15:00"/>
  </r>
  <r>
    <n v="450"/>
    <s v="S. CARDENAL"/>
    <d v="1899-12-30T03:10:00"/>
    <d v="2025-12-29T00:00:00"/>
    <x v="4"/>
    <m/>
    <s v="Flautas se doblaron"/>
    <d v="1899-12-30T03:10:00"/>
    <d v="1899-12-30T03:50:00"/>
    <x v="58"/>
    <s v="Mecánica"/>
    <s v="Se enderezan uñas de las flautas"/>
    <s v="NA"/>
    <s v="NA"/>
    <s v="D. BAUTISTA"/>
    <x v="0"/>
    <d v="1899-12-30T00:40:00"/>
    <d v="2025-12-29T03:10:00"/>
    <d v="2025-12-29T03:50:00"/>
    <d v="1899-12-30T00:40:00"/>
  </r>
  <r>
    <n v="451"/>
    <s v="R. MEJIA"/>
    <d v="1899-12-30T04:10:00"/>
    <d v="2025-12-29T00:00:00"/>
    <x v="7"/>
    <s v="Puntual"/>
    <s v="Diferencial no responde "/>
    <d v="1899-12-30T04:10:00"/>
    <d v="1899-12-30T05:30:00"/>
    <x v="58"/>
    <s v="Eléctrica"/>
    <s v="Se realizo inspección a circuito eléctrico de control de accionamiento, se encuentran en buen estado los componentes, se encuentra cable del control abierto ( de control a circuito diferencial) se remplazo cable y quedo operacional"/>
    <s v="NA"/>
    <s v="NA"/>
    <s v="D. BAUTISTA"/>
    <x v="0"/>
    <d v="1899-12-30T01:20:00"/>
    <d v="2025-12-29T04:10:00"/>
    <d v="2025-12-29T05:30:00"/>
    <d v="1899-12-30T01:20:00"/>
  </r>
  <r>
    <n v="452"/>
    <m/>
    <m/>
    <m/>
    <x v="5"/>
    <m/>
    <m/>
    <m/>
    <m/>
    <x v="3"/>
    <m/>
    <m/>
    <m/>
    <m/>
    <m/>
    <x v="1"/>
    <d v="1899-12-30T00:00:00"/>
    <d v="1899-12-30T00:00:00"/>
    <d v="1899-12-30T00:00:00"/>
    <d v="1899-12-30T00:00:00"/>
  </r>
  <r>
    <n v="453"/>
    <s v="H. TRIANA"/>
    <d v="1899-12-30T05:25:00"/>
    <d v="2025-12-29T00:00:00"/>
    <x v="1"/>
    <s v="Repetitiva"/>
    <s v="Quitar torta en coex #4"/>
    <d v="1899-12-30T09:00:00"/>
    <d v="1899-12-30T09:45:00"/>
    <x v="52"/>
    <s v="Mecánica"/>
    <s v="Se retiro exceso de torta rotación coex 4, se conecta cable portamallas suelto, quedo listo para arrancar"/>
    <s v="NA"/>
    <s v="NA"/>
    <s v="D. BAUTISTA"/>
    <x v="0"/>
    <d v="1899-12-30T00:45:00"/>
    <d v="2025-12-29T05:25:00"/>
    <d v="2025-12-30T09:45:00"/>
    <d v="1899-12-31T04:20:00"/>
  </r>
  <r>
    <n v="454"/>
    <s v="J. PARDO"/>
    <d v="1899-12-30T16:00:00"/>
    <d v="2025-12-29T00:00:00"/>
    <x v="7"/>
    <m/>
    <s v="Daño en diferencial"/>
    <d v="1899-12-30T06:00:00"/>
    <d v="1899-12-30T08:20:00"/>
    <x v="52"/>
    <s v="Eléctrica"/>
    <s v="Se recibe turno con la novedad, se realiza inspección de cableado de control de funcionamiento, se adecuan cableados de comunicación entre los dis diferenciales, ya que se encuentra uno abierto y uno intercambiado y ademas contacto NC de final de carrea up de polipasto abierto, se realizan pruebas, se armo nuevamente, se cambio control y cable mando, quedo en operacio"/>
    <s v="NA"/>
    <s v="NA"/>
    <s v="D. BAUTISTA"/>
    <x v="0"/>
    <d v="1899-12-30T02:20:00"/>
    <d v="2025-12-29T16:00:00"/>
    <d v="2025-12-30T08:20:00"/>
    <d v="1899-12-30T16:20:00"/>
  </r>
  <r>
    <n v="455"/>
    <s v="R. OLIVARES"/>
    <d v="1899-12-30T20:40:00"/>
    <d v="2025-12-29T00:00:00"/>
    <x v="6"/>
    <m/>
    <s v="Fuga de agua manguera de la transmision, tornillo ¨B¨ y corto del succionador de refile"/>
    <d v="1899-12-30T20:40:00"/>
    <d v="1899-12-30T21:12:00"/>
    <x v="58"/>
    <s v="Eléctrica"/>
    <s v="Se realiza empalme en cableado succionador del refile, presento corto, se ajusto manguera en caja tornillo ¨B¨"/>
    <s v="NA"/>
    <s v="NA"/>
    <s v="O. DUARTE"/>
    <x v="0"/>
    <d v="1899-12-30T00:32:00"/>
    <d v="2025-12-29T20:40:00"/>
    <d v="2025-12-29T21:12:00"/>
    <d v="1899-12-30T00:32:00"/>
  </r>
  <r>
    <n v="456"/>
    <s v="O. ALVARES"/>
    <d v="1899-12-30T15:45:00"/>
    <d v="2026-01-05T00:00:00"/>
    <x v="2"/>
    <s v="Puntual"/>
    <s v="Corto en el bloyer"/>
    <d v="1899-12-30T15:50:00"/>
    <d v="1899-12-30T16:00:00"/>
    <x v="59"/>
    <s v="Eléctrica"/>
    <s v="Aislamiento de corto y reparación"/>
    <s v="NA"/>
    <s v="Cinta aislante"/>
    <s v="J. SILVA"/>
    <x v="0"/>
    <d v="1899-12-30T00:10:00"/>
    <d v="2026-01-05T15:45:00"/>
    <d v="2025-01-05T16:00:00"/>
    <n v="-364.98958333333576"/>
  </r>
  <r>
    <n v="457"/>
    <s v="H. TRIANA"/>
    <d v="1899-12-30T15:50:00"/>
    <d v="2025-12-30T00:00:00"/>
    <x v="14"/>
    <s v="Repetitiva"/>
    <s v="Recalentamiento en tornillos, se suben 60 grados aprox"/>
    <m/>
    <m/>
    <x v="3"/>
    <m/>
    <m/>
    <m/>
    <m/>
    <m/>
    <x v="2"/>
    <d v="1899-12-30T00:00:00"/>
    <d v="2025-12-30T15:50:00"/>
    <d v="1899-12-30T00:00:00"/>
    <n v="-46021.659722222219"/>
  </r>
  <r>
    <n v="458"/>
    <s v="H. TRIANA"/>
    <d v="1899-12-30T06:06:00"/>
    <d v="2025-12-31T00:00:00"/>
    <x v="14"/>
    <s v="Puntual"/>
    <s v="Tornillos dañados de la tolva interior"/>
    <m/>
    <m/>
    <x v="3"/>
    <s v="Mecánica"/>
    <s v="Se revisa roscas se rectifica y se cambia tornillares, se da ajuste"/>
    <s v="NA"/>
    <s v="Tornillos m6 x 50 mm"/>
    <s v="O. DUARTE"/>
    <x v="0"/>
    <d v="1899-12-30T00:00:00"/>
    <d v="2025-12-31T06:06:00"/>
    <d v="1899-12-30T00:00:00"/>
    <n v="-46022.254166666666"/>
  </r>
  <r>
    <n v="459"/>
    <s v="R. OLIVARES"/>
    <d v="1899-12-30T18:20:00"/>
    <d v="2025-12-30T00:00:00"/>
    <x v="8"/>
    <m/>
    <s v="Son de la voquilla del molde coex 3 no esta calentando"/>
    <d v="1899-12-30T18:25:00"/>
    <d v="1899-12-30T19:08:00"/>
    <x v="52"/>
    <s v="Eléctrica"/>
    <s v="Reconexión de resistencia ya que estaba haciendo mal contacto"/>
    <s v="NA"/>
    <s v="NA"/>
    <s v="J. SILVA"/>
    <x v="0"/>
    <d v="1899-12-30T00:43:00"/>
    <d v="2025-12-30T18:20:00"/>
    <d v="2025-12-30T19:08:00"/>
    <d v="1899-12-30T00:48:00"/>
  </r>
  <r>
    <n v="460"/>
    <s v="R. OLIVARES"/>
    <d v="1899-12-30T20:30:00"/>
    <d v="2025-12-30T00:00:00"/>
    <x v="8"/>
    <m/>
    <s v="Son del molde coex 3 se recalento y no baja la temperatura"/>
    <d v="1899-12-30T21:50:00"/>
    <d v="1899-12-30T22:10:00"/>
    <x v="52"/>
    <s v="Eléctrica"/>
    <s v="Cambió de rele estado solido"/>
    <s v="Relé estado solido XSSR - DA2440W1"/>
    <s v="Relé estado solido XSSR - DA2440W1"/>
    <s v="J. SILVA"/>
    <x v="0"/>
    <d v="1899-12-30T00:20:00"/>
    <d v="2025-12-30T20:30:00"/>
    <d v="2025-12-30T22:10:00"/>
    <d v="1899-12-30T01:40:00"/>
  </r>
  <r>
    <n v="461"/>
    <s v="R. MEJIA"/>
    <d v="1899-12-30T22:00:00"/>
    <d v="2025-12-30T00:00:00"/>
    <x v="7"/>
    <m/>
    <s v="Los adaptadores del porta elisé se salen dejando rodamiento en el aire provocando falla en la compresión"/>
    <d v="1899-12-30T22:11:00"/>
    <d v="1899-12-30T22:30:00"/>
    <x v="52"/>
    <s v="Mecánica"/>
    <s v="Aplicar trabarosca para que no se corra de sitio"/>
    <s v="NA"/>
    <s v="Trabarosca"/>
    <s v="J. SILVA"/>
    <x v="0"/>
    <d v="1899-12-30T00:19:00"/>
    <d v="2025-12-30T22:00:00"/>
    <d v="2025-12-30T22:30:00"/>
    <d v="1899-12-30T00:30:00"/>
  </r>
  <r>
    <n v="462"/>
    <s v="R. MEJIA"/>
    <d v="1899-12-30T00:10:00"/>
    <d v="2025-12-30T00:00:00"/>
    <x v="7"/>
    <m/>
    <s v="Se daño rodamiento bobinador exactamente el rodamiento donde se va el eje neumatico"/>
    <d v="1899-12-30T12:30:00"/>
    <d v="1899-12-30T01:08:00"/>
    <x v="3"/>
    <s v="Mecánica"/>
    <s v="Cambios reemplazar rodamiento"/>
    <s v="Rodamiento"/>
    <s v="Rodamiento"/>
    <s v="J. SILVA"/>
    <x v="0"/>
    <n v="-0.47361111111111115"/>
    <d v="2025-12-30T00:10:00"/>
    <d v="1899-12-30T01:08:00"/>
    <n v="-46020.959722222222"/>
  </r>
  <r>
    <n v="463"/>
    <s v="R. MEJIA"/>
    <d v="1899-12-30T01:53:00"/>
    <d v="2025-12-31T00:00:00"/>
    <x v="7"/>
    <m/>
    <s v="Problemas con la diferencial"/>
    <d v="1899-12-30T02:10:00"/>
    <d v="1899-12-30T08:30:00"/>
    <x v="60"/>
    <s v="Mecánica"/>
    <s v="Se revisa la diferencial de diagnostico, es atascamiento por daño en el resorte de presion lado izquierdo, se debe bajar todo el diferencial/ para su cambio"/>
    <s v="NA"/>
    <s v="NA"/>
    <s v="J. SILVA Y D. BAUITISTA"/>
    <x v="0"/>
    <d v="1899-12-30T06:20:00"/>
    <d v="2025-12-31T01:53:00"/>
    <d v="2026-01-02T08:30:00"/>
    <d v="1900-01-01T06:37:00"/>
  </r>
  <r>
    <n v="464"/>
    <s v="R. OLIVARES"/>
    <d v="1899-12-30T00:30:00"/>
    <d v="2025-12-31T00:00:00"/>
    <x v="6"/>
    <m/>
    <s v="Se apago el chiller y la maquina coex 5 se empezo a calentar y a descalibrar"/>
    <d v="1899-12-30T00:35:00"/>
    <d v="1899-12-30T08:00:00"/>
    <x v="60"/>
    <s v="Eléctrica"/>
    <s v="Se revisa chiller, se identifica alarma, se hace procedimiento para reset pero no se resetea por multiples resets"/>
    <s v="NA"/>
    <s v="NA"/>
    <s v="J. SILVA"/>
    <x v="0"/>
    <d v="1899-12-30T07:25:00"/>
    <d v="2025-12-31T00:30:00"/>
    <d v="2026-01-02T08:00:00"/>
    <d v="1900-01-01T07:30:00"/>
  </r>
  <r>
    <n v="465"/>
    <s v="S. CARDENAL"/>
    <d v="1899-12-30T06:20:00"/>
    <d v="2026-01-02T00:00:00"/>
    <x v="4"/>
    <m/>
    <s v="Rodillo del transportador dañado"/>
    <d v="1899-12-30T06:30:00"/>
    <d v="1899-12-30T07:00:00"/>
    <x v="60"/>
    <s v="Mecánica"/>
    <s v="Se interviene maquina 6:30, se realizo desmonte y cambio de rodamiento 6001, se realiza montaje quedo en operación"/>
    <s v="NA"/>
    <s v="NA"/>
    <s v="D. BAUTISTA"/>
    <x v="0"/>
    <d v="1899-12-30T00:30:00"/>
    <d v="2026-01-02T06:20:00"/>
    <d v="2026-01-02T07:00:00"/>
    <d v="1899-12-30T00:40:00"/>
  </r>
  <r>
    <n v="466"/>
    <s v="S. CARDENAL"/>
    <d v="1899-12-30T09:10:00"/>
    <d v="2026-01-02T00:00:00"/>
    <x v="4"/>
    <m/>
    <s v="Rodillo antes del halador dañado"/>
    <d v="1899-12-30T09:40:00"/>
    <d v="1899-12-30T09:55:00"/>
    <x v="60"/>
    <s v="Mecánica"/>
    <s v="Rodillo dañado, se interviene, ajusta posición de rodamientos y se instalo pin segger 8mm, quedo en operación"/>
    <s v="NA"/>
    <s v="NA"/>
    <s v="D. BAUTISTA"/>
    <x v="0"/>
    <d v="1899-12-30T00:15:00"/>
    <d v="2026-01-02T09:10:00"/>
    <d v="2026-01-02T09:55:00"/>
    <d v="1899-12-30T00:45:00"/>
  </r>
  <r>
    <n v="467"/>
    <s v="B. GAITAN"/>
    <d v="1899-12-30T10:15:00"/>
    <d v="2026-01-02T00:00:00"/>
    <x v="11"/>
    <s v="Repetitiva"/>
    <s v="Fuga de liquido de frenos, rueda de tracción izquierda de equipo inactivo montacarga, IAC planta 2"/>
    <d v="1899-12-30T07:00:00"/>
    <d v="1899-12-30T09:00:00"/>
    <x v="60"/>
    <s v="Mecánica"/>
    <s v="Se recibe al proveedor para revisar los frenos, queda operativa"/>
    <s v="NA"/>
    <s v="NA"/>
    <s v="O. DUARTE"/>
    <x v="0"/>
    <d v="1899-12-30T02:00:00"/>
    <d v="2026-01-02T10:15:00"/>
    <d v="2026-01-02T09:00:00"/>
    <n v="-5.2083333335758653E-2"/>
  </r>
  <r>
    <n v="468"/>
    <s v="B. GAITAN"/>
    <d v="1899-12-30T10:15:00"/>
    <d v="2026-01-02T00:00:00"/>
    <x v="11"/>
    <s v="Repetitiva"/>
    <s v="Desprendimiento parrilla protectora carro portahorquillas, se evidencia que esta partida, montacarga electrica planta 1"/>
    <m/>
    <m/>
    <x v="3"/>
    <m/>
    <m/>
    <m/>
    <m/>
    <m/>
    <x v="1"/>
    <d v="1899-12-30T00:00:00"/>
    <d v="2026-01-02T10:15:00"/>
    <d v="1899-12-30T00:00:00"/>
    <n v="-46024.427083333336"/>
  </r>
  <r>
    <n v="469"/>
    <s v="R. OLIVARES"/>
    <d v="1899-12-30T08:30:00"/>
    <d v="2026-01-02T00:00:00"/>
    <x v="6"/>
    <s v="Puntual"/>
    <s v="Correa halador partida"/>
    <d v="1899-12-30T08:30:00"/>
    <d v="1899-12-30T09:30:00"/>
    <x v="60"/>
    <s v="Mecánica"/>
    <s v="Queda parada por falta de correas en el inventario_x000a_Se busca correa de backout en el taller, se encuentra, se hace requisición para la compra equipo"/>
    <s v="NA"/>
    <s v="NA"/>
    <s v="O. DUARTE"/>
    <x v="2"/>
    <d v="1899-12-30T01:00:00"/>
    <d v="2026-01-02T08:30:00"/>
    <d v="2026-01-02T09:30:00"/>
    <d v="1899-12-30T01:00:00"/>
  </r>
  <r>
    <n v="470"/>
    <s v="R. ALVARES"/>
    <d v="1899-12-30T08:30:00"/>
    <d v="2026-01-02T00:00:00"/>
    <x v="3"/>
    <m/>
    <s v="Correas de molino de refile dañadas"/>
    <d v="1899-12-30T08:30:00"/>
    <d v="1899-12-30T09:10:00"/>
    <x v="60"/>
    <s v="Mecánica"/>
    <s v="Se realizo cambio de correas B38(x3), se realizan pruebas en vacio y quedo listo para arranque"/>
    <s v="Correas B38"/>
    <s v="Correas B38"/>
    <s v="D. BAUTISTA"/>
    <x v="0"/>
    <d v="1899-12-30T00:40:00"/>
    <d v="2026-01-02T08:30:00"/>
    <d v="2026-01-02T09:10:00"/>
    <d v="1899-12-30T00:40:00"/>
  </r>
  <r>
    <n v="471"/>
    <s v="L. GALVIS"/>
    <d v="1899-12-30T08:05:00"/>
    <d v="2026-01-02T00:00:00"/>
    <x v="21"/>
    <m/>
    <s v="No enciende el variador del halador"/>
    <d v="1899-12-30T08:05:00"/>
    <d v="1899-12-30T08:25:00"/>
    <x v="60"/>
    <s v="Mecánica"/>
    <s v="Se realizo ajuste de conexiones electricas, se realizo reset y quedo en operación"/>
    <s v="NA"/>
    <s v="NA"/>
    <s v="D. BAUTISTA"/>
    <x v="0"/>
    <d v="1899-12-30T00:20:00"/>
    <d v="2026-01-02T08:05:00"/>
    <d v="2026-01-02T08:25:00"/>
    <d v="1899-12-30T00:20:00"/>
  </r>
  <r>
    <n v="472"/>
    <s v="S. CARDENAL"/>
    <d v="1899-12-30T12:20:00"/>
    <d v="2026-01-02T00:00:00"/>
    <x v="4"/>
    <m/>
    <s v="Termocupla dañada"/>
    <d v="1899-12-30T12:20:00"/>
    <d v="1899-12-30T12:30:00"/>
    <x v="60"/>
    <s v="Electrica"/>
    <s v="Se realizo cambio de termocupla tipo j de mordaza superior, quedo en operación"/>
    <s v="NA"/>
    <s v="NA"/>
    <s v="J. SILVA"/>
    <x v="0"/>
    <d v="1899-12-30T00:10:00"/>
    <d v="2026-01-02T12:20:00"/>
    <d v="2026-01-02T12:30:00"/>
    <d v="1899-12-30T00:10:00"/>
  </r>
  <r>
    <n v="473"/>
    <m/>
    <m/>
    <m/>
    <x v="5"/>
    <m/>
    <m/>
    <m/>
    <m/>
    <x v="3"/>
    <m/>
    <m/>
    <m/>
    <m/>
    <m/>
    <x v="1"/>
    <d v="1899-12-30T00:00:00"/>
    <d v="1899-12-30T00:00:00"/>
    <d v="1899-12-30T00:00:00"/>
    <d v="1899-12-30T00:00:00"/>
  </r>
  <r>
    <n v="474"/>
    <s v="H. TRIANA"/>
    <m/>
    <d v="2026-01-02T00:00:00"/>
    <x v="11"/>
    <s v="Puntual"/>
    <s v="Falla bascula"/>
    <m/>
    <m/>
    <x v="3"/>
    <m/>
    <m/>
    <m/>
    <m/>
    <m/>
    <x v="2"/>
    <d v="1899-12-30T00:00:00"/>
    <d v="2026-01-02T00:00:00"/>
    <d v="1899-12-30T00:00:00"/>
    <n v="-46024"/>
  </r>
  <r>
    <n v="475"/>
    <s v="S. CARDENAL"/>
    <d v="1899-12-30T06:30:00"/>
    <d v="2026-01-03T00:00:00"/>
    <x v="4"/>
    <m/>
    <s v="Termocupla partida y rodillo pegando a las correas"/>
    <m/>
    <d v="1899-12-30T11:30:00"/>
    <x v="61"/>
    <s v="Mecánica"/>
    <s v="Ajustar altura del rodillo, cambio de termocupla, se hace nuevamente roscado, ajustE y pruebas"/>
    <s v="NA"/>
    <s v="Termocupla y tornillos 5mmx 20mm"/>
    <s v="O. DUARTE"/>
    <x v="0"/>
    <d v="1899-12-30T11:30:00"/>
    <d v="2026-01-03T06:30:00"/>
    <d v="2026-01-03T11:30:00"/>
    <d v="1899-12-30T05:00:00"/>
  </r>
  <r>
    <n v="476"/>
    <s v="R. OLIVARES"/>
    <d v="1899-12-30T18:30:00"/>
    <d v="2026-01-03T00:00:00"/>
    <x v="8"/>
    <m/>
    <s v="Son 2 portamallas interior no sube temperatura"/>
    <d v="1899-12-30T18:30:00"/>
    <d v="1899-12-30T19:30:00"/>
    <x v="61"/>
    <s v="Eléctrica"/>
    <s v="Se cambia control temperatura, termocupla, relé estado solido, se toman consumos, esta sobre parametros de trabajo, se hace seguimiento. Se revisa circuito de control y de potencia, se ajustan conexiones, se parametriza controlador para operar con SSR y poder cerrar el circuito con el rele estado solido"/>
    <m/>
    <s v="Pinza amperimetrica, destornilladores"/>
    <s v="O. DUARTE"/>
    <x v="0"/>
    <d v="1899-12-30T01:00:00"/>
    <d v="2026-01-03T18:30:00"/>
    <d v="2026-01-03T19:30:00"/>
    <d v="1899-12-30T01:00:00"/>
  </r>
  <r>
    <n v="477"/>
    <s v="Y. BERNAL"/>
    <d v="1899-12-30T17:30:00"/>
    <d v="2026-01-03T00:00:00"/>
    <x v="11"/>
    <s v="Repetitiva"/>
    <s v="Se reporta cambio de empaque y mantenimiento general de chumaseras, mezclador externo y revisar ruido fuerte al encender mezclador"/>
    <d v="1899-12-30T20:00:00"/>
    <d v="1899-12-30T21:00:00"/>
    <x v="61"/>
    <s v="Mecánica"/>
    <s v="Se realizo cambio de chumacera UCF 208-S7 , inferior , se fabrico empaque en papel humedo y se instalo, se tensionan correas de transmisión y se lubrica chumacera superio, se realizan pruebas"/>
    <s v="NA"/>
    <s v="NA"/>
    <s v="D. BAUTISTA"/>
    <x v="0"/>
    <d v="1899-12-30T01:00:00"/>
    <d v="2026-01-03T17:30:00"/>
    <d v="2026-01-03T21:00:00"/>
    <d v="1899-12-30T03:30:00"/>
  </r>
  <r>
    <n v="478"/>
    <s v="S. CARDENAL"/>
    <d v="1899-12-30T07:40:00"/>
    <d v="2026-01-04T00:00:00"/>
    <x v="13"/>
    <m/>
    <s v="Racor dañado de un perforador"/>
    <d v="1899-12-30T08:35:00"/>
    <d v="1899-12-30T08:45:00"/>
    <x v="62"/>
    <s v="Mecánica"/>
    <s v="Racor M6 averiado, se realiza cambio por nuevo quedando OK, se atiende despues de la hora en TPM por intervención"/>
    <s v="Racor M6 x1"/>
    <s v="NA"/>
    <s v="L. CASTILLA"/>
    <x v="0"/>
    <d v="1899-12-30T00:10:00"/>
    <d v="2026-01-04T07:40:00"/>
    <d v="2026-01-04T08:45:00"/>
    <d v="1899-12-30T01:05:00"/>
  </r>
  <r>
    <n v="479"/>
    <s v="L. GALVIS"/>
    <d v="1899-12-30T07:30:00"/>
    <d v="2026-01-04T00:00:00"/>
    <x v="11"/>
    <m/>
    <s v="Motor no arranca del tornillo con una falla en el variador"/>
    <d v="1899-12-30T07:30:00"/>
    <d v="1899-12-30T12:10:00"/>
    <x v="62"/>
    <s v="Eléctrica"/>
    <s v="Variador presenta fallas por corto, se inspecciona circuito encontrando ventilador, ventilación forzada motor tornillo, se desmonta y se colocan aspas que se tenian en stock del motor COEX5 quedando OK"/>
    <s v="Aspas unidad"/>
    <s v="NA"/>
    <s v="L. CASTILLA"/>
    <x v="0"/>
    <d v="1899-12-30T04:40:00"/>
    <d v="2026-01-04T07:30:00"/>
    <d v="2026-01-04T12:10:00"/>
    <d v="1899-12-30T04:40:00"/>
  </r>
  <r>
    <n v="480"/>
    <s v="M. MARTINEZ"/>
    <d v="1899-12-30T20:45:00"/>
    <d v="2026-01-04T00:00:00"/>
    <x v="0"/>
    <m/>
    <s v="Rodillos y carretes no giran"/>
    <d v="1899-12-30T20:45:00"/>
    <d v="1899-12-30T21:15:00"/>
    <x v="62"/>
    <s v="Mecánica"/>
    <s v="Se ajustan piñones en ejes de carretes, quedan operativos"/>
    <s v="NA"/>
    <s v="NA"/>
    <s v="O. DUARTE"/>
    <x v="0"/>
    <d v="1899-12-30T00:30:00"/>
    <d v="2026-01-04T20:45:00"/>
    <d v="2026-01-04T21:15:00"/>
    <d v="1899-12-30T00:30:00"/>
  </r>
  <r>
    <n v="481"/>
    <s v="O. VALENCIA"/>
    <m/>
    <d v="2026-01-04T00:00:00"/>
    <x v="11"/>
    <s v="Puntual"/>
    <s v="Daño en agitador de tolva alimentación extrusora"/>
    <m/>
    <m/>
    <x v="3"/>
    <s v="Mecánica"/>
    <s v="Se revisa, se encuentra daño en caja reductora de agitador tolva alimentación"/>
    <s v="NA"/>
    <s v="NA"/>
    <m/>
    <x v="2"/>
    <d v="1899-12-30T00:00:00"/>
    <d v="2026-01-04T00:00:00"/>
    <d v="1899-12-30T00:00:00"/>
    <n v="-46026"/>
  </r>
  <r>
    <n v="482"/>
    <s v="C. BARAJAS"/>
    <d v="1899-12-30T07:00:00"/>
    <d v="2026-01-05T00:00:00"/>
    <x v="2"/>
    <m/>
    <s v="Falla en termocupla"/>
    <d v="1899-12-30T07:00:00"/>
    <d v="1899-12-30T07:30:00"/>
    <x v="63"/>
    <s v="Eléctrica"/>
    <s v="Se realizo cambio de termocupla"/>
    <s v="NA"/>
    <s v="Termocupla"/>
    <s v="D. BAUTITA"/>
    <x v="0"/>
    <d v="1899-12-30T00:30:00"/>
    <d v="2026-01-05T07:00:00"/>
    <d v="2026-01-05T07:30:00"/>
    <d v="1899-12-30T00:30:00"/>
  </r>
  <r>
    <n v="483"/>
    <s v="H. TRIANA"/>
    <d v="1899-12-30T19:00:00"/>
    <d v="2026-01-06T00:00:00"/>
    <x v="14"/>
    <m/>
    <s v="Cable de conexión resistencia molde hizo corto"/>
    <d v="1899-12-30T19:00:00"/>
    <d v="1899-12-30T19:20:00"/>
    <x v="64"/>
    <s v="Eléctrica"/>
    <s v="Se encuentra cable de conexción de resistencia de molde desconectado y sin terminal, se instalo terminal de ojo y se coloco en operación"/>
    <s v="NA"/>
    <s v="NA"/>
    <s v="D. BAUTITA"/>
    <x v="0"/>
    <d v="1899-12-30T00:20:00"/>
    <d v="2026-01-06T19:00:00"/>
    <d v="2026-01-06T19:20:00"/>
    <d v="1899-12-30T00:20:00"/>
  </r>
  <r>
    <n v="484"/>
    <s v="R. MEJIA"/>
    <d v="1899-12-30T08:40:00"/>
    <d v="2026-01-05T00:00:00"/>
    <x v="7"/>
    <s v="Puntual"/>
    <s v="Seguro del eje rebobinador se le partieron los tornillos"/>
    <d v="1899-12-30T08:50:00"/>
    <d v="1899-12-30T09:30:00"/>
    <x v="63"/>
    <s v="Mecánica"/>
    <s v="Se remplaza tornillo, se debe hacer roca ya que quedo una mitad adentro"/>
    <s v="Tornillo M10"/>
    <s v="Tornillo m10"/>
    <s v="J. SILVA Y D. BAUITISTA"/>
    <x v="0"/>
    <d v="1899-12-30T00:40:00"/>
    <d v="2026-01-05T08:40:00"/>
    <d v="2026-01-05T09:30:00"/>
    <d v="1899-12-30T00:50:00"/>
  </r>
  <r>
    <n v="485"/>
    <s v="S. CARDENAL"/>
    <d v="1899-12-30T14:55:00"/>
    <d v="2026-01-05T00:00:00"/>
    <x v="0"/>
    <m/>
    <s v="Servo no aprieta"/>
    <d v="1899-12-30T15:00:00"/>
    <d v="1899-12-30T15:30:00"/>
    <x v="63"/>
    <s v="Mecánica"/>
    <s v="Se instalo tornillo avellanado M10 x 20 mm, de resorte de ajuste de mordaza de servo, quedo en operación"/>
    <s v="Tornillo M10 x 20mm"/>
    <s v="NA"/>
    <s v="D. BAUTISTA"/>
    <x v="0"/>
    <d v="1899-12-30T00:30:00"/>
    <d v="2026-01-05T14:55:00"/>
    <d v="2026-01-05T15:30:00"/>
    <d v="1899-12-30T00:35:00"/>
  </r>
  <r>
    <n v="486"/>
    <m/>
    <m/>
    <m/>
    <x v="5"/>
    <m/>
    <m/>
    <m/>
    <m/>
    <x v="3"/>
    <m/>
    <m/>
    <m/>
    <m/>
    <m/>
    <x v="1"/>
    <d v="1899-12-30T00:00:00"/>
    <d v="1899-12-30T00:00:00"/>
    <d v="1899-12-30T00:00:00"/>
    <d v="1899-12-30T00:00:00"/>
  </r>
  <r>
    <n v="487"/>
    <s v="L. GARZON"/>
    <d v="1899-12-30T01:05:00"/>
    <d v="2026-01-06T00:00:00"/>
    <x v="4"/>
    <m/>
    <s v="Maquina se apaga constantemente"/>
    <d v="1899-12-30T01:05:00"/>
    <d v="1899-12-30T01:20:00"/>
    <x v="64"/>
    <s v="Eléctrica"/>
    <s v="Se realiza reset a la maquina y se hace ajuste a conectores de pantalla"/>
    <s v="NA"/>
    <s v="NA"/>
    <s v="L. CASTILLA"/>
    <x v="0"/>
    <d v="1899-12-30T00:15:00"/>
    <d v="2026-01-06T01:05:00"/>
    <d v="2026-01-06T01:20:00"/>
    <d v="1899-12-30T00:15:00"/>
  </r>
  <r>
    <n v="488"/>
    <s v="R. MEJIA"/>
    <d v="1899-12-30T11:25:00"/>
    <d v="2026-01-06T00:00:00"/>
    <x v="7"/>
    <m/>
    <s v="Quedo inactiva la impresora, no funciona para arrancar e imprimir"/>
    <d v="1899-12-30T11:25:00"/>
    <m/>
    <x v="64"/>
    <s v="Eléctrica"/>
    <s v="Se verifica la falla encontrando dos conectores de potencia y 2 pulsadores de control averiados"/>
    <s v="2 Pulsadores y 2 contactores 2A"/>
    <s v="NA"/>
    <s v="L. FLOREZ"/>
    <x v="0"/>
    <n v="-0.47569444444444442"/>
    <d v="2026-01-06T11:25:00"/>
    <d v="2026-01-06T00:00:00"/>
    <n v="-0.47569444444525288"/>
  </r>
  <r>
    <n v="489"/>
    <m/>
    <m/>
    <m/>
    <x v="5"/>
    <m/>
    <m/>
    <m/>
    <m/>
    <x v="3"/>
    <m/>
    <m/>
    <m/>
    <m/>
    <m/>
    <x v="1"/>
    <d v="1899-12-30T00:00:00"/>
    <d v="1899-12-30T00:00:00"/>
    <d v="1899-12-30T00:00:00"/>
    <d v="1899-12-30T00:00:00"/>
  </r>
  <r>
    <n v="490"/>
    <s v="H. TRIANA"/>
    <d v="1899-12-30T18:20:00"/>
    <d v="2026-01-06T00:00:00"/>
    <x v="14"/>
    <m/>
    <s v="Se solicitan tornillos para molde, Tornillo de molde no suelta ya que no se cuenta con llave"/>
    <d v="1899-12-30T18:20:00"/>
    <d v="1899-12-30T20:00:00"/>
    <x v="64"/>
    <s v="Mecánica"/>
    <s v="Se entregan 5 tornillos M14 con fabricación de lo pinta para ajuste en molde. Se encuentra tornillo de molde con cuadrante rodado, tornillo 9/16 x 2´´, se solda cuadrante a tornillo ya que no contamos con stock de esta referencia, se requiere rectifica las roscas de este molde"/>
    <s v="NA"/>
    <s v="NA"/>
    <s v="D. BAUTISTA"/>
    <x v="0"/>
    <d v="1899-12-30T01:40:00"/>
    <d v="2026-01-06T18:20:00"/>
    <d v="2026-01-06T20:00:00"/>
    <d v="1899-12-30T01:40:00"/>
  </r>
  <r>
    <n v="491"/>
    <s v="S. PATIÑO"/>
    <d v="1899-12-30T20:00:00"/>
    <d v="2026-01-06T00:00:00"/>
    <x v="6"/>
    <m/>
    <s v="Brazo de alimentación no retorna"/>
    <d v="1899-12-30T20:30:00"/>
    <d v="1899-12-30T21:00:00"/>
    <x v="64"/>
    <s v="Mecánica"/>
    <s v="Se realizo ajuste y lubricación de guia de brazo de alimentaciónya que no esta retornando, no generó para y quedó en operación"/>
    <s v="NA"/>
    <s v="NA"/>
    <s v="D. BAUTISTA"/>
    <x v="0"/>
    <d v="1899-12-30T00:30:00"/>
    <d v="2026-01-06T20:00:00"/>
    <d v="2026-01-06T21:00:00"/>
    <d v="1899-12-30T01:00:00"/>
  </r>
  <r>
    <n v="492"/>
    <s v="H. TRIANA"/>
    <d v="1899-12-30T21:40:00"/>
    <d v="2026-01-06T00:00:00"/>
    <x v="14"/>
    <m/>
    <s v="Temperatura molde baja"/>
    <d v="1899-12-30T21:40:00"/>
    <d v="1899-12-30T22:00:00"/>
    <x v="64"/>
    <s v="Eléctrica"/>
    <s v="Se realiza cambió de relé estado solido ya que se encuentra dañado, abierto, se realizan pruebas y quedo en operación"/>
    <s v="NA"/>
    <s v="NA"/>
    <s v="D. BAUTISTA"/>
    <x v="0"/>
    <d v="1899-12-30T00:20:00"/>
    <d v="2026-01-06T21:40:00"/>
    <d v="2026-01-06T22:00:00"/>
    <d v="1899-12-30T00:20:00"/>
  </r>
  <r>
    <n v="493"/>
    <s v="H. TRIANA"/>
    <d v="1899-12-30T05:00:00"/>
    <d v="2026-01-07T00:00:00"/>
    <x v="14"/>
    <s v="Puntual"/>
    <s v="Revisar rodillo banana, que presenta bote y arruga material"/>
    <m/>
    <m/>
    <x v="3"/>
    <m/>
    <m/>
    <m/>
    <m/>
    <m/>
    <x v="2"/>
    <d v="1899-12-30T00:00:00"/>
    <d v="2026-01-07T05:00:00"/>
    <d v="1899-12-30T00:00:00"/>
    <n v="-46029.208333333336"/>
  </r>
  <r>
    <n v="494"/>
    <s v="Y. BERNAL"/>
    <d v="1899-12-30T09:20:00"/>
    <d v="2026-01-07T00:00:00"/>
    <x v="11"/>
    <s v="Repetitiva"/>
    <s v="Se reporta a mantenimiento por recalentamiento de amterial mezclador externo"/>
    <m/>
    <m/>
    <x v="3"/>
    <m/>
    <m/>
    <m/>
    <m/>
    <m/>
    <x v="2"/>
    <d v="1899-12-30T00:00:00"/>
    <d v="2026-01-07T09:20:00"/>
    <d v="1899-12-30T00:00:00"/>
    <n v="-46029.388888888891"/>
  </r>
  <r>
    <n v="495"/>
    <s v="K. RAMOS"/>
    <d v="1899-12-30T11:10:00"/>
    <d v="2026-01-07T00:00:00"/>
    <x v="6"/>
    <s v="Puntual"/>
    <s v="Falla en el corte de la pelicual"/>
    <m/>
    <m/>
    <x v="3"/>
    <m/>
    <m/>
    <m/>
    <m/>
    <m/>
    <x v="2"/>
    <d v="1899-12-30T00:00:00"/>
    <d v="2026-01-07T11:10:00"/>
    <d v="1899-12-30T00:00:00"/>
    <n v="-46029.465277777781"/>
  </r>
  <r>
    <n v="496"/>
    <s v="S. CARDENAL"/>
    <d v="1899-12-30T18:20:00"/>
    <d v="2026-01-07T00:00:00"/>
    <x v="4"/>
    <m/>
    <s v="Bse de perforadores desoldada y  tornilleria en mal estado"/>
    <d v="1899-12-30T18:20:00"/>
    <d v="1899-12-30T19:15:00"/>
    <x v="64"/>
    <s v="Mecánica"/>
    <s v="Se aplica soldadura, se refuerza con platinas, se extraen tornillos rotos y se cambia los que estan en mal estado"/>
    <s v="Tornillos 8mm x 30 mm"/>
    <s v="Soldadura "/>
    <s v="O. DUARTE"/>
    <x v="0"/>
    <d v="1899-12-30T00:55:00"/>
    <d v="2026-01-07T18:20:00"/>
    <d v="2026-01-06T19:15:00"/>
    <n v="-0.96180555555474712"/>
  </r>
  <r>
    <n v="497"/>
    <s v="H. TRIANA"/>
    <d v="1899-12-30T06:40:00"/>
    <d v="2026-01-08T00:00:00"/>
    <x v="14"/>
    <s v="Puntual"/>
    <s v="No enciende el tratador"/>
    <d v="1899-12-30T06:40:00"/>
    <d v="1899-12-30T08:30:00"/>
    <x v="65"/>
    <s v="Eléctrica"/>
    <s v="Se intercambia tratador coex 4 a coex 2, ya que no deja subir potencia, se reviso y no se encuentra la falla, quedo trabajando coex 02, con el tratador de coex 04, se entrega 8:05, se realizo acompañamiento en el arranque hasta 8:30"/>
    <s v="NA"/>
    <s v="NA"/>
    <s v="D. BAUTISTA"/>
    <x v="0"/>
    <d v="1899-12-30T01:50:00"/>
    <d v="2026-01-08T06:40:00"/>
    <d v="2026-01-08T08:30:00"/>
    <d v="1899-12-30T01:50:00"/>
  </r>
  <r>
    <n v="498"/>
    <s v="R. OLIVARES"/>
    <d v="1899-12-30T08:30:00"/>
    <d v="2026-01-08T00:00:00"/>
    <x v="6"/>
    <s v="Puntual"/>
    <s v="Zona 10 tornillo A baja temperatura"/>
    <d v="1899-12-30T08:40:00"/>
    <d v="1899-12-30T09:00:00"/>
    <x v="65"/>
    <s v="Eléctrica"/>
    <s v="Se encuentra zona baja temperatura se inspecciona estado conectores resistencia y rele estado solido ya que breaker esta disparado, se reseteo y se realiza seguimiento"/>
    <s v="NA"/>
    <s v="NA"/>
    <s v="D. BAUTISTA"/>
    <x v="0"/>
    <d v="1899-12-30T00:20:00"/>
    <d v="2026-01-08T08:30:00"/>
    <d v="2026-01-08T09:00:00"/>
    <d v="1899-12-30T00:30:00"/>
  </r>
  <r>
    <n v="499"/>
    <s v="C. BARAJAS"/>
    <d v="1899-12-30T11:25:00"/>
    <d v="2026-01-08T00:00:00"/>
    <x v="0"/>
    <s v="Puntual"/>
    <s v="Daño en la base de los perforadores"/>
    <d v="1899-12-30T11:25:00"/>
    <d v="1899-12-30T11:45:00"/>
    <x v="65"/>
    <s v="Mecánica"/>
    <s v="Se cambió tornillo M10 x 20mm"/>
    <s v="Tornillo M10 x 20 mm"/>
    <s v="NA"/>
    <s v="D. BAUTISTA"/>
    <x v="0"/>
    <d v="1899-12-30T00:20:00"/>
    <d v="2026-01-08T11:25:00"/>
    <d v="2026-01-08T11:45:00"/>
    <d v="1899-12-30T00:20:00"/>
  </r>
  <r>
    <n v="500"/>
    <s v="L. GARZON"/>
    <d v="1899-12-30T23:40:00"/>
    <d v="2026-01-08T00:00:00"/>
    <x v="4"/>
    <s v="Puntual"/>
    <s v="Se solicita sacar filo a la cuchilla e instalar termocupla"/>
    <d v="1899-12-30T23:50:00"/>
    <d v="1899-12-30T00:10:00"/>
    <x v="66"/>
    <s v="Eléctrica"/>
    <s v="Se remplaza la termocupla ya que la otra estaba dañada y se afilo la cuhcilla"/>
    <s v="NA"/>
    <s v="Termocupla"/>
    <s v="J. SILVA"/>
    <x v="0"/>
    <n v="-0.98611111111111116"/>
    <d v="2026-01-08T23:40:00"/>
    <d v="2026-01-09T00:10:00"/>
    <d v="1899-12-30T00:30:00"/>
  </r>
  <r>
    <n v="501"/>
    <s v="H. TRIANA"/>
    <d v="1899-12-30T17:00:00"/>
    <d v="2026-01-08T00:00:00"/>
    <x v="14"/>
    <s v="Puntual"/>
    <s v="Falla en temperaturas"/>
    <d v="1899-12-30T17:00:00"/>
    <d v="1899-12-30T17:50:00"/>
    <x v="65"/>
    <s v="Eléctrica"/>
    <s v="Revisión de relé estado solido operativo, revisión resistencias operativas, revisión cableado, no se encuentra en mal estado. Contactor se evidencia que se pega y no se enclava bien, se despega, queda en seguimiento"/>
    <s v="NA"/>
    <s v="NA"/>
    <s v="O. DUARTE"/>
    <x v="0"/>
    <d v="1899-12-30T00:50:00"/>
    <d v="2026-01-08T17:00:00"/>
    <d v="2026-01-08T17:50:00"/>
    <d v="1899-12-30T00:50:00"/>
  </r>
  <r>
    <n v="502"/>
    <s v="J. BRICEÑO"/>
    <d v="1899-12-30T21:52:00"/>
    <d v="2026-01-08T00:00:00"/>
    <x v="7"/>
    <m/>
    <s v="Acople de bomba electrica roto"/>
    <d v="1899-12-30T21:53:00"/>
    <d v="1899-12-30T21:59:00"/>
    <x v="65"/>
    <s v="Mecánica"/>
    <s v="Se desvara con otro registro de una bomba deshabilitada, queda OK"/>
    <s v="NA"/>
    <s v="NA"/>
    <s v="J. SILVA"/>
    <x v="0"/>
    <d v="1899-12-30T00:06:00"/>
    <d v="2026-01-08T21:52:00"/>
    <d v="2026-01-08T21:59:00"/>
    <d v="1899-12-30T00:07:00"/>
  </r>
  <r>
    <n v="503"/>
    <s v="B. RODRIGUEZ"/>
    <d v="1899-12-30T22:30:00"/>
    <d v="2026-01-07T00:00:00"/>
    <x v="11"/>
    <m/>
    <s v="La corona se traba al moverla"/>
    <d v="1899-12-30T22:30:00"/>
    <d v="1899-12-30T23:30:00"/>
    <x v="67"/>
    <s v="Mecánica"/>
    <s v="Se realiza pulido de tubo de soporte de corona para quitar defectos por mala manipulación al momento de ajustar"/>
    <s v="NA"/>
    <s v="NA"/>
    <s v="J. SILVA"/>
    <x v="0"/>
    <d v="1899-12-30T01:00:00"/>
    <d v="2026-01-07T22:30:00"/>
    <d v="2026-01-01T23:30:00"/>
    <n v="-5.9583333333357587"/>
  </r>
  <r>
    <n v="504"/>
    <s v="K. RAMOS"/>
    <d v="1899-12-30T00:10:00"/>
    <d v="2026-01-09T00:00:00"/>
    <x v="6"/>
    <m/>
    <s v="Molino atascado en codo de la tuberia"/>
    <d v="1899-12-30T00:11:00"/>
    <d v="1899-12-30T00:15:00"/>
    <x v="66"/>
    <s v="Mecánica"/>
    <s v="Se revisa molino, se destrava y se deja funcionando"/>
    <s v="NA"/>
    <s v="NS"/>
    <s v="J. SILVA"/>
    <x v="0"/>
    <d v="1899-12-30T00:04:00"/>
    <d v="2026-01-09T00:10:00"/>
    <d v="2026-01-09T00:15:00"/>
    <d v="1899-12-30T00:05:00"/>
  </r>
  <r>
    <n v="505"/>
    <m/>
    <d v="1899-12-30T03:12:00"/>
    <d v="2026-01-09T00:00:00"/>
    <x v="7"/>
    <m/>
    <s v="Se salio rodillo lado bobinador"/>
    <d v="1899-12-30T03:15:00"/>
    <d v="1899-12-30T03:30:00"/>
    <x v="66"/>
    <s v="Mecánica"/>
    <s v="Encajar el rodillo en el soporte y darle ajuste para que no se salga"/>
    <s v="NA"/>
    <s v="NA"/>
    <s v="J. SILVA"/>
    <x v="0"/>
    <d v="1899-12-30T00:15:00"/>
    <d v="2026-01-09T03:12:00"/>
    <d v="2026-01-09T03:30:00"/>
    <d v="1899-12-30T00:18:00"/>
  </r>
  <r>
    <n v="506"/>
    <s v="R. MEJIA"/>
    <d v="1899-12-30T04:20:00"/>
    <d v="2026-01-09T00:00:00"/>
    <x v="7"/>
    <m/>
    <s v="Se desliza rodillo loco seguido al eje neumatico de bobinador"/>
    <d v="1899-12-30T04:20:00"/>
    <d v="1899-12-30T04:50:00"/>
    <x v="66"/>
    <s v="Mecánica"/>
    <s v="Se revisa, se encuentra que este con vaiven por falta de tornillos"/>
    <s v="Tornillos m4"/>
    <s v="NA"/>
    <m/>
    <x v="0"/>
    <d v="1899-12-30T00:30:00"/>
    <d v="2026-01-09T04:20:00"/>
    <d v="2026-01-09T04:50:00"/>
    <d v="1899-12-30T00:30:00"/>
  </r>
  <r>
    <n v="507"/>
    <s v="E. REYES"/>
    <d v="1899-12-30T06:40:00"/>
    <d v="2026-01-09T00:00:00"/>
    <x v="13"/>
    <m/>
    <s v="El material se enreda en las uñas y daño en la termocupla"/>
    <d v="1899-12-30T06:40:00"/>
    <d v="1899-12-30T08:40:00"/>
    <x v="66"/>
    <s v="Mecánica, Eléctrica"/>
    <s v="Cambio de conector termocupla, cambio de termopaso termocupla, Ajuste de flautas caidas se realiza torque a tornillos, se realiza reset variador mordaza"/>
    <s v="Termocupla"/>
    <s v="NA"/>
    <s v="L. CASTILLA"/>
    <x v="0"/>
    <d v="1899-12-30T02:00:00"/>
    <d v="2026-01-09T06:40:00"/>
    <d v="2026-01-09T08:40:00"/>
    <d v="1899-12-30T02:00:00"/>
  </r>
  <r>
    <n v="508"/>
    <s v="E. REYES"/>
    <d v="1899-12-30T11:10:00"/>
    <d v="2026-01-09T00:00:00"/>
    <x v="4"/>
    <m/>
    <s v="Cilindro suelto"/>
    <d v="1899-12-30T11:10:00"/>
    <d v="1899-12-30T11:40:00"/>
    <x v="66"/>
    <s v="Mecánica"/>
    <s v="Cilindro mal armado, tornillos faltantes, se remplaza quedando OK"/>
    <s v="4x Tornillos M6 x 30"/>
    <s v="NA"/>
    <s v="L. CASTILLA"/>
    <x v="0"/>
    <d v="1899-12-30T00:30:00"/>
    <d v="2026-01-09T11:10:00"/>
    <d v="2026-01-09T11:40:00"/>
    <d v="1899-12-30T00:30:00"/>
  </r>
  <r>
    <n v="509"/>
    <s v="J. PARDO"/>
    <d v="1899-12-30T07:35:00"/>
    <d v="2026-01-09T00:00:00"/>
    <x v="7"/>
    <s v="Puntual"/>
    <s v="Se cae rodillo metalico (1) _x000a_Desgaste 18-03-2026"/>
    <d v="1899-12-30T07:35:00"/>
    <d v="1899-12-30T08:35:00"/>
    <x v="68"/>
    <s v="Mecánica"/>
    <s v="Se arregla soporte de rodillo ya que se encuentra con zuncho sujetando mal, se le instala unas abrazaderas metalicas y queda OK"/>
    <s v="2x Abrazadera Media luna 1/2&quot;"/>
    <s v="NA"/>
    <s v="J. SILVA"/>
    <x v="0"/>
    <d v="1899-12-30T01:00:00"/>
    <d v="2026-01-09T07:35:00"/>
    <d v="2026-03-27T08:35:00"/>
    <d v="1900-03-17T01:00:00"/>
  </r>
  <r>
    <n v="510"/>
    <m/>
    <m/>
    <m/>
    <x v="5"/>
    <m/>
    <m/>
    <m/>
    <m/>
    <x v="3"/>
    <m/>
    <m/>
    <m/>
    <m/>
    <m/>
    <x v="1"/>
    <d v="1899-12-30T00:00:00"/>
    <d v="1899-12-30T00:00:00"/>
    <d v="1899-12-30T00:00:00"/>
    <d v="1899-12-30T00:00:00"/>
  </r>
  <r>
    <n v="511"/>
    <m/>
    <m/>
    <m/>
    <x v="5"/>
    <m/>
    <m/>
    <m/>
    <m/>
    <x v="3"/>
    <m/>
    <m/>
    <m/>
    <m/>
    <m/>
    <x v="1"/>
    <d v="1899-12-30T00:00:00"/>
    <d v="1899-12-30T00:00:00"/>
    <d v="1899-12-30T00:00:00"/>
    <d v="1899-12-30T00:00:00"/>
  </r>
  <r>
    <n v="512"/>
    <s v="S. CARDENAL"/>
    <d v="1899-12-30T19:10:00"/>
    <d v="2026-01-09T00:00:00"/>
    <x v="0"/>
    <m/>
    <s v="Correa alimentadora del servo destencionada"/>
    <d v="1899-12-30T19:10:00"/>
    <d v="1899-12-30T19:25:00"/>
    <x v="66"/>
    <s v="Mecánica"/>
    <s v="Se revisa correa del servo, se encuentra destensionada , se corrige quedando operativa"/>
    <s v="NA"/>
    <s v="NA"/>
    <s v="O. DUARTE"/>
    <x v="0"/>
    <d v="1899-12-30T00:15:00"/>
    <d v="2026-01-09T19:10:00"/>
    <d v="2026-01-09T19:25:00"/>
    <d v="1899-12-30T00:15:00"/>
  </r>
  <r>
    <n v="513"/>
    <s v="W. SANDOVAL"/>
    <d v="1899-12-30T19:30:00"/>
    <d v="2026-01-09T00:00:00"/>
    <x v="25"/>
    <m/>
    <s v="Daño en el tensor de eje embobinador superior"/>
    <d v="1899-12-30T19:40:00"/>
    <d v="1899-12-30T01:10:00"/>
    <x v="69"/>
    <s v="Mecánica"/>
    <s v="Se hace cambio de discos de corte y se cambia tornillo en eje de embobinado, se debe hacer seguimiento ya que tiende a botar el eje"/>
    <s v="Tornillo M12 x 30mm, Arandela para ajuste por desgaste"/>
    <s v="NA"/>
    <s v="J. SILVA"/>
    <x v="0"/>
    <n v="-0.77083333333333326"/>
    <d v="2026-01-09T19:30:00"/>
    <d v="2026-01-10T01:10:00"/>
    <d v="1899-12-30T05:40:00"/>
  </r>
  <r>
    <n v="514"/>
    <s v="R. MEJIA"/>
    <d v="1899-12-30T20:35:00"/>
    <d v="2026-01-09T00:00:00"/>
    <x v="7"/>
    <s v="Puntual"/>
    <s v="Se daño guia que engrana con el piñon del eje neumatico del debobinador"/>
    <d v="1899-12-30T20:35:00"/>
    <d v="1899-12-30T21:26:00"/>
    <x v="69"/>
    <s v="Mecánica"/>
    <s v="Se hace cambio de rodamiento por desgaste"/>
    <s v="Rodamiento 6303201"/>
    <s v="NA"/>
    <s v="O. DUARTE"/>
    <x v="0"/>
    <d v="1899-12-30T00:51:00"/>
    <d v="2026-01-09T20:35:00"/>
    <d v="2026-01-10T21:26:00"/>
    <d v="1899-12-31T00:51:00"/>
  </r>
  <r>
    <n v="515"/>
    <s v="L. GARZON"/>
    <d v="1899-12-30T22:03:00"/>
    <d v="2026-01-09T00:00:00"/>
    <x v="0"/>
    <m/>
    <s v="Daño en la rosca de cilindro"/>
    <d v="1899-12-30T22:10:00"/>
    <d v="1899-12-30T22:20:00"/>
    <x v="66"/>
    <s v="Mecánica"/>
    <s v="Rectificación de rosca ya que el tornillo no apretaba"/>
    <s v="Tornillo M6"/>
    <s v="NA"/>
    <s v="J. SILVA"/>
    <x v="0"/>
    <d v="1899-12-30T00:10:00"/>
    <d v="2026-01-09T22:03:00"/>
    <d v="2026-01-09T22:20:00"/>
    <d v="1899-12-30T00:17:00"/>
  </r>
  <r>
    <n v="516"/>
    <s v="L. GARZON"/>
    <d v="1899-12-30T03:15:00"/>
    <d v="2026-01-10T00:00:00"/>
    <x v="0"/>
    <m/>
    <s v="Bloqueo en servomotor desajuste cilindro tensor"/>
    <d v="1899-12-30T03:20:00"/>
    <d v="1899-12-30T05:07:00"/>
    <x v="69"/>
    <s v="Mecánica, Eléctrica"/>
    <s v="Se reinicia la maquina para reset el servomotor, se ajusta el cilindro, la maquina vuelve a presentar falla y se interviene a las 4:22 y molesta nuevamente 4:55"/>
    <s v="NA"/>
    <s v="NA"/>
    <s v="J. SILVA"/>
    <x v="0"/>
    <d v="1899-12-30T01:47:00"/>
    <d v="2026-01-10T03:15:00"/>
    <d v="2026-01-10T05:07:00"/>
    <d v="1899-12-30T01:52:00"/>
  </r>
  <r>
    <n v="517"/>
    <s v="R. MEJIA"/>
    <d v="1899-12-30T04:36:00"/>
    <d v="2026-01-10T00:00:00"/>
    <x v="7"/>
    <m/>
    <s v="Bomba neumatica no succiona tinta, unidad #3"/>
    <d v="1899-12-30T04:42:00"/>
    <d v="1899-12-30T05:15:00"/>
    <x v="69"/>
    <s v="Mecánica"/>
    <s v="Se revisa el filtro y el balin se limpia, se coloca en su sitio y queda funcionando OK"/>
    <s v="NA"/>
    <s v="NA"/>
    <s v="J. SILVA"/>
    <x v="0"/>
    <d v="1899-12-30T00:33:00"/>
    <d v="2026-01-10T04:36:00"/>
    <d v="2026-01-10T05:15:00"/>
    <d v="1899-12-30T00:39:00"/>
  </r>
  <r>
    <n v="518"/>
    <m/>
    <m/>
    <m/>
    <x v="5"/>
    <m/>
    <m/>
    <m/>
    <m/>
    <x v="3"/>
    <m/>
    <m/>
    <m/>
    <m/>
    <m/>
    <x v="1"/>
    <d v="1899-12-30T00:00:00"/>
    <d v="1899-12-30T00:00:00"/>
    <d v="1899-12-30T00:00:00"/>
    <d v="1899-12-30T00:00:00"/>
  </r>
  <r>
    <n v="519"/>
    <s v="D. ZAMORA"/>
    <d v="1899-12-30T08:20:00"/>
    <d v="2026-01-10T00:00:00"/>
    <x v="10"/>
    <m/>
    <s v="Cambio de piston"/>
    <d v="1899-12-30T08:20:00"/>
    <d v="1899-12-30T08:30:00"/>
    <x v="69"/>
    <s v="Mecánica"/>
    <s v="Se realiza cambio de pisador inferior para trabajar lamina"/>
    <s v="NA"/>
    <s v="NA"/>
    <s v="D. BAUTISTA"/>
    <x v="0"/>
    <d v="1899-12-30T00:10:00"/>
    <d v="2026-01-10T08:20:00"/>
    <d v="2026-01-10T08:30:00"/>
    <d v="1899-12-30T00:10:00"/>
  </r>
  <r>
    <n v="520"/>
    <s v="J. PARDO"/>
    <d v="1899-12-30T08:45:00"/>
    <d v="2026-01-10T00:00:00"/>
    <x v="7"/>
    <m/>
    <s v="Ajuste de mordaza"/>
    <d v="1899-12-30T08:45:00"/>
    <d v="1899-12-30T09:15:00"/>
    <x v="69"/>
    <s v="Mecánica"/>
    <s v="Se realiza desmonte de pieza, se cambia tornillo M6x 20 mm, se instala helicoidal m10 para el ajuste, cambio tornillo M10x80 mm"/>
    <s v="Tornillo M6 x 20mm y M10 x 8mm"/>
    <s v="NA"/>
    <s v="D. BAUTISTA"/>
    <x v="0"/>
    <d v="1899-12-30T00:30:00"/>
    <d v="2026-01-10T08:45:00"/>
    <d v="2026-01-10T09:15:00"/>
    <d v="1899-12-30T00:30:00"/>
  </r>
  <r>
    <n v="521"/>
    <s v="R. MEJIA"/>
    <d v="1899-12-30T21:35:00"/>
    <d v="2026-01-10T00:00:00"/>
    <x v="7"/>
    <m/>
    <s v="Dejo de funcionar la bomba automatica unidad #2"/>
    <d v="1899-12-30T22:15:00"/>
    <d v="1899-12-30T22:30:00"/>
    <x v="69"/>
    <s v="Neúmatica"/>
    <s v="Se recibe bomba unidad #2 con falla de arranque, se verifican presiones, se revisan mangueras encontrando la de alimentación entorchada o partida evitando el paso o ingreso de pintura, se organiza manguera quedando operacional"/>
    <s v="NA"/>
    <s v="NA"/>
    <s v="L. CASTILLA"/>
    <x v="0"/>
    <d v="1899-12-30T00:15:00"/>
    <d v="2026-01-10T21:35:00"/>
    <d v="2026-01-10T22:30:00"/>
    <d v="1899-12-30T00:55:00"/>
  </r>
  <r>
    <n v="522"/>
    <s v="R. MEJIA"/>
    <d v="1899-12-30T02:56:00"/>
    <d v="2026-01-11T00:00:00"/>
    <x v="7"/>
    <s v="Puntual"/>
    <s v="Brazo de seguridad del eje neumatico en el bobinador, botó los tornillos"/>
    <d v="1899-12-30T02:56:00"/>
    <d v="1899-12-30T03:10:00"/>
    <x v="70"/>
    <s v="Mecánica"/>
    <s v="Tornillos averiados por bote en espigo del eje embobinador, se realiza cambio quedando OK"/>
    <s v="Tornillo M8 x 50mm"/>
    <s v="NA"/>
    <s v="L. CASTILLA"/>
    <x v="0"/>
    <d v="1899-12-30T00:14:00"/>
    <d v="2026-01-11T02:56:00"/>
    <d v="2026-01-11T03:10:00"/>
    <d v="1899-12-30T00:14:00"/>
  </r>
  <r>
    <n v="523"/>
    <s v="H. TRIANA"/>
    <d v="1899-12-30T08:24:00"/>
    <d v="2026-01-11T00:00:00"/>
    <x v="14"/>
    <s v="Repetitiva"/>
    <s v="Mangueras del ventilador hacia la corona rotas"/>
    <d v="1899-12-30T09:00:00"/>
    <d v="1899-12-30T09:23:00"/>
    <x v="70"/>
    <s v="Mecánica"/>
    <s v="Cambio (remplazo) de mangueras de 2´´"/>
    <s v="Manguera flexible 2´´x 6mts"/>
    <s v="NA"/>
    <s v="J. SILVA"/>
    <x v="0"/>
    <d v="1899-12-30T00:23:00"/>
    <d v="2026-01-11T08:24:00"/>
    <d v="2026-01-11T09:23:00"/>
    <d v="1899-12-30T00:59:00"/>
  </r>
  <r>
    <n v="524"/>
    <s v="H. TRIANA"/>
    <d v="1899-12-30T11:45:00"/>
    <d v="2026-01-11T00:00:00"/>
    <x v="14"/>
    <s v="Puntual"/>
    <s v="Cambio tornillos bristol de las coronas de los embobinadores"/>
    <m/>
    <m/>
    <x v="3"/>
    <m/>
    <m/>
    <m/>
    <m/>
    <m/>
    <x v="2"/>
    <d v="1899-12-30T00:00:00"/>
    <d v="2026-01-11T11:45:00"/>
    <d v="1899-12-30T00:00:00"/>
    <n v="-46033.489583333336"/>
  </r>
  <r>
    <n v="525"/>
    <s v="W. SANDOVAL"/>
    <d v="1899-12-30T12:45:00"/>
    <d v="2026-01-11T00:00:00"/>
    <x v="10"/>
    <m/>
    <s v="Falla en el sistema de refrigeración del eje desbobinador"/>
    <d v="1899-12-30T12:49:00"/>
    <d v="1899-12-30T13:45:00"/>
    <x v="70"/>
    <s v="Eléctrica"/>
    <s v="Se revisa conexión eléctrica una fase abierta"/>
    <s v="NA"/>
    <s v="NA"/>
    <s v="J. SILVA"/>
    <x v="0"/>
    <d v="1899-12-30T00:56:00"/>
    <d v="2026-01-11T12:45:00"/>
    <d v="2026-01-11T13:45:00"/>
    <d v="1899-12-30T01:00:00"/>
  </r>
  <r>
    <n v="526"/>
    <s v="H. TRIANA"/>
    <d v="1899-12-30T12:40:00"/>
    <d v="2026-01-11T00:00:00"/>
    <x v="14"/>
    <s v="Puntual"/>
    <s v="Falla en zona del codo"/>
    <d v="1899-12-30T14:30:00"/>
    <d v="1899-12-30T15:00:00"/>
    <x v="70"/>
    <s v="Eléctrica"/>
    <s v="Se encuentra relé de estado solido directo y por ello la temperatura esta elevada, se realizo el cambio, no genero parada"/>
    <s v="Relé estado solido"/>
    <s v="NA"/>
    <s v="D. BAUTISTA"/>
    <x v="0"/>
    <d v="1899-12-30T00:30:00"/>
    <d v="2026-01-11T12:40:00"/>
    <d v="2026-01-11T15:00:00"/>
    <d v="1899-12-30T02:20:00"/>
  </r>
  <r>
    <n v="527"/>
    <s v="H. TRIANA"/>
    <d v="1899-12-30T15:35:00"/>
    <d v="2026-01-11T00:00:00"/>
    <x v="14"/>
    <s v="Puntual"/>
    <s v="Mnaga inferior no enciende"/>
    <d v="1899-12-30T15:43:00"/>
    <d v="1899-12-30T16:00:00"/>
    <x v="70"/>
    <s v="Eléctrica"/>
    <s v="Se realizó conexión de manga inferior (presenta desgaste, la manga requiere cambio)"/>
    <s v="NA"/>
    <s v="NA"/>
    <s v="D. BAUTISTA"/>
    <x v="0"/>
    <d v="1899-12-30T00:17:00"/>
    <d v="2026-01-11T15:35:00"/>
    <d v="2026-01-11T16:00:00"/>
    <d v="1899-12-30T00:25:00"/>
  </r>
  <r>
    <n v="528"/>
    <s v="J. PARDO"/>
    <d v="1899-12-30T15:30:00"/>
    <d v="2026-01-11T00:00:00"/>
    <x v="7"/>
    <m/>
    <s v="Control se desconecta (de polipasto)"/>
    <d v="1899-12-30T15:30:00"/>
    <d v="1899-12-30T16:00:00"/>
    <x v="70"/>
    <s v="Eléctrica"/>
    <s v="Se encuentra cableado partido del control de funcionamiento del polipasto derecho (desconectado el cableado) se realiza reconexión de cableado o control de funcionamiento, se realizan pruebas y queda operatico"/>
    <s v="NA"/>
    <s v="NA"/>
    <s v="D. BAUTISTA"/>
    <x v="0"/>
    <d v="1899-12-30T00:30:00"/>
    <d v="2026-01-11T15:30:00"/>
    <d v="2026-01-11T16:00:00"/>
    <d v="1899-12-30T00:30:00"/>
  </r>
  <r>
    <n v="529"/>
    <s v="K. RAMOS"/>
    <d v="1899-12-30T03:00:00"/>
    <d v="2026-01-12T00:00:00"/>
    <x v="6"/>
    <s v="Puntual"/>
    <s v="Ruido anormal en eje embobinador"/>
    <d v="1899-12-30T03:00:00"/>
    <d v="1899-12-30T03:30:00"/>
    <x v="71"/>
    <s v="Mecánica"/>
    <s v="Se desmonta ese embobinador para inspección encontrando rodamiento en mal estado, se realiza cambió"/>
    <s v="Rodamientos 67092 x2 y 60062 x2"/>
    <s v="NA"/>
    <s v="L. CASTILLA"/>
    <x v="0"/>
    <d v="1899-12-30T00:30:00"/>
    <d v="2026-01-12T03:00:00"/>
    <d v="2026-01-12T03:30:00"/>
    <d v="1899-12-30T00:30:00"/>
  </r>
  <r>
    <n v="530"/>
    <s v="R. OLIVARES"/>
    <d v="1899-12-30T10:30:00"/>
    <d v="2026-01-12T00:00:00"/>
    <x v="6"/>
    <m/>
    <s v="Falla en el tratador"/>
    <d v="1899-12-30T10:30:00"/>
    <d v="1899-12-30T10:30:00"/>
    <x v="71"/>
    <s v="Eléctrica"/>
    <s v="Se realizo cambio de cable de potencia de manga (cuchillos) superior ya que se encuentra el otro cable partido, no se genero parada, quedo operativo"/>
    <s v="NA"/>
    <s v="NA"/>
    <s v="D. BAUTISTA"/>
    <x v="0"/>
    <d v="1899-12-30T00:00:00"/>
    <d v="2026-01-12T10:30:00"/>
    <d v="2026-01-12T10:30:00"/>
    <d v="1899-12-30T00:00:00"/>
  </r>
  <r>
    <n v="531"/>
    <s v="R. OLIVARES"/>
    <d v="1899-12-30T09:00:00"/>
    <d v="2026-01-12T00:00:00"/>
    <x v="6"/>
    <s v="Puntual"/>
    <s v="ANTIESTATICA CON DAÑO"/>
    <m/>
    <m/>
    <x v="3"/>
    <m/>
    <m/>
    <m/>
    <m/>
    <m/>
    <x v="1"/>
    <d v="1899-12-30T00:00:00"/>
    <d v="2026-01-12T09:00:00"/>
    <d v="1899-12-30T00:00:00"/>
    <n v="-46034.375"/>
  </r>
  <r>
    <n v="532"/>
    <s v="R. MEJIA"/>
    <d v="1899-12-30T00:50:00"/>
    <d v="2026-01-13T00:00:00"/>
    <x v="7"/>
    <s v="Puntual"/>
    <s v="Bobinador no funciona"/>
    <d v="1899-12-30T07:20:00"/>
    <d v="1899-12-30T11:50:00"/>
    <x v="72"/>
    <s v="Mecánica, Eléctrica"/>
    <s v="Inspección a circuito y partes mecanicas embobinador encontrando piñon de potenciometro balancin averiado, potenciomentro averiado y tarjeta, se rectifican con lima dientes de piñon, cambio de potenciometro y resistencia en tarjeta de control variador quedando operacional"/>
    <s v="1x potenciometro B202, 1x resistencia 10 kiloohm"/>
    <s v="NA"/>
    <s v="L. CASTILLA"/>
    <x v="0"/>
    <d v="1899-12-30T04:30:00"/>
    <d v="2026-01-13T00:50:00"/>
    <d v="2026-01-13T11:50:00"/>
    <d v="1899-12-30T11:00:00"/>
  </r>
  <r>
    <n v="533"/>
    <s v="S. PATIÑO"/>
    <d v="1899-12-30T07:00:00"/>
    <d v="2026-01-13T00:00:00"/>
    <x v="6"/>
    <s v="Puntual"/>
    <s v="Flautas de la rotaci'on descuadradas, pelicula no alinea"/>
    <d v="1899-12-30T07:00:00"/>
    <d v="1899-12-30T08:50:00"/>
    <x v="72"/>
    <s v="Mecánica"/>
    <s v="Se calibra flauta superior, se desmontan tensores correa de transimisión halador, se coloca suplemento fijado con soldadura para centrar, quedando OK"/>
    <s v="NA"/>
    <s v="Soldadura"/>
    <s v="L. CASTILLA"/>
    <x v="0"/>
    <d v="1899-12-30T01:50:00"/>
    <d v="2026-01-13T07:00:00"/>
    <d v="2026-01-13T08:50:00"/>
    <d v="1899-12-30T01:50:00"/>
  </r>
  <r>
    <n v="534"/>
    <s v="S. CARDENAL"/>
    <d v="1899-12-30T11:30:00"/>
    <d v="2026-01-13T00:00:00"/>
    <x v="4"/>
    <m/>
    <s v="Racor de los perforadores dañado"/>
    <d v="1899-12-30T11:50:00"/>
    <d v="1899-12-30T12:30:00"/>
    <x v="72"/>
    <s v="Neúmatica"/>
    <s v="Se rotaba haciendo intervensión en impresora, Racor averiado, se desmontan perforadores para cambio, quedando OK"/>
    <s v="1 Racor de 1/2 para M6"/>
    <s v="NA"/>
    <s v="L. CASTILLA"/>
    <x v="0"/>
    <d v="1899-12-30T00:40:00"/>
    <d v="2026-01-13T11:30:00"/>
    <d v="2026-01-13T12:30:00"/>
    <d v="1899-12-30T01:00:00"/>
  </r>
  <r>
    <n v="535"/>
    <s v="E. REYES"/>
    <d v="1899-12-30T07:50:00"/>
    <d v="2026-01-13T00:00:00"/>
    <x v="4"/>
    <m/>
    <s v="Temperatura se baja, afilada de cuchilla"/>
    <d v="1899-12-30T19:30:00"/>
    <d v="1899-12-30T20:30:00"/>
    <x v="72"/>
    <s v="Eléctrica"/>
    <s v="Se realiza proceso de afilado de cuchilla y se apoya en el montaje, se revisa temperatura de mordaza superior ya que se encuentra baja, se encuentra breaker disparado por aparente corto, se resetea y se realizan pruebas, se espera que al setpoint y se entrega operativa"/>
    <s v="NA"/>
    <s v="NA"/>
    <s v="D. BAUTISTA"/>
    <x v="0"/>
    <d v="1899-12-30T01:00:00"/>
    <d v="2026-01-13T07:50:00"/>
    <d v="2026-01-13T20:30:00"/>
    <d v="1899-12-30T12:40:00"/>
  </r>
  <r>
    <n v="536"/>
    <s v="E. REYES"/>
    <d v="1899-12-30T06:50:00"/>
    <d v="2026-01-13T00:00:00"/>
    <x v="13"/>
    <m/>
    <s v="Uñas enrredan material"/>
    <d v="1899-12-30T18:50:00"/>
    <d v="1899-12-30T19:00:00"/>
    <x v="72"/>
    <s v="Mecánica"/>
    <s v="Se calibra posición de uñas de las flautas, se realizan pruebas y quedo operativo"/>
    <s v="NA"/>
    <s v="NA"/>
    <s v="D. BAUTISTA"/>
    <x v="0"/>
    <d v="1899-12-30T00:10:00"/>
    <d v="2026-01-13T06:50:00"/>
    <d v="2026-01-13T19:00:00"/>
    <d v="1899-12-30T12:10:00"/>
  </r>
  <r>
    <n v="537"/>
    <s v="J. MIRANDA"/>
    <d v="1899-12-30T19:00:00"/>
    <d v="2026-01-13T00:00:00"/>
    <x v="14"/>
    <m/>
    <s v="Fabricación de soporte de plato"/>
    <d v="1899-12-30T19:00:00"/>
    <d v="1899-12-30T19:50:00"/>
    <x v="72"/>
    <s v="Mecánica"/>
    <s v="Se fabrica soporte de ajuste de plato a la corona y se realiza la instalación, se entrega al operario"/>
    <s v="NA"/>
    <s v="NA"/>
    <s v="D. BAUTISTA"/>
    <x v="0"/>
    <d v="1899-12-30T00:50:00"/>
    <d v="2026-01-13T19:00:00"/>
    <d v="2026-01-13T19:50:00"/>
    <d v="1899-12-30T00:50:00"/>
  </r>
  <r>
    <n v="538"/>
    <s v="S. CARDENAL"/>
    <d v="1899-12-30T06:15:00"/>
    <d v="2026-01-14T00:00:00"/>
    <x v="5"/>
    <m/>
    <s v="Temperatura de la mordaza inferior no sube"/>
    <d v="1899-12-30T06:15:00"/>
    <d v="1899-12-30T06:45:00"/>
    <x v="73"/>
    <s v="Eléctrica"/>
    <s v="Se realiza inspección en circuito resistencia inferior mordaza longitudinal encontrando cable abierto, se realiza cambio quedando OK"/>
    <s v="Cable #10 x 30 cm, 2x terminales ojo #10"/>
    <s v="NA"/>
    <s v="L. CASTILLA"/>
    <x v="0"/>
    <d v="1899-12-30T00:30:00"/>
    <d v="2026-01-14T06:15:00"/>
    <d v="2026-01-14T06:45:00"/>
    <d v="1899-12-30T00:30:00"/>
  </r>
  <r>
    <n v="539"/>
    <m/>
    <m/>
    <m/>
    <x v="5"/>
    <m/>
    <m/>
    <m/>
    <m/>
    <x v="3"/>
    <m/>
    <m/>
    <m/>
    <m/>
    <m/>
    <x v="1"/>
    <d v="1899-12-30T00:00:00"/>
    <d v="1899-12-30T00:00:00"/>
    <d v="1899-12-30T00:00:00"/>
    <d v="1899-12-30T00:00:00"/>
  </r>
  <r>
    <n v="540"/>
    <s v="H. TRIANA"/>
    <d v="1899-12-30T16:16:00"/>
    <d v="2026-01-14T00:00:00"/>
    <x v="8"/>
    <s v="Repetitiva"/>
    <s v="Tornillos bristol para las manzanas de las varillas de embobinador"/>
    <d v="1899-12-30T17:00:00"/>
    <d v="1899-12-30T17:40:00"/>
    <x v="73"/>
    <s v="Mecánica"/>
    <s v="Se instalan 3 prisioneros 3/8 x 1/2 y 5 prisioneros M10 x 20mm para manzanas de los ejes bobinadores"/>
    <s v="1x Prisioneros 3/8 x 1/2, 5x Prisioneros M10 x 20mm"/>
    <s v="NA"/>
    <s v="D. BAUTISTA"/>
    <x v="0"/>
    <d v="1899-12-30T00:40:00"/>
    <d v="2026-01-14T16:16:00"/>
    <d v="2026-01-14T17:40:00"/>
    <d v="1899-12-30T01:24:00"/>
  </r>
  <r>
    <n v="541"/>
    <s v="J. MIRANDA"/>
    <d v="1899-12-30T19:45:00"/>
    <d v="2026-01-14T00:00:00"/>
    <x v="8"/>
    <m/>
    <s v="Desajuste en el tratador y cables desajustados, Variador de la prensa no prende"/>
    <d v="1899-12-30T19:45:00"/>
    <d v="1899-12-30T20:30:00"/>
    <x v="73"/>
    <s v="Mecánica, Eléctrica"/>
    <s v="Puerta de tratador sin pasadores, se fabricam y se instalan, se apoya a cuadre, Se encuentra variador de prensa sin tensión, se inspecciona y se corrige fallo, se realiza acompañamiento en el arranque, se entrega para arranque "/>
    <s v="NA"/>
    <s v="NA"/>
    <s v="D. BAUTISTA"/>
    <x v="0"/>
    <d v="1899-12-30T00:45:00"/>
    <d v="2026-01-14T19:45:00"/>
    <d v="2026-01-14T20:30:00"/>
    <d v="1899-12-30T00:45:00"/>
  </r>
  <r>
    <n v="542"/>
    <s v="R. MEJIA"/>
    <d v="1899-12-30T04:00:00"/>
    <d v="2026-01-14T00:00:00"/>
    <x v="7"/>
    <s v="Puntual"/>
    <s v="Se salió balancin del desbobinador"/>
    <d v="1899-12-30T04:10:00"/>
    <d v="1899-12-30T04:40:00"/>
    <x v="73"/>
    <s v="Mecánica"/>
    <s v="Se sale el pin de la cadenilla, se le vuelve a instalar y nivelar para que no se tuersa la bolsa"/>
    <s v="NA"/>
    <s v="NA"/>
    <s v="J. SILVA"/>
    <x v="0"/>
    <d v="1899-12-30T00:30:00"/>
    <d v="2026-01-14T04:00:00"/>
    <d v="2026-01-14T04:40:00"/>
    <d v="1899-12-30T00:40:00"/>
  </r>
  <r>
    <n v="543"/>
    <s v="S. CARDENAL"/>
    <d v="1899-12-30T08:20:00"/>
    <d v="2026-01-15T00:00:00"/>
    <x v="6"/>
    <m/>
    <s v="Se rompio correa"/>
    <d v="1899-12-30T09:10:00"/>
    <d v="1899-12-30T09:45:00"/>
    <x v="74"/>
    <s v="Mecánica"/>
    <s v="Cambio de correa de mordaza inferior rotativa quedando OK"/>
    <s v="1x Correa mordaza"/>
    <s v="NA"/>
    <s v="L. CASTILLA"/>
    <x v="0"/>
    <d v="1899-12-30T00:35:00"/>
    <d v="2026-01-15T08:20:00"/>
    <d v="2026-01-15T09:45:00"/>
    <d v="1899-12-30T01:25:00"/>
  </r>
  <r>
    <n v="544"/>
    <s v="S. CARDENAL"/>
    <d v="1899-12-30T10:30:00"/>
    <d v="2026-01-15T00:00:00"/>
    <x v="4"/>
    <m/>
    <s v="Asegurar base de la cinta de seguridad y hacer guia para esta misma"/>
    <d v="1899-12-30T10:30:00"/>
    <d v="1899-12-30T12:45:00"/>
    <x v="74"/>
    <s v="Mecánica"/>
    <s v="Se realiza base para rodillo de cinta y guia para correr cinta"/>
    <s v="NA"/>
    <s v="NA"/>
    <s v="L. CASTILLA"/>
    <x v="0"/>
    <d v="1899-12-30T02:15:00"/>
    <d v="2026-01-15T10:30:00"/>
    <d v="2026-01-15T12:45:00"/>
    <d v="1899-12-30T02:15:00"/>
  </r>
  <r>
    <n v="545"/>
    <s v="F. SANCHEZ"/>
    <d v="1899-12-30T09:00:00"/>
    <d v="2026-01-15T00:00:00"/>
    <x v="6"/>
    <s v="Puntual"/>
    <s v="Porta cuchillas de corte de refile en mal estado y cuchilla no corta, por favor revisar por mantenimiento"/>
    <m/>
    <m/>
    <x v="3"/>
    <m/>
    <s v="Pendientes por programación para montaje de cuchillas"/>
    <m/>
    <m/>
    <m/>
    <x v="2"/>
    <d v="1899-12-30T00:00:00"/>
    <d v="2026-01-15T09:00:00"/>
    <d v="1899-12-30T00:00:00"/>
    <n v="-46037.375"/>
  </r>
  <r>
    <n v="546"/>
    <s v="F. SANCHEZ"/>
    <d v="1899-12-30T05:00:00"/>
    <d v="2026-01-15T00:00:00"/>
    <x v="6"/>
    <m/>
    <s v="Se recibe maquina parada, tratador prendido- FAJ en posición de trabajo, rotación freanda, enhebrado mal, paletas no funcionaban"/>
    <d v="1899-12-30T08:00:00"/>
    <d v="1899-12-30T09:20:00"/>
    <x v="74"/>
    <s v="Mecánica"/>
    <s v="Se verifica la falla encontrando la rotación frenada, las cunetas torcidas, los sin fin torcidos, se interviene todo y se entrega la maquina"/>
    <s v="NA"/>
    <s v="NA"/>
    <s v="L. CASTILLAS"/>
    <x v="0"/>
    <d v="1899-12-30T01:20:00"/>
    <d v="2026-01-15T05:00:00"/>
    <d v="2026-01-15T09:20:00"/>
    <d v="1899-12-30T04:20:00"/>
  </r>
  <r>
    <n v="547"/>
    <s v="S. CARDENAL"/>
    <d v="1899-12-30T12:45:00"/>
    <d v="2026-01-15T00:00:00"/>
    <x v="4"/>
    <m/>
    <s v="Falta de rodillo, Material se enreda en la uñas"/>
    <d v="1899-12-30T13:00:00"/>
    <d v="1899-12-30T15:03:00"/>
    <x v="74"/>
    <s v="Mecánica"/>
    <s v="Se fabrican soportes para el rodillo, eso permiete que la bolsa se tensione"/>
    <s v="Platinas de 1/4 x 18 cm"/>
    <s v="NA"/>
    <s v="J. SILVA"/>
    <x v="0"/>
    <d v="1899-12-30T02:03:00"/>
    <d v="2026-01-15T12:45:00"/>
    <d v="2026-01-15T15:03:00"/>
    <d v="1899-12-30T02:18:00"/>
  </r>
  <r>
    <n v="548"/>
    <s v="D. ARRIETA"/>
    <d v="1899-12-30T15:25:00"/>
    <d v="2026-01-15T00:00:00"/>
    <x v="7"/>
    <s v="Puntual"/>
    <s v="Cilindro para clichet y el piñon del anilox"/>
    <m/>
    <m/>
    <x v="3"/>
    <m/>
    <m/>
    <m/>
    <m/>
    <m/>
    <x v="2"/>
    <d v="1899-12-30T00:00:00"/>
    <d v="2026-01-15T15:25:00"/>
    <d v="1899-12-30T00:00:00"/>
    <n v="-46037.642361111109"/>
  </r>
  <r>
    <n v="549"/>
    <s v="H. TRIANA"/>
    <d v="1899-12-30T12:00:00"/>
    <d v="2026-01-15T00:00:00"/>
    <x v="8"/>
    <s v="Puntual"/>
    <s v="Manzana no sale de la varilla de embobinador"/>
    <d v="1899-12-30T18:30:00"/>
    <d v="1899-12-30T18:57:00"/>
    <x v="74"/>
    <s v="Mecánica"/>
    <s v="Pulir el eje para que asi la manzana gire libremente para su posicionamiento"/>
    <s v="NA"/>
    <s v="NA"/>
    <s v="J. SILVA"/>
    <x v="0"/>
    <d v="1899-12-30T00:27:00"/>
    <d v="2026-01-15T12:00:00"/>
    <d v="2026-01-15T18:57:00"/>
    <d v="1899-12-30T06:57:00"/>
  </r>
  <r>
    <n v="550"/>
    <s v="E. REYES"/>
    <d v="1899-12-30T18:40:00"/>
    <d v="2026-01-15T00:00:00"/>
    <x v="4"/>
    <m/>
    <s v="Daño en termocupla"/>
    <d v="1899-12-30T18:59:00"/>
    <d v="1899-12-30T20:55:00"/>
    <x v="74"/>
    <s v="Eléctrica"/>
    <s v="Termocupla dañada, pirometro presentando fallas, se modifica parametro y se cambia termocupla"/>
    <s v="Termocupla"/>
    <s v="NA"/>
    <s v="J. SILVA"/>
    <x v="0"/>
    <d v="1899-12-30T01:56:00"/>
    <d v="2026-01-15T18:40:00"/>
    <d v="2026-01-15T20:55:00"/>
    <d v="1899-12-30T02:15:00"/>
  </r>
  <r>
    <n v="551"/>
    <s v="E. REYES"/>
    <d v="1899-12-30T16:25:00"/>
    <d v="2026-01-15T00:00:00"/>
    <x v="4"/>
    <m/>
    <s v="Daño en la correa, Daño por tornillos en el rodillo, Fotocelda"/>
    <d v="1899-12-30T16:40:00"/>
    <d v="1899-12-30T18:10:00"/>
    <x v="74"/>
    <s v="Mecánica, Eléctrica"/>
    <s v="Se verifica correa esta por fuera de la linea de trabajo, se ajusta, se tensiona, se cambian tornillos por daño en rosca, se fabrica soporte fotocelda 18;10"/>
    <s v="Platinas y tornillos"/>
    <s v="NA"/>
    <s v="J. SILVA"/>
    <x v="0"/>
    <d v="1899-12-30T01:30:00"/>
    <d v="2026-01-15T16:25:00"/>
    <d v="2026-01-15T18:10:00"/>
    <d v="1899-12-30T01:45:00"/>
  </r>
  <r>
    <n v="552"/>
    <m/>
    <m/>
    <m/>
    <x v="5"/>
    <m/>
    <m/>
    <m/>
    <m/>
    <x v="3"/>
    <m/>
    <m/>
    <m/>
    <m/>
    <m/>
    <x v="1"/>
    <d v="1899-12-30T00:00:00"/>
    <d v="1899-12-30T00:00:00"/>
    <d v="1899-12-30T00:00:00"/>
    <d v="1899-12-30T00:00:00"/>
  </r>
  <r>
    <n v="553"/>
    <s v="S. CARDENAL"/>
    <d v="1899-12-30T07:00:00"/>
    <d v="2026-01-16T00:00:00"/>
    <x v="0"/>
    <m/>
    <s v="Las flautas se doblaron"/>
    <d v="1899-12-30T07:00:00"/>
    <d v="1899-12-30T07:30:00"/>
    <x v="75"/>
    <s v="Mecánica, Electrica"/>
    <s v="Uñas flautas superior averiadas por bolsa enredada, se desmonta para corregir falla y se realiza montaje, Encoder presenta falla, se realiza ajuste a conectores y se realiza reset quedando OK"/>
    <s v="NA"/>
    <s v="NA"/>
    <s v="L. CASTILLA"/>
    <x v="0"/>
    <d v="1899-12-30T00:30:00"/>
    <d v="2026-01-16T07:00:00"/>
    <d v="2026-01-16T07:30:00"/>
    <d v="1899-12-30T00:30:00"/>
  </r>
  <r>
    <n v="554"/>
    <s v="S. CARDENAL"/>
    <d v="1899-12-30T09:00:00"/>
    <d v="2026-01-16T00:00:00"/>
    <x v="7"/>
    <m/>
    <s v="Maquina se apaga sola, no cuenta las bolsas"/>
    <d v="1899-12-30T09:10:00"/>
    <d v="1899-12-30T09:30:00"/>
    <x v="75"/>
    <s v="Eléctrica"/>
    <s v="Se realiza ajuste a conectores y se realiza reset"/>
    <s v="NA"/>
    <s v="NA"/>
    <s v="L. CASTILLA"/>
    <x v="0"/>
    <d v="1899-12-30T00:20:00"/>
    <d v="2026-01-16T09:00:00"/>
    <d v="2026-01-16T09:30:00"/>
    <d v="1899-12-30T00:30:00"/>
  </r>
  <r>
    <n v="555"/>
    <s v="R. MEJIA"/>
    <d v="1899-12-30T11:13:00"/>
    <d v="2026-01-16T00:00:00"/>
    <x v="7"/>
    <s v="Puntual"/>
    <s v="Daño en pista de los rodamientos unidad #5"/>
    <d v="1899-12-30T11:15:00"/>
    <d v="1899-12-30T11:30:00"/>
    <x v="75"/>
    <s v="Mecánica"/>
    <s v="Pista del rodamiento del espigo con desajuste, se realiza grafilado y se aplica trabarrosca dando el ajuste, queda operacional"/>
    <s v="NA"/>
    <s v="Trabarosca"/>
    <s v="L. CASTILLA"/>
    <x v="0"/>
    <d v="1899-12-30T00:15:00"/>
    <d v="2026-01-16T11:13:00"/>
    <d v="2026-01-16T11:30:00"/>
    <d v="1899-12-30T00:17:00"/>
  </r>
  <r>
    <n v="556"/>
    <s v="S. CARDENAL"/>
    <d v="1899-12-30T12:35:00"/>
    <d v="2026-01-16T00:00:00"/>
    <x v="4"/>
    <m/>
    <s v="Se doblan las flautas"/>
    <d v="1899-12-30T12:35:00"/>
    <d v="1899-12-30T13:00:00"/>
    <x v="75"/>
    <s v="Mecánica"/>
    <s v="Se desmontan flautas por averiadas, se rectifican uñas, quedando OK"/>
    <s v="NA"/>
    <s v="NA"/>
    <s v="L. CASTILLA"/>
    <x v="0"/>
    <d v="1899-12-30T00:25:00"/>
    <d v="2026-01-16T12:35:00"/>
    <d v="2026-01-16T13:00:00"/>
    <d v="1899-12-30T00:25:00"/>
  </r>
  <r>
    <n v="557"/>
    <s v="D. BUESACO"/>
    <d v="1899-12-30T14:00:00"/>
    <d v="2026-01-16T00:00:00"/>
    <x v="13"/>
    <m/>
    <s v="No sella nolsa por un lado"/>
    <d v="1899-12-30T14:01:00"/>
    <d v="1899-12-30T14:20:00"/>
    <x v="75"/>
    <s v="Mecánica"/>
    <s v="Se calibra presión de la sellada"/>
    <s v="NA"/>
    <s v="NA"/>
    <s v="J. SILVA"/>
    <x v="0"/>
    <d v="1899-12-30T00:19:00"/>
    <d v="2026-01-16T14:00:00"/>
    <d v="2026-01-16T14:20:00"/>
    <d v="1899-12-30T00:20:00"/>
  </r>
  <r>
    <n v="558"/>
    <s v="E. REYES"/>
    <d v="1899-12-30T16:20:00"/>
    <d v="2026-01-16T00:00:00"/>
    <x v="0"/>
    <m/>
    <s v="Las uñas se enredan y bloquean la maquina"/>
    <d v="1899-12-30T16:22:00"/>
    <d v="1899-12-30T17:05:00"/>
    <x v="75"/>
    <s v="Mecánica"/>
    <s v="Bajar sistema de uñas para enderezar, montar y calibrar para evitar daño en bolsa"/>
    <s v="NA"/>
    <s v="NA"/>
    <s v="J. SILVA"/>
    <x v="0"/>
    <d v="1899-12-30T00:43:00"/>
    <d v="2026-01-16T16:20:00"/>
    <d v="2026-01-16T17:05:00"/>
    <d v="1899-12-30T00:45:00"/>
  </r>
  <r>
    <n v="559"/>
    <m/>
    <m/>
    <m/>
    <x v="5"/>
    <m/>
    <m/>
    <m/>
    <m/>
    <x v="3"/>
    <m/>
    <m/>
    <m/>
    <m/>
    <m/>
    <x v="1"/>
    <d v="1899-12-30T00:00:00"/>
    <d v="1899-12-30T00:00:00"/>
    <d v="1899-12-30T00:00:00"/>
    <d v="1899-12-30T00:00:00"/>
  </r>
  <r>
    <n v="560"/>
    <s v="D. ARRIETA"/>
    <d v="1899-12-30T20:30:00"/>
    <d v="2026-01-16T00:00:00"/>
    <x v="7"/>
    <m/>
    <s v="Bomba neúmatica, la bomba no subia tinta y el anillox se quedaba seco"/>
    <d v="1899-12-30T20:35:00"/>
    <d v="1899-12-30T20:50:00"/>
    <x v="75"/>
    <s v="Mecánica"/>
    <s v="Se destapa y se observa balin fuera de su lugar de trabajo, se reubica quedando succión OK"/>
    <s v="NA"/>
    <s v="NA"/>
    <s v="J. SILVA"/>
    <x v="0"/>
    <d v="1899-12-30T00:15:00"/>
    <d v="2026-01-16T20:30:00"/>
    <d v="2026-01-16T20:50:00"/>
    <d v="1899-12-30T00:20:00"/>
  </r>
  <r>
    <n v="561"/>
    <s v="E. REYES"/>
    <d v="1899-12-30T20:50:00"/>
    <d v="2026-01-16T00:00:00"/>
    <x v="0"/>
    <m/>
    <s v="Daño en termocupla"/>
    <d v="1899-12-30T20:55:00"/>
    <d v="1899-12-30T21:30:00"/>
    <x v="75"/>
    <s v="Eléctrica"/>
    <s v="Se cambia termocupla ya que no estaba sensando"/>
    <s v="Termocupla"/>
    <s v="NA"/>
    <s v="J. SILVA"/>
    <x v="0"/>
    <d v="1899-12-30T00:35:00"/>
    <d v="2026-01-16T20:50:00"/>
    <d v="2026-01-16T21:30:00"/>
    <d v="1899-12-30T00:40:00"/>
  </r>
  <r>
    <n v="562"/>
    <s v="H. TRIANA"/>
    <d v="1899-12-30T05:50:00"/>
    <d v="2026-01-17T00:00:00"/>
    <x v="8"/>
    <s v="Puntual"/>
    <s v="Falla en zona #1 del molde"/>
    <d v="1899-12-30T14:00:00"/>
    <d v="1899-12-30T14:30:00"/>
    <x v="76"/>
    <s v="Eléctrica"/>
    <s v="Se realizo el cambio de relé de estado solido de la zona #1 del molde"/>
    <s v="Relé estado solido"/>
    <s v="NA"/>
    <s v="D. BAUTISTA"/>
    <x v="0"/>
    <d v="1899-12-30T00:30:00"/>
    <d v="2026-01-17T05:50:00"/>
    <d v="2026-01-17T14:30:00"/>
    <d v="1899-12-30T08:40:00"/>
  </r>
  <r>
    <n v="563"/>
    <s v="D. ARRIETA"/>
    <d v="1899-12-30T05:25:00"/>
    <d v="2026-01-17T00:00:00"/>
    <x v="7"/>
    <s v="Puntual"/>
    <s v="La diferencia del lado derecho no esta subiendo"/>
    <d v="1899-12-30T06:00:00"/>
    <d v="1899-12-30T07:30:00"/>
    <x v="76"/>
    <s v="Eléctrica"/>
    <s v="Se recibe turno con la novedad, diferencial se evidencio con temperatura alta, se aplico aire forzado, se revisan conexiones eléctricas las cuales se observan en buen estado, se deja reposo pero continuo la falla"/>
    <s v="NA"/>
    <s v="NA"/>
    <s v="D. BAUTISTA"/>
    <x v="2"/>
    <d v="1899-12-30T01:30:00"/>
    <d v="2026-01-17T05:25:00"/>
    <d v="2026-01-17T07:30:00"/>
    <d v="1899-12-30T02:05:00"/>
  </r>
  <r>
    <n v="564"/>
    <s v="S. CARDENAL"/>
    <d v="1899-12-30T06:20:00"/>
    <d v="2026-01-17T00:00:00"/>
    <x v="2"/>
    <m/>
    <s v="Maquina molesta el selle"/>
    <d v="1899-12-30T08:40:00"/>
    <d v="1899-12-30T09:30:00"/>
    <x v="76"/>
    <s v="Mecánica"/>
    <s v="Se calibra posición de cuchilla, se revisan parametros, se realiza ajuste de teflón de mordaza, se dan ajustes y se realizan pruebas de funcionamiento"/>
    <s v="NA"/>
    <s v="NA"/>
    <s v="D. BAUTISTA"/>
    <x v="0"/>
    <d v="1899-12-30T00:50:00"/>
    <d v="2026-01-17T06:20:00"/>
    <d v="2026-01-17T09:30:00"/>
    <d v="1899-12-30T03:10:00"/>
  </r>
  <r>
    <n v="565"/>
    <s v="A. MIRANDA"/>
    <d v="1899-12-30T13:00:00"/>
    <d v="2026-03-12T00:00:00"/>
    <x v="6"/>
    <s v="Puntual"/>
    <s v="Daño en barra"/>
    <d v="1899-12-30T13:00:00"/>
    <d v="1899-12-30T06:35:00"/>
    <x v="77"/>
    <s v="Mecánica"/>
    <s v="Se realizo cambio de punto por daño en pista de la guia del magacin_x000a_D. BAUTISTA 12/3/26 -&gt; 13:00 - 13:30_x000a_D. BAUTISTA 13/3/26 -&gt; 6:20 - 6:35"/>
    <s v="NA"/>
    <s v="Soldadura"/>
    <s v="D. BAUTISTA"/>
    <x v="0"/>
    <n v="-0.26736111111111105"/>
    <d v="2026-03-12T13:00:00"/>
    <d v="2026-03-13T06:35:00"/>
    <d v="1899-12-30T17:35:00"/>
  </r>
  <r>
    <n v="566"/>
    <s v="S. CARDENAL"/>
    <d v="1899-12-30T12:40:00"/>
    <d v="2026-01-17T00:00:00"/>
    <x v="4"/>
    <m/>
    <s v="Correas pegan a la mordaza inferior dañando el teflon del rodillo"/>
    <d v="1899-12-30T12:40:00"/>
    <d v="1899-12-30T13:10:00"/>
    <x v="76"/>
    <s v="Mecánica"/>
    <s v="Se apoya a operario a desmonte de rodillo de selle lateral para cambio de teflon y nuevamente montaje quedando operativo"/>
    <s v="NA"/>
    <s v="NA"/>
    <s v="D. BAUTISTA"/>
    <x v="0"/>
    <d v="1899-12-30T00:30:00"/>
    <d v="2026-01-17T12:40:00"/>
    <d v="2026-01-17T13:10:00"/>
    <d v="1899-12-30T00:30:00"/>
  </r>
  <r>
    <n v="567"/>
    <s v="S. CARDENAL"/>
    <d v="1899-12-30T12:20:00"/>
    <d v="2026-01-17T00:00:00"/>
    <x v="0"/>
    <m/>
    <s v="Maquina se apaga sola"/>
    <d v="1899-12-30T12:20:00"/>
    <d v="1899-12-30T12:40:00"/>
    <x v="76"/>
    <s v="Eléctrica"/>
    <s v="Se interviene maquina ya que se reinicio, se da ajuste a conectores de pantalla, drive y tarjeta, se reinicia y se entrefa operativa"/>
    <s v="NA"/>
    <s v="NA"/>
    <s v="D. BAUTISTA"/>
    <x v="0"/>
    <d v="1899-12-30T00:20:00"/>
    <d v="2026-01-17T12:20:00"/>
    <d v="2026-01-17T12:40:00"/>
    <d v="1899-12-30T00:20:00"/>
  </r>
  <r>
    <n v="568"/>
    <s v="F. SANCHEZ"/>
    <d v="1899-12-30T15:10:00"/>
    <d v="2026-01-17T00:00:00"/>
    <x v="6"/>
    <m/>
    <s v="Rotación se para por varias veces, no se genero parada"/>
    <d v="1899-12-30T15:10:00"/>
    <d v="1899-12-30T17:00:00"/>
    <x v="76"/>
    <s v="Mecánica"/>
    <s v="Se realizo inspección econtrandose rodamiento con juego, se tiene en observación, se requiere RQ de rodamiento MCFR52AS"/>
    <s v="NA"/>
    <s v="NA"/>
    <s v="D. BAUTISTA"/>
    <x v="0"/>
    <d v="1899-12-30T01:50:00"/>
    <d v="2026-01-17T15:10:00"/>
    <d v="2026-01-17T17:00:00"/>
    <d v="1899-12-30T01:50:00"/>
  </r>
  <r>
    <n v="569"/>
    <s v="K. RAMOS"/>
    <d v="1899-12-30T07:30:00"/>
    <d v="2026-01-17T00:00:00"/>
    <x v="1"/>
    <m/>
    <s v="Falla en el tratador"/>
    <d v="1899-12-30T07:40:00"/>
    <d v="1899-12-30T08:20:00"/>
    <x v="76"/>
    <s v="Eléctrica"/>
    <s v="Se encuentra fallo f6 entratador, se realiza inspección y se logró resetear, se instercambia tratador de coex 3 para terminar la orden"/>
    <s v="NA"/>
    <s v="NA"/>
    <s v="D. BAUTISTA"/>
    <x v="0"/>
    <d v="1899-12-30T00:40:00"/>
    <d v="2026-01-17T07:30:00"/>
    <d v="2026-01-17T08:20:00"/>
    <d v="1899-12-30T00:50:00"/>
  </r>
  <r>
    <n v="570"/>
    <s v="E. REYES"/>
    <d v="1899-12-30T14:00:00"/>
    <d v="2026-01-17T00:00:00"/>
    <x v="13"/>
    <s v="Repetitiva"/>
    <s v="Selladora no sella"/>
    <d v="1899-12-30T15:00:00"/>
    <d v="1899-12-30T15:20:00"/>
    <x v="76"/>
    <s v="Mecánica"/>
    <s v="Se da ajuste a mordaza superior y se realizan pruebas de funcionamiento"/>
    <s v="NA"/>
    <s v="NA"/>
    <s v="D. BAUTISTA"/>
    <x v="0"/>
    <d v="1899-12-30T00:20:00"/>
    <d v="2026-01-17T14:00:00"/>
    <d v="2026-01-17T15:20:00"/>
    <d v="1899-12-30T01:20:00"/>
  </r>
  <r>
    <n v="571"/>
    <s v="J. PARDO"/>
    <d v="1899-12-30T10:00:00"/>
    <d v="2026-01-17T00:00:00"/>
    <x v="7"/>
    <m/>
    <s v="Corto en el tablero"/>
    <d v="1899-12-30T10:00:00"/>
    <d v="1899-12-30T10:20:00"/>
    <x v="76"/>
    <s v="Eléctrica"/>
    <s v="Se encuentra coable en corto, se realizo el ajuste y se resetea breaker, queda operativo"/>
    <s v="NA"/>
    <s v="NA"/>
    <s v="D. BAUTISTA"/>
    <x v="0"/>
    <d v="1899-12-30T00:20:00"/>
    <d v="2026-01-17T10:00:00"/>
    <d v="2026-01-17T10:20:00"/>
    <d v="1899-12-30T00:20:00"/>
  </r>
  <r>
    <n v="572"/>
    <s v="D. BUESACO"/>
    <d v="1899-12-30T17:20:00"/>
    <d v="2026-01-17T00:00:00"/>
    <x v="4"/>
    <m/>
    <s v="Correa suelta"/>
    <d v="1899-12-30T17:20:00"/>
    <d v="1899-12-30T17:50:00"/>
    <x v="76"/>
    <s v="Mecánica"/>
    <s v="Ajuste de correa"/>
    <s v="NA"/>
    <s v="NA"/>
    <s v="D. BAUTISTA"/>
    <x v="0"/>
    <d v="1899-12-30T00:30:00"/>
    <d v="2026-01-17T17:20:00"/>
    <d v="2026-01-17T17:50:00"/>
    <d v="1899-12-30T00:30:00"/>
  </r>
  <r>
    <n v="573"/>
    <s v="R. MEJIA"/>
    <d v="1899-12-30T18:40:00"/>
    <d v="2026-01-17T00:00:00"/>
    <x v="7"/>
    <m/>
    <s v="Diferencial decha no funciona"/>
    <d v="1899-12-30T18:40:00"/>
    <d v="1899-12-30T19:15:00"/>
    <x v="76"/>
    <s v="Mecánica"/>
    <s v="Se realiza calibración freno polipasto, se se grafila espiga porta chicle y se aplica trabarrosca para dar ajuste a pista quedando OK"/>
    <s v="NA"/>
    <s v="Trabarosca"/>
    <s v="L. CASTILLA"/>
    <x v="0"/>
    <d v="1899-12-30T00:35:00"/>
    <d v="2026-01-17T18:40:00"/>
    <d v="2026-01-17T19:15:00"/>
    <d v="1899-12-30T00:35:00"/>
  </r>
  <r>
    <n v="574"/>
    <s v="E. REYES"/>
    <d v="1899-12-30T06:40:00"/>
    <d v="2026-01-17T00:00:00"/>
    <x v="13"/>
    <s v="Repetitiva"/>
    <s v="No sella"/>
    <d v="1899-12-30T00:00:00"/>
    <d v="1899-12-30T03:00:00"/>
    <x v="76"/>
    <s v="Mecánica"/>
    <s v="Se le coloca presión, se calibra mordaza inferior, calibra teflon y se sube temperatura a 190 °C, no se genero parada de maquina"/>
    <s v="NA"/>
    <s v="NA"/>
    <s v="L. CASTILLA"/>
    <x v="0"/>
    <d v="1899-12-30T03:00:00"/>
    <d v="2026-01-17T06:40:00"/>
    <d v="2026-01-17T03:00:00"/>
    <n v="-0.15277777778101154"/>
  </r>
  <r>
    <n v="575"/>
    <m/>
    <m/>
    <m/>
    <x v="5"/>
    <m/>
    <m/>
    <m/>
    <m/>
    <x v="3"/>
    <m/>
    <m/>
    <m/>
    <m/>
    <m/>
    <x v="1"/>
    <d v="1899-12-30T00:00:00"/>
    <d v="1899-12-30T00:00:00"/>
    <d v="1899-12-30T00:00:00"/>
    <d v="1899-12-30T00:00:00"/>
  </r>
  <r>
    <n v="576"/>
    <s v="B. VELASQUEZ"/>
    <d v="1899-12-30T11:17:00"/>
    <d v="2026-01-18T00:00:00"/>
    <x v="11"/>
    <m/>
    <s v="Manzana corta cores presenta desgaste en las uñas"/>
    <d v="1899-12-30T11:20:00"/>
    <d v="1899-12-30T01:18:00"/>
    <x v="78"/>
    <s v="Mecánica"/>
    <s v="Se le fabrican pestañas para que el core no se gire al momento del corte"/>
    <s v="NA"/>
    <s v="Soldadura 6013 platina"/>
    <s v="J. SILVA"/>
    <x v="0"/>
    <n v="-0.41805555555555551"/>
    <d v="2026-01-18T11:17:00"/>
    <d v="2026-01-18T01:18:00"/>
    <n v="-0.41597222221753327"/>
  </r>
  <r>
    <n v="577"/>
    <s v="R. MEJIA"/>
    <d v="1899-12-30T02:08:00"/>
    <d v="2026-01-19T00:00:00"/>
    <x v="7"/>
    <m/>
    <s v="Eje embobinador pinchado"/>
    <d v="1899-12-30T02:15:00"/>
    <d v="1899-12-30T02:45:00"/>
    <x v="79"/>
    <s v="Mecánica"/>
    <s v="Se despincha por el lado de la valvula de llenado queda OK"/>
    <s v="NA"/>
    <s v="NA"/>
    <s v="J. SILVA"/>
    <x v="0"/>
    <d v="1899-12-30T00:30:00"/>
    <d v="2026-01-19T02:08:00"/>
    <d v="2026-01-19T02:45:00"/>
    <d v="1899-12-30T00:37:00"/>
  </r>
  <r>
    <n v="578"/>
    <s v="F. SANCHEZ"/>
    <d v="1899-12-30T06:10:00"/>
    <d v="2026-01-19T00:00:00"/>
    <x v="6"/>
    <s v="Puntual"/>
    <s v="Problemas con la velocidad 420 y llega 380 RPM, de la B 220 esa velocidad esta marcando mas como 65% de lo normal, Toca que manipular mezclada para que el calibre este al nivel"/>
    <d v="1899-12-30T07:00:00"/>
    <d v="1899-12-30T08:30:00"/>
    <x v="79"/>
    <s v="Mecánica"/>
    <s v="Se realiza desmonte y limpieza del ducto de refile, limpieza de malla filtro, se adiciono material al tornillo oara descartar empaste de material en el ducto y el tornillo, se realiza limpieza de doteco del tornillo B, se realiza calibración, se realiza montaje nuevamente de las piezas y se entrega a producción para el arranque 8:30, se tiene en seguimiento durante el arranque"/>
    <s v="NA"/>
    <s v="NA"/>
    <s v="L. FLOREZ Y D. BAUTISTA"/>
    <x v="0"/>
    <d v="1899-12-30T01:30:00"/>
    <d v="2026-01-19T06:10:00"/>
    <d v="2026-01-19T08:30:00"/>
    <d v="1899-12-30T02:20:00"/>
  </r>
  <r>
    <n v="579"/>
    <s v="F. SANCHEZ"/>
    <d v="1899-12-30T08:00:00"/>
    <d v="2026-01-19T00:00:00"/>
    <x v="6"/>
    <s v="Puntual"/>
    <s v="Rodillo donde hasiento los clavos para sacar PVC y particuls rusticas por los clavos y los clavos no tienen punta para hacer un trabajo de nuevis bien por falta de punta"/>
    <m/>
    <m/>
    <x v="3"/>
    <m/>
    <m/>
    <m/>
    <m/>
    <m/>
    <x v="2"/>
    <d v="1899-12-30T00:00:00"/>
    <d v="2026-01-19T08:00:00"/>
    <d v="1899-12-30T00:00:00"/>
    <n v="-46041.333333333336"/>
  </r>
  <r>
    <n v="580"/>
    <m/>
    <m/>
    <m/>
    <x v="5"/>
    <m/>
    <m/>
    <m/>
    <m/>
    <x v="3"/>
    <m/>
    <m/>
    <m/>
    <m/>
    <m/>
    <x v="1"/>
    <d v="1899-12-30T00:00:00"/>
    <d v="1899-12-30T00:00:00"/>
    <d v="1899-12-30T00:00:00"/>
    <d v="1899-12-30T00:00:00"/>
  </r>
  <r>
    <n v="581"/>
    <m/>
    <m/>
    <m/>
    <x v="5"/>
    <m/>
    <m/>
    <m/>
    <m/>
    <x v="3"/>
    <m/>
    <m/>
    <m/>
    <m/>
    <m/>
    <x v="1"/>
    <d v="1899-12-30T00:00:00"/>
    <d v="1899-12-30T00:00:00"/>
    <d v="1899-12-30T00:00:00"/>
    <d v="1899-12-30T00:00:00"/>
  </r>
  <r>
    <n v="582"/>
    <s v="H. TRIANA"/>
    <d v="1899-12-30T09:10:00"/>
    <d v="2026-01-19T00:00:00"/>
    <x v="8"/>
    <s v="Puntual"/>
    <s v="Cuchillas del tratador sueltas "/>
    <d v="1899-12-30T09:15:00"/>
    <d v="1899-12-30T09:28:00"/>
    <x v="79"/>
    <s v="Mecánica"/>
    <s v="Resorte suelto se sujeta para que no queden libres"/>
    <s v="NA"/>
    <s v="NA"/>
    <s v="J. SILVA"/>
    <x v="0"/>
    <d v="1899-12-30T00:13:00"/>
    <d v="2026-01-19T09:10:00"/>
    <d v="2026-01-19T09:28:00"/>
    <d v="1899-12-30T00:18:00"/>
  </r>
  <r>
    <n v="583"/>
    <s v="E. REYES"/>
    <d v="1899-12-30T06:08:00"/>
    <d v="2026-01-20T00:00:00"/>
    <x v="13"/>
    <s v="Repetitiva"/>
    <s v="No arranca la maquina, no sella la maquina"/>
    <d v="1899-12-30T06:15:00"/>
    <d v="1899-12-30T09:30:00"/>
    <x v="80"/>
    <s v="Mecánica"/>
    <s v="Final de carrera se suelta, se hace ajuste quedando OK, se realiza ajuste en cuchilla y mordaza, no corrige falla, se solicita a producción un cambio de referencia para descartar que la falla sea por parte de la maquina, se trabaja con nueva referencia y trabaja sin anomalia"/>
    <s v="NA"/>
    <s v="NA"/>
    <s v="L. CASTILLA"/>
    <x v="0"/>
    <d v="1899-12-30T03:15:00"/>
    <d v="2026-01-20T06:08:00"/>
    <d v="2026-01-20T09:30:00"/>
    <d v="1899-12-30T03:22:00"/>
  </r>
  <r>
    <n v="584"/>
    <s v="R. INFANTE"/>
    <d v="1899-12-30T08:15:00"/>
    <d v="2026-01-20T00:00:00"/>
    <x v="11"/>
    <m/>
    <s v="Bascula de compactado se mueve la plataforma como si se hubiera soltado"/>
    <d v="1899-12-30T08:15:00"/>
    <d v="1899-12-30T08:25:00"/>
    <x v="80"/>
    <s v="Mecánica"/>
    <s v="Tornillos base bascula suelto, se realiza torque para dar ajuste quedando OK"/>
    <s v="NA"/>
    <s v="NA"/>
    <s v="L. CASTILLA"/>
    <x v="0"/>
    <d v="1899-12-30T00:10:00"/>
    <d v="2026-01-20T08:15:00"/>
    <d v="2026-01-20T08:25:00"/>
    <d v="1899-12-30T00:10:00"/>
  </r>
  <r>
    <n v="585"/>
    <s v="E. REYES"/>
    <d v="1899-12-30T13:10:00"/>
    <d v="2026-01-20T00:00:00"/>
    <x v="13"/>
    <m/>
    <s v="No prende maquina"/>
    <d v="1899-12-30T13:10:00"/>
    <d v="1899-12-30T13:20:00"/>
    <x v="80"/>
    <s v="Eléctrica"/>
    <s v="Se realiza reset para todos los auxiliares para que permita el encendido"/>
    <s v="NA"/>
    <s v="NA"/>
    <s v="L. CASTILLA"/>
    <x v="0"/>
    <d v="1899-12-30T00:10:00"/>
    <d v="2026-01-20T13:10:00"/>
    <d v="2026-01-20T13:20:00"/>
    <d v="1899-12-30T00:10:00"/>
  </r>
  <r>
    <n v="586"/>
    <s v="S. CARDENAL"/>
    <d v="1899-12-30T14:30:00"/>
    <d v="2026-01-20T00:00:00"/>
    <x v="13"/>
    <m/>
    <s v="Variación de medida"/>
    <d v="1899-12-30T15:00:00"/>
    <m/>
    <x v="80"/>
    <m/>
    <s v="Se realiza ajuste, inspección de parametros, ajuste de presiones, fotocelda, prensas, pruebas de funcionamiento, maquina saca 2 o 3 paquetes y nuevamente varia medida, se realizan ajustes  pruebas pero no se logra poner a trabajar correctamente 18:00, se entrega operativa pero nuevamente falla"/>
    <s v="NA"/>
    <s v="NA"/>
    <s v="D. BAUTISTA"/>
    <x v="1"/>
    <n v="-0.625"/>
    <d v="2026-01-20T14:30:00"/>
    <d v="2026-01-20T00:00:00"/>
    <n v="-0.60416666666424135"/>
  </r>
  <r>
    <n v="587"/>
    <s v="S. CARDENAL"/>
    <d v="1899-12-30T16:00:00"/>
    <d v="2026-01-20T00:00:00"/>
    <x v="4"/>
    <m/>
    <s v="Mordaza inferior presenta el cable desconectado"/>
    <d v="1899-12-30T16:00:00"/>
    <d v="1899-12-30T16:20:00"/>
    <x v="80"/>
    <s v="Eléctrica"/>
    <s v="Se conecta terminal de mordaza inferior ya que no cuenta con terminal de conexión"/>
    <s v="NA"/>
    <s v="NS"/>
    <s v="D. BAUTISTA"/>
    <x v="0"/>
    <d v="1899-12-30T00:20:00"/>
    <d v="2026-01-20T16:00:00"/>
    <d v="2026-01-20T16:20:00"/>
    <d v="1899-12-30T00:20:00"/>
  </r>
  <r>
    <n v="588"/>
    <s v="S. CARDENAL"/>
    <d v="1899-12-30T16:10:00"/>
    <d v="2026-01-20T00:00:00"/>
    <x v="0"/>
    <s v="Repetitiva"/>
    <s v="Flautas dobladas"/>
    <d v="1899-12-30T17:00:00"/>
    <d v="1899-12-30T17:30:00"/>
    <x v="80"/>
    <s v="Mecánica"/>
    <s v="Se encuentra material atascado en la prensa, se extrae material, se desmontan flautas, se enderezan uñas de las flautas, se montan nuevamente y se entrega operativo, la intervención se realizo en cambio de referencia"/>
    <s v="NA"/>
    <s v="NA"/>
    <s v="D. BAUTISTA"/>
    <x v="0"/>
    <d v="1899-12-30T00:30:00"/>
    <d v="2026-01-20T16:10:00"/>
    <d v="2026-01-20T17:30:00"/>
    <d v="1899-12-30T01:20:00"/>
  </r>
  <r>
    <n v="589"/>
    <s v="S. CARDENAL"/>
    <d v="1899-12-30T17:20:00"/>
    <d v="2026-01-20T00:00:00"/>
    <x v="4"/>
    <m/>
    <s v="Correas sueltas"/>
    <d v="1899-12-30T17:30:00"/>
    <d v="1899-12-30T17:45:00"/>
    <x v="80"/>
    <s v="Mecánica"/>
    <s v="Se tensionan correas del transportador, se instalo arandela de presión para tornillo M6, queda operativa"/>
    <s v="Arandela de presión"/>
    <s v="NA"/>
    <s v="D. BAUTISTA"/>
    <x v="0"/>
    <d v="1899-12-30T00:15:00"/>
    <d v="2026-01-20T17:20:00"/>
    <d v="2026-01-20T17:45:00"/>
    <d v="1899-12-30T00:25:00"/>
  </r>
  <r>
    <n v="590"/>
    <s v="S. CARDENAL"/>
    <d v="1899-12-30T20:20:00"/>
    <d v="2026-01-20T00:00:00"/>
    <x v="0"/>
    <m/>
    <s v="Temperatura superior no sube"/>
    <d v="1899-12-30T20:30:00"/>
    <d v="1899-12-30T21:00:00"/>
    <x v="80"/>
    <s v="Eléctrica"/>
    <s v="Se encuentra breaker de conexión en corto, se aisla cable, se da ajuste a conexiones, terminales y borneras, se coloca a calentar y se entrga con la temperatura en setpoint"/>
    <s v="NA"/>
    <s v="NA"/>
    <s v="D. BAUTISTA"/>
    <x v="0"/>
    <d v="1899-12-30T00:30:00"/>
    <d v="2026-01-20T20:20:00"/>
    <d v="2026-01-20T21:00:00"/>
    <d v="1899-12-30T00:40:00"/>
  </r>
  <r>
    <n v="591"/>
    <s v="Z. NOVOA"/>
    <d v="1899-12-30T23:30:00"/>
    <d v="2026-01-20T00:00:00"/>
    <x v="7"/>
    <m/>
    <s v="Cambio de mangueras por cortos y se bota la tinta"/>
    <d v="1899-12-30T23:30:00"/>
    <d v="1899-12-30T23:51:00"/>
    <x v="80"/>
    <m/>
    <s v="Se hace cambio de mangueras por transmisión muy cortos"/>
    <s v="Manguera de alta resistencia silicona de 1´´"/>
    <s v="NA"/>
    <s v="O. DUARTE"/>
    <x v="0"/>
    <d v="1899-12-30T00:21:00"/>
    <d v="2026-01-20T23:30:00"/>
    <d v="2026-01-20T23:51:00"/>
    <d v="1899-12-30T00:21:00"/>
  </r>
  <r>
    <n v="592"/>
    <s v="K. RAMOS"/>
    <d v="1899-12-30T22:00:00"/>
    <d v="2026-01-20T00:00:00"/>
    <x v="5"/>
    <m/>
    <s v="Prisionero de la manzana dañado"/>
    <d v="1899-12-30T22:00:00"/>
    <d v="1899-12-30T21:40:00"/>
    <x v="80"/>
    <s v="Mecánica"/>
    <s v="Se realiza extracción prisioneros dañados, cambios por unos nuevos"/>
    <s v="10x Prisioneros M10"/>
    <s v="NA"/>
    <s v="O. DUARTE"/>
    <x v="0"/>
    <n v="-1.388888888888884E-2"/>
    <d v="2026-01-20T22:00:00"/>
    <d v="2026-01-20T21:40:00"/>
    <n v="-1.3888888883229811E-2"/>
  </r>
  <r>
    <n v="593"/>
    <s v="M. NIVIA"/>
    <d v="1899-12-30T02:50:00"/>
    <d v="2026-01-21T00:00:00"/>
    <x v="14"/>
    <m/>
    <s v="Falla botón corta cores"/>
    <d v="1899-12-30T02:50:00"/>
    <d v="1899-12-30T03:00:00"/>
    <x v="81"/>
    <s v="Mecánica"/>
    <s v="Botón dañado, se presenta en tornillo externo, se da ajuste y se posiciona "/>
    <s v="NA"/>
    <s v="NA"/>
    <s v="O. DUARTE"/>
    <x v="0"/>
    <d v="1899-12-30T00:10:00"/>
    <d v="2026-01-21T02:50:00"/>
    <d v="2026-01-21T03:00:00"/>
    <d v="1899-12-30T00:10:00"/>
  </r>
  <r>
    <n v="594"/>
    <s v="K. RAMOS"/>
    <d v="1899-12-30T03:10:00"/>
    <d v="2026-01-21T00:00:00"/>
    <x v="14"/>
    <s v="Puntual"/>
    <s v="Variador de rotación no operativo"/>
    <d v="1899-12-30T03:10:00"/>
    <d v="1899-12-30T03:30:00"/>
    <x v="81"/>
    <s v="Eléctrica"/>
    <s v="Se realiza reset en variador rotación queda operativo"/>
    <s v="NA"/>
    <s v="NA"/>
    <s v="O. DUARTE"/>
    <x v="0"/>
    <d v="1899-12-30T00:20:00"/>
    <d v="2026-01-21T03:10:00"/>
    <d v="2026-01-21T03:30:00"/>
    <d v="1899-12-30T00:20:00"/>
  </r>
  <r>
    <n v="595"/>
    <s v="W. SANDOVAL"/>
    <d v="1899-12-30T03:00:00"/>
    <d v="2026-01-21T00:00:00"/>
    <x v="9"/>
    <m/>
    <s v="Ajuste intercambio de manguera del hidraulico"/>
    <d v="1899-12-30T03:00:00"/>
    <d v="1899-12-30T03:15:00"/>
    <x v="81"/>
    <m/>
    <s v="Se realiza intercambio de mangueras en dispositivo hidraulico del equipo, se da ajuste queda operativo"/>
    <s v="Mangueras"/>
    <s v="NA"/>
    <s v="O. DUARTE"/>
    <x v="0"/>
    <d v="1899-12-30T00:15:00"/>
    <d v="2026-01-21T03:00:00"/>
    <d v="2026-01-21T03:15:00"/>
    <d v="1899-12-30T00:15:00"/>
  </r>
  <r>
    <n v="596"/>
    <s v="L. GARZON"/>
    <d v="1899-12-30T06:30:00"/>
    <d v="2026-01-21T00:00:00"/>
    <x v="0"/>
    <s v="Puntual"/>
    <s v="La maquina se apaga constantemente (y no)"/>
    <d v="1899-12-30T06:35:00"/>
    <d v="1899-12-30T07:00:00"/>
    <x v="81"/>
    <s v="Eléctrica"/>
    <s v="Se realiza reseteo maquina y ajuste en borneras, ajuste transportador"/>
    <s v="NA"/>
    <s v="NA"/>
    <s v="L. CASTILLA"/>
    <x v="0"/>
    <d v="1899-12-30T00:25:00"/>
    <d v="2026-01-21T06:30:00"/>
    <d v="2026-01-21T07:00:00"/>
    <d v="1899-12-30T00:30:00"/>
  </r>
  <r>
    <n v="597"/>
    <s v="L. GARZON"/>
    <d v="1899-12-30T07:00:00"/>
    <d v="2026-01-21T00:00:00"/>
    <x v="5"/>
    <s v="Puntual"/>
    <s v="Afilar cuchilla"/>
    <d v="1899-12-30T07:00:00"/>
    <d v="1899-12-30T07:15:00"/>
    <x v="81"/>
    <s v="Mecánica"/>
    <s v="Se presta apoyo para afilado de cuchilla quedando operaciona"/>
    <s v="NA"/>
    <s v="NA"/>
    <s v="L. CASTILLA"/>
    <x v="0"/>
    <d v="1899-12-30T00:15:00"/>
    <d v="2026-01-21T07:00:00"/>
    <d v="2026-01-21T07:15:00"/>
    <d v="1899-12-30T00:15:00"/>
  </r>
  <r>
    <n v="598"/>
    <s v="L. GARZON"/>
    <d v="1899-12-30T08:15:00"/>
    <d v="2026-01-21T00:00:00"/>
    <x v="4"/>
    <s v="Puntual"/>
    <s v="Soporte de cuchilla suelto"/>
    <d v="1899-12-30T08:15:00"/>
    <d v="1899-12-30T08:30:00"/>
    <x v="81"/>
    <s v="Mecánica"/>
    <s v="Soporte porta cuchilla sin tornillos, se remplazan quedando OK"/>
    <s v="2x Tornillos M5 x 30 mm"/>
    <s v="NA"/>
    <s v="L. CASTILLA"/>
    <x v="0"/>
    <d v="1899-12-30T00:15:00"/>
    <d v="2026-01-21T08:15:00"/>
    <d v="2026-01-21T08:30:00"/>
    <d v="1899-12-30T00:15:00"/>
  </r>
  <r>
    <n v="599"/>
    <s v="L. GARZON"/>
    <d v="1899-12-30T06:20:00"/>
    <d v="2026-01-21T00:00:00"/>
    <x v="13"/>
    <m/>
    <s v="Se reporta maquina por variación de medida"/>
    <d v="1899-12-30T06:20:00"/>
    <d v="1899-12-30T09:05:00"/>
    <x v="81"/>
    <s v="Mecánica, Eléctrica"/>
    <s v="Se realizan ajustes en fotocelda, tensiones balancin superior e inferior a freno hasta corregir."/>
    <s v="NA"/>
    <s v="NA"/>
    <s v="L. CASTILLA"/>
    <x v="0"/>
    <d v="1899-12-30T02:45:00"/>
    <d v="2026-01-21T06:20:00"/>
    <d v="2026-01-21T09:05:00"/>
    <d v="1899-12-30T02:45:00"/>
  </r>
  <r>
    <n v="600"/>
    <s v="L. GARZON"/>
    <d v="1899-12-30T10:20:00"/>
    <d v="2026-01-21T00:00:00"/>
    <x v="5"/>
    <m/>
    <s v="Fotocelda no lee"/>
    <d v="1899-12-30T10:20:00"/>
    <d v="1899-12-30T10:50:00"/>
    <x v="81"/>
    <s v="Eléctrica"/>
    <s v="Se presta apoyo a operario para calibrar fotocelda y se cambia enhebrado quedando OK"/>
    <s v="NA"/>
    <s v="NA"/>
    <s v="L. CASTILLA"/>
    <x v="0"/>
    <d v="1899-12-30T00:30:00"/>
    <d v="2026-01-21T10:20:00"/>
    <d v="2026-01-21T10:50:00"/>
    <d v="1899-12-30T00:30:00"/>
  </r>
  <r>
    <n v="601"/>
    <s v="R. OLIVARES"/>
    <d v="1899-12-30T10:00:00"/>
    <d v="2026-01-21T00:00:00"/>
    <x v="6"/>
    <m/>
    <s v="Falla octagon"/>
    <d v="1899-12-30T10:00:00"/>
    <d v="1899-12-30T10:05:00"/>
    <x v="81"/>
    <s v="Eléctrica"/>
    <s v="Se reinicia sistema completo, al no encontrar solución se ubican en modo mover los dumper y al volver a auto queda funcionando sin novedad"/>
    <s v="NA"/>
    <s v="NA"/>
    <s v="L. FLOREZ"/>
    <x v="0"/>
    <d v="1899-12-30T00:05:00"/>
    <d v="2026-01-21T10:00:00"/>
    <d v="2026-01-21T10:05:00"/>
    <d v="1899-12-30T00:05:00"/>
  </r>
  <r>
    <n v="602"/>
    <s v="R. OLIVARES"/>
    <d v="1899-12-30T14:10:00"/>
    <d v="2026-01-21T00:00:00"/>
    <x v="6"/>
    <m/>
    <s v="Instalación de rodillos tratador"/>
    <d v="1899-12-30T14:10:00"/>
    <d v="1899-12-30T15:20:00"/>
    <x v="81"/>
    <s v="Mecánica, Eléctrica"/>
    <s v="Se realizo la instalación de los rodillos del tratador coex 5 y se realizan pruebas de operación, se entrega para arranque"/>
    <s v="NA"/>
    <s v="NA"/>
    <s v="D. BAUTISTA"/>
    <x v="0"/>
    <d v="1899-12-30T01:10:00"/>
    <d v="2026-01-21T14:10:00"/>
    <d v="2026-01-21T15:20:00"/>
    <d v="1899-12-30T01:10:00"/>
  </r>
  <r>
    <n v="603"/>
    <s v="D. CUESTA"/>
    <d v="1899-12-30T18:30:00"/>
    <d v="2026-01-21T00:00:00"/>
    <x v="25"/>
    <m/>
    <s v="Ajuste cuchilla para sacar solapa"/>
    <d v="1899-12-30T18:30:00"/>
    <d v="1899-12-30T19:00:00"/>
    <x v="81"/>
    <s v="Mecánica"/>
    <s v="Se acondiciona cuchilla en refiladora 2 para sacar solapa en material ya doblada con apoyo del operario"/>
    <s v="NA"/>
    <s v="NA"/>
    <s v="D. BAUTISTA"/>
    <x v="0"/>
    <d v="1899-12-30T00:30:00"/>
    <d v="2026-01-21T18:30:00"/>
    <d v="2026-01-21T19:00:00"/>
    <d v="1899-12-30T00:30:00"/>
  </r>
  <r>
    <n v="604"/>
    <s v="C. CASTRO"/>
    <d v="1899-12-30T02:20:00"/>
    <d v="2026-01-22T00:00:00"/>
    <x v="10"/>
    <s v="Puntual"/>
    <s v="Falla en la calandra, el eje superior quedo la presión activada y no patinaba"/>
    <d v="1899-12-30T02:20:00"/>
    <d v="1899-12-30T03:30:00"/>
    <x v="81"/>
    <s v="Mecánica"/>
    <s v="Se hace desmonte de castañas eje superior se acomoda felpa y manguea, se da ajuste de nuevamente se hace seguimiento"/>
    <s v="NA"/>
    <s v="NA"/>
    <s v="O. DUARTE"/>
    <x v="0"/>
    <d v="1899-12-30T01:10:00"/>
    <d v="2026-01-22T02:20:00"/>
    <d v="2026-01-21T03:30:00"/>
    <n v="-0.95138888888322981"/>
  </r>
  <r>
    <n v="605"/>
    <s v="W. SANDOVAL"/>
    <m/>
    <d v="2026-01-22T00:00:00"/>
    <x v="11"/>
    <s v="Repetitiva"/>
    <s v="Afilada de cuhcilla corta cores"/>
    <m/>
    <d v="1899-12-30T02:25:00"/>
    <x v="82"/>
    <s v="Mecánica"/>
    <s v="Se realiza afilado de disco corta cores"/>
    <s v="NA "/>
    <s v="NA"/>
    <s v="O. DUARTE"/>
    <x v="0"/>
    <d v="1899-12-30T02:25:00"/>
    <d v="2026-01-22T00:00:00"/>
    <d v="2026-01-22T02:25:00"/>
    <d v="1899-12-30T02:25:00"/>
  </r>
  <r>
    <n v="606"/>
    <s v="L. GARZON"/>
    <d v="1899-12-30T07:00:00"/>
    <d v="2026-01-22T00:00:00"/>
    <x v="4"/>
    <s v="Puntual"/>
    <s v="Se solicita correas para transportador ya que se encuentra trabajando con 5 en la parte superior"/>
    <m/>
    <m/>
    <x v="3"/>
    <m/>
    <m/>
    <m/>
    <m/>
    <m/>
    <x v="2"/>
    <d v="1899-12-30T00:00:00"/>
    <d v="2026-01-22T07:00:00"/>
    <d v="1899-12-30T00:00:00"/>
    <n v="-46044.291666666664"/>
  </r>
  <r>
    <n v="607"/>
    <s v="L. GARZON"/>
    <d v="1899-12-30T07:00:00"/>
    <d v="2026-01-22T00:00:00"/>
    <x v="4"/>
    <s v="Puntual"/>
    <s v="Se solicita revisión de las uñas ya que estas estan torcidas y adicional faltan muchas de estas"/>
    <m/>
    <m/>
    <x v="3"/>
    <m/>
    <m/>
    <m/>
    <m/>
    <m/>
    <x v="2"/>
    <d v="1899-12-30T00:00:00"/>
    <d v="2026-01-22T07:00:00"/>
    <d v="1899-12-30T00:00:00"/>
    <n v="-46044.291666666664"/>
  </r>
  <r>
    <n v="608"/>
    <s v="L. GARZON"/>
    <d v="1899-12-30T11:25:00"/>
    <d v="2026-01-22T00:00:00"/>
    <x v="4"/>
    <m/>
    <s v="Temperatura varia se esta bajando y no sensa bien"/>
    <d v="1899-12-30T11:30:00"/>
    <d v="1899-12-30T12:10:00"/>
    <x v="82"/>
    <s v="Eléctrica"/>
    <s v="Se revisa controlador (pirometro) se encuentra bien, daño en la termocupla"/>
    <s v="Termocupla"/>
    <s v="NA"/>
    <s v="J. SILVA"/>
    <x v="0"/>
    <d v="1899-12-30T00:40:00"/>
    <d v="2026-01-22T11:25:00"/>
    <d v="2026-01-22T12:10:00"/>
    <d v="1899-12-30T00:45:00"/>
  </r>
  <r>
    <n v="609"/>
    <s v="L. GARZON"/>
    <d v="1899-12-30T12:30:00"/>
    <d v="2026-01-22T00:00:00"/>
    <x v="13"/>
    <m/>
    <s v="Se solicita revisión de presión de cuchilla por que la bolsa se abre"/>
    <d v="1899-12-30T12:32:00"/>
    <d v="1899-12-30T13:15:00"/>
    <x v="82"/>
    <s v="Eléctrica"/>
    <s v="Se ajusta presión de la parte izquierda, quedo sellando OK"/>
    <s v="NA"/>
    <s v="NA"/>
    <s v="J. SILVA"/>
    <x v="0"/>
    <d v="1899-12-30T00:43:00"/>
    <d v="2026-01-22T12:30:00"/>
    <d v="2026-01-22T13:15:00"/>
    <d v="1899-12-30T00:45:00"/>
  </r>
  <r>
    <n v="610"/>
    <s v="S. CARDENAL"/>
    <d v="1899-12-30T14:00:00"/>
    <d v="2026-01-22T00:00:00"/>
    <x v="13"/>
    <m/>
    <s v="Molesta el selle"/>
    <d v="1899-12-30T14:15:00"/>
    <d v="1899-12-30T14:45:00"/>
    <x v="82"/>
    <s v="Mecánica"/>
    <s v="Se presta apoyo para calibración de mordaza y calibración por fallas en el sello quedando OK"/>
    <s v="NA"/>
    <s v="NA"/>
    <s v="L. CASTILLA"/>
    <x v="0"/>
    <d v="1899-12-30T00:30:00"/>
    <d v="2026-01-22T14:00:00"/>
    <d v="2026-01-22T14:45:00"/>
    <d v="1899-12-30T00:45:00"/>
  </r>
  <r>
    <n v="611"/>
    <s v="D. ARRIETA"/>
    <d v="1899-12-30T03:40:00"/>
    <d v="2026-01-23T00:00:00"/>
    <x v="7"/>
    <m/>
    <s v="Bomba no arranca"/>
    <d v="1899-12-30T03:40:00"/>
    <d v="1899-12-30T04:00:00"/>
    <x v="83"/>
    <s v="Mecánica, Neúmatica"/>
    <s v="Bomba neúmatica no arranca, se revisa conexión neúmatica, estado de mangueras de succión y descarga, se da ajuste a mangueras y se realizan pruebas de funcionamiento, no se genera paro de maquina"/>
    <s v="NA"/>
    <s v="NA"/>
    <s v="D. BAUTISTA"/>
    <x v="0"/>
    <d v="1899-12-30T00:20:00"/>
    <d v="2026-01-23T03:40:00"/>
    <d v="2026-01-23T04:00:00"/>
    <d v="1899-12-30T00:20:00"/>
  </r>
  <r>
    <n v="612"/>
    <s v="B. RODRIGUEZ"/>
    <d v="1899-12-30T04:00:00"/>
    <d v="2026-01-23T00:00:00"/>
    <x v="5"/>
    <m/>
    <s v="Rosca rodada del corta cores"/>
    <d v="1899-12-30T04:00:00"/>
    <d v="1899-12-30T04:30:00"/>
    <x v="83"/>
    <s v="Mecánica"/>
    <s v="Se encuentra rosca de ajuste de mordaza rodada, se realizo el cambio de un tornillo M12 x 60mm y se instalo con soldadura tuerca ya queno se pudo reconstruir la rosca, quedo operativo"/>
    <s v="1x Tornillo M12 x60mm"/>
    <s v="Soldadura"/>
    <s v="D. BAUTISTA"/>
    <x v="0"/>
    <d v="1899-12-30T00:30:00"/>
    <d v="2026-01-23T04:00:00"/>
    <d v="2026-01-23T04:30:00"/>
    <d v="1899-12-30T00:30:00"/>
  </r>
  <r>
    <n v="613"/>
    <s v="D. CUESTA"/>
    <d v="1899-12-30T06:45:00"/>
    <d v="2026-01-23T00:00:00"/>
    <x v="8"/>
    <s v="Puntual"/>
    <s v="Tornillo de la pinola de la COEX 3 no ajusta rosca mala o el tornillo"/>
    <d v="1899-12-30T07:00:00"/>
    <d v="1899-12-30T08:10:00"/>
    <x v="83"/>
    <s v="Mecánica"/>
    <s v="Se cambia tornillo por rosca defectuosa"/>
    <s v="1x Tornillo"/>
    <s v="NA"/>
    <s v="J. SILVA"/>
    <x v="0"/>
    <d v="1899-12-30T01:10:00"/>
    <d v="2026-01-23T06:45:00"/>
    <d v="2026-01-23T08:10:00"/>
    <d v="1899-12-30T01:25:00"/>
  </r>
  <r>
    <n v="614"/>
    <m/>
    <m/>
    <m/>
    <x v="5"/>
    <m/>
    <m/>
    <m/>
    <m/>
    <x v="3"/>
    <m/>
    <m/>
    <m/>
    <m/>
    <m/>
    <x v="1"/>
    <d v="1899-12-30T00:00:00"/>
    <d v="1899-12-30T00:00:00"/>
    <d v="1899-12-30T00:00:00"/>
    <d v="1899-12-30T00:00:00"/>
  </r>
  <r>
    <n v="615"/>
    <s v="C. CASTRO"/>
    <d v="1899-12-30T00:30:00"/>
    <d v="2026-01-24T00:00:00"/>
    <x v="10"/>
    <m/>
    <s v="Ventilador del desbobinador frenado"/>
    <d v="1899-12-30T00:30:00"/>
    <d v="1899-12-30T01:00:00"/>
    <x v="84"/>
    <s v="Mecánica"/>
    <s v="Se desmonta ventilador, se procede al desarme y limpieza de material atascado, se realiza montaje y queda operativo"/>
    <s v="NA"/>
    <s v="NA"/>
    <s v="D. BAUTISTA"/>
    <x v="0"/>
    <d v="1899-12-30T00:30:00"/>
    <d v="2026-01-24T00:30:00"/>
    <d v="2026-01-24T01:00:00"/>
    <d v="1899-12-30T00:30:00"/>
  </r>
  <r>
    <n v="616"/>
    <s v="H. TRIANA"/>
    <d v="1899-12-30T17:50:00"/>
    <d v="2026-01-24T00:00:00"/>
    <x v="14"/>
    <s v="Repetitiva"/>
    <s v="Falla en el contactor del barril, se queda pegado"/>
    <d v="1899-12-30T17:50:00"/>
    <d v="1899-12-30T18:00:00"/>
    <x v="84"/>
    <s v="Eléctrica"/>
    <s v="Se evidencia contactor pegado, se da ajuste y queda operativo"/>
    <s v="NA"/>
    <s v="NA"/>
    <s v="O. DUARTE"/>
    <x v="0"/>
    <d v="1899-12-30T00:10:00"/>
    <d v="2026-01-24T17:50:00"/>
    <d v="2026-01-24T18:00:00"/>
    <d v="1899-12-30T00:10:00"/>
  </r>
  <r>
    <n v="617"/>
    <m/>
    <m/>
    <m/>
    <x v="5"/>
    <m/>
    <m/>
    <m/>
    <m/>
    <x v="3"/>
    <m/>
    <m/>
    <m/>
    <m/>
    <m/>
    <x v="1"/>
    <d v="1899-12-30T00:00:00"/>
    <d v="1899-12-30T00:00:00"/>
    <d v="1899-12-30T00:00:00"/>
    <d v="1899-12-30T00:00:00"/>
  </r>
  <r>
    <n v="618"/>
    <s v="R. OLIVARES"/>
    <d v="1899-12-30T14:30:00"/>
    <d v="2026-01-24T00:00:00"/>
    <x v="6"/>
    <m/>
    <s v="El octagon no corrige el calibre"/>
    <d v="1899-12-30T14:30:00"/>
    <d v="1899-12-30T16:50:00"/>
    <x v="84"/>
    <s v="Eléctrica"/>
    <s v="Se reinicia en su totalidad el equipo, se espera el arranque, queda operativo se hace seguimiento"/>
    <s v="NA"/>
    <s v="NA"/>
    <s v="O. DUARTE"/>
    <x v="0"/>
    <d v="1899-12-30T02:20:00"/>
    <d v="2026-01-24T14:30:00"/>
    <d v="2026-01-24T16:50:00"/>
    <d v="1899-12-30T02:20:00"/>
  </r>
  <r>
    <n v="619"/>
    <s v="H. TRIANA"/>
    <d v="1899-12-30T16:30:00"/>
    <d v="2026-01-24T00:00:00"/>
    <x v="3"/>
    <m/>
    <s v="Rotación parada error en variador "/>
    <d v="1899-12-30T16:30:00"/>
    <d v="1899-12-30T17:15:00"/>
    <x v="84"/>
    <s v="Eléctrica"/>
    <s v="Se evidencia rotación en falla se hace reset, se restablece operación de trabajo, seguimiento en el turno"/>
    <s v="NA"/>
    <s v="NA"/>
    <s v="O. DUARTE"/>
    <x v="0"/>
    <d v="1899-12-30T00:45:00"/>
    <d v="2026-01-24T16:30:00"/>
    <d v="2026-01-24T17:15:00"/>
    <d v="1899-12-30T00:45:00"/>
  </r>
  <r>
    <n v="620"/>
    <s v="R. OLIVARES"/>
    <d v="1899-12-30T17:20:00"/>
    <d v="2026-01-24T00:00:00"/>
    <x v="5"/>
    <m/>
    <s v="Daño en el brazo alimentador"/>
    <d v="1899-12-30T17:20:00"/>
    <d v="1899-12-30T17:40:00"/>
    <x v="84"/>
    <s v="Neúmatica"/>
    <s v="Se revisa brazo alimentador piston neúmatico, se desajusta, se posiciona y se ajusta nuevamente, queda operativo"/>
    <s v="NA"/>
    <s v="NA"/>
    <s v="O. DUARTE"/>
    <x v="0"/>
    <d v="1899-12-30T00:20:00"/>
    <d v="2026-01-24T17:20:00"/>
    <d v="2026-01-24T17:40:00"/>
    <d v="1899-12-30T00:20:00"/>
  </r>
  <r>
    <n v="621"/>
    <m/>
    <m/>
    <m/>
    <x v="5"/>
    <m/>
    <s v="Anular"/>
    <m/>
    <m/>
    <x v="3"/>
    <m/>
    <m/>
    <m/>
    <m/>
    <m/>
    <x v="1"/>
    <d v="1899-12-30T00:00:00"/>
    <d v="1899-12-30T00:00:00"/>
    <d v="1899-12-30T00:00:00"/>
    <d v="1899-12-30T00:00:00"/>
  </r>
  <r>
    <n v="622"/>
    <m/>
    <m/>
    <m/>
    <x v="5"/>
    <m/>
    <m/>
    <m/>
    <m/>
    <x v="3"/>
    <m/>
    <m/>
    <m/>
    <m/>
    <m/>
    <x v="1"/>
    <d v="1899-12-30T00:00:00"/>
    <d v="1899-12-30T00:00:00"/>
    <d v="1899-12-30T00:00:00"/>
    <d v="1899-12-30T00:00:00"/>
  </r>
  <r>
    <n v="623"/>
    <s v="K. RAMOS"/>
    <d v="1899-12-30T05:30:00"/>
    <d v="2026-01-25T00:00:00"/>
    <x v="14"/>
    <m/>
    <s v="Piedra deja rotación de la escobilla se brinca y se corto y pago la maquina toda completa"/>
    <d v="1899-12-30T05:30:00"/>
    <d v="1899-12-30T05:40:00"/>
    <x v="85"/>
    <s v="Eléctrica"/>
    <s v="Se realiza cambio de escobilla de rotación por desgaste"/>
    <s v="NA"/>
    <s v="NA"/>
    <s v="L. CASTILLA"/>
    <x v="0"/>
    <d v="1899-12-30T00:10:00"/>
    <d v="2026-01-25T05:30:00"/>
    <d v="2026-01-25T05:40:00"/>
    <d v="1899-12-30T00:10:00"/>
  </r>
  <r>
    <n v="624"/>
    <s v="D. CUESTA"/>
    <d v="1899-12-30T05:48:00"/>
    <d v="2026-01-25T00:00:00"/>
    <x v="14"/>
    <m/>
    <s v="Temperatura del barril se descontroló subiendose 40° mas por encima"/>
    <d v="1899-12-30T06:00:00"/>
    <d v="1899-12-30T06:50:00"/>
    <x v="85"/>
    <s v="Eléctrica"/>
    <s v="Se encuentra contactor pegado en el momento del enclavamiento, se realiza el cambio del contactor y se deja bajar la temperatura que se encuentra por encima de 200 ° C"/>
    <s v="NA"/>
    <s v="NA"/>
    <s v="D. BAUTISTA"/>
    <x v="0"/>
    <d v="1899-12-30T00:50:00"/>
    <d v="2026-01-25T05:48:00"/>
    <d v="2026-01-25T06:50:00"/>
    <d v="1899-12-30T01:02:00"/>
  </r>
  <r>
    <n v="625"/>
    <s v="S. PERALTA"/>
    <d v="1899-12-30T18:55:00"/>
    <d v="2026-01-25T00:00:00"/>
    <x v="11"/>
    <m/>
    <s v="Manzana corta cores no enrosca"/>
    <d v="1899-12-30T18:55:00"/>
    <d v="1899-12-30T19:30:00"/>
    <x v="85"/>
    <s v="Mecánica"/>
    <s v="Se realiza extracción del tronillo rectificado de rosca cambio tornillo por un M12"/>
    <s v="1x Tornillo M12"/>
    <s v="NA"/>
    <s v="O. DUARTE"/>
    <x v="0"/>
    <d v="1899-12-30T00:35:00"/>
    <d v="2026-01-25T18:55:00"/>
    <d v="2026-01-25T19:30:00"/>
    <d v="1899-12-30T00:35:00"/>
  </r>
  <r>
    <n v="626"/>
    <s v="H. TRIANA"/>
    <m/>
    <d v="2026-01-25T00:00:00"/>
    <x v="8"/>
    <s v="Repetitiva"/>
    <s v="Cuchilla de tratado estan muy duras para cuadrar planos de tratado"/>
    <m/>
    <m/>
    <x v="85"/>
    <s v="Eléctrica"/>
    <s v="Se revisa, se da ajuste pero queda en seguimiento para hacer cambio y que opere mas suave"/>
    <s v="NA"/>
    <s v="NA"/>
    <s v="O. DUARTE"/>
    <x v="0"/>
    <d v="1899-12-30T00:00:00"/>
    <d v="2026-01-25T00:00:00"/>
    <d v="2026-01-25T00:00:00"/>
    <d v="1899-12-30T00:00:00"/>
  </r>
  <r>
    <n v="627"/>
    <s v="S. PERALTA"/>
    <d v="1899-12-30T20:00:00"/>
    <d v="2026-01-25T00:00:00"/>
    <x v="11"/>
    <m/>
    <s v="Tornillo que sujeta la cuchilla se parte"/>
    <d v="1899-12-30T20:00:00"/>
    <m/>
    <x v="85"/>
    <s v="Mecánica"/>
    <s v="Se corta tuerca y se cambia tornillo, se aplica soldadura, se afila cuchilla de corta cores"/>
    <s v="Tornillo"/>
    <s v="Soldadura"/>
    <s v="O. DUARTE"/>
    <x v="0"/>
    <n v="-0.83333333333333337"/>
    <d v="2026-01-25T20:00:00"/>
    <d v="2026-01-25T00:00:00"/>
    <n v="-0.83333333333575865"/>
  </r>
  <r>
    <n v="628"/>
    <s v="H. TRIANA"/>
    <d v="1899-12-30T01:00:00"/>
    <d v="2026-01-26T00:00:00"/>
    <x v="8"/>
    <s v="Repetitiva"/>
    <s v="Tornillo bristol se le daña la cabeza y no sale la manzana del eje"/>
    <d v="1899-12-30T01:00:00"/>
    <d v="1899-12-30T01:25:00"/>
    <x v="86"/>
    <s v="Mecánica"/>
    <s v="Se realiza cambio de tornillo"/>
    <s v="1x Tornillo"/>
    <s v="NA"/>
    <s v="O. DUARTE"/>
    <x v="0"/>
    <d v="1899-12-30T00:25:00"/>
    <d v="2026-01-26T01:00:00"/>
    <d v="2026-01-26T01:25:00"/>
    <d v="1899-12-30T00:25:00"/>
  </r>
  <r>
    <n v="629"/>
    <s v="D. MARIN"/>
    <d v="1899-12-30T11:00:00"/>
    <d v="2026-01-23T00:00:00"/>
    <x v="5"/>
    <m/>
    <s v="Rosca de ajuste de manzana rodada"/>
    <d v="1899-12-30T11:00:00"/>
    <d v="1899-12-30T11:40:00"/>
    <x v="86"/>
    <s v="Mecánica"/>
    <s v="Se soldo tuerca de mordaza de ajuste de cortacores"/>
    <s v="NA"/>
    <s v="Soldadura"/>
    <s v="D. BAUTISTA"/>
    <x v="0"/>
    <d v="1899-12-30T00:40:00"/>
    <d v="2026-01-23T11:00:00"/>
    <d v="2026-01-26T11:40:00"/>
    <d v="1900-01-02T00:40:00"/>
  </r>
  <r>
    <n v="630"/>
    <s v="J. BRICEÑO"/>
    <d v="1899-12-30T16:15:00"/>
    <d v="2026-01-26T00:00:00"/>
    <x v="7"/>
    <m/>
    <s v="Falla en la bomba neúmatica"/>
    <d v="1899-12-30T16:30:00"/>
    <d v="1899-12-30T16:50:00"/>
    <x v="86"/>
    <s v="Neúmatica"/>
    <s v="Se revisa bomba, se saca los balines, se limpia, se purga y se hace montaje, queda operativa, en seguimiento"/>
    <s v="NA"/>
    <s v="NA"/>
    <s v="O. DUARTE"/>
    <x v="0"/>
    <d v="1899-12-30T00:20:00"/>
    <d v="2026-01-26T16:15:00"/>
    <d v="2026-01-26T16:50:00"/>
    <d v="1899-12-30T00:35:00"/>
  </r>
  <r>
    <n v="631"/>
    <s v="R. MEJIA"/>
    <d v="1899-12-30T17:25:00"/>
    <d v="2026-01-26T00:00:00"/>
    <x v="7"/>
    <s v="Repetitiva"/>
    <s v="Falla bomba neúmatica repetidamente unidad #2"/>
    <d v="1899-12-30T17:25:00"/>
    <d v="1899-12-30T18:00:00"/>
    <x v="86"/>
    <s v="Eléctrica"/>
    <s v="Persiste falla en bomba, se desarma, se saca balin y se toman medidas, se limpia y queda operativo, se hace seguimiento"/>
    <s v="NA"/>
    <s v="NA"/>
    <s v="O. DUARTE"/>
    <x v="0"/>
    <d v="1899-12-30T00:35:00"/>
    <d v="2026-01-26T17:25:00"/>
    <d v="2026-01-26T18:00:00"/>
    <d v="1899-12-30T00:35:00"/>
  </r>
  <r>
    <n v="632"/>
    <s v="D. ARRIETA"/>
    <d v="1899-12-30T19:39:00"/>
    <d v="2026-01-26T00:00:00"/>
    <x v="7"/>
    <s v="Repetitiva"/>
    <s v="Bomba neúmatica, la bomba 2, 5 comienza funcionando y en el transcurso de 3 minutos deja de subir tinta al Anilox y eso puede afectar al fotopolimero (Dañarlo)"/>
    <d v="1899-12-30T19:39:00"/>
    <d v="1899-12-30T20:00:00"/>
    <x v="86"/>
    <s v="Neúmatica"/>
    <s v="Se revisan bomba, se limpia esferas, persiste falla, acción tomada cambio a bombas antiguas en canecas sumergibles"/>
    <s v="NA"/>
    <s v="NA"/>
    <s v="O. DUARTE"/>
    <x v="0"/>
    <d v="1899-12-30T00:21:00"/>
    <d v="2026-01-26T19:39:00"/>
    <d v="2026-01-26T20:00:00"/>
    <d v="1899-12-30T00:21:00"/>
  </r>
  <r>
    <n v="633"/>
    <s v="J. PARDO"/>
    <d v="1899-12-30T06:55:00"/>
    <d v="2026-01-27T00:00:00"/>
    <x v="7"/>
    <s v="Repetitiva"/>
    <s v="Daño en bombas de tinta daño palanca hidraulica unidad 4"/>
    <d v="1899-12-30T06:55:00"/>
    <d v="1899-12-30T09:05:00"/>
    <x v="87"/>
    <s v="Neúmatica"/>
    <s v="Se realiza revisión a bombas y mangueras encontrando presión baja en el suministro del aire comprimido, se coloca mangueras M12 desde impresora #2, corrigiendo así la falla, se hace seguimiento"/>
    <s v="Manguera M12"/>
    <s v="NA"/>
    <s v="L. CASTILLA"/>
    <x v="0"/>
    <d v="1899-12-30T02:10:00"/>
    <d v="2026-01-27T06:55:00"/>
    <d v="2026-01-27T09:05:00"/>
    <d v="1899-12-30T02:10:00"/>
  </r>
  <r>
    <n v="634"/>
    <s v="J. CARRILLO"/>
    <d v="1899-12-30T09:15:00"/>
    <d v="2026-01-27T00:00:00"/>
    <x v="11"/>
    <s v="Puntual"/>
    <s v="Se genera corto en el molino"/>
    <d v="1899-12-30T09:15:00"/>
    <d v="1899-12-30T10:20:00"/>
    <x v="87"/>
    <s v="Eléctrica"/>
    <s v="Se encuentra protecciones disparadas por alto esfuerzo, se entrega maquina habilitada para trabajar"/>
    <s v="NA"/>
    <s v="NA"/>
    <s v="L. FLOREZ"/>
    <x v="0"/>
    <d v="1899-12-30T01:05:00"/>
    <d v="2026-01-27T09:15:00"/>
    <d v="2026-01-27T10:20:00"/>
    <d v="1899-12-30T01:05:00"/>
  </r>
  <r>
    <n v="635"/>
    <s v="H. TRIANA"/>
    <d v="1899-12-30T11:12:00"/>
    <d v="2026-01-27T00:00:00"/>
    <x v="14"/>
    <s v="Puntual"/>
    <s v="Perilla de encender y apagar motor externo se cae"/>
    <m/>
    <d v="1899-12-30T20:15:00"/>
    <x v="27"/>
    <s v="Eléctrica"/>
    <s v="Se cambio collarin de fijación de perilla, se aprovecha que el equipo esta apagado"/>
    <s v="NA"/>
    <s v="NA"/>
    <s v="O. DUARTE"/>
    <x v="0"/>
    <d v="1899-12-30T20:15:00"/>
    <d v="2026-01-27T11:12:00"/>
    <d v="2026-02-01T20:15:00"/>
    <d v="1900-01-04T09:03:00"/>
  </r>
  <r>
    <n v="636"/>
    <s v="F. SANCHEZ"/>
    <d v="1899-12-30T14:00:00"/>
    <d v="2026-01-27T00:00:00"/>
    <x v="6"/>
    <s v="Puntual"/>
    <s v="Problemas con la velocidad de la extruder B, se sube y se baja la velocidad, ya lleva tiempo en eso"/>
    <m/>
    <m/>
    <x v="3"/>
    <m/>
    <m/>
    <m/>
    <m/>
    <m/>
    <x v="2"/>
    <d v="1899-12-30T00:00:00"/>
    <d v="2026-01-27T14:00:00"/>
    <d v="1899-12-30T00:00:00"/>
    <n v="-46049.583333333336"/>
  </r>
  <r>
    <n v="637"/>
    <s v="H. TRIANA"/>
    <d v="1899-12-30T15:50:00"/>
    <d v="2026-02-27T00:00:00"/>
    <x v="14"/>
    <s v="Repetitiva"/>
    <s v="Temperaturas se suben 60 grados de lo normal"/>
    <m/>
    <m/>
    <x v="3"/>
    <m/>
    <m/>
    <m/>
    <m/>
    <m/>
    <x v="2"/>
    <d v="1899-12-30T00:00:00"/>
    <d v="2026-02-27T15:50:00"/>
    <d v="1899-12-30T00:00:00"/>
    <n v="-46080.659722222219"/>
  </r>
  <r>
    <n v="638"/>
    <s v="Y. BERNAL"/>
    <d v="1899-12-30T17:00:00"/>
    <d v="2026-01-27T00:00:00"/>
    <x v="11"/>
    <s v="Puntual"/>
    <s v="Se le reporta a mantenimiento por que el tornillo de la cortadora no aprieta ni suelta y se lleva a cuato de mantenimiento para suarreglo"/>
    <d v="1899-12-30T17:00:00"/>
    <d v="1899-12-30T17:17:00"/>
    <x v="87"/>
    <s v="Mecánica"/>
    <s v="Se desolda tuerca y tornillo, se hace cambio, se aplica soldadura, queda nuevamente en servicio"/>
    <s v="1x Tuerca y 1x Tornillo M12 x 60mm"/>
    <s v="NA"/>
    <s v="O. DUARTE"/>
    <x v="0"/>
    <d v="1899-12-30T00:17:00"/>
    <d v="2026-01-27T17:00:00"/>
    <d v="2026-01-27T17:17:00"/>
    <d v="1899-12-30T00:17:00"/>
  </r>
  <r>
    <n v="639"/>
    <s v="L. GARZON"/>
    <d v="1899-12-30T14:30:00"/>
    <d v="2026-01-27T00:00:00"/>
    <x v="4"/>
    <m/>
    <s v="Fotocelda se apaga y no registra"/>
    <d v="1899-12-30T14:30:00"/>
    <d v="1899-12-30T17:00:00"/>
    <x v="87"/>
    <s v="Eléctrica"/>
    <s v="Se revisa fotocelda lectura intermitente, se hace cambio por la de la selladora y se hace seguimiento, cambio de cable para descartar, lectura queda operativa"/>
    <s v="NA"/>
    <s v="NA"/>
    <s v="O. DUARTE"/>
    <x v="0"/>
    <d v="1899-12-30T02:30:00"/>
    <d v="2026-01-27T14:30:00"/>
    <d v="2026-01-27T17:00:00"/>
    <d v="1899-12-30T02:30:00"/>
  </r>
  <r>
    <n v="640"/>
    <s v="H. TRIANA"/>
    <d v="1899-12-30T17:50:00"/>
    <d v="2026-01-27T00:00:00"/>
    <x v="14"/>
    <s v="Puntual"/>
    <s v="Tratador con potencia intermitente"/>
    <m/>
    <m/>
    <x v="3"/>
    <m/>
    <m/>
    <m/>
    <m/>
    <m/>
    <x v="2"/>
    <d v="1899-12-30T00:00:00"/>
    <d v="2026-01-27T17:50:00"/>
    <d v="1899-12-30T00:00:00"/>
    <n v="-46049.743055555555"/>
  </r>
  <r>
    <n v="641"/>
    <s v="L. GARZON"/>
    <d v="1899-12-30T21:00:00"/>
    <d v="2026-01-27T00:00:00"/>
    <x v="4"/>
    <s v="Repetitiva"/>
    <s v="Se solicita revisión de termocupla por que no sube temperatura"/>
    <d v="1899-12-30T21:00:00"/>
    <d v="1899-12-30T21:15:00"/>
    <x v="87"/>
    <s v="Eléctrica"/>
    <s v="Se revisa termocupla, se encuentra defectuosa, se remplaza por una nueva, se hace seguimiento, queda operativa"/>
    <s v="1x Termocupla de 1/4"/>
    <s v="NA"/>
    <s v="O. DUARTE"/>
    <x v="0"/>
    <d v="1899-12-30T00:15:00"/>
    <d v="2026-01-27T21:00:00"/>
    <d v="2026-01-27T21:15:00"/>
    <d v="1899-12-30T00:15:00"/>
  </r>
  <r>
    <n v="642"/>
    <s v="J. MIRANDA"/>
    <d v="1899-12-30T06:30:00"/>
    <d v="2026-01-28T00:00:00"/>
    <x v="11"/>
    <s v="Puntual"/>
    <s v="Daño en la rosca del tornillo de ajustador"/>
    <d v="1899-12-30T06:30:00"/>
    <d v="1899-12-30T07:20:00"/>
    <x v="87"/>
    <s v="Mecánica"/>
    <s v="Rosca averiada, se realiza perforación para pasar macho 1/2 para rosca quedando OK"/>
    <s v="1x Tornillo 3/8 x 2´´"/>
    <s v="NA"/>
    <s v="L. CASTILLA"/>
    <x v="0"/>
    <d v="1899-12-30T00:50:00"/>
    <d v="2026-01-28T06:30:00"/>
    <d v="2026-01-27T07:20:00"/>
    <n v="-0.96527777778101154"/>
  </r>
  <r>
    <n v="643"/>
    <s v="J. PARDO"/>
    <d v="1899-12-30T15:00:00"/>
    <d v="2026-01-28T00:00:00"/>
    <x v="7"/>
    <s v="Repetitiva"/>
    <s v="Hidraulica unidad 4 no sube"/>
    <d v="1899-12-30T15:00:00"/>
    <d v="1899-12-30T15:19:00"/>
    <x v="88"/>
    <s v="Neúmatica"/>
    <s v="Se cambia accionador de palanca unidad #3 a unidad #4, se entrega en normal funcionamiento"/>
    <s v="NA"/>
    <s v="NA"/>
    <s v="L. FLOREZ"/>
    <x v="0"/>
    <d v="1899-12-30T00:19:00"/>
    <d v="2026-01-28T15:00:00"/>
    <d v="2026-01-28T15:19:00"/>
    <d v="1899-12-30T00:19:00"/>
  </r>
  <r>
    <n v="644"/>
    <s v="B. VELASQUEZ"/>
    <d v="1899-12-30T14:30:00"/>
    <d v="2026-01-28T00:00:00"/>
    <x v="11"/>
    <s v="Puntual"/>
    <s v="Chiller no enfria, el compresor no enciende"/>
    <d v="1899-12-30T14:40:00"/>
    <d v="1899-12-30T18:20:00"/>
    <x v="88"/>
    <s v="Eléctrica"/>
    <s v="Se revisa y se encuentra contador mal estado, no abre los contactos y el controlador se esta quedando pegado, no envia orden de encendido"/>
    <s v="1x contador Osram de 8 pines"/>
    <s v="NA"/>
    <s v="J. SILVA"/>
    <x v="0"/>
    <d v="1899-12-30T03:40:00"/>
    <d v="2026-01-28T14:30:00"/>
    <d v="2026-01-28T18:20:00"/>
    <d v="1899-12-30T03:50:00"/>
  </r>
  <r>
    <n v="645"/>
    <s v="F. SANCHEZ"/>
    <d v="1899-12-30T18:55:00"/>
    <d v="2026-01-28T00:00:00"/>
    <x v="6"/>
    <s v="Puntual"/>
    <s v="Se paro la maquina por falla eléctrica, se baja el breaker y se reinicia"/>
    <d v="1899-12-30T18:57:00"/>
    <d v="1899-12-30T19:20:00"/>
    <x v="88"/>
    <s v="Eléctrica"/>
    <s v="Hubo bajon de energia electrica, se baja el breaker y se reinicia"/>
    <s v="NA"/>
    <s v="NA"/>
    <s v="J. SILVA"/>
    <x v="0"/>
    <d v="1899-12-30T00:23:00"/>
    <d v="2026-01-28T18:55:00"/>
    <d v="2026-01-28T19:20:00"/>
    <d v="1899-12-30T00:25:00"/>
  </r>
  <r>
    <n v="646"/>
    <s v="F. SANCHEZ"/>
    <d v="1899-12-30T20:50:00"/>
    <d v="2026-01-28T00:00:00"/>
    <x v="6"/>
    <s v="Puntual"/>
    <s v="Problema con el octagon, no funcionaba"/>
    <d v="1899-12-30T20:55:00"/>
    <d v="1899-12-30T21:30:00"/>
    <x v="88"/>
    <s v="Eléctrica"/>
    <s v="Se revisa y el router apagado, se reinica y queda OK"/>
    <s v="NA"/>
    <s v="NA"/>
    <s v="J. SILVA"/>
    <x v="0"/>
    <d v="1899-12-30T00:35:00"/>
    <d v="2026-01-28T20:50:00"/>
    <d v="2026-01-28T21:30:00"/>
    <d v="1899-12-30T00:40:00"/>
  </r>
  <r>
    <n v="647"/>
    <s v="H. TRIANA"/>
    <d v="1899-12-30T04:30:00"/>
    <d v="2026-01-29T00:00:00"/>
    <x v="8"/>
    <s v="Puntual"/>
    <s v="Se parte cadenilla del piñon del eje embobinador"/>
    <d v="1899-12-30T04:30:00"/>
    <d v="1899-12-30T05:20:00"/>
    <x v="89"/>
    <s v="Mecánica"/>
    <s v="Se hace cambio por cadenilla, se corta y para nuevamente, se instala en el equipo, queda operativa"/>
    <s v="Tramo cadenilla doble paso 40cm"/>
    <s v="NA"/>
    <s v="O. DUARTE"/>
    <x v="0"/>
    <d v="1899-12-30T00:50:00"/>
    <d v="2026-01-29T04:30:00"/>
    <d v="2026-01-29T05:20:00"/>
    <d v="1899-12-30T00:50:00"/>
  </r>
  <r>
    <n v="648"/>
    <s v="H. TRIANA"/>
    <d v="1899-12-30T04:33:00"/>
    <d v="2026-01-29T00:00:00"/>
    <x v="8"/>
    <s v="Repetitiva"/>
    <s v="Cuchilla de tratado estan muy duras para cuadrar planos de tratado"/>
    <d v="1899-12-30T04:33:00"/>
    <d v="1899-12-30T05:20:00"/>
    <x v="89"/>
    <s v="Eléctrica"/>
    <s v="Se hace reporte para compra lubricante dielectrico para evitar corto"/>
    <m/>
    <m/>
    <s v="O. DUARTE"/>
    <x v="2"/>
    <d v="1899-12-30T00:47:00"/>
    <d v="2026-01-29T04:33:00"/>
    <d v="2026-01-29T05:20:00"/>
    <d v="1899-12-30T00:47:00"/>
  </r>
  <r>
    <n v="649"/>
    <s v="H. TRIANA"/>
    <d v="1899-12-30T04:35:00"/>
    <d v="2026-01-29T00:00:00"/>
    <x v="14"/>
    <s v="Repetitiva"/>
    <s v="Temperaturas de tornillos interno y externo elevadas, hasta 60°C fuera de parametros"/>
    <d v="1899-12-30T04:35:00"/>
    <d v="1899-12-30T05:40:00"/>
    <x v="89"/>
    <s v="Eléctrica"/>
    <s v="Se toma consumos, pinza falta baterias para lectura real"/>
    <m/>
    <m/>
    <m/>
    <x v="2"/>
    <d v="1899-12-30T01:05:00"/>
    <d v="2026-01-29T04:35:00"/>
    <d v="2026-01-29T05:40:00"/>
    <d v="1899-12-30T01:05:00"/>
  </r>
  <r>
    <n v="650"/>
    <s v="S. PATIÑO"/>
    <m/>
    <d v="2026-01-29T00:00:00"/>
    <x v="1"/>
    <s v="Puntual"/>
    <s v="Tratador no enciende"/>
    <m/>
    <m/>
    <x v="3"/>
    <m/>
    <m/>
    <m/>
    <m/>
    <m/>
    <x v="2"/>
    <d v="1899-12-30T00:00:00"/>
    <d v="2026-01-29T00:00:00"/>
    <d v="1899-12-30T00:00:00"/>
    <n v="-46051"/>
  </r>
  <r>
    <n v="651"/>
    <s v="S. CARDENAL"/>
    <d v="1899-12-30T10:20:00"/>
    <d v="2026-01-29T00:00:00"/>
    <x v="11"/>
    <s v="Puntual"/>
    <s v="Selladora manual no calienta"/>
    <d v="1899-12-30T10:20:00"/>
    <d v="1899-12-30T10:40:00"/>
    <x v="89"/>
    <s v="Eléctrica"/>
    <s v="Cable de conexión de resistencia desconectado, se realizo instalación de termicol y se realiza conexión, quedo operativo"/>
    <s v="NA"/>
    <s v="Termicol"/>
    <s v="D. BAUTISTA"/>
    <x v="0"/>
    <d v="1899-12-30T00:20:00"/>
    <d v="2026-01-29T10:20:00"/>
    <d v="2026-01-29T10:40:00"/>
    <d v="1899-12-30T00:20:00"/>
  </r>
  <r>
    <n v="652"/>
    <s v="S. CARDENAL"/>
    <d v="1899-12-30T09:30:00"/>
    <d v="2026-01-29T00:00:00"/>
    <x v="0"/>
    <m/>
    <s v="Temperatura superior no se mantiene"/>
    <d v="1899-12-30T09:30:00"/>
    <d v="1899-12-30T10:00:00"/>
    <x v="89"/>
    <s v="Eléctrica"/>
    <s v="Breaker disparado, se revisan conexiones y se encuentra en buen estado, se realiza seguimiento"/>
    <s v="NA"/>
    <s v="NA"/>
    <s v="D. BAUTISTA"/>
    <x v="0"/>
    <d v="1899-12-30T00:30:00"/>
    <d v="2026-01-29T09:30:00"/>
    <d v="2026-01-29T10:00:00"/>
    <d v="1899-12-30T00:30:00"/>
  </r>
  <r>
    <n v="653"/>
    <m/>
    <m/>
    <m/>
    <x v="5"/>
    <m/>
    <m/>
    <m/>
    <m/>
    <x v="3"/>
    <m/>
    <m/>
    <m/>
    <m/>
    <m/>
    <x v="1"/>
    <d v="1899-12-30T00:00:00"/>
    <d v="1899-12-30T00:00:00"/>
    <d v="1899-12-30T00:00:00"/>
    <d v="1899-12-30T00:00:00"/>
  </r>
  <r>
    <n v="654"/>
    <s v="L. GARZON"/>
    <d v="1899-12-30T16:30:00"/>
    <d v="2026-01-29T00:00:00"/>
    <x v="4"/>
    <s v="Repetitiva"/>
    <s v="Se solicita afilar cuchilla"/>
    <d v="1899-12-30T16:32:00"/>
    <d v="1899-12-30T16:50:00"/>
    <x v="89"/>
    <s v="Mecánica"/>
    <s v="Se afila cuchilla"/>
    <s v="NA"/>
    <s v="NA"/>
    <s v="J. SILVA"/>
    <x v="0"/>
    <d v="1899-12-30T00:18:00"/>
    <d v="2026-01-29T16:30:00"/>
    <d v="2026-01-29T16:50:00"/>
    <d v="1899-12-30T00:20:00"/>
  </r>
  <r>
    <n v="655"/>
    <s v="L. GARZON"/>
    <d v="1899-12-30T20:50:00"/>
    <d v="2026-01-29T00:00:00"/>
    <x v="13"/>
    <m/>
    <s v="Piñon en los rodillos delanteros"/>
    <d v="1899-12-30T21:55:00"/>
    <d v="1899-12-30T07:15:00"/>
    <x v="90"/>
    <s v="Mecánica"/>
    <s v="Se cambia piñon por rompimiento, se entrega maquina funcionando"/>
    <s v="1x Piñon en teflon"/>
    <s v="NA"/>
    <s v="J. SILVA"/>
    <x v="0"/>
    <n v="-0.61111111111111116"/>
    <d v="2026-01-29T20:50:00"/>
    <d v="2026-01-30T07:15:00"/>
    <d v="1899-12-30T10:25:00"/>
  </r>
  <r>
    <n v="656"/>
    <s v="E. BELLO"/>
    <d v="1899-12-30T21:25:00"/>
    <d v="2026-01-29T00:00:00"/>
    <x v="11"/>
    <m/>
    <s v="La malla del cilo se levanta por presión de aire"/>
    <d v="1899-12-30T23:20:00"/>
    <d v="1899-12-30T23:48:00"/>
    <x v="89"/>
    <s v="Mecánica"/>
    <s v="Se hace arreglo provicional con suncho mientras se cambia malla y fija mejor"/>
    <s v="NA"/>
    <s v="Suncho"/>
    <s v="O. DUARTE"/>
    <x v="0"/>
    <d v="1899-12-30T00:28:00"/>
    <d v="2026-01-29T21:25:00"/>
    <d v="2026-01-29T23:48:00"/>
    <d v="1899-12-30T02:23:00"/>
  </r>
  <r>
    <n v="657"/>
    <s v="A. ROVINA"/>
    <d v="1899-12-30T03:15:00"/>
    <d v="2026-01-30T00:00:00"/>
    <x v="10"/>
    <m/>
    <s v="Se presenta calentamiento del freno del sujetador del rollo molde"/>
    <d v="1899-12-30T04:20:00"/>
    <d v="1899-12-30T08:20:00"/>
    <x v="90"/>
    <s v="Mecánica, Eléctrica"/>
    <s v="Se verifica motor no arranca, tiene tensión, al parecer es el capacitor de arranque, se coloca provisional otro ventilador quedando OK"/>
    <s v="1x Ventilador bifasico 220V"/>
    <s v="NA"/>
    <s v="J. SILVA"/>
    <x v="0"/>
    <d v="1899-12-30T04:00:00"/>
    <d v="2026-01-30T03:15:00"/>
    <d v="2026-01-30T08:20:00"/>
    <d v="1899-12-30T05:05:00"/>
  </r>
  <r>
    <n v="658"/>
    <s v="H. TRIANA"/>
    <d v="1899-12-30T10:55:00"/>
    <d v="2026-01-30T00:00:00"/>
    <x v="21"/>
    <s v="Puntual"/>
    <s v="Tapa de motor interno esta suelta y se choca contra las poleas del motor"/>
    <m/>
    <m/>
    <x v="3"/>
    <m/>
    <m/>
    <m/>
    <m/>
    <m/>
    <x v="2"/>
    <d v="1899-12-30T00:00:00"/>
    <d v="2026-01-30T10:55:00"/>
    <d v="1899-12-30T00:00:00"/>
    <n v="-46052.454861111109"/>
  </r>
  <r>
    <n v="659"/>
    <s v="H. TRIANA"/>
    <d v="1899-12-30T10:53:00"/>
    <d v="2026-01-30T00:00:00"/>
    <x v="1"/>
    <s v="Repetitiva"/>
    <s v="Rodillo embobinador se detiene"/>
    <m/>
    <m/>
    <x v="3"/>
    <m/>
    <m/>
    <m/>
    <m/>
    <m/>
    <x v="2"/>
    <d v="1899-12-30T00:00:00"/>
    <d v="2026-01-30T10:53:00"/>
    <d v="1899-12-30T00:00:00"/>
    <n v="-46052.453472222223"/>
  </r>
  <r>
    <n v="660"/>
    <s v="A."/>
    <d v="1899-12-30T19:00:00"/>
    <d v="2026-01-30T00:00:00"/>
    <x v="25"/>
    <s v="Puntual"/>
    <s v="Maquina bloqueada no funciona"/>
    <d v="1899-12-30T19:45:00"/>
    <d v="1899-12-30T20:30:00"/>
    <x v="90"/>
    <s v="Eléctrica"/>
    <s v="celda descalibrada no sensa con fondo blanco, se coloca negro, variador en falla de la prensa haladora, se realiza reset corrigiendo falla"/>
    <s v="NA"/>
    <s v="NA"/>
    <s v="L. CASTILLA"/>
    <x v="2"/>
    <d v="1899-12-30T00:45:00"/>
    <d v="2026-01-30T19:00:00"/>
    <d v="2026-01-30T20:30:00"/>
    <d v="1899-12-30T01:30:00"/>
  </r>
  <r>
    <n v="661"/>
    <s v="H. TRIANA"/>
    <d v="1899-12-30T07:25:00"/>
    <d v="2026-01-31T00:00:00"/>
    <x v="8"/>
    <s v="Repetitiva"/>
    <s v="Cuchillas del tratador duras para hacer planos de tratado"/>
    <m/>
    <m/>
    <x v="3"/>
    <m/>
    <m/>
    <m/>
    <m/>
    <m/>
    <x v="2"/>
    <d v="1899-12-30T00:00:00"/>
    <d v="2026-01-31T07:25:00"/>
    <d v="1899-12-30T00:00:00"/>
    <n v="-46053.309027777781"/>
  </r>
  <r>
    <n v="662"/>
    <s v="H. TRIANA"/>
    <d v="1899-12-30T07:25:00"/>
    <d v="2026-01-31T00:00:00"/>
    <x v="1"/>
    <s v="Puntual"/>
    <s v="Extrusora sin tratador"/>
    <m/>
    <m/>
    <x v="3"/>
    <m/>
    <m/>
    <m/>
    <m/>
    <m/>
    <x v="2"/>
    <d v="1899-12-30T00:00:00"/>
    <d v="2026-01-31T07:25:00"/>
    <d v="1899-12-30T00:00:00"/>
    <n v="-46053.309027777781"/>
  </r>
  <r>
    <n v="663"/>
    <s v="H. TRIANA"/>
    <m/>
    <d v="2026-01-31T00:00:00"/>
    <x v="14"/>
    <s v="Repetitiva"/>
    <s v="Rodillo banana delantero tiene un bote y hace arrugar la pelicula"/>
    <m/>
    <m/>
    <x v="3"/>
    <m/>
    <m/>
    <m/>
    <m/>
    <m/>
    <x v="2"/>
    <d v="1899-12-30T00:00:00"/>
    <d v="2026-01-31T00:00:00"/>
    <d v="1899-12-30T00:00:00"/>
    <n v="-46053"/>
  </r>
  <r>
    <n v="664"/>
    <s v="H. TRIANA"/>
    <m/>
    <d v="2026-01-31T00:00:00"/>
    <x v="14"/>
    <s v="Repetitiva"/>
    <s v="Temperaturas elevadas de los tornillos"/>
    <m/>
    <m/>
    <x v="3"/>
    <m/>
    <m/>
    <m/>
    <m/>
    <m/>
    <x v="2"/>
    <d v="1899-12-30T00:00:00"/>
    <d v="2026-01-31T00:00:00"/>
    <d v="1899-12-30T00:00:00"/>
    <n v="-46053"/>
  </r>
  <r>
    <n v="665"/>
    <s v="H. TRIANA"/>
    <m/>
    <d v="2026-01-31T00:00:00"/>
    <x v="26"/>
    <s v="Puntual"/>
    <s v="Se necesitan mangueras de aire #10 para las coextrusoras 3 y 4"/>
    <m/>
    <m/>
    <x v="3"/>
    <m/>
    <m/>
    <m/>
    <m/>
    <m/>
    <x v="2"/>
    <d v="1899-12-30T00:00:00"/>
    <d v="2026-01-31T00:00:00"/>
    <d v="1899-12-30T00:00:00"/>
    <n v="-46053"/>
  </r>
  <r>
    <n v="666"/>
    <s v="S. PATIÑO"/>
    <d v="1899-12-30T07:40:00"/>
    <d v="2026-01-31T00:00:00"/>
    <x v="6"/>
    <s v="Repetitiva"/>
    <s v="Eje de embobinado con un gran desbalance"/>
    <m/>
    <m/>
    <x v="3"/>
    <m/>
    <m/>
    <m/>
    <m/>
    <m/>
    <x v="2"/>
    <d v="1899-12-30T00:00:00"/>
    <d v="2026-01-31T07:40:00"/>
    <d v="1899-12-30T00:00:00"/>
    <n v="-46053.319444444445"/>
  </r>
  <r>
    <n v="667"/>
    <s v="R. MEJIA"/>
    <d v="1899-12-30T12:07:00"/>
    <d v="2026-01-31T00:00:00"/>
    <x v="7"/>
    <s v="Puntual"/>
    <s v="Tornillo que asegura la tapa del eje del bobinador se partio"/>
    <d v="1899-12-30T12:30:00"/>
    <d v="1899-12-30T13:40:00"/>
    <x v="91"/>
    <s v="Mecánica"/>
    <s v="Se fabrica el tornillo prisionero para el seguro"/>
    <s v="1x Tornillo M10"/>
    <s v="Soldadura"/>
    <s v="J.SILVA"/>
    <x v="0"/>
    <d v="1899-12-30T01:10:00"/>
    <d v="2026-01-31T12:07:00"/>
    <d v="2026-01-31T13:40:00"/>
    <d v="1899-12-30T01:33:00"/>
  </r>
  <r>
    <n v="668"/>
    <s v="J. MIRANDA"/>
    <d v="1899-12-30T12:36:00"/>
    <d v="2026-01-31T00:00:00"/>
    <x v="25"/>
    <s v="Puntual"/>
    <s v="Motor de la prensa de velocidad no esta funcionando"/>
    <m/>
    <m/>
    <x v="3"/>
    <m/>
    <s v="Se revisa, no se encuentra recalentamiento ni esta frenado, esta funcionando OK, revisión"/>
    <s v="NA"/>
    <s v="NA"/>
    <s v="J.SILVA"/>
    <x v="2"/>
    <d v="1899-12-30T00:00:00"/>
    <d v="2026-01-31T12:36:00"/>
    <d v="1899-12-30T00:00:00"/>
    <n v="-46053.525000000001"/>
  </r>
  <r>
    <n v="669"/>
    <s v="H. TRIANA"/>
    <d v="1899-12-30T13:20:00"/>
    <d v="2026-01-31T00:00:00"/>
    <x v="21"/>
    <s v="Puntual"/>
    <s v="Rodillos mangas de tratado estan sucios y aisla la corriente y salen pedazos sin tratar"/>
    <m/>
    <m/>
    <x v="3"/>
    <m/>
    <m/>
    <m/>
    <m/>
    <m/>
    <x v="2"/>
    <d v="1899-12-30T00:00:00"/>
    <d v="2026-01-31T13:20:00"/>
    <d v="1899-12-30T00:00:00"/>
    <n v="-46053.555555555555"/>
  </r>
  <r>
    <n v="670"/>
    <s v="J. MIRANDA"/>
    <d v="1899-12-30T16:27:00"/>
    <d v="2026-01-31T00:00:00"/>
    <x v="25"/>
    <m/>
    <s v="Falla en el motor de la prensa de velocidad, durante el proceso se frena y la maquina queda trabajando con la tensión"/>
    <d v="1899-12-30T16:27:00"/>
    <d v="1899-12-30T16:57:00"/>
    <x v="91"/>
    <s v="Mecánica, Eléctrica"/>
    <s v="Se inspecciona tablero y motor encontrando un cable del amperimetro suelto y correas del motor destensionadas, se corrige terminal amperimetro y se tensionan correas quedando OK"/>
    <s v="NA"/>
    <s v="NA"/>
    <s v="L. CASTILLA"/>
    <x v="0"/>
    <d v="1899-12-30T00:30:00"/>
    <d v="2026-01-31T16:27:00"/>
    <d v="2026-01-31T16:57:00"/>
    <d v="1899-12-30T00:30:00"/>
  </r>
  <r>
    <n v="671"/>
    <s v="C. CASTRO"/>
    <d v="1899-12-30T19:00:00"/>
    <d v="2026-01-31T00:00:00"/>
    <x v="10"/>
    <m/>
    <s v="Cmabio de rodillos y cuadre de castañas"/>
    <d v="1899-12-30T19:00:00"/>
    <d v="1899-12-30T19:30:00"/>
    <x v="91"/>
    <s v="Mecánica"/>
    <s v="Cambio de castañas, rodillos pisadores superiores e inferiores"/>
    <s v="NA"/>
    <s v="NA"/>
    <s v="L. CASTILLA"/>
    <x v="0"/>
    <d v="1899-12-30T00:30:00"/>
    <d v="2026-01-31T19:00:00"/>
    <d v="2026-01-31T19:30:00"/>
    <d v="1899-12-30T00:30:00"/>
  </r>
  <r>
    <n v="672"/>
    <s v="J. MARTINEZ"/>
    <d v="1899-12-30T21:00:00"/>
    <d v="2026-01-31T00:00:00"/>
    <x v="0"/>
    <s v="Puntual"/>
    <s v="Se cae constantemente, se avisa a mantenimiento"/>
    <d v="1899-12-30T21:10:00"/>
    <d v="1899-12-30T21:30:00"/>
    <x v="91"/>
    <s v="Mecánica"/>
    <s v="Se calibra freno quedando OK"/>
    <s v="NA"/>
    <s v="NA"/>
    <s v="L. CASTILLA"/>
    <x v="0"/>
    <d v="1899-12-30T00:20:00"/>
    <d v="2026-01-31T21:00:00"/>
    <d v="2026-01-31T21:30:00"/>
    <d v="1899-12-30T00:30:00"/>
  </r>
  <r>
    <n v="673"/>
    <m/>
    <m/>
    <m/>
    <x v="5"/>
    <m/>
    <m/>
    <m/>
    <m/>
    <x v="3"/>
    <m/>
    <m/>
    <m/>
    <m/>
    <m/>
    <x v="1"/>
    <d v="1899-12-30T00:00:00"/>
    <d v="1899-12-30T00:00:00"/>
    <d v="1899-12-30T00:00:00"/>
    <d v="1899-12-30T00:00:00"/>
  </r>
  <r>
    <n v="674"/>
    <s v="C. CASTRO"/>
    <d v="1899-12-30T00:30:00"/>
    <d v="2026-02-01T00:00:00"/>
    <x v="10"/>
    <m/>
    <s v="Motor freno se esta calentando por falta de refrigeración"/>
    <d v="1899-12-30T03:30:00"/>
    <d v="1899-12-30T04:00:00"/>
    <x v="27"/>
    <s v="Eléctrica"/>
    <s v="Se encuentra ventilador de freno desconectado, se conecta nuevamente 220 VAC, este ventilador se envidencia de menor capacidad al original y temperatura se observa con temperatura mas alta de lo norma, se espera a que el freno baje temperatura para arrancar"/>
    <s v="1x ventilador 220VAC"/>
    <s v="NA"/>
    <s v="D. BAUTISTA"/>
    <x v="0"/>
    <d v="1899-12-30T00:30:00"/>
    <d v="2026-02-01T00:30:00"/>
    <d v="2026-02-01T04:00:00"/>
    <d v="1899-12-30T03:30:00"/>
  </r>
  <r>
    <n v="675"/>
    <s v="F. SANCHEZ"/>
    <d v="1899-12-30T22:00:00"/>
    <d v="2026-01-31T00:00:00"/>
    <x v="6"/>
    <m/>
    <s v="Fallo en bomba de vacio"/>
    <d v="1899-12-30T22:00:00"/>
    <d v="1899-12-30T03:00:00"/>
    <x v="27"/>
    <s v="Mecánica"/>
    <s v="Se encuentra protección de bomba de vacio disparada, se revisa y se encuentra blower frenado, se realiza el desmonte, limpieza de los dos impulsores, recamaras de la carcaza, solidos de succión, aplicandole color ya que el material se encuentra compactado y se requiere derretir para extraer, se realiza armado, cambio de dos tornillos M4 x 50mm, se realizan pruebas en vacio y se entrega maquina para arranque "/>
    <s v="2x Tornillos M4 x 50mm"/>
    <s v="NA"/>
    <s v="D. BAUTISTA"/>
    <x v="0"/>
    <n v="-0.79166666666666663"/>
    <d v="2026-01-31T22:00:00"/>
    <d v="2026-02-01T03:00:00"/>
    <d v="1899-12-30T05:00:00"/>
  </r>
  <r>
    <n v="676"/>
    <s v="R. MEJIA"/>
    <d v="1899-12-30T05:20:00"/>
    <d v="2026-02-01T00:00:00"/>
    <x v="7"/>
    <s v="Puntual"/>
    <s v="Falla bomba neúmatica no suficiente en la rasqueta"/>
    <d v="1899-12-30T08:20:00"/>
    <d v="1899-12-30T09:10:00"/>
    <x v="27"/>
    <s v="Neúmatica"/>
    <s v="4 de las 6 bombas neúmaticas no se dejan trabajar, encienden pero no chupan, se limpia esferas pero no se corrige falla, se colocan de las electricas y quedan trabajando OK"/>
    <s v="NA"/>
    <s v="NA"/>
    <s v="L. CASTILLA"/>
    <x v="0"/>
    <d v="1899-12-30T00:50:00"/>
    <d v="2026-02-01T05:20:00"/>
    <d v="2026-02-01T09:10:00"/>
    <d v="1899-12-30T03:50:00"/>
  </r>
  <r>
    <n v="677"/>
    <s v="D. ARRIETA"/>
    <d v="1899-12-30T00:00:00"/>
    <d v="2026-02-02T00:00:00"/>
    <x v="7"/>
    <s v="Repetitiva"/>
    <s v="Eje de embobinador se le sale "/>
    <d v="1899-12-30T00:00:00"/>
    <d v="1899-12-30T00:10:00"/>
    <x v="92"/>
    <s v="Neúmatica"/>
    <s v="Se evidencia fuga de aire en los extremos por falta de ajuste en el tornillo del pisador de la manguera, se hace seguimiento"/>
    <s v="NA"/>
    <s v="NA"/>
    <s v="O. DUARTE"/>
    <x v="0"/>
    <d v="1899-12-30T00:10:00"/>
    <d v="2026-02-02T00:00:00"/>
    <d v="2026-02-02T00:10:00"/>
    <d v="1899-12-30T00:10:00"/>
  </r>
  <r>
    <n v="678"/>
    <m/>
    <m/>
    <m/>
    <x v="5"/>
    <m/>
    <m/>
    <m/>
    <m/>
    <x v="3"/>
    <m/>
    <m/>
    <m/>
    <m/>
    <m/>
    <x v="1"/>
    <d v="1899-12-30T00:00:00"/>
    <d v="1899-12-30T00:00:00"/>
    <d v="1899-12-30T00:00:00"/>
    <d v="1899-12-30T00:00:00"/>
  </r>
  <r>
    <n v="679"/>
    <s v="H. TRIANA"/>
    <d v="1899-12-30T09:51:00"/>
    <d v="2026-02-02T00:00:00"/>
    <x v="14"/>
    <s v="Repetitiva"/>
    <s v="Rotación no enciende"/>
    <d v="1899-12-30T10:00:00"/>
    <d v="1899-12-30T11:00:00"/>
    <x v="92"/>
    <s v="Eléctrica"/>
    <s v="Se verifica, se encuentra una señal del variador suelta, se ajusta y queda OK"/>
    <s v="NA"/>
    <s v="NA"/>
    <s v="J. SILVA"/>
    <x v="0"/>
    <d v="1899-12-30T01:00:00"/>
    <d v="2026-02-02T09:51:00"/>
    <d v="2026-02-02T11:00:00"/>
    <d v="1899-12-30T01:09:00"/>
  </r>
  <r>
    <n v="680"/>
    <s v="H. TRIANA"/>
    <d v="1899-12-30T09:15:00"/>
    <d v="2026-02-02T00:00:00"/>
    <x v="8"/>
    <s v="Puntual"/>
    <s v="Falla en motor capa externa"/>
    <m/>
    <d v="1899-12-30T19:00:00"/>
    <x v="93"/>
    <m/>
    <s v="Se desmonta motor y se envia a taller externo, se instala y se tiene en seguimiento en el arranque"/>
    <s v="NA"/>
    <s v="NA"/>
    <s v="D. BAUTISTA"/>
    <x v="0"/>
    <d v="1899-12-30T19:00:00"/>
    <d v="2026-02-02T09:15:00"/>
    <d v="2026-02-06T19:00:00"/>
    <d v="1900-01-03T09:45:00"/>
  </r>
  <r>
    <n v="681"/>
    <s v="H. TRIANA"/>
    <d v="1899-12-30T17:20:00"/>
    <d v="2026-02-02T00:00:00"/>
    <x v="14"/>
    <s v="Puntual"/>
    <s v="Tornillo de pirinola del molde se parte"/>
    <m/>
    <m/>
    <x v="3"/>
    <m/>
    <m/>
    <m/>
    <m/>
    <m/>
    <x v="2"/>
    <d v="1899-12-30T00:00:00"/>
    <d v="2026-02-02T17:20:00"/>
    <d v="1899-12-30T00:00:00"/>
    <n v="-46055.722222222219"/>
  </r>
  <r>
    <n v="682"/>
    <s v="K. RAMOS"/>
    <d v="1899-12-30T20:30:00"/>
    <d v="2026-02-02T00:00:00"/>
    <x v="6"/>
    <s v="Puntual"/>
    <s v="Paleta izquierda no abre, la del lado inferior"/>
    <d v="1899-12-30T20:30:00"/>
    <d v="1899-12-30T01:20:00"/>
    <x v="94"/>
    <s v="Mecánica y eléctrica"/>
    <s v="Se evidencia caja reductora no avanza tornillos sin fin no giran, se hace manualmente, abren paletas queda en observación, seguimiento, se debe revisar cuanto antes es intermitente la falla"/>
    <s v="NA"/>
    <s v="NA"/>
    <s v="O. DUARTE"/>
    <x v="0"/>
    <n v="-0.79861111111111105"/>
    <d v="2026-02-02T20:30:00"/>
    <d v="2026-02-03T01:20:00"/>
    <d v="1899-12-30T04:50:00"/>
  </r>
  <r>
    <n v="683"/>
    <s v="S. PATIÑO"/>
    <d v="1899-12-30T02:45:00"/>
    <d v="2026-02-03T00:00:00"/>
    <x v="14"/>
    <s v="Puntual"/>
    <s v="Molde con huecos en donde se apoyan los tornillos para calibrar, esto impide calibrar correctamente la maquina"/>
    <d v="1899-12-30T02:45:00"/>
    <d v="1899-12-30T03:20:00"/>
    <x v="94"/>
    <s v="Mecánica"/>
    <s v="Se realiza relleno de huecos en el molde para que tornillos de calibración puedan dar el ajuste que requiere se instalan tuercas"/>
    <s v="Tuercas, guasas"/>
    <s v="NA"/>
    <s v="O. DUARTE"/>
    <x v="0"/>
    <d v="1899-12-30T00:35:00"/>
    <d v="2026-02-03T02:45:00"/>
    <d v="2026-02-03T03:20:00"/>
    <d v="1899-12-30T00:35:00"/>
  </r>
  <r>
    <n v="684"/>
    <s v="S. PATIÑO"/>
    <d v="1899-12-30T04:30:00"/>
    <d v="2026-02-03T00:00:00"/>
    <x v="14"/>
    <s v="Puntual"/>
    <s v="Contactor de la zona de la boquilla del molde dañado, provocando recalentamiento de la zona"/>
    <d v="1899-12-30T04:30:00"/>
    <d v="1899-12-30T05:00:00"/>
    <x v="94"/>
    <s v="Eléctrica"/>
    <s v="Se realiza cambio de relé termico, se evidencia que la temperatura baja, en seguimiento"/>
    <s v="Relé termico"/>
    <s v="NA"/>
    <s v="O. DUARTE"/>
    <x v="0"/>
    <d v="1899-12-30T00:30:00"/>
    <d v="2026-02-03T04:30:00"/>
    <d v="2026-02-03T05:00:00"/>
    <d v="1899-12-30T00:30:00"/>
  </r>
  <r>
    <n v="685"/>
    <s v="K. RAMOS"/>
    <d v="1899-12-30T05:00:00"/>
    <d v="2026-02-03T00:00:00"/>
    <x v="6"/>
    <s v="Puntual"/>
    <s v="Falla en el tratado se apaga"/>
    <m/>
    <m/>
    <x v="3"/>
    <m/>
    <m/>
    <m/>
    <m/>
    <m/>
    <x v="2"/>
    <d v="1899-12-30T00:00:00"/>
    <d v="2026-02-03T05:00:00"/>
    <d v="1899-12-30T00:00:00"/>
    <n v="-46056.208333333336"/>
  </r>
  <r>
    <n v="686"/>
    <s v="K. RAMOS"/>
    <m/>
    <d v="2026-02-03T00:00:00"/>
    <x v="6"/>
    <s v="Puntual"/>
    <s v="Tratador se apaga"/>
    <m/>
    <m/>
    <x v="3"/>
    <m/>
    <m/>
    <m/>
    <m/>
    <m/>
    <x v="2"/>
    <d v="1899-12-30T00:00:00"/>
    <d v="2026-02-03T00:00:00"/>
    <d v="1899-12-30T00:00:00"/>
    <n v="-46056"/>
  </r>
  <r>
    <n v="687"/>
    <m/>
    <m/>
    <m/>
    <x v="5"/>
    <m/>
    <m/>
    <m/>
    <m/>
    <x v="3"/>
    <m/>
    <m/>
    <m/>
    <m/>
    <m/>
    <x v="1"/>
    <d v="1899-12-30T00:00:00"/>
    <d v="1899-12-30T00:00:00"/>
    <d v="1899-12-30T00:00:00"/>
    <d v="1899-12-30T00:00:00"/>
  </r>
  <r>
    <n v="688"/>
    <s v="D. CUESTA"/>
    <d v="1899-12-30T09:10:00"/>
    <d v="2026-02-03T00:00:00"/>
    <x v="14"/>
    <s v="Puntual"/>
    <s v="Temperatura porta mallas fallando en alarlma y no sube temperatura"/>
    <m/>
    <m/>
    <x v="3"/>
    <m/>
    <m/>
    <m/>
    <m/>
    <m/>
    <x v="2"/>
    <d v="1899-12-30T00:00:00"/>
    <d v="2026-02-03T09:10:00"/>
    <d v="1899-12-30T00:00:00"/>
    <n v="-46056.381944444445"/>
  </r>
  <r>
    <n v="689"/>
    <s v="D. CUESTA"/>
    <m/>
    <d v="2026-02-03T00:00:00"/>
    <x v="14"/>
    <s v="Puntual"/>
    <s v="Tornillos del plato de la corona de la coex 2, no ajustan"/>
    <m/>
    <m/>
    <x v="3"/>
    <m/>
    <m/>
    <m/>
    <m/>
    <m/>
    <x v="2"/>
    <d v="1899-12-30T00:00:00"/>
    <d v="2026-02-03T00:00:00"/>
    <d v="1899-12-30T00:00:00"/>
    <n v="-46056"/>
  </r>
  <r>
    <n v="690"/>
    <s v="L. GARZON"/>
    <d v="1899-12-30T11:40:00"/>
    <d v="2026-02-03T00:00:00"/>
    <x v="13"/>
    <s v="Puntual"/>
    <s v="Se sueltan los tornillos laterales del piñon plastico de los rodillos"/>
    <d v="1899-12-30T06:00:00"/>
    <d v="1899-12-30T06:30:00"/>
    <x v="93"/>
    <s v="Mecánica"/>
    <s v="Se cambio soporte cuadrante piñon, se rectifica roscas y queda operando OK"/>
    <s v="Piñon de teflon y cuadrante"/>
    <s v="NA"/>
    <s v="J. SILVA"/>
    <x v="0"/>
    <d v="1899-12-30T00:30:00"/>
    <d v="2026-02-03T11:40:00"/>
    <d v="2026-02-06T06:30:00"/>
    <d v="1900-01-01T18:50:00"/>
  </r>
  <r>
    <n v="691"/>
    <m/>
    <m/>
    <m/>
    <x v="5"/>
    <m/>
    <m/>
    <m/>
    <m/>
    <x v="3"/>
    <m/>
    <m/>
    <m/>
    <m/>
    <m/>
    <x v="1"/>
    <d v="1899-12-30T00:00:00"/>
    <d v="1899-12-30T00:00:00"/>
    <d v="1899-12-30T00:00:00"/>
    <d v="1899-12-30T00:00:00"/>
  </r>
  <r>
    <n v="692"/>
    <s v="D. VALENCIA"/>
    <d v="1899-12-30T17:20:00"/>
    <d v="2026-02-03T00:00:00"/>
    <x v="11"/>
    <s v="Puntual"/>
    <s v="Reparación de cableado suelto en resistencias"/>
    <d v="1899-12-30T17:20:00"/>
    <d v="1899-12-30T17:50:00"/>
    <x v="94"/>
    <s v="Eléctrica"/>
    <s v="Se ajusta cableado y se vuelve a conectar resistencia"/>
    <s v="NA"/>
    <s v="NA"/>
    <s v="J. SILVA"/>
    <x v="0"/>
    <d v="1899-12-30T00:30:00"/>
    <d v="2026-02-03T17:20:00"/>
    <d v="2026-02-03T17:50:00"/>
    <d v="1899-12-30T00:30:00"/>
  </r>
  <r>
    <n v="693"/>
    <m/>
    <m/>
    <m/>
    <x v="5"/>
    <m/>
    <m/>
    <m/>
    <m/>
    <x v="3"/>
    <m/>
    <m/>
    <m/>
    <m/>
    <m/>
    <x v="1"/>
    <d v="1899-12-30T00:00:00"/>
    <d v="1899-12-30T00:00:00"/>
    <d v="1899-12-30T00:00:00"/>
    <d v="1899-12-30T00:00:00"/>
  </r>
  <r>
    <n v="694"/>
    <s v="E. BELLO"/>
    <d v="1899-12-30T20:15:00"/>
    <d v="2026-02-05T00:00:00"/>
    <x v="11"/>
    <s v="Puntual"/>
    <s v="Por vibración se desolda la parte inferior del cilo"/>
    <d v="1899-12-30T20:15:00"/>
    <d v="1899-12-30T01:16:00"/>
    <x v="93"/>
    <s v="Mecánica"/>
    <s v="Se evidencia que por temas de vibración causado por el daño de las chumaceras en el tornillo que alimenta la tolva, al cilo se le rompieron los tornillos, se aplicasoldadura 306 en los cuatro soportes de la estructura"/>
    <s v="NA"/>
    <s v="Soldadura 306"/>
    <s v="O. DUARTE"/>
    <x v="0"/>
    <n v="-0.79097222222222219"/>
    <d v="2026-02-05T20:15:00"/>
    <d v="2026-02-06T01:16:00"/>
    <d v="1899-12-30T05:01:00"/>
  </r>
  <r>
    <n v="695"/>
    <s v="E. BELLO"/>
    <d v="1899-12-30T09:23:00"/>
    <d v="2026-02-09T00:00:00"/>
    <x v="11"/>
    <s v="Puntual"/>
    <s v="El chiller no funciona adecuadamente no tiene flujo de agua "/>
    <m/>
    <d v="1899-12-30T12:30:00"/>
    <x v="3"/>
    <s v="Mecánica"/>
    <s v="Se verifica la falla encontrando obstruido el ducto de alimentación de la bomba centrifuga y congelamiennto de serpentin_x000a_Se desmonta la bomba se hace mantenimiento y descongela los ductos _x000a_Se entrega en normal funcionamiento"/>
    <s v="NA"/>
    <s v="NA"/>
    <s v="L. FLOREZ"/>
    <x v="0"/>
    <d v="1899-12-30T12:30:00"/>
    <d v="2026-02-09T09:23:00"/>
    <d v="1899-12-30T12:30:00"/>
    <n v="-46061.870138888888"/>
  </r>
  <r>
    <n v="696"/>
    <s v="L. GALVIS"/>
    <d v="1899-12-30T19:00:00"/>
    <d v="2026-03-20T00:00:00"/>
    <x v="11"/>
    <s v="Puntual"/>
    <s v="Esta suelta la polea de alimentación "/>
    <d v="1899-12-30T20:20:00"/>
    <d v="1899-12-30T20:50:00"/>
    <x v="95"/>
    <s v="Mecánica"/>
    <s v="Se ajustan prisioneros de chumacera inferior de tornillo de alimentación, se instala tornillo M8 X 30 mm de ajuste de polea de transmisión de alimentación"/>
    <s v="1X Tornillo M8 x 30 mm"/>
    <s v="NA"/>
    <s v="D. BAUTISTA"/>
    <x v="0"/>
    <d v="1899-12-30T00:30:00"/>
    <d v="2026-03-20T19:00:00"/>
    <d v="2026-03-20T20:50:00"/>
    <d v="1899-12-30T01:50:00"/>
  </r>
  <r>
    <n v="697"/>
    <m/>
    <m/>
    <m/>
    <x v="5"/>
    <m/>
    <m/>
    <m/>
    <m/>
    <x v="3"/>
    <m/>
    <m/>
    <m/>
    <m/>
    <m/>
    <x v="1"/>
    <d v="1899-12-30T00:00:00"/>
    <d v="1899-12-30T00:00:00"/>
    <d v="1899-12-30T00:00:00"/>
    <d v="1899-12-30T00:00:00"/>
  </r>
  <r>
    <n v="698"/>
    <s v="L. MIRANDA"/>
    <d v="1899-12-30T02:20:00"/>
    <d v="2026-02-04T00:00:00"/>
    <x v="6"/>
    <s v="Puntual"/>
    <s v="Motor de la paleta no esta en funcionamiento"/>
    <m/>
    <m/>
    <x v="3"/>
    <m/>
    <m/>
    <m/>
    <m/>
    <m/>
    <x v="2"/>
    <d v="1899-12-30T00:00:00"/>
    <d v="2026-02-04T02:20:00"/>
    <d v="1899-12-30T00:00:00"/>
    <n v="-46057.097222222219"/>
  </r>
  <r>
    <n v="699"/>
    <s v="D. ARRIETA"/>
    <d v="1899-12-30T07:40:00"/>
    <d v="2026-02-04T00:00:00"/>
    <x v="7"/>
    <s v="Puntual"/>
    <s v="El seguro del eje de embobinador y torre de registro"/>
    <d v="1899-12-30T07:40:00"/>
    <d v="1899-12-30T08:30:00"/>
    <x v="96"/>
    <s v="Mecánica"/>
    <s v="Se aplica soldadura, se cambia tornillo, se rectifica roscado y se cambian tornillos M5 x 10mm de sugeción, ajustado rodillo embobinador"/>
    <s v="Tornillos M5 x 10mm"/>
    <s v="NA"/>
    <s v="O. DUARTE"/>
    <x v="0"/>
    <d v="1899-12-30T00:50:00"/>
    <d v="2026-02-04T07:40:00"/>
    <d v="2026-02-04T08:30:00"/>
    <d v="1899-12-30T00:50:00"/>
  </r>
  <r>
    <n v="700"/>
    <s v="L. GARZON"/>
    <d v="1899-12-30T08:45:00"/>
    <d v="2026-02-04T00:00:00"/>
    <x v="0"/>
    <s v="Puntual"/>
    <s v="Transportados no funciona"/>
    <d v="1899-12-30T08:45:00"/>
    <d v="1899-12-30T09:00:00"/>
    <x v="96"/>
    <s v="Eléctrica"/>
    <s v="Se resetea variador por falla del transportador, se hace prueba queda operativa"/>
    <s v="NA"/>
    <s v="NA"/>
    <s v="O. DUARTE"/>
    <x v="0"/>
    <d v="1899-12-30T00:15:00"/>
    <d v="2026-02-04T08:45:00"/>
    <d v="2026-02-04T09:00:00"/>
    <d v="1899-12-30T00:15:00"/>
  </r>
  <r>
    <n v="701"/>
    <s v="D. ARRIETA"/>
    <d v="1899-12-30T11:35:00"/>
    <d v="2026-02-02T00:00:00"/>
    <x v="7"/>
    <s v="Repetitiva"/>
    <s v="Rodillo porta cliche o fotopolimero se daño casquete"/>
    <d v="1899-12-30T11:35:00"/>
    <d v="1899-12-30T11:50:00"/>
    <x v="92"/>
    <s v="Mecánica"/>
    <s v="Se grafila cuerpo eje para dar ajuste a casquete para que el rodamiento pueda trabajar bien se aplica silicona traba rosca"/>
    <s v="NA"/>
    <s v="Siliciona trabarosca"/>
    <s v="O. DUARTE"/>
    <x v="0"/>
    <d v="1899-12-30T00:15:00"/>
    <d v="2026-02-02T11:35:00"/>
    <d v="2026-02-02T11:50:00"/>
    <d v="1899-12-30T00:15:00"/>
  </r>
  <r>
    <n v="702"/>
    <s v="L. GARZON"/>
    <d v="1899-12-30T09:10:00"/>
    <d v="2026-02-04T00:00:00"/>
    <x v="0"/>
    <s v="Puntual"/>
    <s v="Se comunica a mantenimiento que la maquina tiene desface en los tiempos"/>
    <d v="1899-12-30T09:10:00"/>
    <d v="1899-12-30T12:05:00"/>
    <x v="96"/>
    <s v="Mecánica"/>
    <s v="Se verifica tiempo en encore, se encuentran correas entre lazadas obstruyendo movilidad, se retiran, se ajustan tiempos y se restablecen parametros"/>
    <s v="NA"/>
    <s v="NA"/>
    <s v="O. DUARTE"/>
    <x v="0"/>
    <d v="1899-12-30T02:55:00"/>
    <d v="2026-02-04T09:10:00"/>
    <d v="2026-02-04T12:05:00"/>
    <d v="1899-12-30T02:55:00"/>
  </r>
  <r>
    <n v="703"/>
    <m/>
    <m/>
    <m/>
    <x v="5"/>
    <m/>
    <m/>
    <m/>
    <m/>
    <x v="3"/>
    <m/>
    <m/>
    <m/>
    <m/>
    <m/>
    <x v="1"/>
    <d v="1899-12-30T00:00:00"/>
    <d v="1899-12-30T00:00:00"/>
    <d v="1899-12-30T00:00:00"/>
    <d v="1899-12-30T00:00:00"/>
  </r>
  <r>
    <n v="704"/>
    <s v="F. SANCHEZ"/>
    <d v="1899-12-30T19:00:00"/>
    <d v="2026-02-04T00:00:00"/>
    <x v="6"/>
    <s v="Puntual"/>
    <s v="Problemas con las paletas, no estan funcionando, una paleta funciona pero la otra no. Hace problemas en la alineación de el material para que no se vaya para los lados"/>
    <m/>
    <m/>
    <x v="3"/>
    <m/>
    <m/>
    <m/>
    <m/>
    <m/>
    <x v="2"/>
    <d v="1899-12-30T00:00:00"/>
    <d v="2026-02-04T19:00:00"/>
    <d v="1899-12-30T00:00:00"/>
    <n v="-46057.791666666664"/>
  </r>
  <r>
    <n v="705"/>
    <s v="S. PATIÑO"/>
    <d v="1899-12-30T02:45:00"/>
    <d v="2026-02-05T00:00:00"/>
    <x v="1"/>
    <s v="Puntual"/>
    <s v="Contactor de la zona de la boquilla del molde con falla, presentando problema de temperatura"/>
    <d v="1899-12-30T06:20:00"/>
    <d v="1899-12-30T06:40:00"/>
    <x v="97"/>
    <s v="Eléctrica"/>
    <s v="Se realizo cambio de controlador de temperatura ya que no esta cerrando el contacto y no energiza el contactor"/>
    <s v="NA"/>
    <s v="NA"/>
    <s v="D. BAUTISTA"/>
    <x v="0"/>
    <d v="1899-12-30T00:20:00"/>
    <d v="2026-02-05T02:45:00"/>
    <d v="2026-02-05T06:40:00"/>
    <d v="1899-12-30T03:55:00"/>
  </r>
  <r>
    <n v="706"/>
    <s v="F. SANCHEZ"/>
    <d v="1899-12-30T02:55:00"/>
    <d v="2026-02-05T00:00:00"/>
    <x v="6"/>
    <s v="Puntual"/>
    <s v="Se para la maquina por falla en elastomero"/>
    <m/>
    <m/>
    <x v="3"/>
    <m/>
    <m/>
    <m/>
    <m/>
    <m/>
    <x v="2"/>
    <d v="1899-12-30T00:00:00"/>
    <d v="2026-02-05T02:55:00"/>
    <d v="1899-12-30T00:00:00"/>
    <n v="-46058.121527777781"/>
  </r>
  <r>
    <n v="707"/>
    <s v="D. ARRIETA"/>
    <d v="1899-12-30T10:49:00"/>
    <d v="2026-03-13T00:00:00"/>
    <x v="7"/>
    <s v="Puntual"/>
    <s v="La pista de los espigos"/>
    <d v="1899-12-30T10:49:00"/>
    <d v="1899-12-30T11:15:00"/>
    <x v="77"/>
    <s v="Mecánica"/>
    <s v="Se aplica trabarosca"/>
    <s v="NA"/>
    <s v="Trabarosca"/>
    <s v="J. SILVA"/>
    <x v="0"/>
    <d v="1899-12-30T00:26:00"/>
    <d v="2026-03-13T10:49:00"/>
    <d v="2026-03-13T11:15:00"/>
    <d v="1899-12-30T00:26:00"/>
  </r>
  <r>
    <n v="708"/>
    <s v="L. GARZON"/>
    <d v="1899-12-30T07:00:00"/>
    <d v="2026-02-05T00:00:00"/>
    <x v="0"/>
    <s v="Puntual"/>
    <s v="Correa suelta de la transmisión del rodillo halador"/>
    <d v="1899-12-30T08:30:00"/>
    <d v="1899-12-30T09:05:00"/>
    <x v="97"/>
    <s v="Mecánica"/>
    <s v="Se atiende solicitur 8:30 por intervención en coex 5, se realizo tensión de correa, cambio de tornillo y ajuste de tornilleria"/>
    <s v="1x Tornillo"/>
    <s v="NA"/>
    <s v="D. BAUTISTA"/>
    <x v="0"/>
    <d v="1899-12-30T00:35:00"/>
    <d v="2026-02-05T07:00:00"/>
    <d v="2026-02-05T09:05:00"/>
    <d v="1899-12-30T02:05:00"/>
  </r>
  <r>
    <n v="709"/>
    <s v="H. TRIANA"/>
    <d v="1899-12-30T10:50:00"/>
    <d v="2026-02-05T00:00:00"/>
    <x v="8"/>
    <s v="Puntual"/>
    <s v="Mallas quemadas del tratador"/>
    <d v="1899-12-30T11:30:00"/>
    <d v="1899-12-30T12:45:00"/>
    <x v="97"/>
    <s v="Mecánica"/>
    <s v="Se realizan cambio de mangas tratador rodillo inferior y superior, se entrega para arranque"/>
    <s v="NA"/>
    <s v="NA"/>
    <s v="D. BAUTISTA"/>
    <x v="0"/>
    <d v="1899-12-30T01:15:00"/>
    <d v="2026-02-05T10:50:00"/>
    <d v="2026-02-05T12:45:00"/>
    <d v="1899-12-30T01:55:00"/>
  </r>
  <r>
    <n v="710"/>
    <s v="L. GARZON"/>
    <d v="1899-12-30T10:10:00"/>
    <d v="2026-02-05T00:00:00"/>
    <x v="4"/>
    <s v="Puntual"/>
    <s v="Se solicita a mantenimiento revisión en las uñas por que estan dañando la bolsa"/>
    <d v="1899-12-30T10:10:00"/>
    <d v="1899-12-30T10:40:00"/>
    <x v="97"/>
    <s v="Mecánica"/>
    <s v="Se instalan tuercas de ajuste a flautas, se realizan pruebas y se entrega operativo"/>
    <s v="Tuercas"/>
    <s v="NA"/>
    <s v="D. BAUTISTA"/>
    <x v="0"/>
    <d v="1899-12-30T00:30:00"/>
    <d v="2026-02-05T10:10:00"/>
    <d v="2026-02-05T10:40:00"/>
    <d v="1899-12-30T00:30:00"/>
  </r>
  <r>
    <n v="711"/>
    <s v="H. TRIANA"/>
    <d v="1899-12-30T13:30:00"/>
    <d v="2026-02-05T00:00:00"/>
    <x v="21"/>
    <s v="Puntual"/>
    <s v="Sonidos motor interno fuera de lo normal"/>
    <m/>
    <m/>
    <x v="3"/>
    <m/>
    <m/>
    <m/>
    <m/>
    <m/>
    <x v="2"/>
    <d v="1899-12-30T00:00:00"/>
    <d v="2026-02-05T13:30:00"/>
    <d v="1899-12-30T00:00:00"/>
    <n v="-46058.5625"/>
  </r>
  <r>
    <n v="712"/>
    <s v="S. CARDENAL"/>
    <d v="1899-12-30T15:00:00"/>
    <d v="2026-02-05T00:00:00"/>
    <x v="0"/>
    <s v="Puntual"/>
    <s v="La termocupla no conecta y molesta la temperatura inferior"/>
    <d v="1899-12-30T15:10:00"/>
    <d v="1899-12-30T15:50:00"/>
    <x v="97"/>
    <s v="Eléctrica"/>
    <s v="Se realiza cambio de termocupla y ajuste de conexiones de la mordaza"/>
    <s v="1x Termocupla"/>
    <s v="NA"/>
    <s v="D. BAUTISTA"/>
    <x v="0"/>
    <d v="1899-12-30T00:40:00"/>
    <d v="2026-02-05T15:00:00"/>
    <d v="2026-02-05T15:50:00"/>
    <d v="1899-12-30T00:50:00"/>
  </r>
  <r>
    <n v="713"/>
    <s v="S. CARDENAL"/>
    <d v="1899-12-30T16:50:00"/>
    <d v="2026-02-05T00:00:00"/>
    <x v="4"/>
    <s v="Puntual"/>
    <s v="Rodillo del transportador se daño el rodamiento"/>
    <d v="1899-12-30T07:00:00"/>
    <d v="1899-12-30T10:10:00"/>
    <x v="93"/>
    <s v="Mecánica"/>
    <s v="Se cambian rodamientos, se ajusta el eje ya que una punta eje reducido a 1mm menos que el extremo"/>
    <s v="NA"/>
    <s v="NA"/>
    <s v="J. SILVA"/>
    <x v="0"/>
    <d v="1899-12-30T03:10:00"/>
    <d v="2026-02-05T16:50:00"/>
    <d v="2026-02-06T10:10:00"/>
    <d v="1899-12-30T17:20:00"/>
  </r>
  <r>
    <n v="714"/>
    <s v="H. TRIANA"/>
    <d v="1899-12-30T17:10:00"/>
    <d v="2026-02-05T00:00:00"/>
    <x v="8"/>
    <s v="Puntual"/>
    <s v="Se parte soporte teflonado del rodillo manga"/>
    <d v="1899-12-30T17:00:00"/>
    <d v="1899-12-30T18:00:00"/>
    <x v="93"/>
    <s v="Mecánica"/>
    <s v="Se cambio soporte del rodillo de tratado, quedo operativo"/>
    <s v="NA"/>
    <s v="NA"/>
    <s v="J. SILVA"/>
    <x v="0"/>
    <d v="1899-12-30T01:00:00"/>
    <d v="2026-02-05T17:10:00"/>
    <d v="2026-02-06T18:00:00"/>
    <d v="1899-12-31T00:50:00"/>
  </r>
  <r>
    <n v="715"/>
    <s v="K. RAMOS"/>
    <d v="1899-12-30T18:00:00"/>
    <d v="2026-02-05T00:00:00"/>
    <x v="21"/>
    <s v="Puntual"/>
    <s v="Presenta sonido en la caja de la capa interior"/>
    <d v="1899-12-30T19:00:00"/>
    <d v="1899-12-30T23:00:00"/>
    <x v="97"/>
    <s v="Mecánica"/>
    <s v="Se realizó desarme, cambio de rodamientos, ajsute de eje de entrada de caja reductora, se instalo nuevamente y se entrega 19:30 para arranque con la maquina ya caliente, arranca 23:00 ya que estaban tratando material en la maquina"/>
    <s v="Rodamientos"/>
    <s v="NA"/>
    <s v="D. BAUTISTA"/>
    <x v="0"/>
    <d v="1899-12-30T04:00:00"/>
    <d v="2026-02-05T18:00:00"/>
    <d v="2026-02-05T23:00:00"/>
    <d v="1899-12-30T05:00:00"/>
  </r>
  <r>
    <n v="716"/>
    <s v="R. MEJIA"/>
    <d v="1899-12-30T01:40:00"/>
    <d v="2026-02-06T00:00:00"/>
    <x v="7"/>
    <s v="Puntual"/>
    <s v="El rodillo loco de bobinador se salio del lugar donde va"/>
    <d v="1899-12-30T01:40:00"/>
    <d v="1899-12-30T02:10:00"/>
    <x v="93"/>
    <s v="Mecánica"/>
    <s v="Se verifica rodillo loco se encuentra soporte roto, se ajusta con un taco de caucho, se necesita fabricar pieza para darle ajuste, se hace seguimiento"/>
    <s v="NA"/>
    <s v="NA"/>
    <s v="O. DUARTE"/>
    <x v="0"/>
    <d v="1899-12-30T00:30:00"/>
    <d v="2026-02-06T01:40:00"/>
    <d v="2026-02-06T02:10:00"/>
    <d v="1899-12-30T00:30:00"/>
  </r>
  <r>
    <n v="717"/>
    <m/>
    <m/>
    <m/>
    <x v="5"/>
    <m/>
    <m/>
    <m/>
    <m/>
    <x v="3"/>
    <m/>
    <m/>
    <m/>
    <m/>
    <m/>
    <x v="1"/>
    <d v="1899-12-30T00:00:00"/>
    <d v="1899-12-30T00:00:00"/>
    <d v="1899-12-30T00:00:00"/>
    <d v="1899-12-30T00:00:00"/>
  </r>
  <r>
    <n v="718"/>
    <s v="J. ARROYO"/>
    <m/>
    <d v="2026-02-06T00:00:00"/>
    <x v="11"/>
    <s v="Puntual"/>
    <s v="Se rompe malla de filtro de agua  del muella el cual no perimte que se filtre la resina"/>
    <m/>
    <m/>
    <x v="3"/>
    <m/>
    <m/>
    <m/>
    <m/>
    <m/>
    <x v="2"/>
    <d v="1899-12-30T00:00:00"/>
    <d v="2026-02-06T00:00:00"/>
    <d v="1899-12-30T00:00:00"/>
    <n v="-46059"/>
  </r>
  <r>
    <n v="719"/>
    <m/>
    <m/>
    <m/>
    <x v="5"/>
    <m/>
    <m/>
    <m/>
    <m/>
    <x v="3"/>
    <m/>
    <m/>
    <m/>
    <m/>
    <m/>
    <x v="1"/>
    <d v="1899-12-30T00:00:00"/>
    <d v="1899-12-30T00:00:00"/>
    <d v="1899-12-30T00:00:00"/>
    <d v="1899-12-30T00:00:00"/>
  </r>
  <r>
    <n v="720"/>
    <s v="F. SANCHEZ"/>
    <d v="1899-12-30T18:40:00"/>
    <d v="2026-02-06T00:00:00"/>
    <x v="5"/>
    <s v="Puntual"/>
    <s v="Problemas con las cuchillasde tratado, las graduaciones de calibración no estan funcionando"/>
    <d v="1899-12-30T20:00:00"/>
    <d v="1899-12-30T22:30:00"/>
    <x v="93"/>
    <s v="Mecánica"/>
    <s v="Se ajustan m de graduar posición de la cuchilla, se calibran cuchillas y se realiza limpieza, se realizo acompañamiento y seguimiento de funcionamiento del tratador en el arranque"/>
    <s v="NA"/>
    <s v="NA"/>
    <s v="D. BAUTISTA"/>
    <x v="0"/>
    <d v="1899-12-30T02:30:00"/>
    <d v="2026-02-06T18:40:00"/>
    <d v="2026-02-06T22:30:00"/>
    <d v="1899-12-30T03:50:00"/>
  </r>
  <r>
    <n v="721"/>
    <s v="H. TRIANA"/>
    <d v="1899-12-30T06:30:00"/>
    <d v="2026-02-06T00:00:00"/>
    <x v="8"/>
    <s v="Puntual"/>
    <s v="Sonidos fuera de lo normal en los dos motores"/>
    <d v="1899-12-30T18:50:00"/>
    <d v="1899-12-30T19:20:00"/>
    <x v="93"/>
    <s v="Eléctrica"/>
    <s v="Se toman referencia de consumos de los dos motores, los cuales estan bajo parametros de la placa del motor, se realizo seguimiento el resto del turno"/>
    <s v="NA"/>
    <s v="NA"/>
    <s v="D. BAUTISTA"/>
    <x v="0"/>
    <d v="1899-12-30T00:30:00"/>
    <d v="2026-02-06T06:30:00"/>
    <d v="2026-02-06T19:20:00"/>
    <d v="1899-12-30T12:50:00"/>
  </r>
  <r>
    <n v="722"/>
    <s v="H. TRIANA"/>
    <d v="1899-12-30T20:10:00"/>
    <d v="2026-02-06T00:00:00"/>
    <x v="8"/>
    <s v="Puntual"/>
    <s v="Perilla de acercar y alejar cuchilla de tratador estar dura, no afloja ni aprieta, la visagra del tratador no tiene un pasador, esta medio agarrada"/>
    <m/>
    <m/>
    <x v="3"/>
    <m/>
    <m/>
    <m/>
    <m/>
    <m/>
    <x v="2"/>
    <d v="1899-12-30T00:00:00"/>
    <d v="2026-02-06T20:10:00"/>
    <d v="1899-12-30T00:00:00"/>
    <n v="-46059.840277777781"/>
  </r>
  <r>
    <n v="723"/>
    <s v="F. SANCHEZ"/>
    <d v="1899-12-30T23:20:00"/>
    <d v="2026-02-06T00:00:00"/>
    <x v="6"/>
    <s v="Puntual"/>
    <s v="El sensor del tratador no esta funcionando, no apaga el tratador cuando se para la maquina, se puede quemas las mangas"/>
    <m/>
    <m/>
    <x v="3"/>
    <m/>
    <m/>
    <m/>
    <m/>
    <m/>
    <x v="2"/>
    <d v="1899-12-30T00:00:00"/>
    <d v="2026-02-06T23:20:00"/>
    <d v="1899-12-30T00:00:00"/>
    <n v="-46059.972222222219"/>
  </r>
  <r>
    <n v="724"/>
    <s v="L. MIRANDA"/>
    <d v="1899-12-30T07:49:00"/>
    <d v="2026-02-27T00:00:00"/>
    <x v="1"/>
    <s v="Puntual"/>
    <s v="Revisar el motor de la prensa de arrastre del embobinador, se esta recalentando y genera que tenga que subirle mas tensión y el material queda demasiado tenso"/>
    <m/>
    <d v="1899-12-30T15:50:00"/>
    <x v="3"/>
    <s v="Mecánica"/>
    <s v="Se verifica motor, se evidencia rodamiento, perdio ajsute, se cambio, se hace limpieza, se hace montaje, se da ajuste , se hacen pruebas. En seguimiento_x000a_Pendiente por calentar"/>
    <s v="1X Rodamiento 6203 C3"/>
    <s v="NA"/>
    <s v="O. DUARTE"/>
    <x v="0"/>
    <d v="1899-12-30T15:50:00"/>
    <d v="2026-02-27T07:49:00"/>
    <d v="1899-12-30T15:50:00"/>
    <n v="-46079.665972222225"/>
  </r>
  <r>
    <n v="725"/>
    <s v="W. SANDOVAL"/>
    <d v="1899-12-30T07:40:00"/>
    <d v="2026-02-07T00:00:00"/>
    <x v="17"/>
    <s v="Puntual"/>
    <s v="Cambio de castañas y pisadores"/>
    <d v="1899-12-30T07:40:00"/>
    <d v="1899-12-30T08:30:00"/>
    <x v="98"/>
    <s v="Mecánica"/>
    <s v="Se realiza cambio de castañas y pisadores"/>
    <s v="NA"/>
    <s v="NA"/>
    <s v="O. DUARTE"/>
    <x v="0"/>
    <d v="1899-12-30T00:50:00"/>
    <d v="2026-02-07T07:40:00"/>
    <d v="2026-02-07T08:30:00"/>
    <d v="1899-12-30T00:50:00"/>
  </r>
  <r>
    <n v="726"/>
    <s v="R. MEJIA"/>
    <d v="1899-12-30T21:10:00"/>
    <d v="2026-02-07T00:00:00"/>
    <x v="7"/>
    <s v="Puntual"/>
    <s v="Daño seguro del eje neúmatico del bobinador"/>
    <d v="1899-12-30T21:10:00"/>
    <d v="1899-12-30T21:30:00"/>
    <x v="98"/>
    <s v="Mecánica"/>
    <s v="Se fabrica llave para seguro, se olda para facil torque"/>
    <s v="NA"/>
    <s v="NA"/>
    <s v="J. SILVA"/>
    <x v="0"/>
    <d v="1899-12-30T00:20:00"/>
    <d v="2026-02-07T21:10:00"/>
    <d v="2026-02-07T21:30:00"/>
    <d v="1899-12-30T00:20:00"/>
  </r>
  <r>
    <n v="727"/>
    <s v="F. SANCHEZ"/>
    <d v="1899-12-30T20:30:00"/>
    <d v="2026-02-07T00:00:00"/>
    <x v="14"/>
    <s v="Puntual"/>
    <s v="Falla en el tratador trata y deja de tratar"/>
    <m/>
    <m/>
    <x v="3"/>
    <m/>
    <m/>
    <m/>
    <m/>
    <m/>
    <x v="2"/>
    <d v="1899-12-30T00:00:00"/>
    <d v="2026-02-07T20:30:00"/>
    <d v="1899-12-30T00:00:00"/>
    <n v="-46060.854166666664"/>
  </r>
  <r>
    <n v="728"/>
    <m/>
    <m/>
    <m/>
    <x v="5"/>
    <m/>
    <m/>
    <m/>
    <m/>
    <x v="3"/>
    <m/>
    <m/>
    <m/>
    <m/>
    <m/>
    <x v="1"/>
    <d v="1899-12-30T00:00:00"/>
    <d v="1899-12-30T00:00:00"/>
    <d v="1899-12-30T00:00:00"/>
    <d v="1899-12-30T00:00:00"/>
  </r>
  <r>
    <n v="729"/>
    <s v="J. PARDO"/>
    <d v="1899-12-30T08:30:00"/>
    <d v="2026-02-08T00:00:00"/>
    <x v="7"/>
    <s v="Puntual"/>
    <s v="Bombas de tinta no funcionan, tornillo unidad 6 no ajusta"/>
    <m/>
    <m/>
    <x v="3"/>
    <m/>
    <m/>
    <m/>
    <m/>
    <m/>
    <x v="2"/>
    <d v="1899-12-30T00:00:00"/>
    <d v="2026-02-08T08:30:00"/>
    <d v="1899-12-30T00:00:00"/>
    <n v="-46061.354166666664"/>
  </r>
  <r>
    <n v="730"/>
    <s v="S. CARDENAL"/>
    <d v="1899-12-30T06:30:00"/>
    <d v="2026-02-09T00:00:00"/>
    <x v="4"/>
    <s v="Puntual"/>
    <s v="Tornillo partido de rodillo del transportador"/>
    <d v="1899-12-30T06:30:00"/>
    <d v="1899-12-30T07:00:00"/>
    <x v="99"/>
    <s v="Mecánica"/>
    <s v="Se evidencia tornillo partido en rodillo transportador, se cambian los tornilos"/>
    <s v="2x Tornillos M6 x 10 mm"/>
    <s v="NA"/>
    <s v="O. DUARTE"/>
    <x v="0"/>
    <d v="1899-12-30T00:30:00"/>
    <d v="2026-02-09T06:30:00"/>
    <d v="2026-02-09T07:00:00"/>
    <d v="1899-12-30T00:30:00"/>
  </r>
  <r>
    <n v="731"/>
    <s v="L. MIRANDA"/>
    <d v="1899-12-30T07:06:00"/>
    <d v="2026-02-09T00:00:00"/>
    <x v="21"/>
    <s v="Puntual"/>
    <s v="Verificar fuga de aceite, en el tornillo interno"/>
    <m/>
    <m/>
    <x v="3"/>
    <m/>
    <m/>
    <m/>
    <m/>
    <m/>
    <x v="2"/>
    <d v="1899-12-30T00:00:00"/>
    <d v="2026-02-09T07:06:00"/>
    <d v="1899-12-30T00:00:00"/>
    <n v="-46062.29583333333"/>
  </r>
  <r>
    <n v="732"/>
    <s v="K. TORRES"/>
    <d v="1899-12-30T09:20:00"/>
    <d v="2026-02-09T00:00:00"/>
    <x v="11"/>
    <s v="Repetitiva"/>
    <s v="Fuga de aceite estibador eléctrico"/>
    <m/>
    <m/>
    <x v="3"/>
    <m/>
    <m/>
    <m/>
    <m/>
    <m/>
    <x v="2"/>
    <d v="1899-12-30T00:00:00"/>
    <d v="2026-02-09T09:20:00"/>
    <d v="1899-12-30T00:00:00"/>
    <n v="-46062.388888888891"/>
  </r>
  <r>
    <n v="733"/>
    <s v="L. MIRANDA"/>
    <d v="1899-12-30T09:46:00"/>
    <d v="2026-02-09T00:00:00"/>
    <x v="6"/>
    <s v="Puntual"/>
    <s v="Una manga del tratador en 4 partes._x000a_Se alcanza a quemar"/>
    <m/>
    <m/>
    <x v="3"/>
    <m/>
    <m/>
    <m/>
    <m/>
    <m/>
    <x v="2"/>
    <d v="1899-12-30T00:00:00"/>
    <d v="2026-02-09T09:46:00"/>
    <d v="1899-12-30T00:00:00"/>
    <n v="-46062.406944444447"/>
  </r>
  <r>
    <n v="734"/>
    <s v="D. ARRIETA"/>
    <d v="1899-12-30T02:40:00"/>
    <d v="2026-02-28T00:00:00"/>
    <x v="11"/>
    <s v="Puntual"/>
    <s v="Brazo de eje embobinado esta flojo (baila)"/>
    <m/>
    <d v="1899-12-30T03:30:00"/>
    <x v="100"/>
    <s v="Mecánica"/>
    <s v="Se evidencia brazo con movilidad desajuste, se ajusta nuevamente y queda operativo"/>
    <s v="NA"/>
    <s v="NA"/>
    <s v="O. DUARTE"/>
    <x v="0"/>
    <d v="1899-12-30T03:30:00"/>
    <d v="2026-02-28T02:40:00"/>
    <d v="2026-02-28T03:30:00"/>
    <d v="1899-12-30T00:50:00"/>
  </r>
  <r>
    <n v="735"/>
    <m/>
    <m/>
    <m/>
    <x v="5"/>
    <m/>
    <m/>
    <m/>
    <m/>
    <x v="3"/>
    <m/>
    <m/>
    <m/>
    <m/>
    <m/>
    <x v="1"/>
    <d v="1899-12-30T00:00:00"/>
    <d v="1899-12-30T00:00:00"/>
    <d v="1899-12-30T00:00:00"/>
    <d v="1899-12-30T00:00:00"/>
  </r>
  <r>
    <n v="736"/>
    <m/>
    <m/>
    <m/>
    <x v="5"/>
    <m/>
    <m/>
    <m/>
    <m/>
    <x v="3"/>
    <m/>
    <m/>
    <m/>
    <m/>
    <m/>
    <x v="1"/>
    <d v="1899-12-30T00:00:00"/>
    <d v="1899-12-30T00:00:00"/>
    <d v="1899-12-30T00:00:00"/>
    <d v="1899-12-30T00:00:00"/>
  </r>
  <r>
    <n v="737"/>
    <s v="L. GALVIS"/>
    <d v="1899-12-30T23:00:00"/>
    <d v="2026-02-09T00:00:00"/>
    <x v="8"/>
    <s v="Puntual"/>
    <s v="Se solicita el cambio de rodillos del tratador"/>
    <d v="1899-12-30T23:00:00"/>
    <d v="1899-12-30T00:00:00"/>
    <x v="101"/>
    <s v="Mecánica"/>
    <s v="Se encuentra manga superior con perforación por quemadura, se desmonta, se aplica silicona para aislar el rodillo, se realiza el intercambio de posición de los rodillos y se entrega para el arranque"/>
    <s v="NA"/>
    <s v="Silicona"/>
    <s v="D. BAUTISTA"/>
    <x v="0"/>
    <n v="-0.95833333333333337"/>
    <d v="2026-02-09T23:00:00"/>
    <d v="2026-02-10T00:00:00"/>
    <d v="1899-12-30T01:00:00"/>
  </r>
  <r>
    <n v="738"/>
    <m/>
    <m/>
    <m/>
    <x v="5"/>
    <m/>
    <m/>
    <m/>
    <m/>
    <x v="3"/>
    <m/>
    <m/>
    <m/>
    <m/>
    <m/>
    <x v="1"/>
    <d v="1899-12-30T00:00:00"/>
    <d v="1899-12-30T00:00:00"/>
    <d v="1899-12-30T00:00:00"/>
    <d v="1899-12-30T00:00:00"/>
  </r>
  <r>
    <n v="739"/>
    <s v="F. SANCHEZ"/>
    <d v="1899-12-30T04:07:00"/>
    <d v="2026-02-10T00:00:00"/>
    <x v="6"/>
    <s v="Puntual"/>
    <s v="Rodillo de los clavos esta en mal estado, se cae y perfora el rodillo, esta atrancado con palos, paletas no esta funcionando"/>
    <m/>
    <m/>
    <x v="3"/>
    <m/>
    <m/>
    <m/>
    <m/>
    <m/>
    <x v="2"/>
    <d v="1899-12-30T00:00:00"/>
    <d v="2026-02-10T04:07:00"/>
    <d v="1899-12-30T00:00:00"/>
    <n v="-46063.171527777777"/>
  </r>
  <r>
    <n v="740"/>
    <s v="S. CARDENAL"/>
    <d v="1899-12-30T08:30:00"/>
    <d v="2026-02-10T00:00:00"/>
    <x v="13"/>
    <s v="Puntual"/>
    <s v="No prende (sensor)"/>
    <m/>
    <m/>
    <x v="3"/>
    <m/>
    <m/>
    <m/>
    <m/>
    <m/>
    <x v="2"/>
    <d v="1899-12-30T00:00:00"/>
    <d v="2026-02-10T08:30:00"/>
    <d v="1899-12-30T00:00:00"/>
    <n v="-46063.354166666664"/>
  </r>
  <r>
    <n v="741"/>
    <s v="H. TRIANA"/>
    <d v="1899-12-30T19:10:00"/>
    <d v="2026-02-10T00:00:00"/>
    <x v="1"/>
    <s v="Puntual"/>
    <s v="Rodillo manga superior tiene en el centro un pedazo cortado, como un cuchillazo"/>
    <m/>
    <m/>
    <x v="3"/>
    <m/>
    <m/>
    <m/>
    <m/>
    <m/>
    <x v="2"/>
    <d v="1899-12-30T00:00:00"/>
    <d v="2026-02-10T19:10:00"/>
    <d v="1899-12-30T00:00:00"/>
    <n v="-46063.798611111109"/>
  </r>
  <r>
    <n v="742"/>
    <s v="L.GARZON"/>
    <d v="1899-12-30T20:00:00"/>
    <d v="2026-02-10T00:00:00"/>
    <x v="4"/>
    <s v="Puntual"/>
    <s v="Maquina se apaga intermitentemente"/>
    <d v="1899-12-30T20:00:00"/>
    <d v="1899-12-30T21:30:00"/>
    <x v="101"/>
    <s v="Eléctrica"/>
    <s v="Se verifica variador con error, se hace reset, queda operativa, se hace seguimiento"/>
    <s v="NA"/>
    <s v="NA"/>
    <s v="O. DUARTE"/>
    <x v="0"/>
    <d v="1899-12-30T01:30:00"/>
    <d v="2026-02-10T20:00:00"/>
    <d v="2026-02-10T21:30:00"/>
    <d v="1899-12-30T01:30:00"/>
  </r>
  <r>
    <n v="743"/>
    <s v="H. TRIANA"/>
    <d v="1899-12-30T22:30:00"/>
    <d v="2026-02-10T00:00:00"/>
    <x v="1"/>
    <s v="Repetitiva"/>
    <s v="Motor (halador) de tensión esta recalentado, se frena con cualquier golpecito al cambiar rollo"/>
    <m/>
    <m/>
    <x v="3"/>
    <m/>
    <m/>
    <m/>
    <m/>
    <m/>
    <x v="2"/>
    <d v="1899-12-30T00:00:00"/>
    <d v="2026-02-10T22:30:00"/>
    <d v="1899-12-30T00:00:00"/>
    <n v="-46063.9375"/>
  </r>
  <r>
    <n v="744"/>
    <s v="S. CARDENAL"/>
    <d v="1899-12-30T08:00:00"/>
    <d v="2026-02-11T00:00:00"/>
    <x v="0"/>
    <s v="Puntual"/>
    <s v="Apoyo para cambio de cuchilla de fondo a lateral"/>
    <d v="1899-12-30T08:00:00"/>
    <d v="1899-12-30T09:00:00"/>
    <x v="102"/>
    <s v="Mecánica"/>
    <s v="Se presta apoyo para cambio de mordaza de fondo a lateral"/>
    <s v="NA"/>
    <s v="NA"/>
    <s v="L. CASTILLA"/>
    <x v="0"/>
    <d v="1899-12-30T01:00:00"/>
    <d v="2026-02-11T08:00:00"/>
    <d v="2026-02-11T09:00:00"/>
    <d v="1899-12-30T01:00:00"/>
  </r>
  <r>
    <n v="745"/>
    <s v="S. CARDENAL"/>
    <d v="1899-12-30T09:15:00"/>
    <d v="2026-02-11T00:00:00"/>
    <x v="0"/>
    <s v="Puntual"/>
    <s v="Transportador no prende"/>
    <d v="1899-12-30T09:15:00"/>
    <d v="1899-12-30T09:25:00"/>
    <x v="102"/>
    <s v="Eléctrica"/>
    <s v="Potenciometro variador transportador suelto, se realiza ajuste quedando OK"/>
    <s v="NA"/>
    <s v="NA"/>
    <s v="L. CASTILLA"/>
    <x v="0"/>
    <d v="1899-12-30T00:10:00"/>
    <d v="2026-02-11T09:15:00"/>
    <d v="2026-02-11T09:25:00"/>
    <d v="1899-12-30T00:10:00"/>
  </r>
  <r>
    <n v="746"/>
    <s v="S. CARDENAL"/>
    <d v="1899-12-30T11:00:00"/>
    <d v="2026-02-11T00:00:00"/>
    <x v="4"/>
    <s v="Puntual"/>
    <s v="Rodillo dañado del transportador"/>
    <d v="1899-12-30T11:00:00"/>
    <d v="1899-12-30T11:20:00"/>
    <x v="102"/>
    <s v="Mecánica"/>
    <s v="Rodillo tensor de transportador con rodamientos sueltos, se desmonta y e realiza ajuste y se coloca seger quedando OK"/>
    <s v="x2 Seger"/>
    <s v="NA"/>
    <s v="L. CASTILLA"/>
    <x v="0"/>
    <d v="1899-12-30T00:20:00"/>
    <d v="2026-02-11T11:00:00"/>
    <d v="2026-02-11T11:20:00"/>
    <d v="1899-12-30T00:20:00"/>
  </r>
  <r>
    <n v="747"/>
    <m/>
    <m/>
    <m/>
    <x v="5"/>
    <m/>
    <m/>
    <m/>
    <m/>
    <x v="3"/>
    <m/>
    <m/>
    <m/>
    <m/>
    <m/>
    <x v="1"/>
    <d v="1899-12-30T00:00:00"/>
    <d v="1899-12-30T00:00:00"/>
    <d v="1899-12-30T00:00:00"/>
    <d v="1899-12-30T00:00:00"/>
  </r>
  <r>
    <n v="748"/>
    <s v="L. GARZON"/>
    <d v="1899-12-30T18:00:00"/>
    <d v="2026-02-11T00:00:00"/>
    <x v="4"/>
    <s v="Puntual"/>
    <s v="Se solicita ayuda para soltar tornillo de soporte de cuchilla ya que esta rodada"/>
    <d v="1899-12-30T18:15:00"/>
    <d v="1899-12-30T18:45:00"/>
    <x v="102"/>
    <s v="Mecánica"/>
    <s v="Se extrae tornillo M5 x 20mm con cuadrante rodado, se instala nuevo tornillo M5 x 20mm, se instala cuchilla ya que está rodado"/>
    <s v="x1 Tornillo M5 x 20mm"/>
    <s v="NA"/>
    <s v="D. BAUTISTA"/>
    <x v="0"/>
    <d v="1899-12-30T00:30:00"/>
    <d v="2026-02-11T18:00:00"/>
    <d v="2026-02-11T18:45:00"/>
    <d v="1899-12-30T00:45:00"/>
  </r>
  <r>
    <n v="749"/>
    <s v="L. GARZON"/>
    <d v="1899-12-30T18:00:00"/>
    <d v="2026-02-11T00:00:00"/>
    <x v="13"/>
    <s v="Puntual"/>
    <s v="Se solicita a mantenimiento que ajuste fotocelda porque no lee y esta suelta, no tengo herramienta para ajustar"/>
    <d v="1899-12-30T18:00:00"/>
    <d v="1899-12-30T18:15:00"/>
    <x v="102"/>
    <s v="Mecánica"/>
    <s v="Se realiza ajuste de tornillos se sujeción de fotocelda ya que se encuentra suelta"/>
    <s v="NA"/>
    <s v="NA"/>
    <s v="D. BAUTISTA"/>
    <x v="0"/>
    <d v="1899-12-30T00:15:00"/>
    <d v="2026-02-11T18:00:00"/>
    <d v="2026-02-11T18:15:00"/>
    <d v="1899-12-30T00:15:00"/>
  </r>
  <r>
    <n v="750"/>
    <s v="L. GARZON"/>
    <d v="1899-12-30T17:20:00"/>
    <d v="2026-02-11T00:00:00"/>
    <x v="4"/>
    <s v="Puntual"/>
    <s v="Se reporta perforadores molestando se quedan abajo"/>
    <d v="1899-12-30T17:25:00"/>
    <d v="1899-12-30T17:50:00"/>
    <x v="102"/>
    <s v="Mecánica, Eléctrica"/>
    <s v="Se baja tiempo de accionamiento de perforadores ya que se encuentra muy prolongado y se corrige altura y posición"/>
    <s v="NA"/>
    <s v="NA"/>
    <s v="D. BAUTISTA"/>
    <x v="0"/>
    <d v="1899-12-30T00:25:00"/>
    <d v="2026-02-11T17:20:00"/>
    <d v="2026-02-11T17:50:00"/>
    <d v="1899-12-30T00:30:00"/>
  </r>
  <r>
    <n v="751"/>
    <s v="H. TRIANA"/>
    <d v="1899-12-30T06:50:00"/>
    <d v="2026-02-12T00:00:00"/>
    <x v="1"/>
    <s v="Repetitiva"/>
    <s v="Halador prensa no enciende"/>
    <d v="1899-12-30T07:00:00"/>
    <d v="1899-12-30T08:05:00"/>
    <x v="103"/>
    <s v="Eléctrica"/>
    <s v="Se inspecciona caja de circuitos de control y potencia, encontrando circuito de potencia mal conectado por tecnico el cual genero desfase entre lineas, se corrige pelando conductores y colocando capuchones, quedando OK"/>
    <s v="x3 Capuchones"/>
    <s v="NA"/>
    <s v="L. CASTILLA"/>
    <x v="0"/>
    <d v="1899-12-30T01:05:00"/>
    <d v="2026-02-12T06:50:00"/>
    <d v="2026-02-12T08:05:00"/>
    <d v="1899-12-30T01:15:00"/>
  </r>
  <r>
    <n v="752"/>
    <s v="M. ALVAREZ"/>
    <d v="1899-12-30T07:40:00"/>
    <d v="2026-02-12T00:00:00"/>
    <x v="11"/>
    <s v="Puntual"/>
    <s v="Se encuentra ruptura en pared del muelle #2, el cual no se define que pudo haber pasado"/>
    <m/>
    <m/>
    <x v="3"/>
    <m/>
    <m/>
    <m/>
    <m/>
    <m/>
    <x v="2"/>
    <d v="1899-12-30T00:00:00"/>
    <d v="2026-02-12T07:40:00"/>
    <d v="1899-12-30T00:00:00"/>
    <n v="-46065.319444444445"/>
  </r>
  <r>
    <n v="753"/>
    <s v="K. RAMOS"/>
    <d v="1899-12-30T09:28:00"/>
    <d v="2026-02-12T00:00:00"/>
    <x v="3"/>
    <s v="Puntual"/>
    <s v="Falla en el brazo de carga y descarga en el bobinador A"/>
    <d v="1899-12-30T15:30:00"/>
    <d v="1899-12-30T16:00:00"/>
    <x v="103"/>
    <s v="Mecánica"/>
    <s v="Se da ajuste a platinas de brazos de descarga y transporte, se calibra desplazamiento de transporte"/>
    <s v="NA"/>
    <s v="NA"/>
    <s v="D. BAUTISTA"/>
    <x v="0"/>
    <d v="1899-12-30T00:30:00"/>
    <d v="2026-02-12T09:28:00"/>
    <d v="2026-02-12T16:00:00"/>
    <d v="1899-12-30T06:32:00"/>
  </r>
  <r>
    <n v="754"/>
    <s v="H. TRIANA"/>
    <d v="1899-12-30T10:20:00"/>
    <d v="2026-02-12T00:00:00"/>
    <x v="1"/>
    <s v="Puntual"/>
    <s v="Chillido en transmisión a tornillo en capa externa"/>
    <d v="1899-12-30T16:00:00"/>
    <d v="1899-12-30T17:00:00"/>
    <x v="103"/>
    <s v="Eléctrica"/>
    <s v="Se realiza seguimiento, toma de consumos del motor el cual se encuentra dentro de los parametros"/>
    <s v="NA"/>
    <s v="NA"/>
    <s v="D. BAUTISTA"/>
    <x v="0"/>
    <d v="1899-12-30T01:00:00"/>
    <d v="2026-02-12T10:20:00"/>
    <d v="2026-02-12T17:00:00"/>
    <d v="1899-12-30T06:40:00"/>
  </r>
  <r>
    <n v="755"/>
    <s v="H. TRIANA"/>
    <m/>
    <d v="2026-02-12T00:00:00"/>
    <x v="8"/>
    <s v="Repetitiva"/>
    <s v="Cuchillas de tratador muy duras para plano de tratado"/>
    <m/>
    <m/>
    <x v="3"/>
    <m/>
    <m/>
    <m/>
    <m/>
    <m/>
    <x v="2"/>
    <d v="1899-12-30T00:00:00"/>
    <d v="2026-02-12T00:00:00"/>
    <d v="1899-12-30T00:00:00"/>
    <n v="-46065"/>
  </r>
  <r>
    <n v="756"/>
    <s v="E. REYES"/>
    <d v="1899-12-30T10:40:00"/>
    <d v="2026-02-12T00:00:00"/>
    <x v="4"/>
    <s v="Puntual"/>
    <s v="Arreglo de rodamiento"/>
    <d v="1899-12-30T10:40:00"/>
    <d v="1899-12-30T11:20:00"/>
    <x v="103"/>
    <s v="Mecánica"/>
    <s v="Rodillo loco magazin superior rodamientos averiados y espigo con desajuste, se corrige con soldadura y cambio de rodamientos y unida"/>
    <s v="x1 Rodamiento 6003"/>
    <s v="Soldadura"/>
    <s v="L. CASTILLA"/>
    <x v="0"/>
    <d v="1899-12-30T00:40:00"/>
    <d v="2026-02-12T10:40:00"/>
    <d v="2026-02-12T11:20:00"/>
    <d v="1899-12-30T00:40:00"/>
  </r>
  <r>
    <n v="757"/>
    <s v="H. TRIANA"/>
    <d v="1899-12-30T10:50:00"/>
    <d v="2026-02-12T00:00:00"/>
    <x v="1"/>
    <s v="Puntual"/>
    <s v="Motor halador de prensa huele quemado y el ventilador se paro"/>
    <d v="1899-12-30T12:00:00"/>
    <d v="1899-12-30T12:45:00"/>
    <x v="103"/>
    <s v="Mecánica"/>
    <s v="Rodillo loco magazin superior #2 con rodamientos dañados y espigo, se realiza ajuste con soldadura y cambio rodamientos"/>
    <s v="x2 rodamientos 600"/>
    <s v="NA"/>
    <s v="L. CASTILLA"/>
    <x v="0"/>
    <d v="1899-12-30T00:45:00"/>
    <d v="2026-02-12T10:50:00"/>
    <d v="2026-02-12T12:45:00"/>
    <d v="1899-12-30T01:55:00"/>
  </r>
  <r>
    <n v="758"/>
    <s v="E. REYES"/>
    <d v="1899-12-30T12:40:00"/>
    <d v="2026-02-12T00:00:00"/>
    <x v="4"/>
    <s v="Repetitiva"/>
    <s v="Arreglo de rodamiento"/>
    <d v="1899-12-30T11:20:00"/>
    <d v="1899-12-30T12:00:00"/>
    <x v="103"/>
    <s v="Eléctrica"/>
    <s v="Interviniendo selladora 2, blower ventilación forzada motor halador mal conectado ocasionando que blower se apague, se realiza conexiones correspondientes quedando OK"/>
    <s v="NA"/>
    <s v="NA"/>
    <s v="L. CASTILLA"/>
    <x v="0"/>
    <d v="1899-12-30T00:40:00"/>
    <d v="2026-02-12T12:40:00"/>
    <d v="2026-02-12T12:00:00"/>
    <n v="-2.7777777781011537E-2"/>
  </r>
  <r>
    <n v="759"/>
    <s v="H. TRIANA"/>
    <d v="1899-12-30T15:45:00"/>
    <d v="2026-02-12T00:00:00"/>
    <x v="1"/>
    <s v="Repetitiva"/>
    <s v="Motor halador de la prensa_x000a_desoues del arreglo sigue recalentado"/>
    <m/>
    <m/>
    <x v="3"/>
    <m/>
    <m/>
    <m/>
    <m/>
    <m/>
    <x v="2"/>
    <d v="1899-12-30T00:00:00"/>
    <d v="2026-02-12T15:45:00"/>
    <d v="1899-12-30T00:00:00"/>
    <n v="-46065.65625"/>
  </r>
  <r>
    <n v="760"/>
    <s v="L. GARZON"/>
    <d v="1899-12-30T14:00:00"/>
    <d v="2026-02-12T00:00:00"/>
    <x v="13"/>
    <s v="Puntual"/>
    <s v="Maquina se pasa a mantenimiento porque esta molestando sensor y medida varia"/>
    <d v="1899-12-30T14:00:00"/>
    <d v="1899-12-30T15:15:00"/>
    <x v="103"/>
    <s v="Mecánica"/>
    <s v="Se realiza ajuste en final de carrera, se realiza ajuste de tensiones balancines, ajuste de freno, parametros se realiza inspección, se apoyo ajuste de perforadores y prensa de alimentación, se entrego operativo 15:15 se realizo seguimiento"/>
    <s v="NA"/>
    <s v="NA"/>
    <s v="D. BAUTISTA"/>
    <x v="0"/>
    <d v="1899-12-30T01:15:00"/>
    <d v="2026-02-12T14:00:00"/>
    <d v="2026-02-12T15:15:00"/>
    <d v="1899-12-30T01:15:00"/>
  </r>
  <r>
    <n v="761"/>
    <s v="L. GARZON"/>
    <d v="1899-12-30T14:10:00"/>
    <d v="2026-02-12T00:00:00"/>
    <x v="4"/>
    <s v="Puntual"/>
    <s v="Maquina varia medida y molesta perforadores y fotocelda no lee bien"/>
    <d v="1899-12-30T15:20:00"/>
    <d v="1899-12-30T16:30:00"/>
    <x v="103"/>
    <s v="Mecánica"/>
    <s v="Se atiende 15:20, se realiza ajuste apoyo a la operaria a cuadre de material, se da ajsute a fotocelda, ajuste a prensa de alimentación, presiones se arranca maquina 16:50 y se tiene en seguimiento"/>
    <s v="NA"/>
    <s v="NA"/>
    <s v="D. BAUTISTA"/>
    <x v="0"/>
    <d v="1899-12-30T01:10:00"/>
    <d v="2026-02-12T14:10:00"/>
    <d v="2026-02-12T16:30:00"/>
    <d v="1899-12-30T02:20:00"/>
  </r>
  <r>
    <n v="762"/>
    <s v="F. SANCHEZ"/>
    <d v="1899-12-30T09:30:00"/>
    <d v="2026-02-13T00:00:00"/>
    <x v="6"/>
    <s v="Puntual"/>
    <s v="Problemas con el fay no lee, esta torcida la lectura de base. La base esta torcida un poco"/>
    <m/>
    <m/>
    <x v="3"/>
    <m/>
    <m/>
    <m/>
    <m/>
    <m/>
    <x v="2"/>
    <d v="1899-12-30T00:00:00"/>
    <d v="2026-02-13T09:30:00"/>
    <d v="1899-12-30T00:00:00"/>
    <n v="-46066.395833333336"/>
  </r>
  <r>
    <n v="763"/>
    <s v="F. SANCHEZ"/>
    <d v="1899-12-30T10:54:00"/>
    <d v="2026-02-13T00:00:00"/>
    <x v="6"/>
    <s v="Puntual"/>
    <s v="Bajar mando de contot del tratador Bajar mando contros del fay al primer piso donde se pueda manipular"/>
    <m/>
    <m/>
    <x v="3"/>
    <m/>
    <m/>
    <m/>
    <m/>
    <m/>
    <x v="2"/>
    <d v="1899-12-30T00:00:00"/>
    <d v="2026-02-13T10:54:00"/>
    <d v="1899-12-30T00:00:00"/>
    <n v="-46066.45416666667"/>
  </r>
  <r>
    <n v="764"/>
    <s v="D. ARRIETA"/>
    <m/>
    <d v="2026-02-13T00:00:00"/>
    <x v="7"/>
    <m/>
    <s v="La bomba neúmatica, la que se utiliza para el color blanco funciona unos minutos y deja de funcionar"/>
    <m/>
    <m/>
    <x v="3"/>
    <m/>
    <m/>
    <m/>
    <m/>
    <m/>
    <x v="2"/>
    <d v="1899-12-30T00:00:00"/>
    <d v="2026-02-13T00:00:00"/>
    <d v="1899-12-30T00:00:00"/>
    <n v="-46066"/>
  </r>
  <r>
    <n v="765"/>
    <s v="L. MIRANDA"/>
    <d v="1899-12-30T00:00:00"/>
    <d v="2026-02-14T00:00:00"/>
    <x v="6"/>
    <s v="Puntual"/>
    <s v="Se bloquea el alimentador del embobinador 1"/>
    <d v="1899-12-30T00:00:00"/>
    <d v="1899-12-30T04:00:00"/>
    <x v="104"/>
    <s v="Eléctrica"/>
    <s v="Se profudcie alarma y se desenebra en el embobinado arrastra sensor y mangueras de aire, se hace corto, se busca sensor y no lo hay. Toco recuperarlo aplicar soldadura con cautin quedando operativo, se hace seguimiento"/>
    <s v="NA"/>
    <s v="Soldadura"/>
    <s v="O. DUARTE"/>
    <x v="0"/>
    <d v="1899-12-30T04:00:00"/>
    <d v="2026-02-14T00:00:00"/>
    <d v="2026-02-14T04:00:00"/>
    <d v="1899-12-30T04:00:00"/>
  </r>
  <r>
    <n v="766"/>
    <s v="H. TRIANA"/>
    <d v="1899-12-30T06:30:00"/>
    <d v="2026-02-14T00:00:00"/>
    <x v="1"/>
    <s v="Puntual"/>
    <s v="Falla en la rotación, empezo a sonar feo y brincar"/>
    <m/>
    <m/>
    <x v="3"/>
    <m/>
    <s v="Queda parada hay que desarmar toda la rotación"/>
    <m/>
    <m/>
    <m/>
    <x v="2"/>
    <d v="1899-12-30T00:00:00"/>
    <d v="2026-02-14T06:30:00"/>
    <d v="1899-12-30T00:00:00"/>
    <n v="-46067.270833333336"/>
  </r>
  <r>
    <n v="767"/>
    <s v="H. TRIANA"/>
    <d v="1899-12-30T06:15:00"/>
    <d v="2026-02-14T00:00:00"/>
    <x v="8"/>
    <s v="Puntual"/>
    <s v="Cadena de este embobinador partida"/>
    <d v="1899-12-30T06:30:00"/>
    <d v="1899-12-30T06:45:00"/>
    <x v="104"/>
    <s v="Mecánica"/>
    <s v="Se arregla piezas de cadena y se alarga el tornillo"/>
    <s v="NA"/>
    <s v="NA"/>
    <s v="J. SILVA"/>
    <x v="0"/>
    <d v="1899-12-30T00:15:00"/>
    <d v="2026-02-14T06:15:00"/>
    <d v="2026-02-14T06:45:00"/>
    <d v="1899-12-30T00:30:00"/>
  </r>
  <r>
    <n v="768"/>
    <s v="H. TRIANA"/>
    <d v="1899-12-30T07:38:00"/>
    <d v="2026-02-14T00:00:00"/>
    <x v="1"/>
    <s v="Repetitiva"/>
    <s v="Quitar torta de la rotación, y tiene unos cables desconectados"/>
    <d v="1899-12-30T08:10:00"/>
    <d v="1899-12-30T11:00:00"/>
    <x v="104"/>
    <s v="Eléctrica"/>
    <s v="Se retira la mayor cantidad de torta, se conectan cables ya que provoco corto eléctrico"/>
    <s v="NA"/>
    <s v="NA"/>
    <s v="J. SILVA"/>
    <x v="0"/>
    <d v="1899-12-30T02:50:00"/>
    <d v="2026-02-14T07:38:00"/>
    <d v="2026-02-14T11:00:00"/>
    <d v="1899-12-30T03:22:00"/>
  </r>
  <r>
    <n v="769"/>
    <s v="E. REYES"/>
    <d v="1899-12-30T07:10:00"/>
    <d v="2026-02-14T00:00:00"/>
    <x v="4"/>
    <s v="Puntual"/>
    <s v="Temperatura trasera se apago por que hizo corte"/>
    <d v="1899-12-30T08:40:00"/>
    <d v="1899-12-30T09:00:00"/>
    <x v="104"/>
    <s v="Eléctrica"/>
    <s v="Se verifica corto en una resistencia por rosamiento del rodillo, se aisla y queda OK"/>
    <s v="NA"/>
    <s v="NA"/>
    <s v="J. SILVA"/>
    <x v="0"/>
    <d v="1899-12-30T00:20:00"/>
    <d v="2026-02-14T07:10:00"/>
    <d v="2026-02-14T09:00:00"/>
    <d v="1899-12-30T01:50:00"/>
  </r>
  <r>
    <n v="770"/>
    <s v="E. REYES"/>
    <d v="1899-12-30T11:15:00"/>
    <d v="2026-02-14T00:00:00"/>
    <x v="25"/>
    <s v="Puntual"/>
    <s v="Se parte tornillo del rodillo de las correas"/>
    <d v="1899-12-30T11:30:00"/>
    <d v="1899-12-30T12:10:00"/>
    <x v="104"/>
    <s v="Mecánica"/>
    <s v="Se parte tornillo de tensor de correas transportador, se saca yse remplaza por uno nuevo"/>
    <s v="1x Tornillo M8"/>
    <s v="NA"/>
    <s v="J. SILVA"/>
    <x v="0"/>
    <d v="1899-12-30T00:40:00"/>
    <d v="2026-02-14T11:15:00"/>
    <d v="2026-02-14T12:10:00"/>
    <d v="1899-12-30T00:55:00"/>
  </r>
  <r>
    <n v="771"/>
    <s v="H. TRIANA"/>
    <d v="1899-12-30T15:40:00"/>
    <d v="2026-02-14T00:00:00"/>
    <x v="8"/>
    <s v="Puntual"/>
    <s v="Temperatura zona 1 del molde esta fuera de parametros"/>
    <d v="1899-12-30T15:50:00"/>
    <d v="1899-12-30T16:10:00"/>
    <x v="104"/>
    <s v="Eléctrica"/>
    <s v="Corto en resistencia 1 averiando rele ssr, se corrige corto y se cambia ssr quedando OK"/>
    <s v="1x SSR 60A"/>
    <s v="NA"/>
    <s v="L. CASTILLA"/>
    <x v="0"/>
    <d v="1899-12-30T00:20:00"/>
    <d v="2026-02-14T15:40:00"/>
    <d v="2026-02-14T16:10:00"/>
    <d v="1899-12-30T00:30:00"/>
  </r>
  <r>
    <n v="772"/>
    <s v="D. CUESTA"/>
    <d v="1899-12-30T19:50:00"/>
    <d v="2026-02-14T00:00:00"/>
    <x v="8"/>
    <s v="Puntual"/>
    <s v="Se parte cadena de arrastre de rollo en pin y se monta quedando OK"/>
    <d v="1899-12-30T19:50:00"/>
    <d v="1899-12-30T20:05:00"/>
    <x v="104"/>
    <s v="Mecánica"/>
    <s v="Cadena despinada se coloca pin y se monta quedando OK"/>
    <s v="NA"/>
    <s v="NA"/>
    <s v="L. CASTILLA"/>
    <x v="0"/>
    <d v="1899-12-30T00:15:00"/>
    <d v="2026-02-14T19:50:00"/>
    <d v="2026-02-14T20:05:00"/>
    <d v="1899-12-30T00:15:00"/>
  </r>
  <r>
    <n v="773"/>
    <s v="L. GARZON"/>
    <d v="1899-12-30T20:05:00"/>
    <d v="2026-02-14T00:00:00"/>
    <x v="13"/>
    <s v="Puntual"/>
    <s v="Material sale maltratado"/>
    <d v="1899-12-30T20:15:00"/>
    <d v="1899-12-30T20:30:00"/>
    <x v="104"/>
    <s v="Mecánica"/>
    <s v="Inteviniendo coex 3 se realiza calobración prensa de arrastre inferior quedando OK"/>
    <s v="NA"/>
    <s v="NA"/>
    <s v="L. CASTILLA"/>
    <x v="0"/>
    <d v="1899-12-30T00:15:00"/>
    <d v="2026-02-14T20:05:00"/>
    <d v="2026-02-14T20:30:00"/>
    <d v="1899-12-30T00:25:00"/>
  </r>
  <r>
    <n v="774"/>
    <s v="F. SANCHEZ"/>
    <d v="1899-12-30T06:00:00"/>
    <d v="2026-02-15T00:00:00"/>
    <x v="6"/>
    <s v="Puntual"/>
    <s v="Rodillo de los clavos suelto y un resorte caido se cae el rodillo y perfora con los clavos al otro rodillo"/>
    <d v="1899-12-30T06:00:00"/>
    <d v="1899-12-30T06:50:00"/>
    <x v="105"/>
    <s v="Mecánica, Eléctrica"/>
    <s v="Se interviene resorte rodillo clavos se fija, se interviene paletas, se intenta cerrar pero mandos y conexiones entran fallo, se requiere revisión con mas tiempo"/>
    <s v="NA"/>
    <s v="NA"/>
    <s v="O. DUARTE"/>
    <x v="2"/>
    <d v="1899-12-30T00:50:00"/>
    <d v="2026-02-15T06:00:00"/>
    <d v="2026-02-15T06:50:00"/>
    <d v="1899-12-30T00:50:00"/>
  </r>
  <r>
    <n v="775"/>
    <s v="D. CUESTA"/>
    <d v="1899-12-30T18:10:00"/>
    <d v="2026-02-15T00:00:00"/>
    <x v="6"/>
    <s v="Puntual"/>
    <s v="Paletas de la coex 5 de la parte inferior no cierran ni abren"/>
    <d v="1899-12-30T19:00:00"/>
    <d v="1899-12-30T20:10:00"/>
    <x v="105"/>
    <s v="Eléctrica"/>
    <s v="Se presta apoyo para cerrar paletas inferiores dependiendo de un contactor, ya que el otro lo averiaron y no esta funcionando, se requiere cambiar. Se requiere inspección para evaluar o revisar contactores paletas inferiores con la maquina parada"/>
    <s v="NA"/>
    <s v="NA"/>
    <s v="L. CASTILLA"/>
    <x v="0"/>
    <d v="1899-12-30T01:10:00"/>
    <d v="2026-02-15T18:10:00"/>
    <d v="2026-02-15T20:10:00"/>
    <d v="1899-12-30T02:00:00"/>
  </r>
  <r>
    <n v="776"/>
    <m/>
    <m/>
    <m/>
    <x v="5"/>
    <m/>
    <m/>
    <m/>
    <m/>
    <x v="3"/>
    <m/>
    <m/>
    <m/>
    <m/>
    <m/>
    <x v="1"/>
    <d v="1899-12-30T00:00:00"/>
    <d v="1899-12-30T00:00:00"/>
    <d v="1899-12-30T00:00:00"/>
    <d v="1899-12-30T00:00:00"/>
  </r>
  <r>
    <n v="777"/>
    <s v="D. CUESTA"/>
    <d v="1899-12-30T20:10:00"/>
    <d v="2026-02-15T00:00:00"/>
    <x v="6"/>
    <s v="Puntual"/>
    <s v="Problemas con el octagon no esta funcionando"/>
    <d v="1899-12-30T20:10:00"/>
    <d v="1899-12-30T23:15:00"/>
    <x v="105"/>
    <s v="Eléctrica"/>
    <s v="La pantalla presenta el programa ejecutado en blanco, se ingresan algunos parametros hasta encontrar el corrector y permitir asi el funcionamiento OK"/>
    <s v="NA"/>
    <s v="NA"/>
    <s v="L. CASTILLA"/>
    <x v="0"/>
    <d v="1899-12-30T03:05:00"/>
    <d v="2026-02-15T20:10:00"/>
    <d v="2026-02-15T23:15:00"/>
    <d v="1899-12-30T03:05:00"/>
  </r>
  <r>
    <n v="778"/>
    <m/>
    <m/>
    <m/>
    <x v="5"/>
    <m/>
    <m/>
    <m/>
    <m/>
    <x v="3"/>
    <m/>
    <m/>
    <m/>
    <m/>
    <m/>
    <x v="1"/>
    <d v="1899-12-30T00:00:00"/>
    <d v="1899-12-30T00:00:00"/>
    <d v="1899-12-30T00:00:00"/>
    <d v="1899-12-30T00:00:00"/>
  </r>
  <r>
    <n v="779"/>
    <s v="H. TRIANA"/>
    <d v="1899-12-30T22:00:00"/>
    <d v="2026-02-15T00:00:00"/>
    <x v="8"/>
    <s v="Puntual"/>
    <s v="Falla en contactor del porta malla externo"/>
    <d v="1899-12-30T22:15:00"/>
    <d v="1899-12-30T22:35:00"/>
    <x v="105"/>
    <s v="Eléctrica"/>
    <s v="Se inspecciona circuito de malla encontrando amperimetro averiado, se empalman conductores dejando por fuera el amperimetro, se requiere RQ para compra de amperimetros según muestra"/>
    <s v="NA"/>
    <s v="NA"/>
    <s v="L. CASTILLA"/>
    <x v="0"/>
    <d v="1899-12-30T00:20:00"/>
    <d v="2026-02-15T22:00:00"/>
    <d v="2026-02-15T22:35:00"/>
    <d v="1899-12-30T00:35:00"/>
  </r>
  <r>
    <n v="780"/>
    <s v="H. TRIANA"/>
    <d v="1899-12-30T00:05:00"/>
    <d v="2026-02-15T00:00:00"/>
    <x v="8"/>
    <s v="Puntual"/>
    <s v="Sonido de tornillo, capa interna fuera de lo normal"/>
    <d v="1899-12-30T00:30:00"/>
    <d v="1899-12-30T00:45:00"/>
    <x v="106"/>
    <s v="Mecánica"/>
    <s v="Se inspeccioona ruido anormal reportado por operario, se evidencia fuga de aceite leve y sonido anormal leve. Se requiere programar mantenimiento preventivo de carácter urgente"/>
    <s v="NA"/>
    <s v="NA"/>
    <s v="L. CASTILLA"/>
    <x v="0"/>
    <d v="1899-12-30T00:15:00"/>
    <d v="2026-02-15T00:05:00"/>
    <d v="2026-02-16T00:45:00"/>
    <d v="1899-12-31T00:40:00"/>
  </r>
  <r>
    <n v="781"/>
    <s v="S. PATIÑO"/>
    <d v="1899-12-30T19:20:00"/>
    <d v="2026-02-16T00:00:00"/>
    <x v="6"/>
    <s v="Puntual"/>
    <s v="Flautas del sistema de rotación esta desalineadas y al poner a trabajar la rotación la pelicula se corre para los lados y se sale del refile"/>
    <d v="1899-12-30T19:22:00"/>
    <d v="1899-12-30T19:30:00"/>
    <x v="106"/>
    <s v="Mecánica"/>
    <s v="Nivelar las flautas"/>
    <s v="NA"/>
    <s v="NA"/>
    <s v="J. SILVA"/>
    <x v="0"/>
    <d v="1899-12-30T00:08:00"/>
    <d v="2026-02-16T19:20:00"/>
    <d v="2026-02-16T19:30:00"/>
    <d v="1899-12-30T00:10:00"/>
  </r>
  <r>
    <n v="782"/>
    <s v="D. ARRIETA"/>
    <d v="1899-12-30T04:00:00"/>
    <d v="2026-02-17T00:00:00"/>
    <x v="7"/>
    <s v="Puntual"/>
    <s v="Rodillo del balancin del embobinador"/>
    <d v="1899-12-30T04:00:00"/>
    <d v="1899-12-30T05:00:00"/>
    <x v="107"/>
    <s v="Mecánica"/>
    <s v="Se despina cadena balancin embobinador  y parte soporte roscados se corrige aplicando soldadura quedando OK"/>
    <s v="NA"/>
    <s v="Soldadura"/>
    <s v="L. CASTILLA"/>
    <x v="0"/>
    <d v="1899-12-30T01:00:00"/>
    <d v="2026-02-17T04:00:00"/>
    <d v="2026-02-17T05:00:00"/>
    <d v="1899-12-30T01:00:00"/>
  </r>
  <r>
    <n v="783"/>
    <s v="H. TRIANA"/>
    <d v="1899-12-30T08:40:00"/>
    <d v="2026-02-17T00:00:00"/>
    <x v="14"/>
    <s v="Puntual"/>
    <s v="Falla tratador"/>
    <d v="1899-12-30T08:40:00"/>
    <d v="1899-12-30T09:40:00"/>
    <x v="107"/>
    <s v="Eléctrica"/>
    <s v="Se revisa equipo se encuentra cable de potenciometro desconectado por tanto no se dejaba subir"/>
    <s v="NA"/>
    <s v="NA"/>
    <m/>
    <x v="0"/>
    <d v="1899-12-30T01:00:00"/>
    <d v="2026-02-17T08:40:00"/>
    <d v="2026-02-17T09:40:00"/>
    <d v="1899-12-30T01:00:00"/>
  </r>
  <r>
    <n v="784"/>
    <s v="H. TRIANA"/>
    <d v="1899-12-30T09:50:00"/>
    <d v="2026-02-17T00:00:00"/>
    <x v="14"/>
    <s v="Repetitiva"/>
    <s v="Temperatura del tornillo interno elevada a 250 °C"/>
    <m/>
    <m/>
    <x v="3"/>
    <m/>
    <m/>
    <m/>
    <m/>
    <m/>
    <x v="2"/>
    <d v="1899-12-30T00:00:00"/>
    <d v="2026-02-17T09:50:00"/>
    <d v="1899-12-30T00:00:00"/>
    <n v="-46070.409722222219"/>
  </r>
  <r>
    <n v="785"/>
    <s v="S. CARDENAL"/>
    <d v="1899-12-30T18:53:00"/>
    <d v="2026-02-17T00:00:00"/>
    <x v="4"/>
    <s v="Puntual"/>
    <s v="Parte eléctrica de los perforadores hecho chispa y estos no perforan"/>
    <d v="1899-12-30T06:10:00"/>
    <d v="1899-12-30T06:30:00"/>
    <x v="108"/>
    <s v="Eléctrica"/>
    <s v="Se encuentra sistema eléctrico de los perforadores desconectado, se realizao seguimiento, se encuentra temporizador en mal estado, se realiza el cambio y queda operativo"/>
    <s v="1x Temporizador"/>
    <s v="NA"/>
    <s v="D. BAUTISTA"/>
    <x v="0"/>
    <d v="1899-12-30T00:20:00"/>
    <d v="2026-02-17T18:53:00"/>
    <d v="2026-02-18T06:30:00"/>
    <d v="1899-12-30T11:37:00"/>
  </r>
  <r>
    <n v="786"/>
    <s v="K. RAMOS"/>
    <m/>
    <d v="2026-02-17T00:00:00"/>
    <x v="14"/>
    <s v="Puntual"/>
    <s v="Motor de ventilación de la maquina 2 esta dañado:_x000a_La temperatura muy alta"/>
    <m/>
    <m/>
    <x v="3"/>
    <m/>
    <m/>
    <m/>
    <m/>
    <m/>
    <x v="2"/>
    <d v="1899-12-30T00:00:00"/>
    <d v="2026-02-17T00:00:00"/>
    <d v="1899-12-30T00:00:00"/>
    <n v="-46070"/>
  </r>
  <r>
    <n v="787"/>
    <s v="L. MIRANDA"/>
    <d v="1899-12-30T20:20:00"/>
    <d v="2026-02-17T00:00:00"/>
    <x v="6"/>
    <s v="Puntual"/>
    <s v="Cuadrar paletas"/>
    <d v="1899-12-30T20:20:00"/>
    <d v="1899-12-30T21:30:00"/>
    <x v="107"/>
    <s v="Eléctrica"/>
    <s v="Se realiza inversión de giro en motores, se hace ajuste en paletas del equipo, queda operativa acorde al operario"/>
    <s v="NA"/>
    <s v="NA"/>
    <s v="O. DUARTE"/>
    <x v="0"/>
    <d v="1899-12-30T01:10:00"/>
    <d v="2026-02-17T20:20:00"/>
    <d v="2026-02-17T21:30:00"/>
    <d v="1899-12-30T01:10:00"/>
  </r>
  <r>
    <n v="788"/>
    <s v="A. ROVINA"/>
    <d v="1899-12-30T09:15:00"/>
    <d v="2026-02-18T00:00:00"/>
    <x v="25"/>
    <s v="Puntual"/>
    <s v="Cuchilla de precrorte se suelta"/>
    <d v="1899-12-30T09:15:00"/>
    <d v="1899-12-30T09:30:00"/>
    <x v="108"/>
    <s v="Mecánica"/>
    <s v="Se da ajuste a tornillo de ajuste de cuchilla de precorte"/>
    <s v="NA"/>
    <s v="NA"/>
    <s v="D. BAUTISTA"/>
    <x v="0"/>
    <d v="1899-12-30T00:15:00"/>
    <d v="2026-02-18T09:15:00"/>
    <d v="2026-02-18T09:30:00"/>
    <d v="1899-12-30T00:15:00"/>
  </r>
  <r>
    <n v="789"/>
    <s v="K. RAMOS"/>
    <d v="1899-12-30T23:10:00"/>
    <d v="2026-02-18T00:00:00"/>
    <x v="14"/>
    <s v="Puntual"/>
    <s v="Sacar tornillo de la pirinola del molde que tiene tornillo partio"/>
    <d v="1899-12-30T23:15:00"/>
    <d v="1899-12-30T23:50:00"/>
    <x v="108"/>
    <s v="Mecánica"/>
    <s v="Se retira tornillo partido"/>
    <s v="NA"/>
    <s v="NA"/>
    <s v="J. SILVA"/>
    <x v="0"/>
    <d v="1899-12-30T00:35:00"/>
    <d v="2026-02-18T23:10:00"/>
    <d v="2026-02-18T23:50:00"/>
    <d v="1899-12-30T00:40:00"/>
  </r>
  <r>
    <n v="790"/>
    <m/>
    <m/>
    <m/>
    <x v="5"/>
    <m/>
    <m/>
    <m/>
    <m/>
    <x v="3"/>
    <m/>
    <m/>
    <m/>
    <m/>
    <m/>
    <x v="1"/>
    <d v="1899-12-30T00:00:00"/>
    <d v="1899-12-30T00:00:00"/>
    <d v="1899-12-30T00:00:00"/>
    <d v="1899-12-30T00:00:00"/>
  </r>
  <r>
    <n v="791"/>
    <s v="D. SANCHEZ"/>
    <d v="1899-12-30T07:42:00"/>
    <d v="2026-02-19T00:00:00"/>
    <x v="3"/>
    <s v="Puntual"/>
    <s v="Crear un modulo para guardar mallas metalicas de extrusor"/>
    <m/>
    <m/>
    <x v="3"/>
    <m/>
    <m/>
    <m/>
    <m/>
    <m/>
    <x v="2"/>
    <d v="1899-12-30T00:00:00"/>
    <d v="2026-02-19T07:42:00"/>
    <d v="1899-12-30T00:00:00"/>
    <n v="-46072.320833333331"/>
  </r>
  <r>
    <n v="792"/>
    <s v="D. CUESTA"/>
    <d v="1899-12-30T11:10:00"/>
    <d v="2026-02-19T00:00:00"/>
    <x v="6"/>
    <s v="Puntual"/>
    <s v="Revisar zona 4 del tornillo B"/>
    <d v="1899-12-30T11:20:00"/>
    <d v="1899-12-30T12:20:00"/>
    <x v="109"/>
    <s v="Mecánica"/>
    <s v="Se inspeccionan los circuitos de las zonas 1 hasta la 6, no presentan anomalia, se realiza limpieza en camisa y resistencia para retirar producto del refile que impide refrigeración"/>
    <s v="NA"/>
    <s v="NA"/>
    <s v="L. CASTILLA"/>
    <x v="0"/>
    <d v="1899-12-30T01:00:00"/>
    <d v="2026-02-19T11:10:00"/>
    <d v="2026-02-19T12:20:00"/>
    <d v="1899-12-30T01:10:00"/>
  </r>
  <r>
    <n v="793"/>
    <s v="D. CUESTA"/>
    <d v="1899-12-30T12:00:00"/>
    <d v="2026-02-19T00:00:00"/>
    <x v="6"/>
    <s v="Puntual"/>
    <s v="Tornillo de apretar no sirve de la corta cores"/>
    <d v="1899-12-30T12:00:00"/>
    <d v="1899-12-30T13:00:00"/>
    <x v="109"/>
    <s v="Mecánica"/>
    <s v="Rosca tornillo corona malobrada, se retira tuerca y tornillo para remplazo quedando OK"/>
    <s v="1x Tornillo M12, 1x Tuerca M12"/>
    <s v="NA"/>
    <s v="L. CASTILLA"/>
    <x v="0"/>
    <d v="1899-12-30T01:00:00"/>
    <d v="2026-02-19T12:00:00"/>
    <d v="2026-02-19T13:00:00"/>
    <d v="1899-12-30T01:00:00"/>
  </r>
  <r>
    <n v="794"/>
    <s v="D. BAUTISTA"/>
    <d v="1899-12-30T09:30:00"/>
    <d v="2026-02-19T00:00:00"/>
    <x v="11"/>
    <s v="Puntual"/>
    <s v="Daño a cortacores"/>
    <d v="1899-12-30T19:30:00"/>
    <d v="1899-12-30T20:00:00"/>
    <x v="109"/>
    <s v="Mecánica"/>
    <s v="Se desmonto cuchilla de corte, se realizo afilado a la otra cuchilla y se realizo montaje, se requiere mejora de elementos cortacores"/>
    <s v="NA"/>
    <s v="NA"/>
    <s v="D. BAUTISTA"/>
    <x v="0"/>
    <d v="1899-12-30T00:30:00"/>
    <d v="2026-02-19T09:30:00"/>
    <d v="2026-02-19T20:00:00"/>
    <d v="1899-12-30T10:30:00"/>
  </r>
  <r>
    <n v="795"/>
    <s v="D. ARRIETA"/>
    <d v="1899-12-30T19:50:00"/>
    <d v="2026-02-19T00:00:00"/>
    <x v="7"/>
    <s v="Puntual"/>
    <s v="Daño en balancin bobinador"/>
    <d v="1899-12-30T19:50:00"/>
    <d v="1899-12-30T20:30:00"/>
    <x v="109"/>
    <s v="Mecánica"/>
    <s v="Se descarrilo balancin y se parte acople del eje, se desmonta, se ajusta acople, se realiza montaje quedo en operación"/>
    <s v="NA"/>
    <s v="NA"/>
    <s v="D. BAUTISTA"/>
    <x v="0"/>
    <d v="1899-12-30T00:40:00"/>
    <d v="2026-02-19T19:50:00"/>
    <d v="2026-02-19T20:30:00"/>
    <d v="1899-12-30T00:40:00"/>
  </r>
  <r>
    <n v="796"/>
    <s v="D. CUESTA"/>
    <d v="1899-12-30T06:40:00"/>
    <d v="2026-02-20T00:00:00"/>
    <x v="14"/>
    <s v="Puntual"/>
    <s v="Ajustar y verificar pinola fuga de material"/>
    <d v="1899-12-30T06:50:00"/>
    <d v="1899-12-30T10:20:00"/>
    <x v="110"/>
    <s v="Mecánica"/>
    <s v="Se hace verificación, se retorquea tornillos de portamallas y pinola queda OK"/>
    <s v="NA"/>
    <s v="NA"/>
    <s v="J. SILVA"/>
    <x v="0"/>
    <d v="1899-12-30T03:30:00"/>
    <d v="2026-02-20T06:40:00"/>
    <d v="2026-02-20T10:20:00"/>
    <d v="1899-12-30T03:40:00"/>
  </r>
  <r>
    <n v="797"/>
    <m/>
    <m/>
    <m/>
    <x v="5"/>
    <m/>
    <m/>
    <m/>
    <m/>
    <x v="3"/>
    <m/>
    <m/>
    <m/>
    <m/>
    <m/>
    <x v="1"/>
    <d v="1899-12-30T00:00:00"/>
    <d v="1899-12-30T00:00:00"/>
    <d v="1899-12-30T00:00:00"/>
    <d v="1899-12-30T00:00:00"/>
  </r>
  <r>
    <n v="798"/>
    <s v="H. TRIANA"/>
    <d v="1899-12-30T20:30:00"/>
    <d v="2026-02-20T00:00:00"/>
    <x v="8"/>
    <s v="Puntual"/>
    <s v="Zona del tornillo interior tiene 30° por encima de lo establecido"/>
    <m/>
    <m/>
    <x v="110"/>
    <s v="Eléctrica"/>
    <s v="Se inspecciona circuito de tornillo interior, no se encuentra anomalia en ninguno de los componentes, quedaria pendiente revisar mallas para descartar una anomalia o algún tipo de fricción en tornillo"/>
    <s v="NA"/>
    <s v="NA"/>
    <s v="L. CASTILLA"/>
    <x v="1"/>
    <d v="1899-12-30T00:00:00"/>
    <d v="2026-02-20T20:30:00"/>
    <d v="2026-02-20T00:00:00"/>
    <n v="-0.85416666666424135"/>
  </r>
  <r>
    <n v="799"/>
    <m/>
    <m/>
    <m/>
    <x v="5"/>
    <m/>
    <m/>
    <m/>
    <m/>
    <x v="3"/>
    <m/>
    <m/>
    <m/>
    <m/>
    <m/>
    <x v="1"/>
    <d v="1899-12-30T00:00:00"/>
    <d v="1899-12-30T00:00:00"/>
    <d v="1899-12-30T00:00:00"/>
    <d v="1899-12-30T00:00:00"/>
  </r>
  <r>
    <n v="800"/>
    <s v="L. MIRANDA"/>
    <d v="1899-12-30T09:30:00"/>
    <d v="2026-02-21T00:00:00"/>
    <x v="6"/>
    <s v="Puntual"/>
    <s v="La barra se le echa aire pero al sacar el aire no le sale"/>
    <m/>
    <m/>
    <x v="3"/>
    <m/>
    <m/>
    <m/>
    <m/>
    <m/>
    <x v="2"/>
    <d v="1899-12-30T00:00:00"/>
    <d v="2026-02-21T09:30:00"/>
    <d v="1899-12-30T00:00:00"/>
    <n v="-46074.395833333336"/>
  </r>
  <r>
    <n v="801"/>
    <m/>
    <m/>
    <m/>
    <x v="5"/>
    <m/>
    <m/>
    <m/>
    <m/>
    <x v="3"/>
    <m/>
    <m/>
    <m/>
    <m/>
    <m/>
    <x v="1"/>
    <d v="1899-12-30T00:00:00"/>
    <d v="1899-12-30T00:00:00"/>
    <d v="1899-12-30T00:00:00"/>
    <d v="1899-12-30T00:00:00"/>
  </r>
  <r>
    <n v="802"/>
    <m/>
    <m/>
    <m/>
    <x v="5"/>
    <m/>
    <m/>
    <m/>
    <m/>
    <x v="3"/>
    <m/>
    <m/>
    <m/>
    <m/>
    <m/>
    <x v="1"/>
    <d v="1899-12-30T00:00:00"/>
    <d v="1899-12-30T00:00:00"/>
    <d v="1899-12-30T00:00:00"/>
    <d v="1899-12-30T00:00:00"/>
  </r>
  <r>
    <n v="803"/>
    <m/>
    <m/>
    <m/>
    <x v="5"/>
    <m/>
    <m/>
    <m/>
    <m/>
    <x v="3"/>
    <m/>
    <m/>
    <m/>
    <m/>
    <m/>
    <x v="1"/>
    <d v="1899-12-30T00:00:00"/>
    <d v="1899-12-30T00:00:00"/>
    <d v="1899-12-30T00:00:00"/>
    <d v="1899-12-30T00:00:00"/>
  </r>
  <r>
    <n v="804"/>
    <m/>
    <m/>
    <m/>
    <x v="5"/>
    <m/>
    <m/>
    <m/>
    <m/>
    <x v="3"/>
    <m/>
    <m/>
    <m/>
    <m/>
    <m/>
    <x v="1"/>
    <d v="1899-12-30T00:00:00"/>
    <d v="1899-12-30T00:00:00"/>
    <d v="1899-12-30T00:00:00"/>
    <d v="1899-12-30T00:00:00"/>
  </r>
  <r>
    <n v="805"/>
    <m/>
    <m/>
    <m/>
    <x v="5"/>
    <m/>
    <m/>
    <m/>
    <m/>
    <x v="3"/>
    <m/>
    <m/>
    <m/>
    <m/>
    <m/>
    <x v="1"/>
    <d v="1899-12-30T00:00:00"/>
    <d v="1899-12-30T00:00:00"/>
    <d v="1899-12-30T00:00:00"/>
    <d v="1899-12-30T00:00:00"/>
  </r>
  <r>
    <n v="806"/>
    <m/>
    <m/>
    <m/>
    <x v="5"/>
    <m/>
    <m/>
    <m/>
    <m/>
    <x v="3"/>
    <m/>
    <m/>
    <m/>
    <m/>
    <m/>
    <x v="1"/>
    <d v="1899-12-30T00:00:00"/>
    <d v="1899-12-30T00:00:00"/>
    <d v="1899-12-30T00:00:00"/>
    <d v="1899-12-30T00:00:00"/>
  </r>
  <r>
    <n v="807"/>
    <m/>
    <m/>
    <m/>
    <x v="5"/>
    <m/>
    <m/>
    <m/>
    <m/>
    <x v="3"/>
    <m/>
    <m/>
    <m/>
    <m/>
    <m/>
    <x v="1"/>
    <d v="1899-12-30T00:00:00"/>
    <d v="1899-12-30T00:00:00"/>
    <d v="1899-12-30T00:00:00"/>
    <d v="1899-12-30T00:00:00"/>
  </r>
  <r>
    <n v="808"/>
    <m/>
    <m/>
    <m/>
    <x v="5"/>
    <m/>
    <m/>
    <m/>
    <m/>
    <x v="3"/>
    <m/>
    <m/>
    <m/>
    <m/>
    <m/>
    <x v="1"/>
    <d v="1899-12-30T00:00:00"/>
    <d v="1899-12-30T00:00:00"/>
    <d v="1899-12-30T00:00:00"/>
    <d v="1899-12-30T00:00:00"/>
  </r>
  <r>
    <n v="809"/>
    <m/>
    <m/>
    <m/>
    <x v="5"/>
    <m/>
    <m/>
    <m/>
    <m/>
    <x v="3"/>
    <m/>
    <m/>
    <m/>
    <m/>
    <m/>
    <x v="1"/>
    <d v="1899-12-30T00:00:00"/>
    <d v="1899-12-30T00:00:00"/>
    <d v="1899-12-30T00:00:00"/>
    <d v="1899-12-30T00:00:00"/>
  </r>
  <r>
    <n v="810"/>
    <m/>
    <m/>
    <m/>
    <x v="5"/>
    <m/>
    <m/>
    <m/>
    <m/>
    <x v="3"/>
    <m/>
    <m/>
    <m/>
    <m/>
    <m/>
    <x v="1"/>
    <d v="1899-12-30T00:00:00"/>
    <d v="1899-12-30T00:00:00"/>
    <d v="1899-12-30T00:00:00"/>
    <d v="1899-12-30T00:00:00"/>
  </r>
  <r>
    <n v="811"/>
    <m/>
    <m/>
    <m/>
    <x v="5"/>
    <m/>
    <m/>
    <m/>
    <m/>
    <x v="3"/>
    <m/>
    <m/>
    <m/>
    <m/>
    <m/>
    <x v="1"/>
    <d v="1899-12-30T00:00:00"/>
    <d v="1899-12-30T00:00:00"/>
    <d v="1899-12-30T00:00:00"/>
    <d v="1899-12-30T00:00:00"/>
  </r>
  <r>
    <n v="812"/>
    <m/>
    <m/>
    <m/>
    <x v="5"/>
    <m/>
    <m/>
    <m/>
    <m/>
    <x v="3"/>
    <m/>
    <m/>
    <m/>
    <m/>
    <m/>
    <x v="1"/>
    <d v="1899-12-30T00:00:00"/>
    <d v="1899-12-30T00:00:00"/>
    <d v="1899-12-30T00:00:00"/>
    <d v="1899-12-30T00:00:00"/>
  </r>
  <r>
    <n v="813"/>
    <m/>
    <m/>
    <m/>
    <x v="5"/>
    <m/>
    <m/>
    <m/>
    <m/>
    <x v="3"/>
    <m/>
    <m/>
    <m/>
    <m/>
    <m/>
    <x v="1"/>
    <d v="1899-12-30T00:00:00"/>
    <d v="1899-12-30T00:00:00"/>
    <d v="1899-12-30T00:00:00"/>
    <d v="1899-12-30T00:00:00"/>
  </r>
  <r>
    <n v="814"/>
    <m/>
    <m/>
    <m/>
    <x v="5"/>
    <m/>
    <m/>
    <m/>
    <m/>
    <x v="3"/>
    <m/>
    <m/>
    <m/>
    <m/>
    <m/>
    <x v="1"/>
    <d v="1899-12-30T00:00:00"/>
    <d v="1899-12-30T00:00:00"/>
    <d v="1899-12-30T00:00:00"/>
    <d v="1899-12-30T00:00:00"/>
  </r>
  <r>
    <n v="815"/>
    <m/>
    <m/>
    <m/>
    <x v="5"/>
    <m/>
    <m/>
    <m/>
    <m/>
    <x v="3"/>
    <m/>
    <m/>
    <m/>
    <m/>
    <m/>
    <x v="1"/>
    <d v="1899-12-30T00:00:00"/>
    <d v="1899-12-30T00:00:00"/>
    <d v="1899-12-30T00:00:00"/>
    <d v="1899-12-30T00:00:00"/>
  </r>
  <r>
    <n v="816"/>
    <m/>
    <m/>
    <m/>
    <x v="5"/>
    <m/>
    <m/>
    <m/>
    <m/>
    <x v="3"/>
    <m/>
    <m/>
    <m/>
    <m/>
    <m/>
    <x v="1"/>
    <d v="1899-12-30T00:00:00"/>
    <d v="1899-12-30T00:00:00"/>
    <d v="1899-12-30T00:00:00"/>
    <d v="1899-12-30T00:00:00"/>
  </r>
  <r>
    <n v="817"/>
    <m/>
    <m/>
    <m/>
    <x v="5"/>
    <m/>
    <m/>
    <m/>
    <m/>
    <x v="3"/>
    <m/>
    <m/>
    <m/>
    <m/>
    <m/>
    <x v="1"/>
    <d v="1899-12-30T00:00:00"/>
    <d v="1899-12-30T00:00:00"/>
    <d v="1899-12-30T00:00:00"/>
    <d v="1899-12-30T00:00:00"/>
  </r>
  <r>
    <n v="818"/>
    <m/>
    <m/>
    <m/>
    <x v="5"/>
    <m/>
    <m/>
    <m/>
    <m/>
    <x v="3"/>
    <m/>
    <m/>
    <m/>
    <m/>
    <m/>
    <x v="1"/>
    <d v="1899-12-30T00:00:00"/>
    <d v="1899-12-30T00:00:00"/>
    <d v="1899-12-30T00:00:00"/>
    <d v="1899-12-30T00:00:00"/>
  </r>
  <r>
    <n v="819"/>
    <m/>
    <m/>
    <m/>
    <x v="5"/>
    <m/>
    <m/>
    <m/>
    <m/>
    <x v="3"/>
    <m/>
    <m/>
    <m/>
    <m/>
    <m/>
    <x v="1"/>
    <d v="1899-12-30T00:00:00"/>
    <d v="1899-12-30T00:00:00"/>
    <d v="1899-12-30T00:00:00"/>
    <d v="1899-12-30T00:00:00"/>
  </r>
  <r>
    <n v="820"/>
    <m/>
    <m/>
    <m/>
    <x v="5"/>
    <m/>
    <m/>
    <m/>
    <m/>
    <x v="3"/>
    <m/>
    <m/>
    <m/>
    <m/>
    <m/>
    <x v="1"/>
    <d v="1899-12-30T00:00:00"/>
    <d v="1899-12-30T00:00:00"/>
    <d v="1899-12-30T00:00:00"/>
    <d v="1899-12-30T00:00:00"/>
  </r>
  <r>
    <n v="821"/>
    <m/>
    <m/>
    <m/>
    <x v="5"/>
    <m/>
    <m/>
    <m/>
    <m/>
    <x v="3"/>
    <m/>
    <m/>
    <m/>
    <m/>
    <m/>
    <x v="1"/>
    <d v="1899-12-30T00:00:00"/>
    <d v="1899-12-30T00:00:00"/>
    <d v="1899-12-30T00:00:00"/>
    <d v="1899-12-30T00:00:00"/>
  </r>
  <r>
    <n v="822"/>
    <m/>
    <m/>
    <m/>
    <x v="5"/>
    <m/>
    <m/>
    <m/>
    <m/>
    <x v="3"/>
    <m/>
    <m/>
    <m/>
    <m/>
    <m/>
    <x v="1"/>
    <d v="1899-12-30T00:00:00"/>
    <d v="1899-12-30T00:00:00"/>
    <d v="1899-12-30T00:00:00"/>
    <d v="1899-12-30T00:00:00"/>
  </r>
  <r>
    <n v="823"/>
    <m/>
    <m/>
    <m/>
    <x v="5"/>
    <m/>
    <m/>
    <m/>
    <m/>
    <x v="3"/>
    <m/>
    <m/>
    <m/>
    <m/>
    <m/>
    <x v="1"/>
    <d v="1899-12-30T00:00:00"/>
    <d v="1899-12-30T00:00:00"/>
    <d v="1899-12-30T00:00:00"/>
    <d v="1899-12-30T00:00:00"/>
  </r>
  <r>
    <n v="824"/>
    <m/>
    <m/>
    <m/>
    <x v="5"/>
    <m/>
    <m/>
    <m/>
    <m/>
    <x v="3"/>
    <m/>
    <m/>
    <m/>
    <m/>
    <m/>
    <x v="1"/>
    <d v="1899-12-30T00:00:00"/>
    <d v="1899-12-30T00:00:00"/>
    <d v="1899-12-30T00:00:00"/>
    <d v="1899-12-30T00:00:00"/>
  </r>
  <r>
    <n v="825"/>
    <m/>
    <m/>
    <m/>
    <x v="5"/>
    <m/>
    <m/>
    <m/>
    <m/>
    <x v="3"/>
    <m/>
    <m/>
    <m/>
    <m/>
    <m/>
    <x v="1"/>
    <d v="1899-12-30T00:00:00"/>
    <d v="1899-12-30T00:00:00"/>
    <d v="1899-12-30T00:00:00"/>
    <d v="1899-12-30T00:00:00"/>
  </r>
  <r>
    <n v="826"/>
    <m/>
    <m/>
    <m/>
    <x v="5"/>
    <m/>
    <m/>
    <m/>
    <m/>
    <x v="3"/>
    <m/>
    <m/>
    <m/>
    <m/>
    <m/>
    <x v="1"/>
    <d v="1899-12-30T00:00:00"/>
    <d v="1899-12-30T00:00:00"/>
    <d v="1899-12-30T00:00:00"/>
    <d v="1899-12-30T00:00:00"/>
  </r>
  <r>
    <n v="827"/>
    <m/>
    <m/>
    <m/>
    <x v="5"/>
    <m/>
    <m/>
    <m/>
    <m/>
    <x v="3"/>
    <m/>
    <m/>
    <m/>
    <m/>
    <m/>
    <x v="1"/>
    <d v="1899-12-30T00:00:00"/>
    <d v="1899-12-30T00:00:00"/>
    <d v="1899-12-30T00:00:00"/>
    <d v="1899-12-30T00:00:00"/>
  </r>
  <r>
    <n v="828"/>
    <m/>
    <m/>
    <m/>
    <x v="5"/>
    <m/>
    <m/>
    <m/>
    <m/>
    <x v="3"/>
    <m/>
    <m/>
    <m/>
    <m/>
    <m/>
    <x v="1"/>
    <d v="1899-12-30T00:00:00"/>
    <d v="1899-12-30T00:00:00"/>
    <d v="1899-12-30T00:00:00"/>
    <d v="1899-12-30T00:00:00"/>
  </r>
  <r>
    <n v="829"/>
    <m/>
    <m/>
    <m/>
    <x v="5"/>
    <m/>
    <m/>
    <m/>
    <m/>
    <x v="3"/>
    <m/>
    <m/>
    <m/>
    <m/>
    <m/>
    <x v="1"/>
    <d v="1899-12-30T00:00:00"/>
    <d v="1899-12-30T00:00:00"/>
    <d v="1899-12-30T00:00:00"/>
    <d v="1899-12-30T00:00:00"/>
  </r>
  <r>
    <n v="830"/>
    <m/>
    <m/>
    <m/>
    <x v="5"/>
    <m/>
    <m/>
    <m/>
    <m/>
    <x v="3"/>
    <m/>
    <m/>
    <m/>
    <m/>
    <m/>
    <x v="1"/>
    <d v="1899-12-30T00:00:00"/>
    <d v="1899-12-30T00:00:00"/>
    <d v="1899-12-30T00:00:00"/>
    <d v="1899-12-30T00:00:00"/>
  </r>
  <r>
    <n v="831"/>
    <m/>
    <m/>
    <m/>
    <x v="5"/>
    <m/>
    <m/>
    <m/>
    <m/>
    <x v="3"/>
    <m/>
    <m/>
    <m/>
    <m/>
    <m/>
    <x v="1"/>
    <d v="1899-12-30T00:00:00"/>
    <d v="1899-12-30T00:00:00"/>
    <d v="1899-12-30T00:00:00"/>
    <d v="1899-12-30T00:00:00"/>
  </r>
  <r>
    <n v="832"/>
    <m/>
    <m/>
    <m/>
    <x v="5"/>
    <m/>
    <m/>
    <m/>
    <m/>
    <x v="3"/>
    <m/>
    <m/>
    <m/>
    <m/>
    <m/>
    <x v="1"/>
    <d v="1899-12-30T00:00:00"/>
    <d v="1899-12-30T00:00:00"/>
    <d v="1899-12-30T00:00:00"/>
    <d v="1899-12-30T00:00:00"/>
  </r>
  <r>
    <n v="833"/>
    <m/>
    <m/>
    <m/>
    <x v="5"/>
    <m/>
    <m/>
    <m/>
    <m/>
    <x v="3"/>
    <m/>
    <m/>
    <m/>
    <m/>
    <m/>
    <x v="1"/>
    <d v="1899-12-30T00:00:00"/>
    <d v="1899-12-30T00:00:00"/>
    <d v="1899-12-30T00:00:00"/>
    <d v="1899-12-30T00:00:00"/>
  </r>
  <r>
    <n v="834"/>
    <m/>
    <m/>
    <m/>
    <x v="5"/>
    <m/>
    <m/>
    <m/>
    <m/>
    <x v="3"/>
    <m/>
    <m/>
    <m/>
    <m/>
    <m/>
    <x v="1"/>
    <d v="1899-12-30T00:00:00"/>
    <d v="1899-12-30T00:00:00"/>
    <d v="1899-12-30T00:00:00"/>
    <d v="1899-12-30T00:00:00"/>
  </r>
  <r>
    <n v="835"/>
    <m/>
    <m/>
    <m/>
    <x v="5"/>
    <m/>
    <m/>
    <m/>
    <m/>
    <x v="3"/>
    <m/>
    <m/>
    <m/>
    <m/>
    <m/>
    <x v="1"/>
    <d v="1899-12-30T00:00:00"/>
    <d v="1899-12-30T00:00:00"/>
    <d v="1899-12-30T00:00:00"/>
    <d v="1899-12-30T00:00:00"/>
  </r>
  <r>
    <n v="836"/>
    <m/>
    <m/>
    <m/>
    <x v="5"/>
    <m/>
    <m/>
    <m/>
    <m/>
    <x v="3"/>
    <m/>
    <m/>
    <m/>
    <m/>
    <m/>
    <x v="1"/>
    <d v="1899-12-30T00:00:00"/>
    <d v="1899-12-30T00:00:00"/>
    <d v="1899-12-30T00:00:00"/>
    <d v="1899-12-30T00:00:00"/>
  </r>
  <r>
    <n v="837"/>
    <m/>
    <m/>
    <m/>
    <x v="5"/>
    <m/>
    <m/>
    <m/>
    <m/>
    <x v="3"/>
    <m/>
    <m/>
    <m/>
    <m/>
    <m/>
    <x v="1"/>
    <d v="1899-12-30T00:00:00"/>
    <d v="1899-12-30T00:00:00"/>
    <d v="1899-12-30T00:00:00"/>
    <d v="1899-12-30T00:00:00"/>
  </r>
  <r>
    <n v="838"/>
    <m/>
    <m/>
    <m/>
    <x v="5"/>
    <m/>
    <m/>
    <m/>
    <m/>
    <x v="3"/>
    <m/>
    <m/>
    <m/>
    <m/>
    <m/>
    <x v="1"/>
    <d v="1899-12-30T00:00:00"/>
    <d v="1899-12-30T00:00:00"/>
    <d v="1899-12-30T00:00:00"/>
    <d v="1899-12-30T00:00:00"/>
  </r>
  <r>
    <n v="839"/>
    <m/>
    <m/>
    <m/>
    <x v="5"/>
    <m/>
    <m/>
    <m/>
    <m/>
    <x v="3"/>
    <m/>
    <m/>
    <m/>
    <m/>
    <m/>
    <x v="1"/>
    <d v="1899-12-30T00:00:00"/>
    <d v="1899-12-30T00:00:00"/>
    <d v="1899-12-30T00:00:00"/>
    <d v="1899-12-30T00:00:00"/>
  </r>
  <r>
    <n v="840"/>
    <m/>
    <m/>
    <m/>
    <x v="5"/>
    <m/>
    <m/>
    <m/>
    <m/>
    <x v="3"/>
    <m/>
    <m/>
    <m/>
    <m/>
    <m/>
    <x v="1"/>
    <d v="1899-12-30T00:00:00"/>
    <d v="1899-12-30T00:00:00"/>
    <d v="1899-12-30T00:00:00"/>
    <d v="1899-12-30T00:00:00"/>
  </r>
  <r>
    <n v="841"/>
    <m/>
    <m/>
    <m/>
    <x v="5"/>
    <m/>
    <m/>
    <m/>
    <m/>
    <x v="3"/>
    <m/>
    <m/>
    <m/>
    <m/>
    <m/>
    <x v="1"/>
    <d v="1899-12-30T00:00:00"/>
    <d v="1899-12-30T00:00:00"/>
    <d v="1899-12-30T00:00:00"/>
    <d v="1899-12-30T00:00:00"/>
  </r>
  <r>
    <n v="842"/>
    <m/>
    <m/>
    <m/>
    <x v="5"/>
    <m/>
    <m/>
    <m/>
    <m/>
    <x v="3"/>
    <m/>
    <m/>
    <m/>
    <m/>
    <m/>
    <x v="1"/>
    <d v="1899-12-30T00:00:00"/>
    <d v="1899-12-30T00:00:00"/>
    <d v="1899-12-30T00:00:00"/>
    <d v="1899-12-30T00:00:00"/>
  </r>
  <r>
    <n v="843"/>
    <m/>
    <m/>
    <m/>
    <x v="5"/>
    <m/>
    <m/>
    <m/>
    <m/>
    <x v="3"/>
    <m/>
    <m/>
    <m/>
    <m/>
    <m/>
    <x v="1"/>
    <d v="1899-12-30T00:00:00"/>
    <d v="1899-12-30T00:00:00"/>
    <d v="1899-12-30T00:00:00"/>
    <d v="1899-12-30T00:00:00"/>
  </r>
  <r>
    <n v="844"/>
    <m/>
    <m/>
    <m/>
    <x v="5"/>
    <m/>
    <m/>
    <m/>
    <m/>
    <x v="3"/>
    <m/>
    <m/>
    <m/>
    <m/>
    <m/>
    <x v="1"/>
    <d v="1899-12-30T00:00:00"/>
    <d v="1899-12-30T00:00:00"/>
    <d v="1899-12-30T00:00:00"/>
    <d v="1899-12-30T00:00:00"/>
  </r>
  <r>
    <n v="845"/>
    <m/>
    <m/>
    <m/>
    <x v="5"/>
    <m/>
    <m/>
    <m/>
    <m/>
    <x v="3"/>
    <m/>
    <m/>
    <m/>
    <m/>
    <m/>
    <x v="1"/>
    <d v="1899-12-30T00:00:00"/>
    <d v="1899-12-30T00:00:00"/>
    <d v="1899-12-30T00:00:00"/>
    <d v="1899-12-30T00:00:00"/>
  </r>
  <r>
    <n v="846"/>
    <m/>
    <m/>
    <m/>
    <x v="5"/>
    <m/>
    <m/>
    <m/>
    <m/>
    <x v="3"/>
    <m/>
    <m/>
    <m/>
    <m/>
    <m/>
    <x v="1"/>
    <d v="1899-12-30T00:00:00"/>
    <d v="1899-12-30T00:00:00"/>
    <d v="1899-12-30T00:00:00"/>
    <d v="1899-12-30T00:00:00"/>
  </r>
  <r>
    <n v="847"/>
    <m/>
    <m/>
    <m/>
    <x v="5"/>
    <m/>
    <m/>
    <m/>
    <m/>
    <x v="3"/>
    <m/>
    <m/>
    <m/>
    <m/>
    <m/>
    <x v="1"/>
    <d v="1899-12-30T00:00:00"/>
    <d v="1899-12-30T00:00:00"/>
    <d v="1899-12-30T00:00:00"/>
    <d v="1899-12-30T00:00:00"/>
  </r>
  <r>
    <n v="848"/>
    <m/>
    <m/>
    <m/>
    <x v="5"/>
    <m/>
    <m/>
    <m/>
    <m/>
    <x v="3"/>
    <m/>
    <m/>
    <m/>
    <m/>
    <m/>
    <x v="1"/>
    <d v="1899-12-30T00:00:00"/>
    <d v="1899-12-30T00:00:00"/>
    <d v="1899-12-30T00:00:00"/>
    <d v="1899-12-30T00:00:00"/>
  </r>
  <r>
    <n v="849"/>
    <m/>
    <m/>
    <m/>
    <x v="5"/>
    <m/>
    <m/>
    <m/>
    <m/>
    <x v="3"/>
    <m/>
    <m/>
    <m/>
    <m/>
    <m/>
    <x v="1"/>
    <d v="1899-12-30T00:00:00"/>
    <d v="1899-12-30T00:00:00"/>
    <d v="1899-12-30T00:00:00"/>
    <d v="1899-12-30T00:00:00"/>
  </r>
  <r>
    <n v="850"/>
    <m/>
    <m/>
    <m/>
    <x v="5"/>
    <m/>
    <m/>
    <m/>
    <m/>
    <x v="3"/>
    <m/>
    <m/>
    <m/>
    <m/>
    <m/>
    <x v="1"/>
    <d v="1899-12-30T00:00:00"/>
    <d v="1899-12-30T00:00:00"/>
    <d v="1899-12-30T00:00:00"/>
    <d v="1899-12-30T00:00:00"/>
  </r>
  <r>
    <n v="851"/>
    <m/>
    <m/>
    <m/>
    <x v="5"/>
    <m/>
    <m/>
    <m/>
    <m/>
    <x v="3"/>
    <m/>
    <m/>
    <m/>
    <m/>
    <m/>
    <x v="1"/>
    <d v="1899-12-30T00:00:00"/>
    <d v="1899-12-30T00:00:00"/>
    <d v="1899-12-30T00:00:00"/>
    <d v="1899-12-30T00:00:00"/>
  </r>
  <r>
    <n v="852"/>
    <m/>
    <m/>
    <m/>
    <x v="5"/>
    <m/>
    <m/>
    <m/>
    <m/>
    <x v="3"/>
    <m/>
    <m/>
    <m/>
    <m/>
    <m/>
    <x v="1"/>
    <d v="1899-12-30T00:00:00"/>
    <d v="1899-12-30T00:00:00"/>
    <d v="1899-12-30T00:00:00"/>
    <d v="1899-12-30T00:00:00"/>
  </r>
  <r>
    <n v="853"/>
    <m/>
    <m/>
    <m/>
    <x v="5"/>
    <m/>
    <m/>
    <m/>
    <m/>
    <x v="3"/>
    <m/>
    <m/>
    <m/>
    <m/>
    <m/>
    <x v="1"/>
    <d v="1899-12-30T00:00:00"/>
    <d v="1899-12-30T00:00:00"/>
    <d v="1899-12-30T00:00:00"/>
    <d v="1899-12-30T00:00:00"/>
  </r>
  <r>
    <n v="854"/>
    <m/>
    <m/>
    <m/>
    <x v="5"/>
    <m/>
    <m/>
    <m/>
    <m/>
    <x v="3"/>
    <m/>
    <m/>
    <m/>
    <m/>
    <m/>
    <x v="1"/>
    <d v="1899-12-30T00:00:00"/>
    <d v="1899-12-30T00:00:00"/>
    <d v="1899-12-30T00:00:00"/>
    <d v="1899-12-30T00:00:00"/>
  </r>
  <r>
    <n v="855"/>
    <m/>
    <m/>
    <m/>
    <x v="5"/>
    <m/>
    <m/>
    <m/>
    <m/>
    <x v="3"/>
    <m/>
    <m/>
    <m/>
    <m/>
    <m/>
    <x v="1"/>
    <d v="1899-12-30T00:00:00"/>
    <d v="1899-12-30T00:00:00"/>
    <d v="1899-12-30T00:00:00"/>
    <d v="1899-12-30T00:00:00"/>
  </r>
  <r>
    <n v="856"/>
    <m/>
    <m/>
    <m/>
    <x v="5"/>
    <m/>
    <m/>
    <m/>
    <m/>
    <x v="3"/>
    <m/>
    <m/>
    <m/>
    <m/>
    <m/>
    <x v="1"/>
    <d v="1899-12-30T00:00:00"/>
    <d v="1899-12-30T00:00:00"/>
    <d v="1899-12-30T00:00:00"/>
    <d v="1899-12-30T00:00:00"/>
  </r>
  <r>
    <n v="857"/>
    <m/>
    <m/>
    <m/>
    <x v="5"/>
    <m/>
    <m/>
    <m/>
    <m/>
    <x v="3"/>
    <m/>
    <m/>
    <m/>
    <m/>
    <m/>
    <x v="1"/>
    <d v="1899-12-30T00:00:00"/>
    <d v="1899-12-30T00:00:00"/>
    <d v="1899-12-30T00:00:00"/>
    <d v="1899-12-30T00:00:00"/>
  </r>
  <r>
    <n v="858"/>
    <m/>
    <m/>
    <m/>
    <x v="5"/>
    <m/>
    <m/>
    <m/>
    <m/>
    <x v="3"/>
    <m/>
    <m/>
    <m/>
    <m/>
    <m/>
    <x v="1"/>
    <d v="1899-12-30T00:00:00"/>
    <d v="1899-12-30T00:00:00"/>
    <d v="1899-12-30T00:00:00"/>
    <d v="1899-12-30T00:00:00"/>
  </r>
  <r>
    <n v="859"/>
    <m/>
    <m/>
    <m/>
    <x v="5"/>
    <m/>
    <m/>
    <m/>
    <m/>
    <x v="3"/>
    <m/>
    <m/>
    <m/>
    <m/>
    <m/>
    <x v="1"/>
    <d v="1899-12-30T00:00:00"/>
    <d v="1899-12-30T00:00:00"/>
    <d v="1899-12-30T00:00:00"/>
    <d v="1899-12-30T00:00:00"/>
  </r>
  <r>
    <n v="860"/>
    <m/>
    <m/>
    <m/>
    <x v="5"/>
    <m/>
    <m/>
    <m/>
    <m/>
    <x v="3"/>
    <m/>
    <m/>
    <m/>
    <m/>
    <m/>
    <x v="1"/>
    <d v="1899-12-30T00:00:00"/>
    <d v="1899-12-30T00:00:00"/>
    <d v="1899-12-30T00:00:00"/>
    <d v="1899-12-30T00:00:00"/>
  </r>
  <r>
    <n v="861"/>
    <m/>
    <m/>
    <m/>
    <x v="5"/>
    <m/>
    <m/>
    <m/>
    <m/>
    <x v="3"/>
    <m/>
    <m/>
    <m/>
    <m/>
    <m/>
    <x v="1"/>
    <d v="1899-12-30T00:00:00"/>
    <d v="1899-12-30T00:00:00"/>
    <d v="1899-12-30T00:00:00"/>
    <d v="1899-12-30T00:00:00"/>
  </r>
  <r>
    <n v="862"/>
    <m/>
    <m/>
    <m/>
    <x v="5"/>
    <m/>
    <m/>
    <m/>
    <m/>
    <x v="3"/>
    <m/>
    <m/>
    <m/>
    <m/>
    <m/>
    <x v="1"/>
    <d v="1899-12-30T00:00:00"/>
    <d v="1899-12-30T00:00:00"/>
    <d v="1899-12-30T00:00:00"/>
    <d v="1899-12-30T00:00:00"/>
  </r>
  <r>
    <n v="863"/>
    <m/>
    <m/>
    <m/>
    <x v="5"/>
    <m/>
    <m/>
    <m/>
    <m/>
    <x v="3"/>
    <m/>
    <m/>
    <m/>
    <m/>
    <m/>
    <x v="1"/>
    <d v="1899-12-30T00:00:00"/>
    <d v="1899-12-30T00:00:00"/>
    <d v="1899-12-30T00:00:00"/>
    <d v="1899-12-30T00:00:00"/>
  </r>
  <r>
    <n v="864"/>
    <m/>
    <m/>
    <m/>
    <x v="5"/>
    <m/>
    <m/>
    <m/>
    <m/>
    <x v="3"/>
    <m/>
    <m/>
    <m/>
    <m/>
    <m/>
    <x v="1"/>
    <d v="1899-12-30T00:00:00"/>
    <d v="1899-12-30T00:00:00"/>
    <d v="1899-12-30T00:00:00"/>
    <d v="1899-12-30T00:00:00"/>
  </r>
  <r>
    <n v="865"/>
    <m/>
    <m/>
    <m/>
    <x v="5"/>
    <m/>
    <m/>
    <m/>
    <m/>
    <x v="3"/>
    <m/>
    <m/>
    <m/>
    <m/>
    <m/>
    <x v="1"/>
    <d v="1899-12-30T00:00:00"/>
    <d v="1899-12-30T00:00:00"/>
    <d v="1899-12-30T00:00:00"/>
    <d v="1899-12-30T00:00:00"/>
  </r>
  <r>
    <n v="866"/>
    <m/>
    <m/>
    <m/>
    <x v="5"/>
    <m/>
    <m/>
    <m/>
    <m/>
    <x v="3"/>
    <m/>
    <m/>
    <m/>
    <m/>
    <m/>
    <x v="1"/>
    <d v="1899-12-30T00:00:00"/>
    <d v="1899-12-30T00:00:00"/>
    <d v="1899-12-30T00:00:00"/>
    <d v="1899-12-30T00:00:00"/>
  </r>
  <r>
    <n v="867"/>
    <m/>
    <m/>
    <m/>
    <x v="5"/>
    <m/>
    <m/>
    <m/>
    <m/>
    <x v="3"/>
    <m/>
    <m/>
    <m/>
    <m/>
    <m/>
    <x v="1"/>
    <d v="1899-12-30T00:00:00"/>
    <d v="1899-12-30T00:00:00"/>
    <d v="1899-12-30T00:00:00"/>
    <d v="1899-12-30T00:00:00"/>
  </r>
  <r>
    <n v="868"/>
    <m/>
    <m/>
    <m/>
    <x v="5"/>
    <m/>
    <m/>
    <m/>
    <m/>
    <x v="3"/>
    <m/>
    <m/>
    <m/>
    <m/>
    <m/>
    <x v="1"/>
    <d v="1899-12-30T00:00:00"/>
    <d v="1899-12-30T00:00:00"/>
    <d v="1899-12-30T00:00:00"/>
    <d v="1899-12-30T00:00:00"/>
  </r>
  <r>
    <n v="869"/>
    <m/>
    <m/>
    <m/>
    <x v="5"/>
    <m/>
    <m/>
    <m/>
    <m/>
    <x v="3"/>
    <m/>
    <m/>
    <m/>
    <m/>
    <m/>
    <x v="1"/>
    <d v="1899-12-30T00:00:00"/>
    <d v="1899-12-30T00:00:00"/>
    <d v="1899-12-30T00:00:00"/>
    <d v="1899-12-30T00:00:00"/>
  </r>
  <r>
    <n v="870"/>
    <m/>
    <m/>
    <m/>
    <x v="5"/>
    <m/>
    <m/>
    <m/>
    <m/>
    <x v="3"/>
    <m/>
    <m/>
    <m/>
    <m/>
    <m/>
    <x v="1"/>
    <d v="1899-12-30T00:00:00"/>
    <d v="1899-12-30T00:00:00"/>
    <d v="1899-12-30T00:00:00"/>
    <d v="1899-12-30T00:00:00"/>
  </r>
  <r>
    <n v="871"/>
    <m/>
    <m/>
    <m/>
    <x v="5"/>
    <m/>
    <m/>
    <m/>
    <m/>
    <x v="3"/>
    <m/>
    <m/>
    <m/>
    <m/>
    <m/>
    <x v="1"/>
    <d v="1899-12-30T00:00:00"/>
    <d v="1899-12-30T00:00:00"/>
    <d v="1899-12-30T00:00:00"/>
    <d v="1899-12-30T00:00:00"/>
  </r>
  <r>
    <n v="872"/>
    <m/>
    <m/>
    <m/>
    <x v="5"/>
    <m/>
    <m/>
    <m/>
    <m/>
    <x v="3"/>
    <m/>
    <m/>
    <m/>
    <m/>
    <m/>
    <x v="1"/>
    <d v="1899-12-30T00:00:00"/>
    <d v="1899-12-30T00:00:00"/>
    <d v="1899-12-30T00:00:00"/>
    <d v="1899-12-30T00:00:00"/>
  </r>
  <r>
    <n v="873"/>
    <m/>
    <m/>
    <m/>
    <x v="5"/>
    <m/>
    <m/>
    <m/>
    <m/>
    <x v="3"/>
    <m/>
    <m/>
    <m/>
    <m/>
    <m/>
    <x v="1"/>
    <d v="1899-12-30T00:00:00"/>
    <d v="1899-12-30T00:00:00"/>
    <d v="1899-12-30T00:00:00"/>
    <d v="1899-12-30T00:00:00"/>
  </r>
  <r>
    <n v="874"/>
    <m/>
    <m/>
    <m/>
    <x v="5"/>
    <m/>
    <m/>
    <m/>
    <m/>
    <x v="3"/>
    <m/>
    <m/>
    <m/>
    <m/>
    <m/>
    <x v="1"/>
    <d v="1899-12-30T00:00:00"/>
    <d v="1899-12-30T00:00:00"/>
    <d v="1899-12-30T00:00:00"/>
    <d v="1899-12-30T00:00:00"/>
  </r>
  <r>
    <n v="875"/>
    <m/>
    <m/>
    <m/>
    <x v="5"/>
    <m/>
    <m/>
    <m/>
    <m/>
    <x v="3"/>
    <m/>
    <m/>
    <m/>
    <m/>
    <m/>
    <x v="1"/>
    <d v="1899-12-30T00:00:00"/>
    <d v="1899-12-30T00:00:00"/>
    <d v="1899-12-30T00:00:00"/>
    <d v="1899-12-30T00:00:00"/>
  </r>
  <r>
    <n v="876"/>
    <m/>
    <m/>
    <m/>
    <x v="5"/>
    <m/>
    <m/>
    <m/>
    <m/>
    <x v="3"/>
    <m/>
    <m/>
    <m/>
    <m/>
    <m/>
    <x v="1"/>
    <d v="1899-12-30T00:00:00"/>
    <d v="1899-12-30T00:00:00"/>
    <d v="1899-12-30T00:00:00"/>
    <d v="1899-12-30T00:00:00"/>
  </r>
  <r>
    <n v="877"/>
    <m/>
    <m/>
    <m/>
    <x v="5"/>
    <m/>
    <m/>
    <m/>
    <m/>
    <x v="3"/>
    <m/>
    <m/>
    <m/>
    <m/>
    <m/>
    <x v="1"/>
    <d v="1899-12-30T00:00:00"/>
    <d v="1899-12-30T00:00:00"/>
    <d v="1899-12-30T00:00:00"/>
    <d v="1899-12-30T00:00:00"/>
  </r>
  <r>
    <n v="878"/>
    <m/>
    <m/>
    <m/>
    <x v="5"/>
    <m/>
    <m/>
    <m/>
    <m/>
    <x v="3"/>
    <m/>
    <m/>
    <m/>
    <m/>
    <m/>
    <x v="1"/>
    <d v="1899-12-30T00:00:00"/>
    <d v="1899-12-30T00:00:00"/>
    <d v="1899-12-30T00:00:00"/>
    <d v="1899-12-30T00:00:00"/>
  </r>
  <r>
    <n v="879"/>
    <m/>
    <m/>
    <m/>
    <x v="5"/>
    <m/>
    <m/>
    <m/>
    <m/>
    <x v="3"/>
    <m/>
    <m/>
    <m/>
    <m/>
    <m/>
    <x v="1"/>
    <d v="1899-12-30T00:00:00"/>
    <d v="1899-12-30T00:00:00"/>
    <d v="1899-12-30T00:00:00"/>
    <d v="1899-12-30T00:00:00"/>
  </r>
  <r>
    <n v="880"/>
    <m/>
    <m/>
    <m/>
    <x v="5"/>
    <m/>
    <m/>
    <m/>
    <m/>
    <x v="3"/>
    <m/>
    <m/>
    <m/>
    <m/>
    <m/>
    <x v="1"/>
    <d v="1899-12-30T00:00:00"/>
    <d v="1899-12-30T00:00:00"/>
    <d v="1899-12-30T00:00:00"/>
    <d v="1899-12-30T00:00:00"/>
  </r>
  <r>
    <n v="881"/>
    <m/>
    <m/>
    <m/>
    <x v="5"/>
    <m/>
    <m/>
    <m/>
    <m/>
    <x v="3"/>
    <m/>
    <m/>
    <m/>
    <m/>
    <m/>
    <x v="1"/>
    <d v="1899-12-30T00:00:00"/>
    <d v="1899-12-30T00:00:00"/>
    <d v="1899-12-30T00:00:00"/>
    <d v="1899-12-30T00:00:00"/>
  </r>
  <r>
    <n v="882"/>
    <m/>
    <m/>
    <m/>
    <x v="5"/>
    <m/>
    <m/>
    <m/>
    <m/>
    <x v="3"/>
    <m/>
    <m/>
    <m/>
    <m/>
    <m/>
    <x v="1"/>
    <d v="1899-12-30T00:00:00"/>
    <d v="1899-12-30T00:00:00"/>
    <d v="1899-12-30T00:00:00"/>
    <d v="1899-12-30T00:00:00"/>
  </r>
  <r>
    <n v="883"/>
    <m/>
    <m/>
    <m/>
    <x v="5"/>
    <m/>
    <m/>
    <m/>
    <m/>
    <x v="3"/>
    <m/>
    <m/>
    <m/>
    <m/>
    <m/>
    <x v="1"/>
    <d v="1899-12-30T00:00:00"/>
    <d v="1899-12-30T00:00:00"/>
    <d v="1899-12-30T00:00:00"/>
    <d v="1899-12-30T00:00:00"/>
  </r>
  <r>
    <n v="884"/>
    <m/>
    <m/>
    <m/>
    <x v="5"/>
    <m/>
    <m/>
    <m/>
    <m/>
    <x v="3"/>
    <m/>
    <m/>
    <m/>
    <m/>
    <m/>
    <x v="1"/>
    <d v="1899-12-30T00:00:00"/>
    <d v="1899-12-30T00:00:00"/>
    <d v="1899-12-30T00:00:00"/>
    <d v="1899-12-30T00:00:00"/>
  </r>
  <r>
    <n v="885"/>
    <m/>
    <m/>
    <m/>
    <x v="5"/>
    <m/>
    <m/>
    <m/>
    <m/>
    <x v="3"/>
    <m/>
    <m/>
    <m/>
    <m/>
    <m/>
    <x v="1"/>
    <d v="1899-12-30T00:00:00"/>
    <d v="1899-12-30T00:00:00"/>
    <d v="1899-12-30T00:00:00"/>
    <d v="1899-12-30T00:00:00"/>
  </r>
  <r>
    <n v="886"/>
    <m/>
    <m/>
    <m/>
    <x v="5"/>
    <m/>
    <m/>
    <m/>
    <m/>
    <x v="3"/>
    <m/>
    <m/>
    <m/>
    <m/>
    <m/>
    <x v="1"/>
    <d v="1899-12-30T00:00:00"/>
    <d v="1899-12-30T00:00:00"/>
    <d v="1899-12-30T00:00:00"/>
    <d v="1899-12-30T00:00:00"/>
  </r>
  <r>
    <n v="887"/>
    <m/>
    <m/>
    <m/>
    <x v="5"/>
    <m/>
    <m/>
    <m/>
    <m/>
    <x v="3"/>
    <m/>
    <m/>
    <m/>
    <m/>
    <m/>
    <x v="1"/>
    <d v="1899-12-30T00:00:00"/>
    <d v="1899-12-30T00:00:00"/>
    <d v="1899-12-30T00:00:00"/>
    <d v="1899-12-30T00:00:00"/>
  </r>
  <r>
    <n v="888"/>
    <m/>
    <m/>
    <m/>
    <x v="5"/>
    <m/>
    <m/>
    <m/>
    <m/>
    <x v="3"/>
    <m/>
    <m/>
    <m/>
    <m/>
    <m/>
    <x v="1"/>
    <d v="1899-12-30T00:00:00"/>
    <d v="1899-12-30T00:00:00"/>
    <d v="1899-12-30T00:00:00"/>
    <d v="1899-12-30T00:00:00"/>
  </r>
  <r>
    <n v="889"/>
    <m/>
    <m/>
    <m/>
    <x v="5"/>
    <m/>
    <m/>
    <m/>
    <m/>
    <x v="3"/>
    <m/>
    <m/>
    <m/>
    <m/>
    <m/>
    <x v="1"/>
    <d v="1899-12-30T00:00:00"/>
    <d v="1899-12-30T00:00:00"/>
    <d v="1899-12-30T00:00:00"/>
    <d v="1899-12-30T00:00:00"/>
  </r>
  <r>
    <n v="890"/>
    <m/>
    <m/>
    <m/>
    <x v="5"/>
    <m/>
    <m/>
    <m/>
    <m/>
    <x v="3"/>
    <m/>
    <m/>
    <m/>
    <m/>
    <m/>
    <x v="1"/>
    <d v="1899-12-30T00:00:00"/>
    <d v="1899-12-30T00:00:00"/>
    <d v="1899-12-30T00:00:00"/>
    <d v="1899-12-30T00:00:00"/>
  </r>
  <r>
    <n v="891"/>
    <m/>
    <m/>
    <m/>
    <x v="5"/>
    <m/>
    <m/>
    <m/>
    <m/>
    <x v="3"/>
    <m/>
    <m/>
    <m/>
    <m/>
    <m/>
    <x v="1"/>
    <d v="1899-12-30T00:00:00"/>
    <d v="1899-12-30T00:00:00"/>
    <d v="1899-12-30T00:00:00"/>
    <d v="1899-12-30T00:00:00"/>
  </r>
  <r>
    <n v="892"/>
    <m/>
    <m/>
    <m/>
    <x v="5"/>
    <m/>
    <m/>
    <m/>
    <m/>
    <x v="3"/>
    <m/>
    <m/>
    <m/>
    <m/>
    <m/>
    <x v="1"/>
    <d v="1899-12-30T00:00:00"/>
    <d v="1899-12-30T00:00:00"/>
    <d v="1899-12-30T00:00:00"/>
    <d v="1899-12-30T00:00:00"/>
  </r>
  <r>
    <n v="893"/>
    <m/>
    <m/>
    <m/>
    <x v="5"/>
    <m/>
    <m/>
    <m/>
    <m/>
    <x v="3"/>
    <m/>
    <m/>
    <m/>
    <m/>
    <m/>
    <x v="1"/>
    <d v="1899-12-30T00:00:00"/>
    <d v="1899-12-30T00:00:00"/>
    <d v="1899-12-30T00:00:00"/>
    <d v="1899-12-30T00:00:00"/>
  </r>
  <r>
    <n v="894"/>
    <m/>
    <m/>
    <m/>
    <x v="5"/>
    <m/>
    <m/>
    <m/>
    <m/>
    <x v="3"/>
    <m/>
    <m/>
    <m/>
    <m/>
    <m/>
    <x v="1"/>
    <d v="1899-12-30T00:00:00"/>
    <d v="1899-12-30T00:00:00"/>
    <d v="1899-12-30T00:00:00"/>
    <d v="1899-12-30T00:00:00"/>
  </r>
  <r>
    <n v="895"/>
    <m/>
    <m/>
    <m/>
    <x v="5"/>
    <m/>
    <m/>
    <m/>
    <m/>
    <x v="3"/>
    <m/>
    <m/>
    <m/>
    <m/>
    <m/>
    <x v="1"/>
    <d v="1899-12-30T00:00:00"/>
    <d v="1899-12-30T00:00:00"/>
    <d v="1899-12-30T00:00:00"/>
    <d v="1899-12-30T00:00:00"/>
  </r>
  <r>
    <n v="896"/>
    <m/>
    <m/>
    <m/>
    <x v="5"/>
    <m/>
    <m/>
    <m/>
    <m/>
    <x v="3"/>
    <m/>
    <m/>
    <m/>
    <m/>
    <m/>
    <x v="1"/>
    <d v="1899-12-30T00:00:00"/>
    <d v="1899-12-30T00:00:00"/>
    <d v="1899-12-30T00:00:00"/>
    <d v="1899-12-30T00:00:00"/>
  </r>
  <r>
    <n v="897"/>
    <m/>
    <m/>
    <m/>
    <x v="5"/>
    <m/>
    <m/>
    <m/>
    <m/>
    <x v="3"/>
    <m/>
    <m/>
    <m/>
    <m/>
    <m/>
    <x v="1"/>
    <d v="1899-12-30T00:00:00"/>
    <d v="1899-12-30T00:00:00"/>
    <d v="1899-12-30T00:00:00"/>
    <d v="1899-12-30T00:00:00"/>
  </r>
  <r>
    <n v="898"/>
    <m/>
    <m/>
    <m/>
    <x v="5"/>
    <m/>
    <m/>
    <m/>
    <m/>
    <x v="3"/>
    <m/>
    <m/>
    <m/>
    <m/>
    <m/>
    <x v="1"/>
    <d v="1899-12-30T00:00:00"/>
    <d v="1899-12-30T00:00:00"/>
    <d v="1899-12-30T00:00:00"/>
    <d v="1899-12-30T00:00:00"/>
  </r>
  <r>
    <n v="899"/>
    <m/>
    <m/>
    <m/>
    <x v="5"/>
    <m/>
    <m/>
    <m/>
    <m/>
    <x v="3"/>
    <m/>
    <m/>
    <m/>
    <m/>
    <m/>
    <x v="1"/>
    <d v="1899-12-30T00:00:00"/>
    <d v="1899-12-30T00:00:00"/>
    <d v="1899-12-30T00:00:00"/>
    <d v="1899-12-30T00:00:00"/>
  </r>
  <r>
    <n v="900"/>
    <m/>
    <m/>
    <m/>
    <x v="5"/>
    <m/>
    <m/>
    <m/>
    <m/>
    <x v="3"/>
    <m/>
    <m/>
    <m/>
    <m/>
    <m/>
    <x v="0"/>
    <d v="1899-12-30T00:00:00"/>
    <d v="1899-12-30T00:00:00"/>
    <d v="1899-12-30T00:00:00"/>
    <d v="1899-12-30T00:00:00"/>
  </r>
  <r>
    <n v="901"/>
    <s v="M. MARTINEZ"/>
    <d v="1899-12-30T14:45:00"/>
    <d v="2026-02-25T00:00:00"/>
    <x v="2"/>
    <s v="Puntual"/>
    <s v="SE solicita tornillos para cambio de rodillo de la prensa. Correa de la prensa. Se solicita termocuplas porque estan dañadas"/>
    <d v="1899-12-30T14:45:00"/>
    <d v="1899-12-30T17:50:00"/>
    <x v="111"/>
    <s v="Mecánica, Eléctrica"/>
    <s v="Se solicitan tornillos para cambio, se hace cambio de correa en rodillo prensa, se solicitan termocuplas para cambio"/>
    <s v="Tornillos, Correas, Termocuplas"/>
    <s v="NA"/>
    <s v="O. DUARTE"/>
    <x v="0"/>
    <d v="1899-12-30T03:05:00"/>
    <d v="2026-02-25T14:45:00"/>
    <d v="2026-02-25T17:50:00"/>
    <d v="1899-12-30T03:05:00"/>
  </r>
  <r>
    <n v="902"/>
    <m/>
    <m/>
    <m/>
    <x v="5"/>
    <m/>
    <m/>
    <m/>
    <m/>
    <x v="3"/>
    <m/>
    <m/>
    <m/>
    <m/>
    <m/>
    <x v="1"/>
    <d v="1899-12-30T00:00:00"/>
    <d v="1899-12-30T00:00:00"/>
    <d v="1899-12-30T00:00:00"/>
    <d v="1899-12-30T00:00:00"/>
  </r>
  <r>
    <n v="903"/>
    <m/>
    <d v="1899-12-30T11:40:00"/>
    <d v="2026-02-23T00:00:00"/>
    <x v="1"/>
    <s v="Puntual"/>
    <s v="Falta de tornillos para la corona"/>
    <m/>
    <m/>
    <x v="3"/>
    <m/>
    <m/>
    <m/>
    <m/>
    <m/>
    <x v="2"/>
    <d v="1899-12-30T00:00:00"/>
    <d v="2026-02-23T11:40:00"/>
    <d v="1899-12-30T00:00:00"/>
    <n v="-46076.486111111109"/>
  </r>
  <r>
    <n v="904"/>
    <s v="D. CUESTA"/>
    <d v="1899-12-30T15:00:00"/>
    <d v="2026-02-23T00:00:00"/>
    <x v="6"/>
    <s v="Puntual"/>
    <s v="COEX #5 esta presentando un ruido en el rodillo #11"/>
    <d v="1899-12-30T15:00:00"/>
    <d v="1899-12-30T15:15:00"/>
    <x v="112"/>
    <s v="Mecánica"/>
    <s v="Rodillo N° 11 con punta espigo desgastada, se recomienda intervención de carácter urgente ya que se puede caer, se aplica grasa. NO PARO"/>
    <s v="NA"/>
    <s v="Grasa"/>
    <s v="L. CASTILLA"/>
    <x v="0"/>
    <d v="1899-12-30T00:15:00"/>
    <d v="2026-02-23T15:00:00"/>
    <d v="2026-02-23T15:15:00"/>
    <d v="1899-12-30T00:15:00"/>
  </r>
  <r>
    <n v="905"/>
    <m/>
    <m/>
    <m/>
    <x v="5"/>
    <m/>
    <m/>
    <m/>
    <m/>
    <x v="3"/>
    <m/>
    <m/>
    <m/>
    <m/>
    <m/>
    <x v="1"/>
    <d v="1899-12-30T00:00:00"/>
    <d v="1899-12-30T00:00:00"/>
    <d v="1899-12-30T00:00:00"/>
    <d v="1899-12-30T00:00:00"/>
  </r>
  <r>
    <n v="906"/>
    <s v="F. SANCHEZ"/>
    <d v="1899-12-30T06:10:00"/>
    <d v="2026-02-24T00:00:00"/>
    <x v="6"/>
    <s v="Puntual"/>
    <s v="Problemas con el refile no esta succionando bien el refile, se queda pegado, le falta fuerza para aspirar el material"/>
    <m/>
    <m/>
    <x v="3"/>
    <m/>
    <m/>
    <m/>
    <m/>
    <m/>
    <x v="2"/>
    <d v="1899-12-30T00:00:00"/>
    <d v="2026-02-24T06:10:00"/>
    <d v="1899-12-30T00:00:00"/>
    <n v="-46077.256944444445"/>
  </r>
  <r>
    <n v="907"/>
    <s v="F. SANCHEZ"/>
    <d v="1899-12-30T06:10:00"/>
    <d v="2026-02-24T00:00:00"/>
    <x v="6"/>
    <s v="Puntual"/>
    <s v="Ruedas del refile en mal estado no aprietan prisioneros"/>
    <m/>
    <m/>
    <x v="3"/>
    <m/>
    <m/>
    <m/>
    <m/>
    <m/>
    <x v="2"/>
    <d v="1899-12-30T00:00:00"/>
    <d v="2026-02-24T06:10:00"/>
    <d v="1899-12-30T00:00:00"/>
    <n v="-46077.256944444445"/>
  </r>
  <r>
    <n v="908"/>
    <m/>
    <m/>
    <m/>
    <x v="5"/>
    <m/>
    <m/>
    <m/>
    <m/>
    <x v="3"/>
    <m/>
    <m/>
    <m/>
    <m/>
    <m/>
    <x v="1"/>
    <d v="1899-12-30T00:00:00"/>
    <d v="1899-12-30T00:00:00"/>
    <d v="1899-12-30T00:00:00"/>
    <d v="1899-12-30T00:00:00"/>
  </r>
  <r>
    <n v="909"/>
    <s v="J. PINZON"/>
    <m/>
    <d v="2026-02-24T00:00:00"/>
    <x v="7"/>
    <s v="Puntual"/>
    <s v="Balancin del calibrador"/>
    <d v="1899-12-30T06:00:00"/>
    <d v="1899-12-30T08:33:00"/>
    <x v="3"/>
    <s v="Mecánica"/>
    <m/>
    <m/>
    <m/>
    <m/>
    <x v="2"/>
    <d v="1899-12-30T02:33:00"/>
    <d v="2026-02-24T00:00:00"/>
    <d v="1899-12-30T08:33:00"/>
    <n v="-46076.643750000003"/>
  </r>
  <r>
    <n v="910"/>
    <s v="S. PATIÑO"/>
    <d v="1899-12-30T08:30:00"/>
    <d v="2026-02-24T00:00:00"/>
    <x v="14"/>
    <s v="Puntual"/>
    <s v="La parte de la corona que rota, se encuentra rotando descentrada generando desgaste. _x000a_Se evidencia residuos del dominio de esta"/>
    <m/>
    <m/>
    <x v="3"/>
    <m/>
    <m/>
    <m/>
    <m/>
    <m/>
    <x v="2"/>
    <d v="1899-12-30T00:00:00"/>
    <d v="2026-02-24T08:30:00"/>
    <d v="1899-12-30T00:00:00"/>
    <n v="-46077.354166666664"/>
  </r>
  <r>
    <n v="911"/>
    <s v="S. CARDENAL"/>
    <d v="1899-12-30T08:30:00"/>
    <d v="2026-02-24T00:00:00"/>
    <x v="13"/>
    <s v="Puntual"/>
    <s v="Bolsa sale la boca bloqueada en la pista #2"/>
    <d v="1899-12-30T08:00:00"/>
    <d v="1899-12-30T12:00:00"/>
    <x v="111"/>
    <s v="Mecánica"/>
    <s v="Se realiza calibración de presión corte y posición de cuchilla. Queda sellando y cortando OK"/>
    <s v="NA"/>
    <s v="Silicona"/>
    <s v="J. SILVA"/>
    <x v="0"/>
    <d v="1899-12-30T04:00:00"/>
    <d v="2026-02-24T08:30:00"/>
    <d v="2026-02-25T12:00:00"/>
    <d v="1899-12-31T03:30:00"/>
  </r>
  <r>
    <n v="912"/>
    <s v="F. SANCHEZ"/>
    <d v="1899-12-30T10:25:00"/>
    <d v="2026-02-24T00:00:00"/>
    <x v="6"/>
    <s v="Puntual"/>
    <s v="Para cerrar los tableros de la parte de los rodillos haladores no funciona"/>
    <m/>
    <m/>
    <x v="3"/>
    <m/>
    <m/>
    <m/>
    <m/>
    <m/>
    <x v="2"/>
    <d v="1899-12-30T00:00:00"/>
    <d v="2026-02-24T10:25:00"/>
    <d v="1899-12-30T00:00:00"/>
    <n v="-46077.434027777781"/>
  </r>
  <r>
    <n v="913"/>
    <s v="A. ROVIRA"/>
    <d v="1899-12-30T20:35:00"/>
    <d v="2026-02-24T00:00:00"/>
    <x v="9"/>
    <s v="Puntual"/>
    <s v="NO EMBOBINA"/>
    <d v="1899-12-30T21:20:00"/>
    <d v="1899-12-30T21:40:00"/>
    <x v="113"/>
    <s v="Eléctrica"/>
    <s v="Fusible circuito motor abierto, se realiza cambio quedando OK"/>
    <s v="1x Fusible"/>
    <s v="NA"/>
    <s v="L. CASTILLA"/>
    <x v="0"/>
    <d v="1899-12-30T00:20:00"/>
    <d v="2026-02-24T20:35:00"/>
    <d v="2026-02-24T21:40:00"/>
    <d v="1899-12-30T01:05:00"/>
  </r>
  <r>
    <n v="914"/>
    <m/>
    <m/>
    <m/>
    <x v="5"/>
    <m/>
    <m/>
    <m/>
    <m/>
    <x v="3"/>
    <m/>
    <m/>
    <m/>
    <m/>
    <m/>
    <x v="1"/>
    <d v="1899-12-30T00:00:00"/>
    <d v="1899-12-30T00:00:00"/>
    <d v="1899-12-30T00:00:00"/>
    <d v="1899-12-30T00:00:00"/>
  </r>
  <r>
    <n v="915"/>
    <s v="D. CUESTA"/>
    <d v="1899-12-30T22:00:00"/>
    <d v="2026-02-24T00:00:00"/>
    <x v="5"/>
    <s v="Puntual"/>
    <s v="Barra se le sale el aire"/>
    <d v="1899-12-30T22:00:00"/>
    <d v="1899-12-30T22:20:00"/>
    <x v="113"/>
    <s v="Neúmatica"/>
    <s v="Se realiza reparación de valvula, se realizan pruebas y se entrga operativo. No se genero parada de maquina"/>
    <s v="NA"/>
    <s v="NA"/>
    <s v="D. BAUTISTA"/>
    <x v="0"/>
    <d v="1899-12-30T00:20:00"/>
    <d v="2026-02-24T22:00:00"/>
    <d v="2026-02-24T22:20:00"/>
    <d v="1899-12-30T00:20:00"/>
  </r>
  <r>
    <n v="916"/>
    <s v="H. TRIANA"/>
    <d v="1899-12-30T00:10:00"/>
    <d v="2026-02-25T00:00:00"/>
    <x v="8"/>
    <s v="Puntual"/>
    <s v="Falla temperatura porta mallas interno"/>
    <d v="1899-12-30T00:40:00"/>
    <d v="1899-12-30T01:00:00"/>
    <x v="114"/>
    <s v="Eléctrica"/>
    <s v="Fallo en termocupla, se da ajuste pero temperatura esta por encima del setpoint, 235°C se entrega al operario para espera de normalizar temperatura"/>
    <s v="NA"/>
    <s v="NA"/>
    <s v="D. BAUTISTA"/>
    <x v="0"/>
    <d v="1899-12-30T00:20:00"/>
    <d v="2026-02-25T00:10:00"/>
    <d v="2026-02-26T01:00:00"/>
    <d v="1899-12-31T00:50:00"/>
  </r>
  <r>
    <n v="917"/>
    <s v="H. TRIANA"/>
    <d v="1899-12-30T04:20:00"/>
    <d v="2026-02-25T00:00:00"/>
    <x v="8"/>
    <s v="REPETITIVO"/>
    <s v="Tornillo capa interna esta zumbando duro y hace vibrar la maquina"/>
    <m/>
    <m/>
    <x v="3"/>
    <m/>
    <m/>
    <m/>
    <m/>
    <m/>
    <x v="2"/>
    <d v="1899-12-30T00:00:00"/>
    <d v="2026-02-25T04:20:00"/>
    <d v="1899-12-30T00:00:00"/>
    <n v="-46078.180555555555"/>
  </r>
  <r>
    <n v="918"/>
    <s v="H. TRIANA"/>
    <d v="1899-12-30T04:25:00"/>
    <d v="2026-02-25T00:00:00"/>
    <x v="14"/>
    <s v="Puntual"/>
    <s v="Motor capa externa esta traqueando duro"/>
    <m/>
    <m/>
    <x v="115"/>
    <s v="Mecánica"/>
    <s v="Se envia donde el proveedor el motor mez 40 HP 380V y se realiza mantenimiento general:_x000a_Cambio de rodamientos SKF_x000a_Cambio de retenedores_x000a_Metalizado de tapa lado ventilador_x000a_Metalizado de eje lado polea_x000a_Balanceo dinamico del rotor, ventilador y polea_x000a_Soldadura en tapa lado polea_x000a_Limpieza, mantenimiento y mano de obra"/>
    <s v="Rodamientos, Retenedores"/>
    <s v="Soldadura"/>
    <s v="J. FONTECHA"/>
    <x v="0"/>
    <d v="1899-12-30T00:00:00"/>
    <d v="2026-02-25T04:25:00"/>
    <d v="2026-03-10T00:00:00"/>
    <d v="1900-01-11T19:35:00"/>
  </r>
  <r>
    <n v="919"/>
    <s v="L. MIRANDA"/>
    <d v="1899-12-30T06:20:00"/>
    <d v="2026-02-25T00:00:00"/>
    <x v="21"/>
    <s v="Puntual"/>
    <s v="El motor de aspirador no esta funcionando"/>
    <d v="1899-12-30T06:25:00"/>
    <d v="1899-12-30T09:00:00"/>
    <x v="111"/>
    <s v="Eléctrica"/>
    <s v="Se arregla, se verifica falta de tensión (voltaje)"/>
    <s v="NA"/>
    <s v="NA"/>
    <s v="J. SILVA"/>
    <x v="0"/>
    <d v="1899-12-30T02:35:00"/>
    <d v="2026-02-25T06:20:00"/>
    <d v="2026-02-25T09:00:00"/>
    <d v="1899-12-30T02:40:00"/>
  </r>
  <r>
    <n v="920"/>
    <m/>
    <m/>
    <m/>
    <x v="5"/>
    <m/>
    <m/>
    <m/>
    <m/>
    <x v="3"/>
    <m/>
    <m/>
    <m/>
    <m/>
    <m/>
    <x v="1"/>
    <d v="1899-12-30T00:00:00"/>
    <d v="1899-12-30T00:00:00"/>
    <d v="1899-12-30T00:00:00"/>
    <d v="1899-12-30T00:00:00"/>
  </r>
  <r>
    <n v="921"/>
    <m/>
    <m/>
    <m/>
    <x v="5"/>
    <m/>
    <m/>
    <m/>
    <m/>
    <x v="3"/>
    <m/>
    <m/>
    <m/>
    <m/>
    <m/>
    <x v="1"/>
    <d v="1899-12-30T00:00:00"/>
    <d v="1899-12-30T00:00:00"/>
    <d v="1899-12-30T00:00:00"/>
    <d v="1899-12-30T00:00:00"/>
  </r>
  <r>
    <n v="922"/>
    <s v="H. TRIANA"/>
    <d v="1899-12-30T08:05:00"/>
    <d v="2026-02-26T00:00:00"/>
    <x v="8"/>
    <s v="Puntual"/>
    <s v="Al piston del rodillo halador se le cae un tornillo"/>
    <d v="1899-12-30T08:10:00"/>
    <d v="1899-12-30T08:30:00"/>
    <x v="114"/>
    <s v="Mecánica"/>
    <s v="Se coloca tornillo"/>
    <s v="1X Tornillo M10 X 50mm"/>
    <s v="NA"/>
    <s v="J. SILVA"/>
    <x v="0"/>
    <d v="1899-12-30T00:20:00"/>
    <d v="2026-02-26T08:05:00"/>
    <d v="2026-02-26T08:30:00"/>
    <d v="1899-12-30T00:25:00"/>
  </r>
  <r>
    <n v="923"/>
    <s v="H. TRIANA"/>
    <d v="1899-12-30T08:30:00"/>
    <d v="2026-02-26T00:00:00"/>
    <x v="8"/>
    <s v="REPETITIVO"/>
    <s v="Temperatura tornillo interior esta 60° por encima de lo establecido"/>
    <d v="1899-12-30T08:30:00"/>
    <d v="1899-12-30T08:50:00"/>
    <x v="114"/>
    <s v="Eléctrica"/>
    <s v="Cambió de rele de estado solido pendiente a que baje temperatura pero hasta que pare maquina ya no tiene consumo la resistencia"/>
    <s v="1x Relé estado solido SSR 60A"/>
    <s v="NA"/>
    <s v="J. SILVA"/>
    <x v="0"/>
    <d v="1899-12-30T00:20:00"/>
    <d v="2026-02-26T08:30:00"/>
    <d v="2026-02-26T08:50:00"/>
    <d v="1899-12-30T00:20:00"/>
  </r>
  <r>
    <n v="924"/>
    <m/>
    <m/>
    <m/>
    <x v="5"/>
    <m/>
    <m/>
    <m/>
    <m/>
    <x v="3"/>
    <m/>
    <m/>
    <m/>
    <m/>
    <m/>
    <x v="1"/>
    <d v="1899-12-30T00:00:00"/>
    <d v="1899-12-30T00:00:00"/>
    <d v="1899-12-30T00:00:00"/>
    <d v="1899-12-30T00:00:00"/>
  </r>
  <r>
    <n v="925"/>
    <m/>
    <m/>
    <m/>
    <x v="5"/>
    <m/>
    <m/>
    <m/>
    <m/>
    <x v="3"/>
    <m/>
    <m/>
    <m/>
    <m/>
    <m/>
    <x v="1"/>
    <d v="1899-12-30T00:00:00"/>
    <d v="1899-12-30T00:00:00"/>
    <d v="1899-12-30T00:00:00"/>
    <d v="1899-12-30T00:00:00"/>
  </r>
  <r>
    <n v="926"/>
    <s v="K. RAMOS"/>
    <d v="1899-12-30T19:00:00"/>
    <d v="2026-02-26T00:00:00"/>
    <x v="1"/>
    <s v="Puntual"/>
    <s v="Coex #4 presenta falla en la prensa y pasa corriente por todo los rodillos"/>
    <d v="1899-12-30T19:00:00"/>
    <d v="1899-12-30T23:45:00"/>
    <x v="114"/>
    <s v="Eléctrica"/>
    <s v="Se realiza cambio de resistencia a 100KΩ, se verifican voltaje, se realizan pruebas de embobinamiento, se encuentra bien, se realizan pruebas, trabaja sin anomalia"/>
    <s v="1x Resistencia de 100KΩ"/>
    <s v="NA"/>
    <s v="L. CASTILLA"/>
    <x v="0"/>
    <d v="1899-12-30T04:45:00"/>
    <d v="2026-02-26T19:00:00"/>
    <d v="2026-02-26T23:45:00"/>
    <d v="1899-12-30T04:45:00"/>
  </r>
  <r>
    <n v="927"/>
    <s v="K. RAMOS"/>
    <m/>
    <d v="2026-02-26T00:00:00"/>
    <x v="8"/>
    <s v="Puntual"/>
    <s v="Coex #3 se eleva hasta 300° la temoeratura en el tornillo interno"/>
    <d v="1899-12-30T19:40:00"/>
    <d v="1899-12-30T08:14:00"/>
    <x v="116"/>
    <s v="Eléctrica"/>
    <s v="Revisión de consumo en relé y controlador temperatura, hay consumo en resistencia controlador operativo, se apaga extrusora. Se interviene maquina y se entrega a operario"/>
    <s v="NA"/>
    <s v="NA"/>
    <s v="O. DUARTE"/>
    <x v="0"/>
    <n v="-0.47638888888888886"/>
    <d v="2026-02-26T00:00:00"/>
    <d v="2026-02-27T08:14:00"/>
    <d v="1899-12-31T08:14:00"/>
  </r>
  <r>
    <n v="928"/>
    <s v="E. REYES"/>
    <d v="1899-12-30T19:08:00"/>
    <d v="2026-02-26T00:00:00"/>
    <x v="13"/>
    <s v="Puntual"/>
    <s v="Variación de temperatura"/>
    <d v="1899-12-30T19:08:00"/>
    <d v="1899-12-30T12:50:00"/>
    <x v="116"/>
    <s v="Eléctrica"/>
    <s v="Se cambia termocupla, se arranca 27/2/26 12:50"/>
    <s v="1X Termocupla"/>
    <s v="NA"/>
    <s v="J. SILVA"/>
    <x v="0"/>
    <n v="-0.26250000000000007"/>
    <d v="2026-02-26T19:08:00"/>
    <d v="2026-02-27T12:50:00"/>
    <d v="1899-12-30T17:42:00"/>
  </r>
  <r>
    <n v="929"/>
    <s v="K. RAMOS"/>
    <d v="1899-12-30T01:29:00"/>
    <d v="2026-02-27T00:00:00"/>
    <x v="14"/>
    <s v="Puntual"/>
    <s v="Se apagan las temperaturas del barril"/>
    <d v="1899-12-30T01:30:00"/>
    <d v="1899-12-30T01:50:00"/>
    <x v="116"/>
    <s v="Eléctrica"/>
    <s v="Se encuentra base porta escobilla malobrado y falta de aislante en la varilla que lo sostiene, se requiere fabricación según muestra. Se repara con cinta tela fibra de vidrio quedando OK. No paro en maquina"/>
    <s v="NA"/>
    <s v="Cinta"/>
    <s v="L. CASTILLA"/>
    <x v="0"/>
    <d v="1899-12-30T00:20:00"/>
    <d v="2026-02-27T01:29:00"/>
    <d v="2026-02-27T01:50:00"/>
    <d v="1899-12-30T00:21:00"/>
  </r>
  <r>
    <n v="930"/>
    <s v="K. RAMOS"/>
    <d v="1899-12-30T19:40:00"/>
    <d v="2026-02-26T00:00:00"/>
    <x v="8"/>
    <s v="Puntual"/>
    <s v="Se presenta falla en el tornillo por recalentamiento"/>
    <d v="1899-12-30T00:00:00"/>
    <d v="1899-12-30T02:00:00"/>
    <x v="116"/>
    <s v="Eléctrica"/>
    <s v="Se realiza cambio de termocupla en portamalla interno, cambio de termocupla tornillo interior. En vacio se mantiene temperatura tornillo interior pero trabajando se sube. Se requiere mantenimiento y camisa para verificar algún tipo de fricción"/>
    <s v="1X Termocupla tipo J"/>
    <s v="NA"/>
    <s v="L. CASTILLA"/>
    <x v="0"/>
    <d v="1899-12-30T02:00:00"/>
    <d v="2026-02-26T19:40:00"/>
    <d v="2026-02-27T02:00:00"/>
    <d v="1899-12-30T06:20:00"/>
  </r>
  <r>
    <n v="931"/>
    <m/>
    <m/>
    <m/>
    <x v="5"/>
    <m/>
    <m/>
    <m/>
    <m/>
    <x v="3"/>
    <m/>
    <m/>
    <m/>
    <m/>
    <m/>
    <x v="1"/>
    <d v="1899-12-30T00:00:00"/>
    <d v="1899-12-30T00:00:00"/>
    <d v="1899-12-30T00:00:00"/>
    <d v="1899-12-30T00:00:00"/>
  </r>
  <r>
    <n v="932"/>
    <m/>
    <m/>
    <m/>
    <x v="5"/>
    <m/>
    <m/>
    <m/>
    <m/>
    <x v="3"/>
    <m/>
    <m/>
    <m/>
    <m/>
    <m/>
    <x v="1"/>
    <d v="1899-12-30T00:00:00"/>
    <d v="1899-12-30T00:00:00"/>
    <d v="1899-12-30T00:00:00"/>
    <d v="1899-12-30T00:00:00"/>
  </r>
  <r>
    <n v="933"/>
    <s v="F. SANCHEZ"/>
    <d v="1899-12-30T07:20:00"/>
    <d v="2026-02-27T00:00:00"/>
    <x v="8"/>
    <s v="Puntual"/>
    <s v="Problemas con las escobillas del molde"/>
    <d v="1899-12-30T07:40:00"/>
    <d v="1899-12-30T08:30:00"/>
    <x v="116"/>
    <s v="Eléctrica"/>
    <s v="Se ajusta escobilla ya que se partio, se solicita respuesto queda en funcionamiento"/>
    <s v="NA"/>
    <s v="NA"/>
    <s v="J. SILVA"/>
    <x v="0"/>
    <d v="1899-12-30T00:50:00"/>
    <d v="2026-02-27T07:20:00"/>
    <d v="2026-02-27T08:30:00"/>
    <d v="1899-12-30T01:10:00"/>
  </r>
  <r>
    <n v="934"/>
    <s v="F. SANCHEZ"/>
    <d v="1899-12-30T14:20:00"/>
    <d v="2026-02-27T00:00:00"/>
    <x v="1"/>
    <s v="Puntual"/>
    <s v="Protector del molde estra trabado"/>
    <d v="1899-12-30T14:20:00"/>
    <d v="1899-12-30T15:00:00"/>
    <x v="116"/>
    <s v="Mecánica"/>
    <s v="Se ajusta posición de protector y ejes de control eléctrico, se realizan pruebas y queda operativo"/>
    <s v="NA"/>
    <s v="NA"/>
    <s v="D. BAUTISTA"/>
    <x v="0"/>
    <d v="1899-12-30T00:40:00"/>
    <d v="2026-02-27T14:20:00"/>
    <d v="2026-02-27T15:00:00"/>
    <d v="1899-12-30T00:40:00"/>
  </r>
  <r>
    <n v="935"/>
    <s v="M. SANDOVAL"/>
    <d v="1899-12-30T19:30:00"/>
    <d v="2026-02-27T00:00:00"/>
    <x v="17"/>
    <s v="Puntual"/>
    <s v="Modificación de castañas"/>
    <d v="1899-12-30T19:30:00"/>
    <d v="1899-12-30T20:20:00"/>
    <x v="116"/>
    <s v="Mecánica"/>
    <s v="Se realiza cambio de los dos pisadores para trabajar papel y se da ajuste a las castañuelas (posición) para trabajar papel rojo de 5 pistas"/>
    <s v="NA"/>
    <s v="NA"/>
    <s v="D. BAUTISTA"/>
    <x v="0"/>
    <d v="1899-12-30T00:50:00"/>
    <d v="2026-02-27T19:30:00"/>
    <d v="2026-02-27T20:20:00"/>
    <d v="1899-12-30T00:50:00"/>
  </r>
  <r>
    <n v="936"/>
    <s v="J. MIRANDA"/>
    <d v="1899-12-30T06:15:00"/>
    <d v="2026-02-28T00:00:00"/>
    <x v="9"/>
    <s v="Puntual"/>
    <s v="Maquina se recibe turno con falla en el motor de velocidad (No arranca)"/>
    <d v="1899-12-30T09:20:00"/>
    <d v="1899-12-30T09:40:00"/>
    <x v="100"/>
    <s v="Eléctrica"/>
    <s v="Se revisa variador con falla, se reset y arranca sin novedad, se deja en funcionamiento"/>
    <s v="NA"/>
    <s v="NA"/>
    <s v="J. SILVA"/>
    <x v="0"/>
    <d v="1899-12-30T00:20:00"/>
    <d v="2026-02-28T06:15:00"/>
    <d v="2026-02-28T09:40:00"/>
    <d v="1899-12-30T03:25:00"/>
  </r>
  <r>
    <n v="937"/>
    <s v="S. CARDENAL"/>
    <d v="1899-12-30T06:20:00"/>
    <d v="2026-02-28T00:00:00"/>
    <x v="4"/>
    <s v="Puntual"/>
    <s v="Cambio de termocupla inferior por daño"/>
    <d v="1899-12-30T06:30:00"/>
    <d v="1899-12-30T08:37:00"/>
    <x v="100"/>
    <s v="Eléctrica"/>
    <s v="Desmontaron mordazas para pdoer hacer el cambio de termocupla, se empezó a hacer el cambio a las 7:40 y culmine 8:37"/>
    <s v="1X Termocupla retrabajada"/>
    <s v="NA"/>
    <s v="J. SILVA"/>
    <x v="0"/>
    <d v="1899-12-30T02:07:00"/>
    <d v="2026-02-28T06:20:00"/>
    <d v="2026-02-28T08:37:00"/>
    <d v="1899-12-30T02:17:00"/>
  </r>
  <r>
    <n v="938"/>
    <s v="J. MIRANDA"/>
    <d v="1899-12-30T10:00:00"/>
    <d v="2026-02-28T00:00:00"/>
    <x v="9"/>
    <s v="Puntual"/>
    <s v="Falla en la tensión (Revisar motor)"/>
    <d v="1899-12-30T10:10:00"/>
    <d v="1899-12-30T11:40:00"/>
    <x v="100"/>
    <s v="Eléctrica"/>
    <s v="Se revisa encontrando 2 fusibles dañados el puente se les coloca nuevamente el puente y se retorquea en la fase entrada ya que tenia mal contacto"/>
    <s v="NA"/>
    <s v="NA"/>
    <s v="J. SILVA"/>
    <x v="0"/>
    <d v="1899-12-30T01:30:00"/>
    <d v="2026-02-28T10:00:00"/>
    <d v="2026-02-28T11:40:00"/>
    <d v="1899-12-30T01:40:00"/>
  </r>
  <r>
    <n v="939"/>
    <s v="S. CARDENAL"/>
    <d v="1899-12-30T10:40:00"/>
    <d v="2026-02-28T00:00:00"/>
    <x v="4"/>
    <s v="Puntual"/>
    <s v="Mordaza inferior del selle longitudinal esta suelta"/>
    <d v="1899-12-30T11:40:00"/>
    <d v="1899-12-30T12:10:00"/>
    <x v="100"/>
    <s v="Mecánica"/>
    <s v="Se solda parte mordaza inferior"/>
    <s v="NA"/>
    <s v="NA"/>
    <s v="J. SILVA"/>
    <x v="0"/>
    <d v="1899-12-30T00:30:00"/>
    <d v="2026-02-28T10:40:00"/>
    <d v="2026-02-28T12:10:00"/>
    <d v="1899-12-30T01:30:00"/>
  </r>
  <r>
    <n v="940"/>
    <s v="S. CARDENAL"/>
    <d v="1899-12-30T12:55:00"/>
    <d v="2026-02-28T00:00:00"/>
    <x v="4"/>
    <s v="Puntual"/>
    <s v="Mordaza superior se suelta selle longitudinal"/>
    <d v="1899-12-30T22:20:00"/>
    <d v="1899-12-30T23:20:00"/>
    <x v="100"/>
    <s v="Mecánica"/>
    <s v="Se recibe maquina con falla en mordaza de selle longitudinal._x000a_Se realiza calibración mordaza superior selle longitudinal calibración programación temperatura y parametrizacion temporizador quedando OK"/>
    <s v="NA"/>
    <s v="NA"/>
    <s v="L. CASTILLA"/>
    <x v="0"/>
    <d v="1899-12-30T01:00:00"/>
    <d v="2026-02-28T12:55:00"/>
    <d v="2026-02-28T23:20:00"/>
    <d v="1899-12-30T10:25:00"/>
  </r>
  <r>
    <n v="941"/>
    <s v="E. REYES"/>
    <d v="1899-12-30T00:30:00"/>
    <d v="2026-02-28T00:00:00"/>
    <x v="13"/>
    <s v="Puntual"/>
    <s v="Cambio de teflon"/>
    <d v="1899-12-30T00:30:00"/>
    <d v="1899-12-30T01:10:00"/>
    <x v="100"/>
    <s v="Mecánica"/>
    <s v="Se realiza cambio de teflon mordaza superior por desgaste quedando OK"/>
    <s v="NA"/>
    <s v="NA"/>
    <s v="L. CASTILLA"/>
    <x v="0"/>
    <d v="1899-12-30T00:40:00"/>
    <d v="2026-02-28T00:30:00"/>
    <d v="2026-02-28T01:10:00"/>
    <d v="1899-12-30T00:40:00"/>
  </r>
  <r>
    <n v="942"/>
    <s v="D. CUESTA"/>
    <d v="1899-12-30T17:00:00"/>
    <d v="2026-03-01T00:00:00"/>
    <x v="6"/>
    <s v="Puntual"/>
    <s v="Hacer seguimiento octagon y damper no cuadra la grafica"/>
    <m/>
    <m/>
    <x v="3"/>
    <s v="Mecánica, Eléctrica"/>
    <s v="Se realiza seguimiento, se reset el octagon retira falla, aparece falla por damper, no corrigen posición, se debe hacer seguimiento en el nuevo arranque del equipo"/>
    <m/>
    <m/>
    <m/>
    <x v="2"/>
    <d v="1899-12-30T00:00:00"/>
    <d v="2026-03-01T17:00:00"/>
    <d v="1899-12-30T00:00:00"/>
    <n v="-46082.708333333336"/>
  </r>
  <r>
    <n v="943"/>
    <s v="L. MIRANDA"/>
    <d v="1899-12-30T18:00:00"/>
    <d v="2026-03-01T00:00:00"/>
    <x v="6"/>
    <s v="Puntual"/>
    <s v="Octagon y danper no cuadra la grafica"/>
    <d v="1899-12-30T18:10:00"/>
    <d v="1899-12-30T18:50:00"/>
    <x v="117"/>
    <s v="Eléctrica"/>
    <s v="En la pantalla se programan damper a 80 y finalmente se bajan a 40, la maquina arranca sin anomalia en la grafica"/>
    <s v="NA"/>
    <s v="NA"/>
    <s v="L. CASTILLA"/>
    <x v="0"/>
    <d v="1899-12-30T00:40:00"/>
    <d v="2026-03-01T18:00:00"/>
    <d v="2026-03-01T18:50:00"/>
    <d v="1899-12-30T00:50:00"/>
  </r>
  <r>
    <n v="944"/>
    <s v="H. TRIANA"/>
    <d v="1899-12-30T08:10:00"/>
    <d v="2026-03-02T00:00:00"/>
    <x v="21"/>
    <s v="Puntual"/>
    <s v="Corto en el tratador"/>
    <d v="1899-12-30T08:10:00"/>
    <d v="1899-12-30T10:50:00"/>
    <x v="118"/>
    <s v="Eléctrica"/>
    <s v="Se revisa puntos de conexión, se hace limpieza, se da nuevamente ajuste, se hace prueba queda operativo"/>
    <s v="NA"/>
    <s v="NA"/>
    <s v="O. DUARTE"/>
    <x v="0"/>
    <d v="1899-12-30T02:40:00"/>
    <d v="2026-03-02T08:10:00"/>
    <d v="2026-03-02T10:50:00"/>
    <d v="1899-12-30T02:40:00"/>
  </r>
  <r>
    <n v="945"/>
    <s v="H. TRIANA"/>
    <d v="1899-12-30T09:00:00"/>
    <d v="2026-03-02T00:00:00"/>
    <x v="1"/>
    <s v="Puntual"/>
    <s v="Tornillo capa exterior no gira"/>
    <d v="1899-12-30T09:10:00"/>
    <m/>
    <x v="118"/>
    <s v="Mecánica"/>
    <s v="Se (cambia) repara tornillo de extrusora #4 Queda trabajando OK"/>
    <s v="1X Tornillo"/>
    <s v="NA"/>
    <m/>
    <x v="0"/>
    <n v="-0.38194444444444442"/>
    <d v="2026-03-02T09:00:00"/>
    <d v="2026-03-02T00:00:00"/>
    <n v="-0.375"/>
  </r>
  <r>
    <n v="946"/>
    <m/>
    <m/>
    <m/>
    <x v="5"/>
    <m/>
    <m/>
    <m/>
    <m/>
    <x v="3"/>
    <m/>
    <m/>
    <m/>
    <m/>
    <m/>
    <x v="1"/>
    <d v="1899-12-30T00:00:00"/>
    <d v="1899-12-30T00:00:00"/>
    <d v="1899-12-30T00:00:00"/>
    <d v="1899-12-30T00:00:00"/>
  </r>
  <r>
    <n v="947"/>
    <s v="H. TRIANA"/>
    <d v="1899-12-30T08:30:00"/>
    <d v="2026-03-02T00:00:00"/>
    <x v="1"/>
    <s v="Puntual"/>
    <s v="Halador tiene un cable desconectado"/>
    <d v="1899-12-30T08:40:00"/>
    <d v="1899-12-30T08:50:00"/>
    <x v="118"/>
    <s v="Eléctrica"/>
    <s v="Mando directo con un cable desconectado"/>
    <s v="NA"/>
    <s v="NA"/>
    <s v="J. SILVA"/>
    <x v="0"/>
    <d v="1899-12-30T00:10:00"/>
    <d v="2026-03-02T08:30:00"/>
    <d v="2026-03-02T08:50:00"/>
    <d v="1899-12-30T00:20:00"/>
  </r>
  <r>
    <n v="948"/>
    <s v="E. REYES"/>
    <d v="1899-12-30T10:38:00"/>
    <d v="2026-03-02T00:00:00"/>
    <x v="13"/>
    <s v="Puntual"/>
    <s v="Fallas en la temperatura"/>
    <d v="1899-12-30T18:10:00"/>
    <d v="1899-12-30T19:20:00"/>
    <x v="118"/>
    <s v="Mecánica"/>
    <s v="Calibración mordaza, calibración caida cuchilla y ajuste de teflon. Se recibe maquina en falla no operacional"/>
    <s v="NA"/>
    <s v="NA"/>
    <s v="L. CASTILLA"/>
    <x v="0"/>
    <d v="1899-12-30T01:10:00"/>
    <d v="2026-03-02T10:38:00"/>
    <d v="2026-03-02T19:20:00"/>
    <d v="1899-12-30T08:42:00"/>
  </r>
  <r>
    <n v="949"/>
    <s v="K. RAMOS"/>
    <m/>
    <d v="2026-03-02T00:00:00"/>
    <x v="6"/>
    <s v="Puntual"/>
    <s v="Barra se desinfla no agarra aire"/>
    <m/>
    <m/>
    <x v="3"/>
    <m/>
    <m/>
    <m/>
    <m/>
    <m/>
    <x v="2"/>
    <d v="1899-12-30T00:00:00"/>
    <d v="2026-03-02T00:00:00"/>
    <d v="1899-12-30T00:00:00"/>
    <n v="-46083"/>
  </r>
  <r>
    <n v="950"/>
    <m/>
    <m/>
    <m/>
    <x v="5"/>
    <m/>
    <m/>
    <m/>
    <m/>
    <x v="3"/>
    <m/>
    <m/>
    <m/>
    <m/>
    <m/>
    <x v="1"/>
    <d v="1899-12-30T00:00:00"/>
    <d v="1899-12-30T00:00:00"/>
    <d v="1899-12-30T00:00:00"/>
    <d v="1899-12-30T00:00:00"/>
  </r>
  <r>
    <n v="951"/>
    <s v="M. MARTINEZ"/>
    <d v="1899-12-30T18:00:00"/>
    <d v="2026-03-02T00:00:00"/>
    <x v="4"/>
    <s v="Puntual"/>
    <s v="Afilar cuchilla"/>
    <d v="1899-12-30T18:00:00"/>
    <d v="1899-12-30T18:10:00"/>
    <x v="118"/>
    <s v="Mecánica"/>
    <s v="Se presta apoyo para afilado de cuchilla "/>
    <s v="NA"/>
    <s v="NA"/>
    <s v="L. CASTILLA"/>
    <x v="0"/>
    <d v="1899-12-30T00:10:00"/>
    <d v="2026-03-02T18:00:00"/>
    <d v="2026-03-02T18:10:00"/>
    <d v="1899-12-30T00:10:00"/>
  </r>
  <r>
    <n v="952"/>
    <s v="M. SANDOVAL"/>
    <d v="1899-12-30T21:40:00"/>
    <d v="2026-03-02T00:00:00"/>
    <x v="25"/>
    <s v="Puntual"/>
    <s v="Cambio de disco de precorte"/>
    <d v="1899-12-30T09:40:00"/>
    <d v="1899-12-30T23:00:00"/>
    <x v="118"/>
    <s v="Mecánica"/>
    <s v="Cambio de cuchilla, se revisa sistema de anclaje del espigo ya que al girar inverso se sale el eje, persiste falla y se le fabrica un incerto temporal mientras termina con la referencia"/>
    <s v="NA"/>
    <s v="NA"/>
    <s v="L. CASTILLA"/>
    <x v="0"/>
    <d v="1899-12-30T13:20:00"/>
    <d v="2026-03-02T21:40:00"/>
    <d v="2026-03-02T23:00:00"/>
    <d v="1899-12-30T01:20:00"/>
  </r>
  <r>
    <n v="953"/>
    <s v="S. PATIÑO"/>
    <d v="1899-12-30T06:50:00"/>
    <d v="2026-03-03T00:00:00"/>
    <x v="14"/>
    <s v="Puntual"/>
    <s v="Fuga de material por los tornillos de ajuste de la pinola"/>
    <d v="1899-12-30T07:00:00"/>
    <d v="1899-12-30T07:40:00"/>
    <x v="119"/>
    <s v="Mecánica"/>
    <s v="Se recortan 5mm de tornillo para que sienten ya que estaban muy largos"/>
    <s v="NA"/>
    <s v="NA"/>
    <s v="J. SILVA"/>
    <x v="0"/>
    <d v="1899-12-30T00:40:00"/>
    <d v="2026-03-03T06:50:00"/>
    <d v="2026-03-03T07:40:00"/>
    <d v="1899-12-30T00:50:00"/>
  </r>
  <r>
    <n v="954"/>
    <s v="S. PATIÑO"/>
    <d v="1899-12-30T09:00:00"/>
    <d v="2026-03-03T00:00:00"/>
    <x v="14"/>
    <s v="Puntual"/>
    <s v="Rotación no trabaja al encenderla"/>
    <d v="1899-12-30T09:05:00"/>
    <d v="1899-12-30T09:26:00"/>
    <x v="119"/>
    <s v="Eléctrica"/>
    <s v="Motor con mala conexión en bornera haciendo mal contacto con falta de torque en los tornillos"/>
    <s v="NA"/>
    <s v="NA"/>
    <s v="J. SILVA"/>
    <x v="0"/>
    <d v="1899-12-30T00:21:00"/>
    <d v="2026-03-03T09:00:00"/>
    <d v="2026-03-03T09:26:00"/>
    <d v="1899-12-30T00:26:00"/>
  </r>
  <r>
    <n v="955"/>
    <s v="M. MARTINEZ"/>
    <d v="1899-12-30T09:10:00"/>
    <d v="2026-03-03T00:00:00"/>
    <x v="4"/>
    <s v="Puntual"/>
    <s v="Se sale rodamiento de rodillo"/>
    <d v="1899-12-30T09:15:00"/>
    <d v="1899-12-30T09:50:00"/>
    <x v="119"/>
    <s v="Mecánica"/>
    <s v="Ajuste con arandela para el rodillo"/>
    <s v="1X Arandela"/>
    <s v="NA"/>
    <s v="J. SILVA"/>
    <x v="0"/>
    <d v="1899-12-30T00:35:00"/>
    <d v="2026-03-03T09:10:00"/>
    <d v="2026-03-03T09:50:00"/>
    <d v="1899-12-30T00:40:00"/>
  </r>
  <r>
    <n v="956"/>
    <s v="M. MARTINEZ"/>
    <d v="1899-12-30T06:00:00"/>
    <d v="2026-03-03T00:00:00"/>
    <x v="0"/>
    <s v="Puntual"/>
    <s v="Correas del transportador"/>
    <d v="1899-12-30T06:20:00"/>
    <d v="1899-12-30T12:50:00"/>
    <x v="119"/>
    <s v="Mecánica"/>
    <s v="Destemplar ,  , torquear y arrancar el transportador "/>
    <s v="NA"/>
    <s v="NA"/>
    <s v="J. SILVA"/>
    <x v="0"/>
    <d v="1899-12-30T06:30:00"/>
    <d v="2026-03-03T06:00:00"/>
    <d v="2026-03-03T12:50:00"/>
    <d v="1899-12-30T06:50:00"/>
  </r>
  <r>
    <n v="957"/>
    <s v="L. MIRANDA"/>
    <d v="1899-12-30T08:50:00"/>
    <d v="2026-03-03T00:00:00"/>
    <x v="6"/>
    <s v="Puntual"/>
    <s v="Arreglar tornilo del soporte de los perforadores, cuadrar flautas por que estan mal  la pelicula para el lado izquierdo y no centralisa"/>
    <d v="1899-12-30T08:50:00"/>
    <d v="1899-12-30T10:25:00"/>
    <x v="119"/>
    <s v="Mecánica "/>
    <s v="Se alinea posición de flautas de torre rotativa, se da ajuste de tornillo del soporte de los perforadores"/>
    <s v="NA"/>
    <s v="NA"/>
    <s v="L. FLOREZ Y D. BAUTISTA"/>
    <x v="0"/>
    <d v="1899-12-30T01:35:00"/>
    <d v="2026-03-03T08:50:00"/>
    <d v="2026-03-03T10:25:00"/>
    <d v="1899-12-30T01:35:00"/>
  </r>
  <r>
    <n v="958"/>
    <s v="M. MARTINEZ"/>
    <d v="1899-12-30T09:00:00"/>
    <d v="2026-03-03T00:00:00"/>
    <x v="13"/>
    <s v="Puntual"/>
    <s v="Falla en el selle"/>
    <d v="1899-12-30T09:00:00"/>
    <d v="1899-12-30T12:00:00"/>
    <x v="119"/>
    <s v="Mecánica "/>
    <s v="Desgaste en componentes de mordaza, mordaza pandeada, se cambia de pista"/>
    <s v="NA"/>
    <s v="NA"/>
    <s v="J. SILVA"/>
    <x v="0"/>
    <d v="1899-12-30T03:00:00"/>
    <d v="2026-03-03T09:00:00"/>
    <d v="2026-03-03T12:00:00"/>
    <d v="1899-12-30T03:00:00"/>
  </r>
  <r>
    <n v="959"/>
    <s v="M. MARTINEZ"/>
    <d v="1899-12-30T13:33:00"/>
    <d v="2026-03-03T00:00:00"/>
    <x v="0"/>
    <s v="Puntual"/>
    <s v="Se parten tornillos del rodillo tensor de la parte superior del transportador"/>
    <d v="1899-12-30T13:40:00"/>
    <d v="1899-12-30T14:00:00"/>
    <x v="119"/>
    <s v="Mecánica"/>
    <s v="Se extraen tornillos, se realiza el cambio y se instala nuevamente el tensor"/>
    <s v="NA"/>
    <s v="NA"/>
    <s v="D. BAUTISTA"/>
    <x v="0"/>
    <d v="1899-12-30T00:20:00"/>
    <d v="2026-03-03T13:33:00"/>
    <d v="2026-03-03T14:00:00"/>
    <d v="1899-12-30T00:27:00"/>
  </r>
  <r>
    <n v="960"/>
    <s v="L. MIRANDA"/>
    <d v="1899-12-30T15:02:00"/>
    <d v="2026-03-03T00:00:00"/>
    <x v="6"/>
    <s v="Puntual"/>
    <s v="El transporte se esta quedando de un lado y causa que la barra se caiga"/>
    <d v="1899-12-30T15:20:00"/>
    <d v="1899-12-30T16:00:00"/>
    <x v="119"/>
    <s v="Mecánica"/>
    <s v="Se calibran posición y presión de reguladores de actuadores, mogocin, alimentador, transporte. Se acompaño en arranque"/>
    <s v="NA"/>
    <s v="NA"/>
    <s v="L. FLOREZ Y  D. BAUTISTA"/>
    <x v="0"/>
    <d v="1899-12-30T00:40:00"/>
    <d v="2026-03-03T15:02:00"/>
    <d v="2026-03-03T16:00:00"/>
    <d v="1899-12-30T00:58:00"/>
  </r>
  <r>
    <n v="961"/>
    <s v="H. TRIANA"/>
    <d v="1899-12-30T21:00:00"/>
    <d v="2026-03-03T00:00:00"/>
    <x v="1"/>
    <s v="Puntual"/>
    <s v="Moneda porta malla golpeando"/>
    <d v="1899-12-30T21:00:00"/>
    <d v="1899-12-30T21:50:00"/>
    <x v="119"/>
    <s v="Mecánica"/>
    <s v="Se evidencia porta mallas golpeado se repasa agujeros broca 1/8 se limpia queda operativo"/>
    <s v="NA"/>
    <s v="NA"/>
    <s v="O. DUARTE"/>
    <x v="0"/>
    <d v="1899-12-30T00:50:00"/>
    <d v="2026-03-03T21:00:00"/>
    <d v="2026-03-03T21:50:00"/>
    <d v="1899-12-30T00:50:00"/>
  </r>
  <r>
    <n v="962"/>
    <s v="K. RAMOS"/>
    <m/>
    <d v="2026-03-04T00:00:00"/>
    <x v="6"/>
    <s v="Puntual"/>
    <s v="Barra del bobinador A se daña no agarrando el aire"/>
    <m/>
    <m/>
    <x v="3"/>
    <m/>
    <m/>
    <m/>
    <m/>
    <m/>
    <x v="2"/>
    <d v="1899-12-30T00:00:00"/>
    <d v="2026-03-04T00:00:00"/>
    <d v="1899-12-30T00:00:00"/>
    <n v="-46085"/>
  </r>
  <r>
    <n v="963"/>
    <s v="F. SANCHEZ"/>
    <d v="1899-12-30T06:45:00"/>
    <d v="2026-03-04T00:00:00"/>
    <x v="21"/>
    <s v="Puntual"/>
    <s v="Zona de la maquina esta molestando baja y sube la temperatura. _x000a_Zona de malla exterior"/>
    <d v="1899-12-30T07:00:00"/>
    <d v="1899-12-30T07:40:00"/>
    <x v="120"/>
    <s v="Eléctrica"/>
    <s v="Se cambia termocupla por lectura erronea"/>
    <s v="1X Termocupla"/>
    <s v="NA"/>
    <s v="J. SILVA"/>
    <x v="0"/>
    <d v="1899-12-30T00:40:00"/>
    <d v="2026-03-04T06:45:00"/>
    <d v="2026-03-04T07:40:00"/>
    <d v="1899-12-30T00:55:00"/>
  </r>
  <r>
    <n v="964"/>
    <s v="M. MARTINEZ"/>
    <d v="1899-12-30T07:45:00"/>
    <d v="2026-03-04T00:00:00"/>
    <x v="13"/>
    <s v="Puntual"/>
    <s v="Maquina con falra de presión en prensa"/>
    <d v="1899-12-30T07:46:00"/>
    <d v="1899-12-30T08:20:00"/>
    <x v="120"/>
    <s v="Mecánica"/>
    <s v="Calibración de presion tenia mas presion en el centro por eso el material se arrugaba"/>
    <s v="NA"/>
    <s v="NS"/>
    <s v="J. SILVA"/>
    <x v="0"/>
    <d v="1899-12-30T00:34:00"/>
    <d v="2026-03-04T07:45:00"/>
    <d v="2026-03-04T08:20:00"/>
    <d v="1899-12-30T00:35:00"/>
  </r>
  <r>
    <n v="965"/>
    <s v="M. MARTINEZ"/>
    <d v="1899-12-30T12:50:00"/>
    <d v="2026-03-04T00:00:00"/>
    <x v="27"/>
    <s v="Puntual"/>
    <s v="Revisar y sacar filo cuchilla"/>
    <d v="1899-12-30T13:00:00"/>
    <d v="1899-12-30T13:35:00"/>
    <x v="120"/>
    <s v="Mecánica"/>
    <s v="Se hace ajsute y nivelación queda OK"/>
    <s v="NA"/>
    <s v="NA"/>
    <s v="J. SILVA"/>
    <x v="0"/>
    <d v="1899-12-30T00:35:00"/>
    <d v="2026-03-04T12:50:00"/>
    <d v="2026-03-04T13:35:00"/>
    <d v="1899-12-30T00:45:00"/>
  </r>
  <r>
    <n v="966"/>
    <s v="F. SANCHEZ"/>
    <d v="1899-12-30T14:30:00"/>
    <d v="2026-03-04T00:00:00"/>
    <x v="8"/>
    <s v="Puntual"/>
    <s v="Cadena del embobinador reventada en un lado"/>
    <d v="1899-12-30T15:50:00"/>
    <d v="1899-12-30T16:20:00"/>
    <x v="120"/>
    <s v="Mecánica"/>
    <s v="Se fabrican espigos con rosca para sujetación de cadena embobinador quedando OK._x000a_No genera paro en maquina"/>
    <s v="NA"/>
    <s v="NA"/>
    <s v="L. CASTILLA"/>
    <x v="0"/>
    <d v="1899-12-30T00:30:00"/>
    <d v="2026-03-04T14:30:00"/>
    <d v="2026-03-04T16:20:00"/>
    <d v="1899-12-30T01:50:00"/>
  </r>
  <r>
    <n v="967"/>
    <s v="L. GARZON"/>
    <d v="1899-12-30T06:10:00"/>
    <d v="2026-03-05T00:00:00"/>
    <x v="4"/>
    <s v="Puntual"/>
    <s v="Maquina no prende"/>
    <d v="1899-12-30T06:10:00"/>
    <d v="1899-12-30T07:10:00"/>
    <x v="121"/>
    <s v="Eléctrica"/>
    <s v="Se verifica tomando voltajes, se encuentra sin una fase, se reset, se restablece, auxiliar abierto quedando operativo"/>
    <s v="NA"/>
    <s v="NA"/>
    <s v="O. DUARTE"/>
    <x v="0"/>
    <d v="1899-12-30T01:00:00"/>
    <d v="2026-03-05T06:10:00"/>
    <d v="2026-03-05T07:10:00"/>
    <d v="1899-12-30T01:00:00"/>
  </r>
  <r>
    <n v="968"/>
    <s v="L. GARZON"/>
    <d v="1899-12-30T07:50:00"/>
    <d v="2026-03-05T00:00:00"/>
    <x v="4"/>
    <s v="Puntual"/>
    <s v="Maquina se para intermitentemente"/>
    <d v="1899-12-30T07:50:00"/>
    <d v="1899-12-30T08:50:00"/>
    <x v="121"/>
    <s v="Eléctrica"/>
    <s v="Se verifica conexión, se observo mal contacto por cable de señal en PLC, se recomienda hacer cambio queda en seguimiento durante el turno"/>
    <s v="NA"/>
    <s v="NA"/>
    <s v="O. DUARTE"/>
    <x v="0"/>
    <d v="1899-12-30T01:00:00"/>
    <d v="2026-03-05T07:50:00"/>
    <d v="2026-03-05T08:50:00"/>
    <d v="1899-12-30T01:00:00"/>
  </r>
  <r>
    <n v="969"/>
    <s v="L. GARZON"/>
    <d v="1899-12-30T12:00:00"/>
    <d v="2026-03-05T00:00:00"/>
    <x v="0"/>
    <s v="Puntual"/>
    <s v="Se suelta botón de apagar y prender transportador"/>
    <d v="1899-12-30T12:00:00"/>
    <d v="1899-12-30T12:30:00"/>
    <x v="121"/>
    <s v="Eléctrica"/>
    <s v="Se revisa y se observa botón suelto por desajuste en tornillos, se pocosiona, se da ajuste y queda operativo"/>
    <s v="NA"/>
    <s v="NA"/>
    <s v="O. DUARTE"/>
    <x v="0"/>
    <d v="1899-12-30T00:30:00"/>
    <d v="2026-03-05T12:00:00"/>
    <d v="2026-03-05T12:30:00"/>
    <d v="1899-12-30T00:30:00"/>
  </r>
  <r>
    <n v="970"/>
    <s v="H. TRIANA"/>
    <d v="1899-12-30T09:00:00"/>
    <d v="2026-03-05T00:00:00"/>
    <x v="14"/>
    <s v="Puntual"/>
    <s v="Manga quemada"/>
    <d v="1899-12-30T09:00:00"/>
    <d v="1899-12-30T10:30:00"/>
    <x v="121"/>
    <s v="Mecánica"/>
    <s v="Se hace arreglo de manga en el equipo"/>
    <s v="NA"/>
    <s v="NA"/>
    <s v="O. DUARTE"/>
    <x v="0"/>
    <d v="1899-12-30T01:30:00"/>
    <d v="2026-03-05T09:00:00"/>
    <d v="2026-03-05T10:30:00"/>
    <d v="1899-12-30T01:30:00"/>
  </r>
  <r>
    <n v="971"/>
    <s v="M. TORRES"/>
    <d v="1899-12-30T23:00:00"/>
    <d v="2026-03-05T00:00:00"/>
    <x v="4"/>
    <s v="Puntual"/>
    <s v="Maquina se apaga intermitentemente"/>
    <d v="1899-12-30T23:00:00"/>
    <d v="1899-12-30T23:20:00"/>
    <x v="121"/>
    <s v="Eléctrica"/>
    <s v="Se realiza ajuste de conectores a a pantalla y drive, se realiza limpieza queda operativa, se realiza seguimiento"/>
    <s v="NA"/>
    <s v="NA"/>
    <s v="D. BAUTISTA"/>
    <x v="0"/>
    <d v="1899-12-30T00:20:00"/>
    <d v="2026-03-05T23:00:00"/>
    <d v="2026-03-05T23:20:00"/>
    <d v="1899-12-30T00:20:00"/>
  </r>
  <r>
    <n v="972"/>
    <s v="H. TRIANA"/>
    <d v="1899-12-30T16:50:00"/>
    <d v="2026-03-05T00:00:00"/>
    <x v="8"/>
    <s v="Puntual"/>
    <s v="Se frena embobinador y se quema la manga"/>
    <d v="1899-12-30T17:00:00"/>
    <d v="1899-12-30T18:15:00"/>
    <x v="121"/>
    <s v="Mecánica, Eléctrica"/>
    <s v="Manga inferior quemada, se desmonta se pasa manga superior a inferior quedando OK._x000a_En la superior se coloca una de segunda pendiente prueba"/>
    <s v="NA"/>
    <s v="NA"/>
    <s v="L. CASTILLA"/>
    <x v="0"/>
    <d v="1899-12-30T01:15:00"/>
    <d v="2026-03-05T16:50:00"/>
    <d v="2026-03-05T18:15:00"/>
    <d v="1899-12-30T01:25:00"/>
  </r>
  <r>
    <n v="973"/>
    <s v="E. REYES"/>
    <d v="1899-12-30T19:30:00"/>
    <d v="2026-03-05T00:00:00"/>
    <x v="4"/>
    <s v="Puntual"/>
    <s v="Temperatura se baja"/>
    <d v="1899-12-30T19:50:00"/>
    <d v="1899-12-30T20:20:00"/>
    <x v="121"/>
    <s v="Eléctrica"/>
    <s v="Conductor de resistencia mordaza superior con terminal malobrado, se realiza cambio de terminal y conductor quedando OK"/>
    <s v="NA"/>
    <s v="NA"/>
    <s v="L. CASTILLA"/>
    <x v="0"/>
    <d v="1899-12-30T00:30:00"/>
    <d v="2026-03-05T19:30:00"/>
    <d v="2026-03-05T20:20:00"/>
    <d v="1899-12-30T00:50:00"/>
  </r>
  <r>
    <n v="974"/>
    <s v="E. REYES"/>
    <d v="1899-12-30T16:50:00"/>
    <d v="2026-03-05T00:00:00"/>
    <x v="0"/>
    <s v="Puntual"/>
    <s v="Correa de tensor se suelta_x000a_Correas de tranportado se paran"/>
    <d v="1899-12-30T16:50:00"/>
    <d v="1899-12-30T17:15:00"/>
    <x v="121"/>
    <s v="Mecánica"/>
    <s v="Freno descalibrado por resorte desgastados y se calibra prensa_x000a_Se requiere compra de resorte"/>
    <s v="NA"/>
    <s v="NA"/>
    <s v="L. CASTILLA"/>
    <x v="0"/>
    <d v="1899-12-30T00:25:00"/>
    <d v="2026-03-05T16:50:00"/>
    <d v="2026-03-05T17:15:00"/>
    <d v="1899-12-30T00:25:00"/>
  </r>
  <r>
    <n v="975"/>
    <s v="E. REYES"/>
    <d v="1899-12-30T15:35:00"/>
    <d v="2026-03-05T00:00:00"/>
    <x v="4"/>
    <s v="Puntual"/>
    <s v="Elaboración de pieza para pisar tabla de precorte"/>
    <d v="1899-12-30T15:35:00"/>
    <d v="1899-12-30T16:00:00"/>
    <x v="121"/>
    <s v="Mecánica"/>
    <s v="Se elabora pieza para pisar tabla donde cae cuchilla"/>
    <s v="NA"/>
    <s v="NA"/>
    <s v="L. CASTILLA"/>
    <x v="0"/>
    <d v="1899-12-30T00:25:00"/>
    <d v="2026-03-05T15:35:00"/>
    <d v="2026-03-05T16:00:00"/>
    <d v="1899-12-30T00:25:00"/>
  </r>
  <r>
    <n v="976"/>
    <s v="R. OLIVARES"/>
    <d v="1899-12-30T23:10:00"/>
    <d v="2026-03-05T00:00:00"/>
    <x v="6"/>
    <s v="Puntual"/>
    <s v="Se encuentran 2 rodillos locos que no sirven"/>
    <d v="1899-12-30T23:40:00"/>
    <d v="1899-12-30T00:00:00"/>
    <x v="122"/>
    <s v="Mecánica"/>
    <s v="Se lubrican chumaceras de rodillos locos, #12 y #17 los cuales no giran y generan arruga, no se genera parada"/>
    <s v="NA"/>
    <s v="NA"/>
    <s v="D. BAUTISTA"/>
    <x v="0"/>
    <n v="-0.98611111111111116"/>
    <d v="2026-03-05T23:10:00"/>
    <d v="2026-03-06T00:00:00"/>
    <d v="1899-12-30T00:50:00"/>
  </r>
  <r>
    <n v="977"/>
    <s v="J. PARDO"/>
    <d v="1899-12-30T22:35:00"/>
    <d v="2026-03-05T00:00:00"/>
    <x v="7"/>
    <s v="Puntual"/>
    <s v="Fallo en la bomba"/>
    <d v="1899-12-30T22:35:00"/>
    <d v="1899-12-30T22:50:00"/>
    <x v="121"/>
    <s v="Neúmatica"/>
    <s v="Se encuentra bomba neúmatica en falla, se extrar succión, se realiza limpieza, ajuste de conectores, prueba de funcionamiento y queda en operación"/>
    <s v="NA"/>
    <s v="NA"/>
    <s v="D. BAUTISTA"/>
    <x v="0"/>
    <d v="1899-12-30T00:15:00"/>
    <d v="2026-03-05T22:35:00"/>
    <d v="2026-03-05T22:50:00"/>
    <d v="1899-12-30T00:15:00"/>
  </r>
  <r>
    <n v="978"/>
    <s v="J. PARDO"/>
    <d v="1899-12-30T22:00:00"/>
    <d v="2026-03-05T00:00:00"/>
    <x v="7"/>
    <s v="Puntual"/>
    <s v="Daño en rodamiento y rosca de mordaza de registro dañados"/>
    <d v="1899-12-30T22:00:00"/>
    <d v="1899-12-30T22:20:00"/>
    <x v="121"/>
    <s v="Mecánica"/>
    <s v="Se cambio rodamiento 6207-2Z ya no quedan en stock, se instalan 2 helicoidales para tornillo M10 en torre de unidad #2"/>
    <s v="2X Rodamiento helicoidal"/>
    <s v="NA"/>
    <s v="D. BAUTISTA"/>
    <x v="0"/>
    <d v="1899-12-30T00:20:00"/>
    <d v="2026-03-05T22:00:00"/>
    <d v="2026-03-05T22:20:00"/>
    <d v="1899-12-30T00:20:00"/>
  </r>
  <r>
    <n v="979"/>
    <s v="R. OLIVARES"/>
    <d v="1899-12-30T00:30:00"/>
    <d v="2026-03-06T00:00:00"/>
    <x v="6"/>
    <s v="Puntual"/>
    <s v="Falla en caja reductora Tornillo B"/>
    <d v="1899-12-30T00:30:00"/>
    <d v="1899-12-30T00:30:00"/>
    <x v="123"/>
    <s v="Mecánica"/>
    <s v="Se observa daño en piñon de salida de caja reductora, se procede al desarme para enviar a taller externo"/>
    <s v="NA"/>
    <s v="NA"/>
    <s v="D. BAUTISTA"/>
    <x v="0"/>
    <d v="1899-12-30T00:00:00"/>
    <d v="2026-03-06T00:30:00"/>
    <d v="2026-03-11T00:30:00"/>
    <d v="1900-01-04T00:00:00"/>
  </r>
  <r>
    <n v="980"/>
    <s v="M. MARTINEZ"/>
    <d v="1899-12-30T08:50:00"/>
    <d v="2026-03-06T00:00:00"/>
    <x v="0"/>
    <s v="Puntual"/>
    <s v="Se suelta tensor de la correa"/>
    <d v="1899-12-30T11:30:00"/>
    <d v="1899-12-30T11:50:00"/>
    <x v="122"/>
    <s v="Mecánica"/>
    <s v="Tensor con arandela dañada, se realiza reposición de arandela y wasa quedando OK._x000a_"/>
    <s v="1X Arandela_x000a_1X Wasa"/>
    <s v="NA"/>
    <s v="L. CASTILLA"/>
    <x v="0"/>
    <d v="1899-12-30T00:20:00"/>
    <d v="2026-03-06T08:50:00"/>
    <d v="2026-03-06T11:50:00"/>
    <d v="1899-12-30T03:00:00"/>
  </r>
  <r>
    <n v="981"/>
    <s v="M. MARTINEZ"/>
    <d v="1899-12-30T15:20:00"/>
    <d v="2026-03-06T00:00:00"/>
    <x v="13"/>
    <s v="Puntual"/>
    <s v="Maquina bloqueada"/>
    <d v="1899-12-30T15:20:00"/>
    <d v="1899-12-30T15:30:00"/>
    <x v="122"/>
    <s v="Eléctrica"/>
    <s v="Sensor mordaza activado, se desactiva permitiendo el avance de la maquina"/>
    <s v="NA"/>
    <s v="NA"/>
    <s v="L. CASTILLA"/>
    <x v="0"/>
    <d v="1899-12-30T00:10:00"/>
    <d v="2026-03-06T15:20:00"/>
    <d v="2026-03-06T15:30:00"/>
    <d v="1899-12-30T00:10:00"/>
  </r>
  <r>
    <n v="982"/>
    <s v="L. GARZON"/>
    <d v="1899-12-30T17:00:00"/>
    <d v="2026-03-06T00:00:00"/>
    <x v="4"/>
    <s v="Puntual"/>
    <s v="Maquina se para por que la bolsa sale pagada"/>
    <d v="1899-12-30T17:10:00"/>
    <d v="1899-12-30T18:00:00"/>
    <x v="122"/>
    <s v="Eléctrica"/>
    <s v="Termocupla dañada, no hay en stock, se realiza reparación una dañada para poder arrancar maquina, quedando OK."/>
    <s v="NA"/>
    <s v="NA"/>
    <s v="L. CASTILLA"/>
    <x v="0"/>
    <d v="1899-12-30T00:50:00"/>
    <d v="2026-03-06T17:00:00"/>
    <d v="2026-03-06T18:00:00"/>
    <d v="1899-12-30T01:00:00"/>
  </r>
  <r>
    <n v="983"/>
    <s v="L. GARZON"/>
    <d v="1899-12-30T11:20:00"/>
    <d v="2026-03-07T00:00:00"/>
    <x v="4"/>
    <s v="Puntual"/>
    <s v="Maquina se apaga intermitentemente y se dispara temperatura de la cuchilla"/>
    <d v="1899-12-30T11:20:00"/>
    <d v="1899-12-30T22:40:00"/>
    <x v="124"/>
    <s v="Eléctrica"/>
    <s v="Se observa termocupla defectuosa, se bajan parametros, se hace seguimiento durante el turno, se coloco termocupla inferior para remplazo, quedo faltante 1"/>
    <s v="1X Termocupla"/>
    <s v="NA"/>
    <s v="J. SILVA"/>
    <x v="0"/>
    <d v="1899-12-30T11:20:00"/>
    <d v="2026-03-07T11:20:00"/>
    <d v="2026-03-07T22:40:00"/>
    <d v="1899-12-30T11:20:00"/>
  </r>
  <r>
    <n v="984"/>
    <s v="M. MARTINEZ"/>
    <d v="1899-12-30T21:30:00"/>
    <d v="2026-03-10T00:00:00"/>
    <x v="4"/>
    <s v="REPETITIVO"/>
    <s v="Sacar filo cuhcilla"/>
    <d v="1899-12-30T21:30:00"/>
    <d v="1899-12-30T21:45:00"/>
    <x v="115"/>
    <s v="Mecánica"/>
    <s v="Se presta apoyo para afilado de cuchilla quedando OK"/>
    <s v="NA"/>
    <s v="NA"/>
    <s v="L. CASTILLA"/>
    <x v="0"/>
    <d v="1899-12-30T00:15:00"/>
    <d v="2026-03-10T21:30:00"/>
    <d v="2026-03-10T21:45:00"/>
    <d v="1899-12-30T00:15:00"/>
  </r>
  <r>
    <n v="985"/>
    <s v="M. MARTINEZ"/>
    <d v="1899-12-30T15:40:00"/>
    <d v="2026-03-07T00:00:00"/>
    <x v="13"/>
    <s v="Puntual"/>
    <s v="Falla en mordaza pisa la bolsa"/>
    <d v="1899-12-30T15:40:00"/>
    <d v="1899-12-30T17:00:00"/>
    <x v="124"/>
    <s v="Mecánica"/>
    <s v="Ajuste de la mordaza inferior, revisión de aprametros por parte del operario en turno , queda por hacer seguimiento"/>
    <s v="NA"/>
    <s v="NA"/>
    <s v="O. DUARTE"/>
    <x v="0"/>
    <d v="1899-12-30T01:20:00"/>
    <d v="2026-03-07T15:40:00"/>
    <d v="2026-03-07T17:00:00"/>
    <d v="1899-12-30T01:20:00"/>
  </r>
  <r>
    <n v="986"/>
    <s v="S. CARDENAL"/>
    <d v="1899-12-30T18:35:00"/>
    <d v="2026-03-07T00:00:00"/>
    <x v="0"/>
    <s v="Puntual"/>
    <s v="Prensa de atrás no aprieta"/>
    <d v="1899-12-30T18:40:00"/>
    <d v="1899-12-30T20:00:00"/>
    <x v="124"/>
    <s v="Mecánica"/>
    <s v="Se colocan prisioneros y resorte de prensa "/>
    <s v="Resortes_x000a_Tornillos_x000a_Prisioneros"/>
    <s v="NA"/>
    <s v="J. SILVA"/>
    <x v="0"/>
    <d v="1899-12-30T01:20:00"/>
    <d v="2026-03-07T18:35:00"/>
    <d v="2026-03-07T20:00:00"/>
    <d v="1899-12-30T01:25:00"/>
  </r>
  <r>
    <n v="987"/>
    <s v="J. RINCON"/>
    <d v="1899-12-30T14:44:00"/>
    <d v="2026-03-13T00:00:00"/>
    <x v="7"/>
    <s v="Puntual"/>
    <s v="Punto de soldadura del eje de embobinado"/>
    <d v="1899-12-30T14:45:00"/>
    <d v="1899-12-30T15:10:00"/>
    <x v="77"/>
    <s v="Mecánica"/>
    <s v="Se retira soldadura averiado para soldar nuevamente con electrodo 7018 quedando OK"/>
    <s v="1X Electrodo 7018"/>
    <s v="NA"/>
    <s v="L. CASTILLA"/>
    <x v="0"/>
    <d v="1899-12-30T00:25:00"/>
    <d v="2026-03-13T14:44:00"/>
    <d v="2026-03-13T15:10:00"/>
    <d v="1899-12-30T00:26:00"/>
  </r>
  <r>
    <n v="988"/>
    <s v="S. CARDENAL"/>
    <d v="1899-12-30T06:30:00"/>
    <d v="2026-03-09T00:00:00"/>
    <x v="4"/>
    <s v="Puntual"/>
    <s v="Selladora no prende"/>
    <d v="1899-12-30T06:30:00"/>
    <d v="1899-12-30T08:00:00"/>
    <x v="125"/>
    <s v="Eléctrica"/>
    <s v="Falla en breaker termomagnetico con contacto abierto, se realiza cambio por nuevo de 80A y ajuste en cuchilla quedando OK"/>
    <s v="1X Breaker siemens 80 A"/>
    <s v="NA"/>
    <s v="L. CASTILLA"/>
    <x v="0"/>
    <d v="1899-12-30T01:30:00"/>
    <d v="2026-03-09T06:30:00"/>
    <d v="2026-03-09T08:00:00"/>
    <d v="1899-12-30T01:30:00"/>
  </r>
  <r>
    <n v="989"/>
    <s v="A. ROVIRA"/>
    <d v="1899-12-30T06:50:00"/>
    <d v="2026-03-09T00:00:00"/>
    <x v="9"/>
    <s v="Puntual"/>
    <s v="Se para el fay"/>
    <d v="1899-12-30T06:50:00"/>
    <d v="1899-12-30T08:15:00"/>
    <x v="125"/>
    <s v="Mecánica"/>
    <s v="Se evidencia motor bloqueado, se hace comprobación conexiones, se encuentra bloqueadas escobillas por refile se limpia y queda operativo, se calibra fay"/>
    <s v="NA"/>
    <s v="NA"/>
    <s v="O. DUARTE"/>
    <x v="0"/>
    <d v="1899-12-30T01:25:00"/>
    <d v="2026-03-09T06:50:00"/>
    <d v="2026-03-09T08:15:00"/>
    <d v="1899-12-30T01:25:00"/>
  </r>
  <r>
    <n v="990"/>
    <s v="S. CARDENAL"/>
    <d v="1899-12-30T13:00:00"/>
    <d v="2026-03-09T00:00:00"/>
    <x v="0"/>
    <s v="Puntual"/>
    <s v="Se parte tornillo del rodillo del transportador"/>
    <d v="1899-12-30T13:00:00"/>
    <d v="1899-12-30T13:35:00"/>
    <x v="125"/>
    <s v="Mecánica"/>
    <s v="Se extrae pedazo de tornillo M6 de rodillo transportador, se remplaza por uno nuevo, se da ajuste queda operativo"/>
    <s v="1X Tornillo M6"/>
    <s v="NA"/>
    <s v="O. DUARTE"/>
    <x v="0"/>
    <d v="1899-12-30T00:35:00"/>
    <d v="2026-03-09T13:00:00"/>
    <d v="2026-03-09T13:35:00"/>
    <d v="1899-12-30T00:35:00"/>
  </r>
  <r>
    <n v="991"/>
    <s v="L. MIRANDA"/>
    <d v="1899-12-30T15:12:00"/>
    <d v="2026-03-09T00:00:00"/>
    <x v="1"/>
    <s v="Puntual"/>
    <s v="Verificar el motor de la caoa externa presenta escape de aceite"/>
    <d v="1899-12-30T15:15:00"/>
    <d v="1899-12-30T16:00:00"/>
    <x v="125"/>
    <s v="Mecánica"/>
    <s v="Tapa caja reductora abierta, tornillos sueltos, se realiza ajuste, limpieza de aceite, se verifica nivel quedando OK"/>
    <s v="NA"/>
    <s v="NA"/>
    <s v="L. CASTILLA"/>
    <x v="0"/>
    <d v="1899-12-30T00:45:00"/>
    <d v="2026-03-09T15:12:00"/>
    <d v="2026-03-09T16:00:00"/>
    <d v="1899-12-30T00:48:00"/>
  </r>
  <r>
    <n v="992"/>
    <s v="F. SANCHEZ"/>
    <d v="1899-12-30T06:40:00"/>
    <d v="2026-03-10T00:00:00"/>
    <x v="21"/>
    <s v="Puntual"/>
    <s v="Pirometro de la zona 1 exterior mal la lectura"/>
    <d v="1899-12-30T06:50:00"/>
    <d v="1899-12-30T07:10:00"/>
    <x v="115"/>
    <s v="Eléctrica"/>
    <s v="Se necesita cambio de termocupla"/>
    <s v="NA"/>
    <s v="NA"/>
    <s v="J. SILVA"/>
    <x v="0"/>
    <d v="1899-12-30T00:20:00"/>
    <d v="2026-03-10T06:40:00"/>
    <d v="2026-03-10T07:10:00"/>
    <d v="1899-12-30T00:30:00"/>
  </r>
  <r>
    <n v="993"/>
    <m/>
    <m/>
    <m/>
    <x v="5"/>
    <m/>
    <m/>
    <m/>
    <m/>
    <x v="3"/>
    <m/>
    <m/>
    <m/>
    <m/>
    <m/>
    <x v="1"/>
    <d v="1899-12-30T00:00:00"/>
    <d v="1899-12-30T00:00:00"/>
    <d v="1899-12-30T00:00:00"/>
    <d v="1899-12-30T00:00:00"/>
  </r>
  <r>
    <n v="994"/>
    <m/>
    <m/>
    <m/>
    <x v="5"/>
    <m/>
    <m/>
    <m/>
    <m/>
    <x v="3"/>
    <m/>
    <m/>
    <m/>
    <m/>
    <m/>
    <x v="1"/>
    <d v="1899-12-30T00:00:00"/>
    <d v="1899-12-30T00:00:00"/>
    <d v="1899-12-30T00:00:00"/>
    <d v="1899-12-30T00:00:00"/>
  </r>
  <r>
    <n v="995"/>
    <s v="S. PATIÑO"/>
    <d v="1899-12-30T20:10:00"/>
    <d v="2026-03-10T00:00:00"/>
    <x v="14"/>
    <s v="Puntual"/>
    <s v="Motor de la capa externa mal instalado, sentido de giro invertido"/>
    <d v="1899-12-30T20:15:00"/>
    <d v="1899-12-30T20:30:00"/>
    <x v="115"/>
    <s v="Mecánica"/>
    <s v="Motor con giro al reves, se realiza cambio de 2 fase para el cambio de giro quedando OK"/>
    <s v="NA"/>
    <s v="NA"/>
    <s v="L. CASTILLA"/>
    <x v="0"/>
    <d v="1899-12-30T00:15:00"/>
    <d v="2026-03-10T20:10:00"/>
    <d v="2026-03-10T20:30:00"/>
    <d v="1899-12-30T00:20:00"/>
  </r>
  <r>
    <n v="996"/>
    <s v="M. MARTINEZ"/>
    <d v="1899-12-30T20:10:00"/>
    <d v="2026-03-10T00:00:00"/>
    <x v="0"/>
    <s v="Puntual"/>
    <s v="Transportador se apaga y no prende"/>
    <d v="1899-12-30T20:30:00"/>
    <d v="1899-12-30T21:30:00"/>
    <x v="115"/>
    <s v="Mecánica"/>
    <s v="Se inspecciona encontrando prisioneros sueltos y uña por fuera, se remplazan prisioneros, se retira piñon para dar vuelta ya que no deja calibrar cadena, se realiza montaje quedando OK"/>
    <s v="2X Prisioneros 1/4&quot;"/>
    <s v="NA"/>
    <s v="L. CASTILLA"/>
    <x v="0"/>
    <d v="1899-12-30T01:00:00"/>
    <d v="2026-03-10T20:10:00"/>
    <d v="2026-03-10T21:30:00"/>
    <d v="1899-12-30T01:20:00"/>
  </r>
  <r>
    <n v="997"/>
    <s v="E. REYES"/>
    <d v="1899-12-30T00:00:00"/>
    <d v="2026-03-11T00:00:00"/>
    <x v="4"/>
    <s v="Puntual"/>
    <s v="Termocupla inferior"/>
    <m/>
    <m/>
    <x v="3"/>
    <m/>
    <m/>
    <m/>
    <m/>
    <m/>
    <x v="1"/>
    <d v="1899-12-30T00:00:00"/>
    <d v="2026-03-11T00:00:00"/>
    <d v="1899-12-30T00:00:00"/>
    <n v="-46092"/>
  </r>
  <r>
    <n v="998"/>
    <s v="J. RINCON"/>
    <d v="1899-12-30T05:00:00"/>
    <d v="2026-03-11T00:00:00"/>
    <x v="7"/>
    <s v="Puntual"/>
    <s v="Union de rodamiento de ejes"/>
    <d v="1899-12-30T05:00:00"/>
    <d v="1899-12-30T05:10:00"/>
    <x v="123"/>
    <s v="Mecánica"/>
    <s v="Pista rodamiento abierta se grafila y se aplica trabarrosca quedando OK"/>
    <s v="NA"/>
    <s v="Trabarrosca"/>
    <s v="L. CASTILLA"/>
    <x v="0"/>
    <d v="1899-12-30T00:10:00"/>
    <d v="2026-03-11T05:00:00"/>
    <d v="2026-03-11T05:10:00"/>
    <d v="1899-12-30T00:10:00"/>
  </r>
  <r>
    <n v="999"/>
    <s v="J. PARDO"/>
    <d v="1899-12-30T07:40:00"/>
    <d v="2026-03-11T00:00:00"/>
    <x v="7"/>
    <s v="Puntual"/>
    <s v="Manguera de unidad #4 no se desplaza"/>
    <d v="1899-12-30T07:40:00"/>
    <d v="1899-12-30T08:00:00"/>
    <x v="123"/>
    <s v="Mecánica"/>
    <s v="Se desmonta mangera, se realiza limpieza de material, se lubrica y se instala nuevamente"/>
    <s v="NA"/>
    <s v="NA"/>
    <s v="D. BAUTISTA"/>
    <x v="0"/>
    <d v="1899-12-30T00:20:00"/>
    <d v="2026-03-11T07:40:00"/>
    <d v="2026-03-11T08:00:00"/>
    <d v="1899-12-30T00:20:00"/>
  </r>
  <r>
    <n v="1000"/>
    <s v="W. SANDOVAL"/>
    <d v="1899-12-30T09:00:00"/>
    <d v="2026-03-11T00:00:00"/>
    <x v="10"/>
    <s v="Puntual"/>
    <s v="Cambio de pisador"/>
    <d v="1899-12-30T09:00:00"/>
    <d v="1899-12-30T09:20:00"/>
    <x v="123"/>
    <s v="Mecánica"/>
    <s v="Se realizo cambio de pisador superior para trabajar lamina plastica"/>
    <s v="NA"/>
    <s v="NA"/>
    <s v="D. BAUTISTA"/>
    <x v="0"/>
    <d v="1899-12-30T00:20:00"/>
    <d v="2026-03-11T09:00:00"/>
    <d v="2026-03-11T09:20:00"/>
    <d v="1899-12-30T00:20:00"/>
  </r>
  <r>
    <n v="1001"/>
    <s v="L. CASTILLA"/>
    <d v="1899-12-30T11:40:00"/>
    <d v="2026-03-09T00:00:00"/>
    <x v="10"/>
    <s v="Puntual"/>
    <s v="Base cilindro faq vibra_x000a_Blower embrague requiere cambio"/>
    <m/>
    <m/>
    <x v="3"/>
    <m/>
    <m/>
    <m/>
    <m/>
    <m/>
    <x v="2"/>
    <d v="1899-12-30T00:00:00"/>
    <d v="2026-03-09T11:40:00"/>
    <d v="1899-12-30T00:00:00"/>
    <n v="-46090.486111111109"/>
  </r>
  <r>
    <n v="1002"/>
    <s v="L. CASTILLA"/>
    <d v="1899-12-30T12:00:00"/>
    <d v="2026-03-09T00:00:00"/>
    <x v="25"/>
    <s v="Puntual"/>
    <s v="Piñon en teflon requeire fabricación y balanceo_x000a_Pisador para reencauchar"/>
    <m/>
    <m/>
    <x v="3"/>
    <m/>
    <m/>
    <m/>
    <m/>
    <m/>
    <x v="2"/>
    <d v="1899-12-30T00:00:00"/>
    <d v="2026-03-09T12:00:00"/>
    <d v="1899-12-30T00:00:00"/>
    <n v="-46090.5"/>
  </r>
  <r>
    <n v="1003"/>
    <s v="L. CASTILLA"/>
    <d v="1899-12-30T12:05:00"/>
    <d v="2026-03-09T00:00:00"/>
    <x v="9"/>
    <s v="Puntual"/>
    <s v="Se requiere eje embobinador neúmatico (se requiere eje para embobinador)_x000a_Blower refrigeración forzada motor embobinador"/>
    <m/>
    <m/>
    <x v="3"/>
    <m/>
    <m/>
    <m/>
    <m/>
    <m/>
    <x v="2"/>
    <d v="1899-12-30T00:00:00"/>
    <d v="2026-03-09T12:05:00"/>
    <d v="1899-12-30T00:00:00"/>
    <n v="-46090.503472222219"/>
  </r>
  <r>
    <n v="1004"/>
    <m/>
    <m/>
    <m/>
    <x v="5"/>
    <m/>
    <m/>
    <m/>
    <m/>
    <x v="3"/>
    <m/>
    <m/>
    <m/>
    <m/>
    <m/>
    <x v="1"/>
    <d v="1899-12-30T00:00:00"/>
    <d v="1899-12-30T00:00:00"/>
    <d v="1899-12-30T00:00:00"/>
    <d v="1899-12-30T00:00:00"/>
  </r>
  <r>
    <n v="1005"/>
    <s v="H. TRIANA"/>
    <d v="1899-12-30T07:25:00"/>
    <d v="2026-03-11T00:00:00"/>
    <x v="21"/>
    <s v="Puntual"/>
    <s v="Tornillo de la cremallera"/>
    <d v="1899-12-30T07:25:00"/>
    <d v="1899-12-30T07:40:00"/>
    <x v="123"/>
    <s v="Mecánica"/>
    <s v="Se extrae tornillo M6, se instala tornillo M6 X 60 mm con tuerca, se entrega operativo"/>
    <s v="NA"/>
    <s v="NA"/>
    <s v="D. BAUTISTA"/>
    <x v="0"/>
    <d v="1899-12-30T00:15:00"/>
    <d v="2026-03-11T07:25:00"/>
    <d v="2026-03-11T07:40:00"/>
    <d v="1899-12-30T00:15:00"/>
  </r>
  <r>
    <n v="1006"/>
    <s v="D. BUESACO"/>
    <d v="1899-12-30T10:40:00"/>
    <d v="2026-03-11T00:00:00"/>
    <x v="4"/>
    <s v="Puntual"/>
    <s v="La maquina se apaga repetitivamente"/>
    <d v="1899-12-30T10:40:00"/>
    <d v="1899-12-30T11:10:00"/>
    <x v="123"/>
    <s v="Eléctrica"/>
    <s v="Se ajustan conectores pantalla, se refrigera pantalla y servo drive, se da ajuste a conexiones eléctricas y se entrega operativo 11:10_x000a_Se tiene en seguimiento"/>
    <s v="NA"/>
    <s v="NA"/>
    <s v="D. BAUTISTA"/>
    <x v="0"/>
    <d v="1899-12-30T00:30:00"/>
    <d v="2026-03-11T10:40:00"/>
    <d v="2026-03-11T11:10:00"/>
    <d v="1899-12-30T00:30:00"/>
  </r>
  <r>
    <n v="1007"/>
    <s v="H. TRIANA"/>
    <d v="1899-12-30T14:15:00"/>
    <d v="2026-03-11T00:00:00"/>
    <x v="21"/>
    <s v="Puntual"/>
    <s v="Contactor marca mal, se recalienta 26° por encima de lo establecido"/>
    <d v="1899-12-30T14:15:00"/>
    <d v="1899-12-30T14:30:00"/>
    <x v="123"/>
    <s v="Eléctrica"/>
    <s v="Se evidencia que persiste el tema de temperatura alta, falta de termocupla para cambio, se hace seguimiento durante el turno"/>
    <s v="NA"/>
    <s v="NA"/>
    <s v="O. DUARTE"/>
    <x v="0"/>
    <d v="1899-12-30T00:15:00"/>
    <d v="2026-03-11T14:15:00"/>
    <d v="2026-03-11T14:30:00"/>
    <d v="1899-12-30T00:15:00"/>
  </r>
  <r>
    <n v="1008"/>
    <m/>
    <m/>
    <m/>
    <x v="5"/>
    <m/>
    <m/>
    <m/>
    <m/>
    <x v="3"/>
    <m/>
    <m/>
    <m/>
    <m/>
    <m/>
    <x v="1"/>
    <d v="1899-12-30T00:00:00"/>
    <d v="1899-12-30T00:00:00"/>
    <d v="1899-12-30T00:00:00"/>
    <d v="1899-12-30T00:00:00"/>
  </r>
  <r>
    <n v="1009"/>
    <s v="F. SANCHEZ"/>
    <d v="1899-12-30T18:45:00"/>
    <d v="2026-03-11T00:00:00"/>
    <x v="21"/>
    <s v="Puntual"/>
    <s v="Cambio de termocupla"/>
    <d v="1899-12-30T18:45:00"/>
    <d v="1899-12-30T20:25:00"/>
    <x v="123"/>
    <s v="Eléctrica"/>
    <s v="Se hace cambio de termocupla, se corrige lectura de temperatura, queda operativa y en seguimiento"/>
    <s v="1X Termocupla tipo J"/>
    <s v="NA"/>
    <s v="O. DUARTE"/>
    <x v="0"/>
    <d v="1899-12-30T01:40:00"/>
    <d v="2026-03-11T18:45:00"/>
    <d v="2026-03-11T20:25:00"/>
    <d v="1899-12-30T01:40:00"/>
  </r>
  <r>
    <n v="1010"/>
    <s v="J. MIRANDA"/>
    <d v="1899-12-30T04:25:00"/>
    <d v="2026-03-12T00:00:00"/>
    <x v="6"/>
    <s v="Puntual"/>
    <s v="Revisar la zona 6 de la capa C ya que presenta falla"/>
    <d v="1899-12-30T04:35:00"/>
    <d v="1899-12-30T05:20:00"/>
    <x v="126"/>
    <s v="Eléctrica"/>
    <s v="Se cambia termocupla zona 6 por lectura erronea"/>
    <s v="1X Termocupla tipo bulbo"/>
    <s v="NA"/>
    <s v="J. SILVA"/>
    <x v="0"/>
    <d v="1899-12-30T00:45:00"/>
    <d v="2026-03-12T04:25:00"/>
    <d v="2026-03-12T05:20:00"/>
    <d v="1899-12-30T00:55:00"/>
  </r>
  <r>
    <n v="1011"/>
    <s v="S. CARDENAL"/>
    <d v="1899-12-30T08:15:00"/>
    <d v="2026-03-12T00:00:00"/>
    <x v="4"/>
    <s v="Puntual"/>
    <s v="Cambio de termocuplas, la superior esta dañada y la inferior no tiene"/>
    <d v="1899-12-30T08:50:00"/>
    <d v="1899-12-30T09:45:00"/>
    <x v="126"/>
    <s v="Eléctrica"/>
    <s v="Se realiza cambio de termocupla superior por daño y se instala nueva termocupla para mordaza inferior quedo operativo"/>
    <s v="1X Termocupla tipo J"/>
    <s v="NA"/>
    <s v="D. BAUTISTA"/>
    <x v="0"/>
    <d v="1899-12-30T00:55:00"/>
    <d v="2026-03-12T08:15:00"/>
    <d v="2026-03-12T09:45:00"/>
    <d v="1899-12-30T01:30:00"/>
  </r>
  <r>
    <n v="1012"/>
    <s v="A. MIRANDA"/>
    <d v="1899-12-30T06:15:00"/>
    <d v="2026-03-12T00:00:00"/>
    <x v="6"/>
    <s v="Puntual"/>
    <s v="Fallo en motor de refile"/>
    <d v="1899-12-30T06:15:00"/>
    <d v="1899-12-30T07:30:00"/>
    <x v="126"/>
    <s v="Mecánica"/>
    <s v="Motor se aago por sobreesfuerzo se desmonta guarda, se tensionó correa, se lubrican rodamientos, se quita material atascado_x000a_No se genero parada de maquina, se interviene 7:10 a 7:30 en parada para cambio de malas"/>
    <s v="NA"/>
    <s v="NA"/>
    <s v="D. BAUTISTA"/>
    <x v="0"/>
    <d v="1899-12-30T01:15:00"/>
    <d v="2026-03-12T06:15:00"/>
    <d v="2026-03-12T07:30:00"/>
    <d v="1899-12-30T01:15:00"/>
  </r>
  <r>
    <n v="1013"/>
    <s v="A. MIRANDA"/>
    <d v="1899-12-30T06:30:00"/>
    <d v="2026-03-12T00:00:00"/>
    <x v="6"/>
    <s v="Puntual"/>
    <s v="Zona 6 tornillo A con temperatura alta"/>
    <d v="1899-12-30T07:30:00"/>
    <d v="1899-12-30T08:30:00"/>
    <x v="126"/>
    <s v="Eléctrica"/>
    <s v="Se encuentra zona 6 tornillo a 230° C y el setpoint esta en 180°C, e realiza insección y se encuentra guardamotor del aire forzado disparado, se desmonto ventilador y se encuentra desbalanceado, se remplazo por el de la zona 1, no se genero parada"/>
    <s v="NA"/>
    <s v="NA"/>
    <s v="D. BAUTISTA"/>
    <x v="0"/>
    <d v="1899-12-30T01:00:00"/>
    <d v="2026-03-12T06:30:00"/>
    <d v="2026-03-12T08:30:00"/>
    <d v="1899-12-30T02:00:00"/>
  </r>
  <r>
    <n v="1014"/>
    <s v="J. PARDO"/>
    <d v="1899-12-30T16:30:00"/>
    <d v="2026-03-12T00:00:00"/>
    <x v="7"/>
    <s v="Puntual"/>
    <s v="Daño en rodillo desembobinador"/>
    <d v="1899-12-30T14:30:00"/>
    <d v="1899-12-30T21:00:00"/>
    <x v="126"/>
    <s v="Mecánica"/>
    <s v="Reparación chumacera de calibración de registro (de 14:30 a 16:30)_x000a_Calibración espigo porta clichets grafilado y aplicación trabarrosca_x000a_Desmontaje eje (16:30 a 17:00) _x000a_Porta rodillo loco desembobinador y fabricación de pieza soporte rodillo y montaje nuevamente quedando OK"/>
    <s v="NA"/>
    <s v="NA"/>
    <s v="L. CASTILLA"/>
    <x v="0"/>
    <d v="1899-12-30T06:30:00"/>
    <d v="2026-03-12T16:30:00"/>
    <d v="2026-03-12T21:00:00"/>
    <d v="1899-12-30T04:30:00"/>
  </r>
  <r>
    <n v="1015"/>
    <s v="J. PARDO"/>
    <d v="1899-12-30T10:30:00"/>
    <d v="2026-03-12T00:00:00"/>
    <x v="7"/>
    <s v="Puntual"/>
    <s v="Fuga de aceite"/>
    <d v="1899-12-30T11:00:00"/>
    <d v="1899-12-30T13:30:00"/>
    <x v="126"/>
    <s v="Mecánica"/>
    <s v="Se encuentra fuga en acople 1/8&quot; a 1/8&quot; de actuador hidraulico de unidad #2, se desmonta cople y se encuentra partido, se envio para compra, se instala y se entrega"/>
    <s v="1X MIPLE 1/8&quot; A 1/8&quot;"/>
    <s v="NA"/>
    <s v="D. BAUTISTA"/>
    <x v="0"/>
    <d v="1899-12-30T02:30:00"/>
    <d v="2026-03-12T10:30:00"/>
    <d v="2026-03-12T13:30:00"/>
    <d v="1899-12-30T03:00:00"/>
  </r>
  <r>
    <n v="1016"/>
    <s v="E. REYES"/>
    <d v="1899-12-30T23:10:00"/>
    <d v="2026-03-12T00:00:00"/>
    <x v="4"/>
    <s v="Puntual"/>
    <s v="Fotocelda no lee_x000a_Maquina se apaga_x000a_Tensor suelto"/>
    <d v="1899-12-30T02:40:00"/>
    <d v="1899-12-30T03:40:00"/>
    <x v="77"/>
    <s v="Eléctrica_x000a_Mecánica"/>
    <s v="Se congigura el variado se ajusta fotocelda correa tensor rodillo y queda OK"/>
    <s v="NA"/>
    <s v="NA"/>
    <s v="J. SILVA"/>
    <x v="0"/>
    <d v="1899-12-30T01:00:00"/>
    <d v="2026-03-12T23:10:00"/>
    <d v="2026-03-13T03:40:00"/>
    <d v="1899-12-30T04:30:00"/>
  </r>
  <r>
    <n v="1017"/>
    <m/>
    <m/>
    <m/>
    <x v="5"/>
    <m/>
    <m/>
    <m/>
    <m/>
    <x v="3"/>
    <m/>
    <m/>
    <m/>
    <m/>
    <m/>
    <x v="1"/>
    <d v="1899-12-30T00:00:00"/>
    <d v="1899-12-30T00:00:00"/>
    <d v="1899-12-30T00:00:00"/>
    <d v="1899-12-30T00:00:00"/>
  </r>
  <r>
    <n v="1018"/>
    <s v="E. REYES"/>
    <d v="1899-12-30T07:10:00"/>
    <d v="2026-03-16T00:00:00"/>
    <x v="4"/>
    <s v="Puntual"/>
    <s v="Se apaga constantemente"/>
    <d v="1899-12-30T07:20:00"/>
    <d v="1899-12-30T07:45:00"/>
    <x v="127"/>
    <s v="Eléctrica"/>
    <s v="Conector haciendo mal contacto en pantalla y se verifca soldadura y se trabajando OK"/>
    <s v="NA"/>
    <s v="NA"/>
    <s v="J. SILVA"/>
    <x v="2"/>
    <d v="1899-12-30T00:25:00"/>
    <d v="2026-03-16T07:10:00"/>
    <d v="2026-03-16T07:45:00"/>
    <d v="1899-12-30T00:35:00"/>
  </r>
  <r>
    <n v="1019"/>
    <s v="D.CUESTA"/>
    <d v="1899-12-30T03:20:00"/>
    <d v="2026-03-13T00:00:00"/>
    <x v="6"/>
    <s v="Puntual"/>
    <s v="Ajustar soporte del rodillo perforador para cuadrar perforadores"/>
    <d v="1899-12-30T03:25:00"/>
    <d v="1899-12-30T03:40:00"/>
    <x v="77"/>
    <s v="Mecánica"/>
    <s v="Se ajusta la caña y se coloca tornillo a la manija de giro queda OK"/>
    <s v="1X Tornillo M5 X 30 mm"/>
    <s v="NA"/>
    <s v="J. SILVA"/>
    <x v="0"/>
    <d v="1899-12-30T00:15:00"/>
    <d v="2026-03-13T03:20:00"/>
    <d v="2026-03-13T03:40:00"/>
    <d v="1899-12-30T00:20:00"/>
  </r>
  <r>
    <n v="1020"/>
    <s v="H. TRIANA"/>
    <d v="1899-12-30T04:30:00"/>
    <d v="2026-03-13T00:00:00"/>
    <x v="14"/>
    <s v="Puntual"/>
    <s v="Rodamiento del eje de embobinado dañado"/>
    <d v="1899-12-30T04:00:00"/>
    <d v="1899-12-30T07:20:00"/>
    <x v="77"/>
    <s v="Mecánica"/>
    <s v="Se realiza cambio de rodamiento 6005 2Z-C3"/>
    <s v="1X Rodamiento 6005 2Z-C3"/>
    <s v="NA"/>
    <s v="D. BAUTISTA"/>
    <x v="0"/>
    <d v="1899-12-30T03:20:00"/>
    <d v="2026-03-13T04:30:00"/>
    <d v="2026-03-13T07:20:00"/>
    <d v="1899-12-30T02:50:00"/>
  </r>
  <r>
    <n v="1021"/>
    <s v="D. CUESTA"/>
    <d v="1899-12-30T05:20:00"/>
    <d v="2026-03-13T00:00:00"/>
    <x v="6"/>
    <s v="Puntual"/>
    <s v="Falla en el transporte y el alimentador, se cae la barra al hacer el cambio"/>
    <d v="1899-12-30T05:21:00"/>
    <d v="1899-12-30T06:20:00"/>
    <x v="77"/>
    <s v="Mecánica"/>
    <s v="Se calibra transportador y se quitan alarmas de variador"/>
    <s v="NA"/>
    <s v="NA"/>
    <s v="D. BAUTISTA"/>
    <x v="0"/>
    <d v="1899-12-30T00:59:00"/>
    <d v="2026-03-13T05:20:00"/>
    <d v="2026-03-13T06:20:00"/>
    <d v="1899-12-30T01:00:00"/>
  </r>
  <r>
    <n v="1022"/>
    <s v="D. BUESACO"/>
    <d v="1899-12-30T13:25:00"/>
    <d v="2026-03-13T00:00:00"/>
    <x v="0"/>
    <s v="Repetitiva"/>
    <s v="Cuchilla"/>
    <d v="1899-12-30T14:15:00"/>
    <d v="1899-12-30T14:30:00"/>
    <x v="77"/>
    <s v="Mecánica"/>
    <s v="Se recibe turno con anomalia en maquina_x000a_Se presta apoyo para ajuste en cuchilla superior y calibración de tiempos"/>
    <s v="NA"/>
    <s v="NA"/>
    <s v="L. CASTILLA"/>
    <x v="0"/>
    <d v="1899-12-30T00:15:00"/>
    <d v="2026-03-13T13:25:00"/>
    <d v="2026-03-13T14:30:00"/>
    <d v="1899-12-30T01:05:00"/>
  </r>
  <r>
    <n v="1023"/>
    <s v="M. MARTINEZ"/>
    <d v="1899-12-30T17:00:00"/>
    <d v="2026-03-13T00:00:00"/>
    <x v="13"/>
    <s v="Puntual"/>
    <s v="Bolsa sale bloqueada y marcada por la cuchilla"/>
    <d v="1899-12-30T17:30:00"/>
    <d v="1899-12-30T19:30:00"/>
    <x v="77"/>
    <s v="Mecánica"/>
    <s v="Se presta apoyo para realizar ajuste en prensa, calibrar presiones en mordaza, se calibra cuchilla quedando OK"/>
    <s v="NA"/>
    <s v="NA"/>
    <s v="L. CASTILLA"/>
    <x v="0"/>
    <d v="1899-12-30T02:00:00"/>
    <d v="2026-03-13T17:00:00"/>
    <d v="2026-03-13T19:30:00"/>
    <d v="1899-12-30T02:30:00"/>
  </r>
  <r>
    <n v="1024"/>
    <m/>
    <m/>
    <m/>
    <x v="5"/>
    <m/>
    <m/>
    <m/>
    <m/>
    <x v="3"/>
    <m/>
    <m/>
    <m/>
    <m/>
    <m/>
    <x v="1"/>
    <d v="1899-12-30T00:00:00"/>
    <d v="1899-12-30T00:00:00"/>
    <d v="1899-12-30T00:00:00"/>
    <d v="1899-12-30T00:00:00"/>
  </r>
  <r>
    <n v="1025"/>
    <s v="S. BRICEÑO"/>
    <d v="1899-12-30T13:38:00"/>
    <d v="2026-03-14T00:00:00"/>
    <x v="7"/>
    <s v="Puntual"/>
    <s v="Rodamiento del seguro del embobinador se rompio"/>
    <m/>
    <m/>
    <x v="3"/>
    <m/>
    <m/>
    <m/>
    <m/>
    <m/>
    <x v="2"/>
    <d v="1899-12-30T00:00:00"/>
    <d v="2026-03-14T13:38:00"/>
    <d v="1899-12-30T00:00:00"/>
    <n v="-46095.568055555559"/>
  </r>
  <r>
    <n v="1026"/>
    <s v="M. MARTINEZ"/>
    <d v="1899-12-30T21:45:00"/>
    <d v="2026-03-14T00:00:00"/>
    <x v="0"/>
    <s v="Puntual"/>
    <s v="Se daña rodamiento de la prensa sobresalto en motor del transportador"/>
    <d v="1899-12-30T21:50:00"/>
    <d v="1899-12-30T02:00:00"/>
    <x v="128"/>
    <s v="Mecánica"/>
    <s v="Se evidencia que se sale rodamiento de rodillo transportador, se desmonta, se da ajuste, se busca y se cambia base de cadena del motor del transportador, se da ajuste de en rodamiento rodillo prensa, se lubrican se hace seguimiento durante el turno"/>
    <s v="NA"/>
    <s v="NA"/>
    <s v="O. DUARTE"/>
    <x v="0"/>
    <n v="-0.82638888888888884"/>
    <d v="2026-03-14T21:45:00"/>
    <d v="2026-03-15T02:00:00"/>
    <d v="1899-12-30T04:15:00"/>
  </r>
  <r>
    <n v="1027"/>
    <s v="E. REYES"/>
    <d v="1899-12-30T22:00:00"/>
    <d v="2026-03-14T00:00:00"/>
    <x v="2"/>
    <s v="Repetitiva"/>
    <s v="Se apaga el tablero repetidas ocasiones"/>
    <d v="1899-12-30T22:00:00"/>
    <d v="1899-12-30T05:45:00"/>
    <x v="128"/>
    <s v="Eléctrica"/>
    <s v="Se evidencia falso contacto en cable de datos apaga el equipo intermitentemente se realiza seguimiento durante el turno persiste el fallo"/>
    <s v="NA"/>
    <s v="NA"/>
    <s v="O. DUARTE"/>
    <x v="2"/>
    <n v="-0.67708333333333326"/>
    <d v="2026-03-14T22:00:00"/>
    <d v="2026-03-15T05:45:00"/>
    <d v="1899-12-30T07:45:00"/>
  </r>
  <r>
    <n v="1028"/>
    <s v="F. SANCHEZ"/>
    <d v="1899-12-30T05:45:00"/>
    <d v="2026-03-15T00:00:00"/>
    <x v="14"/>
    <s v="Puntual"/>
    <s v="Se para la maquina por falla en la rotación, se para"/>
    <d v="1899-12-30T06:10:00"/>
    <d v="1899-12-30T14:00:00"/>
    <x v="128"/>
    <s v="Mecánica"/>
    <s v="Rotación frenada limitando el giro dejando sin operación la maquina, se procede a desarme encontrando rodamiento con material y mal acoplado generando ajuste entre barril y eje de rotación, se realiza limpieza, se aplica grasa quedando OK"/>
    <s v="NA"/>
    <s v="Grasa"/>
    <s v="L. CASTILLA"/>
    <x v="0"/>
    <d v="1899-12-30T07:50:00"/>
    <d v="2026-03-15T05:45:00"/>
    <d v="2026-03-15T14:00:00"/>
    <d v="1899-12-30T08:15:00"/>
  </r>
  <r>
    <n v="1029"/>
    <m/>
    <m/>
    <m/>
    <x v="5"/>
    <m/>
    <m/>
    <m/>
    <m/>
    <x v="3"/>
    <m/>
    <m/>
    <m/>
    <m/>
    <m/>
    <x v="1"/>
    <d v="1899-12-30T00:00:00"/>
    <d v="1899-12-30T00:00:00"/>
    <d v="1899-12-30T00:00:00"/>
    <d v="1899-12-30T00:00:00"/>
  </r>
  <r>
    <n v="1030"/>
    <s v="J. PINZON"/>
    <d v="1899-12-30T07:40:00"/>
    <d v="2026-03-15T00:00:00"/>
    <x v="7"/>
    <s v="Puntual"/>
    <s v="Se ajusta eje de embobinado delantero (Torcido)"/>
    <d v="1899-12-30T07:40:00"/>
    <d v="1899-12-30T08:10:00"/>
    <x v="128"/>
    <s v="Mecánica"/>
    <s v="Se realiza ajuste a cadena de rodillo balancin freno dejandolo nivelado"/>
    <s v="NA"/>
    <s v="NA"/>
    <s v="L. CASTILLA"/>
    <x v="0"/>
    <d v="1899-12-30T00:30:00"/>
    <d v="2026-03-15T07:40:00"/>
    <d v="2026-03-15T08:10:00"/>
    <d v="1899-12-30T00:30:00"/>
  </r>
  <r>
    <n v="1031"/>
    <s v="H. TRIANA"/>
    <d v="1899-12-30T14:00:00"/>
    <d v="2026-03-15T00:00:00"/>
    <x v="14"/>
    <s v="Puntual"/>
    <s v="Bomba de vacio no chupa aire"/>
    <d v="1899-12-30T14:00:00"/>
    <d v="1899-12-30T21:00:00"/>
    <x v="128"/>
    <s v="Mecánica"/>
    <s v="Se encuentra blower con refile atascado, adicional a esto carcasa suelta con falta de tornillos_x000a_Se le olocan y se da ajuste queda operativa"/>
    <s v="NA"/>
    <s v="NA"/>
    <s v="O. DUARTE"/>
    <x v="0"/>
    <d v="1899-12-30T07:00:00"/>
    <d v="2026-03-15T14:00:00"/>
    <d v="2026-03-15T21:00:00"/>
    <d v="1899-12-30T07:00:00"/>
  </r>
  <r>
    <n v="1032"/>
    <s v="F. SANCHEZ"/>
    <d v="1899-12-30T06:30:00"/>
    <d v="2026-03-16T00:00:00"/>
    <x v="1"/>
    <s v="Puntual"/>
    <s v="Temperatura del molde no calienta"/>
    <d v="1899-12-30T07:00:00"/>
    <d v="1899-12-30T07:45:00"/>
    <x v="127"/>
    <s v="Eléctrica"/>
    <s v="Se realiza cambio de contactor de 18A de zona de molde "/>
    <s v="1X Contactor 18A"/>
    <s v="NA"/>
    <s v="D. BAUTISTA"/>
    <x v="0"/>
    <d v="1899-12-30T00:45:00"/>
    <d v="2026-03-16T06:30:00"/>
    <d v="2026-03-16T07:45:00"/>
    <d v="1899-12-30T01:15:00"/>
  </r>
  <r>
    <n v="1033"/>
    <m/>
    <m/>
    <m/>
    <x v="5"/>
    <m/>
    <m/>
    <m/>
    <m/>
    <x v="3"/>
    <m/>
    <m/>
    <m/>
    <m/>
    <m/>
    <x v="1"/>
    <d v="1899-12-30T00:00:00"/>
    <d v="1899-12-30T00:00:00"/>
    <d v="1899-12-30T00:00:00"/>
    <d v="1899-12-30T00:00:00"/>
  </r>
  <r>
    <n v="1034"/>
    <s v="E. REYES"/>
    <d v="1899-12-30T10:10:00"/>
    <d v="2026-03-16T00:00:00"/>
    <x v="4"/>
    <s v="Puntual"/>
    <s v="Paro de maquina"/>
    <d v="1899-12-30T10:10:00"/>
    <d v="1899-12-30T10:30:00"/>
    <x v="127"/>
    <s v="Eléctrica"/>
    <s v="Se da ajsute a conectores eléctricos y se aplica aire forzado a tarjeta quedando operativo en seguimiento"/>
    <s v="NA"/>
    <s v="NA"/>
    <s v="D. BAUTISTA"/>
    <x v="0"/>
    <d v="1899-12-30T00:20:00"/>
    <d v="2026-03-16T10:10:00"/>
    <d v="2026-03-16T10:30:00"/>
    <d v="1899-12-30T00:20:00"/>
  </r>
  <r>
    <n v="1035"/>
    <m/>
    <m/>
    <m/>
    <x v="5"/>
    <m/>
    <m/>
    <m/>
    <m/>
    <x v="3"/>
    <m/>
    <m/>
    <m/>
    <m/>
    <m/>
    <x v="1"/>
    <d v="1899-12-30T00:00:00"/>
    <d v="1899-12-30T00:00:00"/>
    <d v="1899-12-30T00:00:00"/>
    <d v="1899-12-30T00:00:00"/>
  </r>
  <r>
    <n v="1036"/>
    <m/>
    <m/>
    <m/>
    <x v="5"/>
    <m/>
    <m/>
    <m/>
    <m/>
    <x v="3"/>
    <m/>
    <m/>
    <m/>
    <m/>
    <m/>
    <x v="1"/>
    <d v="1899-12-30T00:00:00"/>
    <d v="1899-12-30T00:00:00"/>
    <d v="1899-12-30T00:00:00"/>
    <d v="1899-12-30T00:00:00"/>
  </r>
  <r>
    <n v="1037"/>
    <m/>
    <m/>
    <m/>
    <x v="5"/>
    <m/>
    <m/>
    <m/>
    <m/>
    <x v="3"/>
    <m/>
    <m/>
    <m/>
    <m/>
    <m/>
    <x v="1"/>
    <d v="1899-12-30T00:00:00"/>
    <d v="1899-12-30T00:00:00"/>
    <d v="1899-12-30T00:00:00"/>
    <d v="1899-12-30T00:00:00"/>
  </r>
  <r>
    <n v="1038"/>
    <m/>
    <m/>
    <m/>
    <x v="5"/>
    <m/>
    <m/>
    <m/>
    <m/>
    <x v="3"/>
    <m/>
    <m/>
    <m/>
    <m/>
    <m/>
    <x v="1"/>
    <d v="1899-12-30T00:00:00"/>
    <d v="1899-12-30T00:00:00"/>
    <d v="1899-12-30T00:00:00"/>
    <d v="1899-12-30T00:00:00"/>
  </r>
  <r>
    <n v="1039"/>
    <m/>
    <m/>
    <m/>
    <x v="5"/>
    <m/>
    <m/>
    <m/>
    <m/>
    <x v="3"/>
    <m/>
    <m/>
    <m/>
    <m/>
    <m/>
    <x v="1"/>
    <d v="1899-12-30T00:00:00"/>
    <d v="1899-12-30T00:00:00"/>
    <d v="1899-12-30T00:00:00"/>
    <d v="1899-12-30T00:00:00"/>
  </r>
  <r>
    <n v="1040"/>
    <m/>
    <m/>
    <m/>
    <x v="5"/>
    <m/>
    <m/>
    <m/>
    <m/>
    <x v="3"/>
    <m/>
    <m/>
    <m/>
    <m/>
    <m/>
    <x v="1"/>
    <d v="1899-12-30T00:00:00"/>
    <d v="1899-12-30T00:00:00"/>
    <d v="1899-12-30T00:00:00"/>
    <d v="1899-12-30T00:00:00"/>
  </r>
  <r>
    <n v="1041"/>
    <m/>
    <m/>
    <m/>
    <x v="5"/>
    <m/>
    <m/>
    <m/>
    <m/>
    <x v="3"/>
    <m/>
    <m/>
    <m/>
    <m/>
    <m/>
    <x v="1"/>
    <d v="1899-12-30T00:00:00"/>
    <d v="1899-12-30T00:00:00"/>
    <d v="1899-12-30T00:00:00"/>
    <d v="1899-12-30T00:00:00"/>
  </r>
  <r>
    <n v="1042"/>
    <m/>
    <m/>
    <m/>
    <x v="5"/>
    <m/>
    <m/>
    <m/>
    <m/>
    <x v="3"/>
    <m/>
    <m/>
    <m/>
    <m/>
    <m/>
    <x v="1"/>
    <d v="1899-12-30T00:00:00"/>
    <d v="1899-12-30T00:00:00"/>
    <d v="1899-12-30T00:00:00"/>
    <d v="1899-12-30T00:00:00"/>
  </r>
  <r>
    <n v="1043"/>
    <s v="J. PARDO"/>
    <d v="1899-12-30T21:30:00"/>
    <d v="2026-03-17T00:00:00"/>
    <x v="7"/>
    <s v="Puntual"/>
    <s v="Ajuste de registros y trinquetes"/>
    <d v="1899-12-30T21:30:00"/>
    <d v="1899-12-30T22:00:00"/>
    <x v="129"/>
    <s v="Mecánica"/>
    <s v="Se ajustan y se instalan 2 registros los cuales tienen tornilleria suelta, y se instalan 2 resortes a los trinquetes de 2 piñones_x000a_No se genera parada"/>
    <s v="Resortes"/>
    <s v="NA"/>
    <s v="D. BAUTISTA"/>
    <x v="0"/>
    <d v="1899-12-30T00:30:00"/>
    <d v="2026-03-17T21:30:00"/>
    <d v="2026-03-17T22:00:00"/>
    <d v="1899-12-30T00:30:00"/>
  </r>
  <r>
    <n v="1044"/>
    <s v="J. PARDO"/>
    <d v="1899-12-30T22:00:00"/>
    <d v="2026-03-17T00:00:00"/>
    <x v="7"/>
    <s v="Puntual"/>
    <s v="Nivel de aceite hidraulico bajo"/>
    <d v="1899-12-30T22:00:00"/>
    <d v="1899-12-30T22:20:00"/>
    <x v="129"/>
    <s v="Mecánica"/>
    <s v="Se adiciona aceite hidraulico a deposito de aceite de bomba hidraulica por bajo nivel"/>
    <s v="NA"/>
    <s v="Aceite"/>
    <s v="D. BAUTISTA"/>
    <x v="0"/>
    <d v="1899-12-30T00:20:00"/>
    <d v="2026-03-17T22:00:00"/>
    <d v="2026-03-17T22:20:00"/>
    <d v="1899-12-30T00:20:00"/>
  </r>
  <r>
    <n v="1045"/>
    <s v="J. MIRANDA"/>
    <d v="1899-12-30T18:00:00"/>
    <d v="2026-03-17T00:00:00"/>
    <x v="25"/>
    <s v="Puntual"/>
    <s v="Tornillo partido en el soporte de los precortes"/>
    <d v="1899-12-30T18:00:00"/>
    <d v="1899-12-30T18:30:00"/>
    <x v="129"/>
    <s v="Mecánica"/>
    <s v="Se extrae partido y se instala uno en mordaza de cuchilla M8 X 30 mm"/>
    <s v="1X Tornillo M8 X 30 mm"/>
    <s v="NA"/>
    <s v="D. BAUTISTA"/>
    <x v="0"/>
    <d v="1899-12-30T00:30:00"/>
    <d v="2026-03-17T18:00:00"/>
    <d v="2026-03-17T18:30:00"/>
    <d v="1899-12-30T00:30:00"/>
  </r>
  <r>
    <n v="1046"/>
    <s v="O. VALENCIA"/>
    <d v="1899-12-30T07:40:00"/>
    <d v="2026-03-18T00:00:00"/>
    <x v="23"/>
    <s v="Puntual"/>
    <s v="Motor tolva en revoluciones bajas"/>
    <d v="1899-12-30T07:40:00"/>
    <d v="1899-12-30T08:10:00"/>
    <x v="130"/>
    <s v="Eléctrica"/>
    <s v="Se verifican parametros del P-01 hasta P-014 y se ajustan algunos según manual de programación quedando OK"/>
    <s v="NA"/>
    <s v="NA"/>
    <s v="L. CASTILLA"/>
    <x v="0"/>
    <d v="1899-12-30T00:30:00"/>
    <d v="2026-03-18T07:40:00"/>
    <d v="2026-03-18T08:10:00"/>
    <d v="1899-12-30T00:30:00"/>
  </r>
  <r>
    <n v="1047"/>
    <m/>
    <m/>
    <m/>
    <x v="5"/>
    <m/>
    <m/>
    <m/>
    <m/>
    <x v="3"/>
    <m/>
    <m/>
    <m/>
    <m/>
    <m/>
    <x v="1"/>
    <d v="1899-12-30T00:00:00"/>
    <d v="1899-12-30T00:00:00"/>
    <d v="1899-12-30T00:00:00"/>
    <d v="1899-12-30T00:00:00"/>
  </r>
  <r>
    <n v="1048"/>
    <m/>
    <m/>
    <m/>
    <x v="5"/>
    <m/>
    <m/>
    <m/>
    <m/>
    <x v="3"/>
    <m/>
    <m/>
    <m/>
    <m/>
    <m/>
    <x v="1"/>
    <d v="1899-12-30T00:00:00"/>
    <d v="1899-12-30T00:00:00"/>
    <d v="1899-12-30T00:00:00"/>
    <d v="1899-12-30T00:00:00"/>
  </r>
  <r>
    <n v="1049"/>
    <m/>
    <m/>
    <m/>
    <x v="5"/>
    <m/>
    <m/>
    <m/>
    <m/>
    <x v="3"/>
    <m/>
    <m/>
    <m/>
    <m/>
    <m/>
    <x v="1"/>
    <d v="1899-12-30T00:00:00"/>
    <d v="1899-12-30T00:00:00"/>
    <d v="1899-12-30T00:00:00"/>
    <d v="1899-12-30T00:00:00"/>
  </r>
  <r>
    <n v="1050"/>
    <m/>
    <m/>
    <m/>
    <x v="5"/>
    <m/>
    <m/>
    <m/>
    <m/>
    <x v="3"/>
    <m/>
    <m/>
    <m/>
    <m/>
    <m/>
    <x v="1"/>
    <d v="1899-12-30T00:00:00"/>
    <d v="1899-12-30T00:00:00"/>
    <d v="1899-12-30T00:00:00"/>
    <d v="1899-12-30T00:00:00"/>
  </r>
  <r>
    <n v="1051"/>
    <s v="H. TRIANA"/>
    <d v="1899-12-30T18:30:00"/>
    <d v="2026-03-18T00:00:00"/>
    <x v="14"/>
    <s v="Puntual"/>
    <s v="Falla en cuenta metros"/>
    <d v="1899-12-30T18:30:00"/>
    <d v="1899-12-30T19:30:00"/>
    <x v="130"/>
    <s v="Eléctrica"/>
    <s v="Cuenta metros con conexión inestable, se rectifica y queda OK"/>
    <s v="NA"/>
    <s v="NA"/>
    <s v="J. SILVA"/>
    <x v="0"/>
    <d v="1899-12-30T01:00:00"/>
    <d v="2026-03-18T18:30:00"/>
    <d v="2026-03-18T19:30:00"/>
    <d v="1899-12-30T01:00:00"/>
  </r>
  <r>
    <n v="1052"/>
    <s v="H. TRIANA"/>
    <d v="1899-12-30T05:50:00"/>
    <d v="2026-03-18T00:00:00"/>
    <x v="14"/>
    <s v="Puntual"/>
    <s v="Manguera del aire corona rota"/>
    <d v="1899-12-30T04:55:00"/>
    <d v="1899-12-30T06:55:00"/>
    <x v="95"/>
    <s v="Neúmatica"/>
    <s v="Se quita el pedazo dañado ya que no se cuenta con el pedazo completo Quedo OK"/>
    <s v="NA"/>
    <s v="NA"/>
    <s v="J. SILVA"/>
    <x v="0"/>
    <d v="1899-12-30T02:00:00"/>
    <d v="2026-03-18T05:50:00"/>
    <d v="2026-03-20T06:55:00"/>
    <d v="1900-01-01T01:05:00"/>
  </r>
  <r>
    <n v="1053"/>
    <s v="A. ROVIRA"/>
    <d v="1899-12-30T21:20:00"/>
    <d v="2026-03-18T00:00:00"/>
    <x v="9"/>
    <s v="Puntual"/>
    <s v="No embobina"/>
    <d v="1899-12-30T22:10:00"/>
    <d v="1899-12-30T23:20:00"/>
    <x v="130"/>
    <s v="Eléctrica"/>
    <s v="Cambio de fusibles por daño"/>
    <s v="Fusibles 16A #3"/>
    <s v="NA"/>
    <s v="J. SILVA"/>
    <x v="0"/>
    <d v="1899-12-30T01:10:00"/>
    <d v="2026-03-18T21:20:00"/>
    <d v="2026-03-18T23:20:00"/>
    <d v="1899-12-30T02:00:00"/>
  </r>
  <r>
    <n v="1054"/>
    <s v="D. ARRIETA"/>
    <d v="1899-12-30T09:20:00"/>
    <d v="2026-03-19T00:00:00"/>
    <x v="7"/>
    <s v="Puntual"/>
    <s v="Falta de lampara o iluminación en la unidad #3 y #4"/>
    <m/>
    <m/>
    <x v="3"/>
    <m/>
    <m/>
    <m/>
    <m/>
    <m/>
    <x v="2"/>
    <d v="1899-12-30T00:00:00"/>
    <d v="2026-03-19T09:20:00"/>
    <d v="1899-12-30T00:00:00"/>
    <n v="-46100.388888888891"/>
  </r>
  <r>
    <n v="1055"/>
    <s v="M. PINZON"/>
    <d v="1899-12-30T07:00:00"/>
    <d v="2026-03-19T00:00:00"/>
    <x v="24"/>
    <s v="Puntual"/>
    <s v="Solicitud de repuestos para corta core pera, teflon, eje de la cuchilla"/>
    <m/>
    <m/>
    <x v="3"/>
    <m/>
    <m/>
    <m/>
    <m/>
    <m/>
    <x v="2"/>
    <d v="1899-12-30T00:00:00"/>
    <d v="2026-03-19T07:00:00"/>
    <d v="1899-12-30T00:00:00"/>
    <n v="-46100.291666666664"/>
  </r>
  <r>
    <n v="1056"/>
    <s v="E. REYES"/>
    <d v="1899-12-30T10:30:00"/>
    <d v="2026-03-19T00:00:00"/>
    <x v="13"/>
    <s v="Puntual"/>
    <s v="Prensa no ajusta la bolsa"/>
    <d v="1899-12-30T10:30:00"/>
    <d v="1899-12-30T11:00:00"/>
    <x v="131"/>
    <s v="Mecánica"/>
    <s v="Se apoya a cuadre de material de prensa, se realiza seguimiento y queda en operación"/>
    <s v="NA"/>
    <s v="NA"/>
    <s v="D. BAUTISTA"/>
    <x v="0"/>
    <d v="1899-12-30T00:30:00"/>
    <d v="2026-03-19T10:30:00"/>
    <d v="2026-03-19T11:00:00"/>
    <d v="1899-12-30T00:30:00"/>
  </r>
  <r>
    <n v="1057"/>
    <s v="E. REYES"/>
    <d v="1899-12-30T22:00:00"/>
    <d v="2026-04-02T00:00:00"/>
    <x v="4"/>
    <s v="Puntual"/>
    <s v="Maquina se apaga_x000a_Daño en la temperatura"/>
    <d v="1899-12-30T22:00:00"/>
    <d v="1899-12-30T04:00:00"/>
    <x v="132"/>
    <s v="Eléctrica"/>
    <s v="Se hace revisión de equipo, se ajusta componentes, se hace seguimiento durante el turno"/>
    <s v="NA"/>
    <s v="NA"/>
    <s v="O. DUARTE"/>
    <x v="0"/>
    <n v="-0.75"/>
    <d v="2026-04-02T22:00:00"/>
    <d v="2026-04-03T04:00:00"/>
    <d v="1899-12-30T06:00:00"/>
  </r>
  <r>
    <n v="1058"/>
    <s v="D. CUESTA"/>
    <d v="1899-12-30T07:30:00"/>
    <d v="2026-03-20T00:00:00"/>
    <x v="6"/>
    <s v="Puntual"/>
    <s v="Octagon no funciona"/>
    <d v="1899-12-30T07:40:00"/>
    <d v="1899-12-30T09:00:00"/>
    <x v="95"/>
    <s v="Eléctrica"/>
    <s v="Se reconfigura IP, se configuran parametros, el equipo esta molestando, se requiere servicio tecnico"/>
    <s v="NA"/>
    <s v="NA"/>
    <s v="J. SILVA"/>
    <x v="0"/>
    <d v="1899-12-30T01:20:00"/>
    <d v="2026-03-20T07:30:00"/>
    <d v="2026-03-20T09:00:00"/>
    <d v="1899-12-30T01:30:00"/>
  </r>
  <r>
    <n v="1059"/>
    <s v="A. ROVIRA"/>
    <d v="1899-12-30T19:15:00"/>
    <d v="2026-03-20T00:00:00"/>
    <x v="10"/>
    <s v="Puntual"/>
    <s v="Bloqueada donde coloca rollo"/>
    <d v="1899-12-30T19:15:00"/>
    <d v="1899-12-30T19:30:00"/>
    <x v="95"/>
    <s v="Eléctrica"/>
    <s v="Se revisa muletilla de accionamiento, se da ajuste y queda en operación"/>
    <s v="NA"/>
    <s v="NA"/>
    <s v="D. BAUTISTA"/>
    <x v="0"/>
    <d v="1899-12-30T00:15:00"/>
    <d v="2026-03-20T19:15:00"/>
    <d v="2026-03-20T19:30:00"/>
    <d v="1899-12-30T00:15:00"/>
  </r>
  <r>
    <n v="1060"/>
    <s v="D. ARRIETA"/>
    <d v="1899-12-30T23:29:00"/>
    <d v="2026-03-20T00:00:00"/>
    <x v="7"/>
    <s v="Puntual"/>
    <s v="Rodamiento de seguro de eje del embobinador "/>
    <d v="1899-12-30T23:30:00"/>
    <d v="1899-12-30T23:45:00"/>
    <x v="95"/>
    <s v="Mecánica"/>
    <s v="Se cambia rodamiento de eje para dar mas ajuste y balanceo"/>
    <s v="1X Rodamiento 6207 C3"/>
    <s v="NA"/>
    <s v="O. DUARTE"/>
    <x v="0"/>
    <d v="1899-12-30T00:15:00"/>
    <d v="2026-03-20T23:29:00"/>
    <d v="2026-03-20T23:45:00"/>
    <d v="1899-12-30T00:16:00"/>
  </r>
  <r>
    <n v="1061"/>
    <s v="S. PATIÑO"/>
    <d v="1899-12-30T07:40:00"/>
    <d v="2026-03-21T00:00:00"/>
    <x v="14"/>
    <s v="Puntual"/>
    <s v="Zona del molde no sube de temperatura y el porta mallas esta en corto"/>
    <d v="1899-12-30T07:48:00"/>
    <d v="1899-12-30T09:00:00"/>
    <x v="133"/>
    <s v="Eléctrica"/>
    <s v="Cambio de termocupla para las resistencias de la rotación y cambio de SSR para daño en el portamallas, tornillo exterior"/>
    <s v="1X Relé estado solido (SSR)_x000a_1X Termocupla bulbo tipo J"/>
    <s v="NA"/>
    <s v="J. SILVA"/>
    <x v="0"/>
    <d v="1899-12-30T01:12:00"/>
    <d v="2026-03-21T07:40:00"/>
    <d v="2026-03-21T09:00:00"/>
    <d v="1899-12-30T01:20:00"/>
  </r>
  <r>
    <n v="1062"/>
    <s v="E. REYES"/>
    <d v="1899-12-30T10:30:00"/>
    <d v="2026-03-21T00:00:00"/>
    <x v="4"/>
    <s v="Puntual"/>
    <s v="Barra de perforadores partida"/>
    <m/>
    <m/>
    <x v="3"/>
    <m/>
    <m/>
    <m/>
    <m/>
    <m/>
    <x v="2"/>
    <d v="1899-12-30T00:00:00"/>
    <d v="2026-03-21T10:30:00"/>
    <d v="1899-12-30T00:00:00"/>
    <n v="-46102.4375"/>
  </r>
  <r>
    <n v="1063"/>
    <s v="Y. VAZQUEZ"/>
    <d v="1899-12-30T11:25:00"/>
    <d v="2026-03-21T00:00:00"/>
    <x v="24"/>
    <s v="Puntual"/>
    <s v="Tornillo de ajuste de manzana de la cortadora de cores"/>
    <d v="1899-12-30T11:30:00"/>
    <d v="1899-12-30T13:49:00"/>
    <x v="133"/>
    <s v="Mecánica"/>
    <s v="Rectificación de rosca tornillo de ajuste manzana"/>
    <s v="NA"/>
    <s v="NA"/>
    <s v="J. SILVA"/>
    <x v="0"/>
    <d v="1899-12-30T02:19:00"/>
    <d v="2026-03-21T11:25:00"/>
    <d v="2026-03-21T13:49:00"/>
    <d v="1899-12-30T02:24:00"/>
  </r>
  <r>
    <n v="1064"/>
    <s v="J. PARDO"/>
    <d v="1899-12-30T13:00:00"/>
    <d v="2026-03-21T00:00:00"/>
    <x v="7"/>
    <s v="Puntual"/>
    <s v="Daño en rodamiento embobinador"/>
    <d v="1899-12-30T13:00:00"/>
    <d v="1899-12-30T13:50:00"/>
    <x v="133"/>
    <s v="Mecánica"/>
    <s v="Se le adapata rodamiento ya que el brazo tiene mucha carga"/>
    <s v="1X Rodamiento 6305"/>
    <s v="NA"/>
    <s v="J. SILVA"/>
    <x v="0"/>
    <d v="1899-12-30T00:50:00"/>
    <d v="2026-03-21T13:00:00"/>
    <d v="2026-03-21T13:50:00"/>
    <d v="1899-12-30T00:50:00"/>
  </r>
  <r>
    <n v="1065"/>
    <s v="J. RIVERO"/>
    <d v="1899-12-30T19:25:00"/>
    <d v="2026-03-21T00:00:00"/>
    <x v="7"/>
    <s v="Repetitiva"/>
    <s v="Motor del embobinador"/>
    <d v="1899-12-30T19:30:00"/>
    <d v="1899-12-30T20:10:00"/>
    <x v="133"/>
    <s v="Mecánica"/>
    <s v="Seguidor de leva malobrado y rodamiento no adecuado los que ajustaba el eje embobinador bloqueando embobinador, se realiza cambio de rodamiento y cambio de seguidor de leva quedando OK"/>
    <s v="1X Rodamiento 3202 - BD - XL - 2HRS - TVH"/>
    <s v="NA"/>
    <s v="L. CASTILLA"/>
    <x v="0"/>
    <d v="1899-12-30T00:40:00"/>
    <d v="2026-03-21T19:25:00"/>
    <d v="2026-03-21T20:10:00"/>
    <d v="1899-12-30T00:45:00"/>
  </r>
  <r>
    <n v="1066"/>
    <s v="H. TRIANA"/>
    <d v="1899-12-30T01:00:00"/>
    <d v="2026-03-22T00:00:00"/>
    <x v="14"/>
    <s v="Puntual"/>
    <s v="Se dañan huecos de tornillos bristol de la pera del eje embobinador"/>
    <d v="1899-12-30T01:00:00"/>
    <d v="1899-12-30T01:20:00"/>
    <x v="134"/>
    <s v="Mecánica"/>
    <s v="Se rectifican roscas M10 de agujeris de la pera para instalar los prisioneros M10 X 20 m, se entrega al operario _x000a_No se genero parada de maquina"/>
    <s v="1X Prisionero M10 X 20 mm"/>
    <s v="NA"/>
    <s v="D. BAUTISTA"/>
    <x v="0"/>
    <d v="1899-12-30T00:20:00"/>
    <d v="2026-03-22T01:00:00"/>
    <d v="2026-03-22T01:20:00"/>
    <d v="1899-12-30T00:20:00"/>
  </r>
  <r>
    <n v="1067"/>
    <m/>
    <m/>
    <m/>
    <x v="5"/>
    <m/>
    <m/>
    <m/>
    <m/>
    <x v="3"/>
    <m/>
    <m/>
    <m/>
    <m/>
    <m/>
    <x v="1"/>
    <d v="1899-12-30T00:00:00"/>
    <d v="1899-12-30T00:00:00"/>
    <d v="1899-12-30T00:00:00"/>
    <d v="1899-12-30T00:00:00"/>
  </r>
  <r>
    <n v="1068"/>
    <m/>
    <m/>
    <m/>
    <x v="5"/>
    <m/>
    <m/>
    <m/>
    <m/>
    <x v="3"/>
    <m/>
    <m/>
    <m/>
    <m/>
    <m/>
    <x v="1"/>
    <d v="1899-12-30T00:00:00"/>
    <d v="1899-12-30T00:00:00"/>
    <d v="1899-12-30T00:00:00"/>
    <d v="1899-12-30T00:00:00"/>
  </r>
  <r>
    <n v="1069"/>
    <s v="S. PATIÑO"/>
    <d v="1899-12-30T04:00:00"/>
    <d v="2026-03-23T00:00:00"/>
    <x v="6"/>
    <s v="Puntual"/>
    <s v="Valvula de aire de la barra del embobinador A se afloja y se fuga el aire, provocando telescopiado del rollo"/>
    <d v="1899-12-30T04:00:00"/>
    <d v="1899-12-30T04:30:00"/>
    <x v="135"/>
    <s v="Neúmatica"/>
    <s v="Se da ajuste a valvula neúmatica"/>
    <s v="NA"/>
    <s v="NA"/>
    <s v="D. BAUTISTA"/>
    <x v="0"/>
    <d v="1899-12-30T00:30:00"/>
    <d v="2026-03-23T04:00:00"/>
    <d v="2026-03-23T04:30:00"/>
    <d v="1899-12-30T00:30:00"/>
  </r>
  <r>
    <n v="1070"/>
    <s v="J. RIVERO"/>
    <d v="1899-12-30T02:00:00"/>
    <d v="2026-03-23T00:00:00"/>
    <x v="7"/>
    <s v="Puntual"/>
    <s v="Cambio y ajuste de mordaza de calefacción de lampara"/>
    <m/>
    <m/>
    <x v="3"/>
    <m/>
    <m/>
    <m/>
    <m/>
    <m/>
    <x v="1"/>
    <d v="1899-12-30T00:00:00"/>
    <d v="2026-03-23T02:00:00"/>
    <d v="1899-12-30T00:00:00"/>
    <n v="-46104.083333333336"/>
  </r>
  <r>
    <n v="1071"/>
    <s v="H. TRIANA"/>
    <d v="1899-12-30T08:35:00"/>
    <d v="2026-03-23T00:00:00"/>
    <x v="14"/>
    <s v="Puntual"/>
    <s v="Ventilador de la corona traquea"/>
    <d v="1899-12-30T08:30:00"/>
    <d v="1899-12-30T09:00:00"/>
    <x v="135"/>
    <s v="Eléctrica"/>
    <s v="Se revisa y el ventilador del motor estaba mal posicionado se ajusta quedando OK"/>
    <s v="NA"/>
    <s v="NA"/>
    <s v="J. SILVA"/>
    <x v="0"/>
    <d v="1899-12-30T00:30:00"/>
    <d v="2026-03-23T08:35:00"/>
    <d v="2026-03-23T09:00:00"/>
    <d v="1899-12-30T00:25:00"/>
  </r>
  <r>
    <n v="1072"/>
    <s v="W. SANDOVAL"/>
    <d v="1899-12-30T08:25:00"/>
    <d v="2026-03-23T00:00:00"/>
    <x v="17"/>
    <s v="Puntual"/>
    <s v="Cambio de pisador y revisión de mangueras de los ejes embobinadores "/>
    <d v="1899-12-30T08:25:00"/>
    <d v="1899-12-30T17:30:00"/>
    <x v="135"/>
    <s v="Mecánica"/>
    <s v="Se hace cambio y revisión de mangueras felpa corrida y deteriorada, se hace ajuste seguimiento en el turno"/>
    <s v="NA"/>
    <s v="NA"/>
    <s v="O. DUARTE"/>
    <x v="0"/>
    <d v="1899-12-30T09:05:00"/>
    <d v="2026-03-23T08:25:00"/>
    <d v="2026-03-23T17:30:00"/>
    <d v="1899-12-30T09:05:00"/>
  </r>
  <r>
    <n v="1073"/>
    <s v="M. MARTINEZ"/>
    <d v="1899-12-30T11:30:00"/>
    <d v="2026-03-23T00:00:00"/>
    <x v="4"/>
    <s v="Puntual"/>
    <s v="Maquina se apaga_x000a_Se reompe tornillo rodillo"/>
    <d v="1899-12-30T11:30:00"/>
    <d v="1899-12-30T12:30:00"/>
    <x v="135"/>
    <s v="Eléctrica_x000a_Mecánica"/>
    <s v="Se cambia tornillo y se da ajuste_x000a_Se revisa conexión tablero se ajustan terminales, se hace seguimiento durante el turno_x000a_Falla en pantalla"/>
    <s v="1X M8 X 20 mm"/>
    <s v="NA"/>
    <s v="O. DUARTE"/>
    <x v="0"/>
    <d v="1899-12-30T01:00:00"/>
    <d v="2026-03-23T11:30:00"/>
    <d v="2026-03-23T12:30:00"/>
    <d v="1899-12-30T01:00:00"/>
  </r>
  <r>
    <n v="1074"/>
    <s v="M. MARTINEZ"/>
    <d v="1899-12-30T07:30:00"/>
    <d v="2026-03-24T00:00:00"/>
    <x v="0"/>
    <s v="Puntual"/>
    <s v="Se suelta correa"/>
    <d v="1899-12-30T07:30:00"/>
    <d v="1899-12-30T08:00:00"/>
    <x v="136"/>
    <s v="Mecánica"/>
    <s v="Se da tensión a correa de transmisión de halador"/>
    <s v="NA"/>
    <s v="NA"/>
    <s v="D. BAUTISTA"/>
    <x v="0"/>
    <d v="1899-12-30T00:30:00"/>
    <d v="2026-03-24T07:30:00"/>
    <d v="2026-03-24T08:00:00"/>
    <d v="1899-12-30T00:30:00"/>
  </r>
  <r>
    <n v="1075"/>
    <s v="F. SANCHEZ"/>
    <d v="1899-12-30T03:10:00"/>
    <d v="2026-03-24T00:00:00"/>
    <x v="14"/>
    <s v="Puntual"/>
    <s v="Tratador se baja la potencia esta en la maxima"/>
    <d v="1899-12-30T03:10:00"/>
    <d v="1899-12-30T08:25:00"/>
    <x v="136"/>
    <s v="Eléctrica"/>
    <s v="Se realiza inspección visualmente en mangas no se encuentra anomalia pero el tratador baja y sube de potencia_x000a_Se recomienda programar revisión"/>
    <s v="NA"/>
    <s v="NA"/>
    <s v="L. CASTILLA"/>
    <x v="2"/>
    <d v="1899-12-30T05:15:00"/>
    <d v="2026-03-24T03:10:00"/>
    <d v="2026-03-24T08:25:00"/>
    <d v="1899-12-30T05:15:00"/>
  </r>
  <r>
    <n v="1076"/>
    <s v="S. PATIÑO"/>
    <d v="1899-12-30T09:05:00"/>
    <d v="2026-03-24T00:00:00"/>
    <x v="8"/>
    <s v="Puntual"/>
    <s v="Motor del ventilador no enciende"/>
    <d v="1899-12-30T09:05:00"/>
    <d v="1899-12-30T09:20:00"/>
    <x v="136"/>
    <s v="Eléctrica_x000a_Mecánica"/>
    <s v="Se realizo inspección de circuito de control de enclavamiento del blower corona, se encuentra contacto NC abierto, se realizo el cambio y si entrega operativo"/>
    <s v="NA"/>
    <s v="NA"/>
    <s v="D. BAUTISTA"/>
    <x v="0"/>
    <d v="1899-12-30T00:15:00"/>
    <d v="2026-03-24T09:05:00"/>
    <d v="2026-03-24T09:20:00"/>
    <d v="1899-12-30T00:15:00"/>
  </r>
  <r>
    <n v="1077"/>
    <s v="E. REYES"/>
    <d v="1899-12-30T15:00:00"/>
    <d v="2026-03-24T00:00:00"/>
    <x v="4"/>
    <s v="Puntual"/>
    <s v="Correa del transportador"/>
    <d v="1899-12-30T15:00:00"/>
    <d v="1899-12-30T16:00:00"/>
    <x v="136"/>
    <s v="Mecánica"/>
    <s v="Se encuentra correa de transmisión de mordaza partida, referencia 240L, se realiza instalación y se entrega operativa"/>
    <s v="1X Correa 240L"/>
    <s v="NA"/>
    <s v="D. BAUTISTA"/>
    <x v="0"/>
    <d v="1899-12-30T01:00:00"/>
    <d v="2026-03-24T15:00:00"/>
    <d v="2026-03-24T16:00:00"/>
    <d v="1899-12-30T01:00:00"/>
  </r>
  <r>
    <n v="1078"/>
    <s v="E. REYES"/>
    <d v="1899-12-30T19:10:00"/>
    <d v="2026-03-24T00:00:00"/>
    <x v="4"/>
    <s v="Puntual"/>
    <s v="Ajuste de cilindro_x000a_Cuadre de varilla"/>
    <d v="1899-12-30T19:10:00"/>
    <d v="1899-12-30T19:25:00"/>
    <x v="136"/>
    <s v="Mecánica"/>
    <s v="Se calibra varillas y se hace reposición tornillos M8 X 30 mm quedando Ok"/>
    <s v="3X Tornillos M8 X 30 mm"/>
    <s v="NA"/>
    <s v="L. CASTILLA"/>
    <x v="0"/>
    <d v="1899-12-30T00:15:00"/>
    <d v="2026-03-24T19:10:00"/>
    <d v="2026-03-24T19:25:00"/>
    <d v="1899-12-30T00:15:00"/>
  </r>
  <r>
    <n v="1079"/>
    <s v="D. ARRIETA"/>
    <d v="1899-12-30T01:43:00"/>
    <d v="2026-03-25T00:00:00"/>
    <x v="7"/>
    <s v="Puntual"/>
    <s v="Rodamiento de desembobinador"/>
    <d v="1899-12-30T01:45:00"/>
    <d v="1899-12-30T02:00:00"/>
    <x v="137"/>
    <s v="Neúmatica"/>
    <s v="Se grafila espigo portacliches y cambio de seguidor de leva desembobinador"/>
    <m/>
    <s v="NA"/>
    <s v="L. CASTILLA"/>
    <x v="2"/>
    <d v="1899-12-30T00:15:00"/>
    <d v="2026-03-25T01:43:00"/>
    <d v="2026-03-25T02:00:00"/>
    <d v="1899-12-30T00:17:00"/>
  </r>
  <r>
    <n v="1080"/>
    <s v="J. VASQUEZ "/>
    <d v="1899-12-30T01:00:00"/>
    <d v="2026-03-25T00:00:00"/>
    <x v="11"/>
    <s v="Puntual"/>
    <s v="Se daña cadena de la corta cores"/>
    <d v="1899-12-30T02:40:00"/>
    <d v="1899-12-30T03:00:00"/>
    <x v="137"/>
    <s v="Mecánica"/>
    <s v="Se pierde rosca, se coloca tuerca para remplazar rosca quedando OK_x000a__x000a_Nota:Se recomienda fabircar corona para cortacore"/>
    <s v="1X Tuerca"/>
    <s v="NA"/>
    <s v="L. CASTILLA"/>
    <x v="0"/>
    <d v="1899-12-30T00:20:00"/>
    <d v="2026-03-25T01:00:00"/>
    <d v="2026-03-25T03:00:00"/>
    <d v="1899-12-30T02:00:00"/>
  </r>
  <r>
    <n v="1081"/>
    <s v="J. RIVERO"/>
    <d v="1899-12-30T06:20:00"/>
    <d v="2026-03-25T00:00:00"/>
    <x v="7"/>
    <s v="Puntual"/>
    <s v="Eje de rodillo de entrada de material (Rollo ) Rodillo #1"/>
    <d v="1899-12-30T06:25:00"/>
    <d v="1899-12-30T08:00:00"/>
    <x v="137"/>
    <s v="Mecánica"/>
    <s v="Se repara eje, se desencaja del soporte se colocan, tornillos se coloca abrazadera para que no se devuelva, queda provisional funcionamiento OK"/>
    <s v="NA"/>
    <s v="NA"/>
    <s v="J. SILVA"/>
    <x v="0"/>
    <d v="1899-12-30T01:35:00"/>
    <d v="2026-03-25T06:20:00"/>
    <d v="2026-03-25T08:00:00"/>
    <d v="1899-12-30T01:40:00"/>
  </r>
  <r>
    <n v="1082"/>
    <s v="L. MIRANDA"/>
    <d v="1899-12-30T09:15:00"/>
    <d v="2026-03-25T00:00:00"/>
    <x v="5"/>
    <s v="Puntual"/>
    <s v="Se le daño la rosca"/>
    <d v="1899-12-30T09:35:00"/>
    <d v="1899-12-30T11:00:00"/>
    <x v="137"/>
    <s v="Mecánica"/>
    <s v="Cambio de rosca para poder dar ajuste"/>
    <m/>
    <m/>
    <s v="J. SILVA"/>
    <x v="2"/>
    <d v="1899-12-30T01:25:00"/>
    <d v="2026-03-25T09:15:00"/>
    <d v="2026-03-25T11:00:00"/>
    <d v="1899-12-30T01:45:00"/>
  </r>
  <r>
    <n v="1083"/>
    <s v="E. REYES"/>
    <d v="1899-12-30T17:42:00"/>
    <d v="2026-03-25T00:00:00"/>
    <x v="0"/>
    <s v="Puntual"/>
    <s v="Daño en rodillo de correas"/>
    <d v="1899-12-30T18:00:00"/>
    <d v="1899-12-30T19:20:00"/>
    <x v="137"/>
    <s v="Mecánica"/>
    <s v="Se realizo desmonte de rodillo tensor de selladora transportador, se encontró rodamiento en mal estado, se realizó cambio, quedo en operación_x000a__x000a_Nota: No se cuenta con herramienta necesaria"/>
    <s v="1X Rodamiento 6001 2Z - C3"/>
    <s v="NA"/>
    <s v="D. BAUTISTA"/>
    <x v="0"/>
    <d v="1899-12-30T01:20:00"/>
    <d v="2026-03-25T17:42:00"/>
    <d v="2026-03-25T19:20:00"/>
    <d v="1899-12-30T01:38:00"/>
  </r>
  <r>
    <n v="1084"/>
    <s v="C. CASTRO"/>
    <d v="1899-12-30T19:40:00"/>
    <d v="2026-03-25T00:00:00"/>
    <x v="10"/>
    <s v="Puntual"/>
    <s v="Daño en la manguera del eje embobinador superior"/>
    <d v="1899-12-30T19:40:00"/>
    <d v="1899-12-30T21:00:00"/>
    <x v="137"/>
    <s v="Neúmatica"/>
    <s v="Se realiza cambio de 2 mangueras de bobinador superior"/>
    <s v="NA"/>
    <s v="NA"/>
    <s v="D. BAUTISTA"/>
    <x v="0"/>
    <d v="1899-12-30T01:20:00"/>
    <d v="2026-03-25T19:40:00"/>
    <d v="2026-03-25T21:00:00"/>
    <d v="1899-12-30T01:20:00"/>
  </r>
  <r>
    <n v="1085"/>
    <s v="J. PARDO"/>
    <d v="1899-12-30T21:00:00"/>
    <d v="2026-03-25T00:00:00"/>
    <x v="7"/>
    <s v="Puntual"/>
    <s v="Diferencial no funciona"/>
    <d v="1899-12-30T21:00:00"/>
    <d v="1899-12-30T21:45:00"/>
    <x v="137"/>
    <s v="Eléctrica"/>
    <s v="Se encuentra cableado de circuito de control desconectado, se realiza ajuste y pruebas de operación"/>
    <s v="NA"/>
    <s v="NA"/>
    <s v="D. BAUTISTA"/>
    <x v="0"/>
    <d v="1899-12-30T00:45:00"/>
    <d v="2026-03-25T21:00:00"/>
    <d v="2026-03-25T21:45:00"/>
    <d v="1899-12-30T00:45:00"/>
  </r>
  <r>
    <n v="1086"/>
    <s v="D. ARRIETA"/>
    <d v="1899-12-30T09:00:00"/>
    <d v="2026-03-27T00:00:00"/>
    <x v="7"/>
    <s v="Puntual"/>
    <s v="El piñon del eje del embobinador se daño una vez, le falta un aseguramiento a eje para que no se corra"/>
    <d v="1899-12-30T09:00:00"/>
    <d v="1899-12-30T10:30:00"/>
    <x v="68"/>
    <s v="Mecánica"/>
    <s v="Se verifica la falla encontrando eje sin topes, se instala el tope y se entrega trabajando"/>
    <s v="NA"/>
    <s v="NA"/>
    <s v="L. FLOREZ"/>
    <x v="0"/>
    <d v="1899-12-30T01:30:00"/>
    <d v="2026-03-27T09:00:00"/>
    <d v="2026-03-27T10:30:00"/>
    <d v="1899-12-30T01:30:00"/>
  </r>
  <r>
    <n v="1087"/>
    <s v="S. CARDENAL"/>
    <d v="1899-12-30T10:05:00"/>
    <d v="2026-03-25T00:00:00"/>
    <x v="4"/>
    <s v="Puntual"/>
    <s v="Manguera con escape de aire"/>
    <d v="1899-12-30T10:05:00"/>
    <d v="1899-12-30T22:00:00"/>
    <x v="137"/>
    <s v="Neúmatica"/>
    <s v="Se realiza cambio de manguera ya que presentaba varios tramos dañados y con escapes"/>
    <s v="NA"/>
    <s v="X3m Manguera 12mm"/>
    <s v="O. DUARTE"/>
    <x v="0"/>
    <d v="1899-12-30T11:55:00"/>
    <d v="2026-03-25T10:05:00"/>
    <d v="2026-03-25T22:00:00"/>
    <d v="1899-12-30T11:55:00"/>
  </r>
  <r>
    <n v="1088"/>
    <s v="Y. VAZQUEZ"/>
    <d v="1899-12-30T05:10:00"/>
    <d v="2026-03-26T00:00:00"/>
    <x v="11"/>
    <s v="Puntual"/>
    <s v="Rosca de la corona de la cortacores esta dañada"/>
    <d v="1899-12-30T05:10:00"/>
    <d v="1899-12-30T05:45:00"/>
    <x v="138"/>
    <s v="Mecánica"/>
    <s v="Se retira tuerca dañada, se realiza cambio de tornillo, se aplica soldadura queda nuevamente habilitada"/>
    <s v="1X Tuerca M10_x000a_1X Tornillo M10"/>
    <s v="NA"/>
    <s v="O. DUARTE"/>
    <x v="0"/>
    <d v="1899-12-30T00:35:00"/>
    <d v="2026-03-26T05:10:00"/>
    <d v="2026-03-26T05:45:00"/>
    <d v="1899-12-30T00:35:00"/>
  </r>
  <r>
    <n v="1089"/>
    <s v="A. MARTINEZ"/>
    <d v="1899-12-30T14:00:00"/>
    <d v="2026-03-26T00:00:00"/>
    <x v="10"/>
    <s v="Puntual"/>
    <s v="Eje embobinador superior tornillo que ajusta la manzana"/>
    <d v="1899-12-30T17:30:00"/>
    <d v="1899-12-30T18:07:00"/>
    <x v="138"/>
    <s v="Mecánica"/>
    <s v="Tornillo partido de la manzana del embobinador"/>
    <s v="1X Tornillo M10 X 35mm"/>
    <s v="NA"/>
    <s v="J. SILVA"/>
    <x v="0"/>
    <d v="1899-12-30T00:37:00"/>
    <d v="2026-03-26T14:00:00"/>
    <d v="2026-03-26T18:07:00"/>
    <d v="1899-12-30T04:07:00"/>
  </r>
  <r>
    <n v="1090"/>
    <s v="J. VASQUEZ "/>
    <d v="1899-12-30T21:20:00"/>
    <d v="2026-03-26T00:00:00"/>
    <x v="11"/>
    <s v="Puntual"/>
    <s v="Cortacores daño en tornillo que ajusta"/>
    <d v="1899-12-30T21:20:00"/>
    <d v="1899-12-30T21:50:00"/>
    <x v="138"/>
    <s v="Mecánica"/>
    <s v="Se instala tuerca para tornillo M12 para ajuste de pera corta cores"/>
    <s v="1X Tuerca M12"/>
    <s v="NA"/>
    <s v="J. SILVA"/>
    <x v="0"/>
    <d v="1899-12-30T00:30:00"/>
    <d v="2026-03-26T21:20:00"/>
    <d v="2026-03-26T21:50:00"/>
    <d v="1899-12-30T00:30:00"/>
  </r>
  <r>
    <n v="1091"/>
    <m/>
    <m/>
    <m/>
    <x v="5"/>
    <m/>
    <m/>
    <m/>
    <m/>
    <x v="3"/>
    <m/>
    <m/>
    <m/>
    <m/>
    <m/>
    <x v="1"/>
    <d v="1899-12-30T00:00:00"/>
    <d v="1899-12-30T00:00:00"/>
    <d v="1899-12-30T00:00:00"/>
    <d v="1899-12-30T00:00:00"/>
  </r>
  <r>
    <n v="1092"/>
    <s v="D. ARRIETA"/>
    <d v="1899-12-30T18:40:00"/>
    <d v="2026-04-13T00:00:00"/>
    <x v="7"/>
    <s v="Puntual"/>
    <s v="Bomba neúmatica de tinta de la unidad #1"/>
    <d v="1899-12-30T18:40:00"/>
    <d v="1899-12-30T19:30:00"/>
    <x v="139"/>
    <s v="Mecánica"/>
    <s v="Se le realiza mantenimiento, se destapa, se limpian camaras, se vuelve a armar y quedo operativo funcionamiento OK"/>
    <s v="NA"/>
    <s v="Alcohol flexografico"/>
    <s v="J. SILVA"/>
    <x v="0"/>
    <d v="1899-12-30T00:50:00"/>
    <d v="2026-04-13T18:40:00"/>
    <d v="2026-04-13T19:30:00"/>
    <d v="1899-12-30T00:50:00"/>
  </r>
  <r>
    <n v="1093"/>
    <m/>
    <m/>
    <m/>
    <x v="5"/>
    <m/>
    <m/>
    <m/>
    <m/>
    <x v="3"/>
    <m/>
    <m/>
    <m/>
    <m/>
    <m/>
    <x v="1"/>
    <d v="1899-12-30T00:00:00"/>
    <d v="1899-12-30T00:00:00"/>
    <d v="1899-12-30T00:00:00"/>
    <d v="1899-12-30T00:00:00"/>
  </r>
  <r>
    <n v="1094"/>
    <s v="D. CUESTA"/>
    <d v="1899-12-30T20:20:00"/>
    <d v="2026-03-27T00:00:00"/>
    <x v="6"/>
    <s v="Puntual"/>
    <s v="Flauta inferior no gira total solo hasta la mitad y se tranca"/>
    <d v="1899-12-30T20:20:00"/>
    <d v="1899-12-30T20:40:00"/>
    <x v="68"/>
    <s v="Neúmatica"/>
    <s v="Se realiza ajute en embolo cilndro flauta quedando OK"/>
    <s v="NA"/>
    <s v="NA"/>
    <s v="L. CASTILLA"/>
    <x v="0"/>
    <d v="1899-12-30T00:20:00"/>
    <d v="2026-03-27T20:20:00"/>
    <d v="2026-03-27T20:40:00"/>
    <d v="1899-12-30T00:20:00"/>
  </r>
  <r>
    <n v="1095"/>
    <s v="S. CARDENAL"/>
    <d v="1899-12-30T00:40:00"/>
    <d v="2026-03-28T00:00:00"/>
    <x v="0"/>
    <s v="Puntual"/>
    <s v="Botón del transportador se solto"/>
    <d v="1899-12-30T00:40:00"/>
    <d v="1899-12-30T01:55:00"/>
    <x v="140"/>
    <s v="Eléctrica"/>
    <s v="Cable desconectado"/>
    <s v="NA"/>
    <s v="NA"/>
    <s v="J. SILVA"/>
    <x v="0"/>
    <d v="1899-12-30T01:15:00"/>
    <d v="2026-03-28T00:40:00"/>
    <d v="2026-03-29T01:55:00"/>
    <d v="1899-12-31T01:15:00"/>
  </r>
  <r>
    <n v="1096"/>
    <s v="D. CUESTA"/>
    <d v="1899-12-30T05:25:00"/>
    <d v="2026-03-28T00:00:00"/>
    <x v="6"/>
    <s v="Puntual"/>
    <s v="Revisar transporte y alimentador del embobinador A"/>
    <d v="1899-12-30T05:26:00"/>
    <d v="1899-12-30T06:00:00"/>
    <x v="141"/>
    <s v="Neúmatica, Mecánica"/>
    <s v="Calibración de transportador"/>
    <s v="NA"/>
    <s v="NA"/>
    <s v="J. SILVA"/>
    <x v="0"/>
    <d v="1899-12-30T00:34:00"/>
    <d v="2026-03-28T05:25:00"/>
    <d v="2026-03-28T06:00:00"/>
    <d v="1899-12-30T00:35:00"/>
  </r>
  <r>
    <n v="1097"/>
    <m/>
    <m/>
    <m/>
    <x v="5"/>
    <m/>
    <m/>
    <m/>
    <m/>
    <x v="3"/>
    <m/>
    <m/>
    <m/>
    <m/>
    <m/>
    <x v="1"/>
    <d v="1899-12-30T00:00:00"/>
    <d v="1899-12-30T00:00:00"/>
    <d v="1899-12-30T00:00:00"/>
    <d v="1899-12-30T00:00:00"/>
  </r>
  <r>
    <n v="1098"/>
    <s v="S. PATIÑO"/>
    <m/>
    <d v="2026-03-29T00:00:00"/>
    <x v="14"/>
    <s v="Puntual"/>
    <s v="Pinola del molde se sale al arrancar la maquina"/>
    <m/>
    <d v="1899-12-30T13:30:00"/>
    <x v="132"/>
    <s v="Mecánica"/>
    <s v="Se envia barril a taller externo, se realiza montaje y puesta a punta de zonas de resistencias_x000a_Entrega de maquina armada, falta de montaje de corona 13:00, se requiere seguimiento despues del arranque"/>
    <s v="NA"/>
    <s v="NA"/>
    <s v="D. BAUTISTA"/>
    <x v="0"/>
    <d v="1899-12-30T13:30:00"/>
    <d v="2026-03-29T00:00:00"/>
    <d v="2026-04-03T13:30:00"/>
    <d v="1900-01-04T13:30:00"/>
  </r>
  <r>
    <n v="1099"/>
    <s v="D. ARRIETA"/>
    <d v="1899-12-30T10:45:00"/>
    <d v="2026-03-29T00:00:00"/>
    <x v="7"/>
    <s v="Puntual"/>
    <s v="Correa de transimisión del embobinador"/>
    <d v="1899-12-30T10:45:00"/>
    <d v="1899-12-30T11:15:00"/>
    <x v="140"/>
    <s v="Mecánica"/>
    <s v="Correas embobinador sueltas, se suelta tornillos motor para calibrar poleas y correas quedando OK"/>
    <s v="NA"/>
    <s v="NA"/>
    <s v="L. CASTILLA"/>
    <x v="0"/>
    <d v="1899-12-30T00:30:00"/>
    <d v="2026-03-29T10:45:00"/>
    <d v="2026-03-29T11:15:00"/>
    <d v="1899-12-30T00:30:00"/>
  </r>
  <r>
    <n v="1100"/>
    <s v="J. MIRANDA"/>
    <d v="1899-12-30T09:00:00"/>
    <d v="2026-03-30T00:00:00"/>
    <x v="9"/>
    <s v="Puntual"/>
    <s v="El alineador del doblador dejo de funcionar"/>
    <d v="1899-12-30T09:00:00"/>
    <d v="1899-12-30T09:20:00"/>
    <x v="142"/>
    <s v="Eléctrica"/>
    <s v="Cable de derivación a toma desconectado, se da ajuste y se realizan pruebas, quedo en operación"/>
    <s v="NA"/>
    <s v="NA"/>
    <s v="D. BAUTISTA"/>
    <x v="0"/>
    <d v="1899-12-30T00:20:00"/>
    <d v="2026-03-30T09:00:00"/>
    <d v="2026-03-30T09:20:00"/>
    <d v="1899-12-30T00:20:00"/>
  </r>
  <r>
    <n v="1101"/>
    <m/>
    <m/>
    <m/>
    <x v="5"/>
    <m/>
    <m/>
    <m/>
    <m/>
    <x v="3"/>
    <m/>
    <m/>
    <m/>
    <m/>
    <m/>
    <x v="1"/>
    <d v="1899-12-30T00:00:00"/>
    <d v="1899-12-30T00:00:00"/>
    <d v="1899-12-30T00:00:00"/>
    <d v="1899-12-30T00:00:00"/>
  </r>
  <r>
    <n v="1102"/>
    <m/>
    <m/>
    <m/>
    <x v="5"/>
    <m/>
    <m/>
    <m/>
    <m/>
    <x v="3"/>
    <m/>
    <m/>
    <m/>
    <m/>
    <m/>
    <x v="1"/>
    <d v="1899-12-30T00:00:00"/>
    <d v="1899-12-30T00:00:00"/>
    <d v="1899-12-30T00:00:00"/>
    <d v="1899-12-30T00:00:00"/>
  </r>
  <r>
    <n v="1103"/>
    <s v="D. CUESTA"/>
    <d v="1899-12-30T11:40:00"/>
    <d v="2026-04-11T00:00:00"/>
    <x v="14"/>
    <s v="Puntual"/>
    <s v="Revisar temperatura tornillo interior"/>
    <m/>
    <m/>
    <x v="3"/>
    <m/>
    <m/>
    <m/>
    <m/>
    <m/>
    <x v="2"/>
    <d v="1899-12-30T00:00:00"/>
    <d v="2026-04-11T11:40:00"/>
    <d v="1899-12-30T00:00:00"/>
    <n v="-46123.486111111109"/>
  </r>
  <r>
    <n v="1104"/>
    <s v="L. MIRANDA"/>
    <d v="1899-12-30T14:00:00"/>
    <d v="2026-04-11T00:00:00"/>
    <x v="6"/>
    <s v="Puntual"/>
    <s v="La maquina se arranca peo la velocidad no subia despues de 100 le puse 220 pero la maquina no subio y buscaba apegarse en la corona"/>
    <d v="1899-12-30T15:00:00"/>
    <d v="1899-12-30T15:38:00"/>
    <x v="143"/>
    <s v="Eléctrica"/>
    <s v="Se reinicia braker queda operativo"/>
    <s v="NA"/>
    <s v="NA"/>
    <s v="J. SILVA"/>
    <x v="0"/>
    <d v="1899-12-30T00:38:00"/>
    <d v="2026-04-11T14:00:00"/>
    <d v="2026-04-11T15:38:00"/>
    <d v="1899-12-30T01:38:00"/>
  </r>
  <r>
    <n v="1105"/>
    <s v="C. CASTRO"/>
    <d v="1899-12-30T21:40:00"/>
    <d v="2026-04-11T00:00:00"/>
    <x v="10"/>
    <s v="Puntual"/>
    <s v="Organizar y cuadrar castañas"/>
    <d v="1899-12-30T21:40:00"/>
    <d v="1899-12-30T22:50:00"/>
    <x v="143"/>
    <s v="Mecánica"/>
    <s v="Se hace desmonte y montaje, ajuste de castaña y separado por ajuste, se limpia eje, se hace prueba queda operativo"/>
    <s v="NA"/>
    <s v="NA"/>
    <s v="O. DUARTE"/>
    <x v="0"/>
    <d v="1899-12-30T01:10:00"/>
    <d v="2026-04-11T21:40:00"/>
    <d v="2026-04-11T22:50:00"/>
    <d v="1899-12-30T01:10:00"/>
  </r>
  <r>
    <n v="1106"/>
    <s v="R. OLIVARES"/>
    <d v="1899-12-30T06:50:00"/>
    <d v="2026-04-12T00:00:00"/>
    <x v="6"/>
    <s v="Puntual"/>
    <s v="Se apago la rotación de la torre"/>
    <d v="1899-12-30T07:00:00"/>
    <d v="1899-12-30T07:55:00"/>
    <x v="144"/>
    <s v="Eléctrica"/>
    <s v="Se verifico rotación, se revisa un cable de la pacha B+ B- estaba mal contacto queda operativo"/>
    <s v="NA"/>
    <s v="NA"/>
    <s v="J. SILVA"/>
    <x v="0"/>
    <d v="1899-12-30T00:55:00"/>
    <d v="2026-04-12T06:50:00"/>
    <d v="2026-04-12T07:55:00"/>
    <d v="1899-12-30T01:05:00"/>
  </r>
  <r>
    <n v="1107"/>
    <m/>
    <m/>
    <m/>
    <x v="5"/>
    <m/>
    <m/>
    <m/>
    <m/>
    <x v="3"/>
    <m/>
    <m/>
    <m/>
    <m/>
    <m/>
    <x v="1"/>
    <d v="1899-12-30T00:00:00"/>
    <d v="1899-12-30T00:00:00"/>
    <d v="1899-12-30T00:00:00"/>
    <d v="1899-12-30T00:00:00"/>
  </r>
  <r>
    <n v="1108"/>
    <m/>
    <m/>
    <m/>
    <x v="5"/>
    <m/>
    <m/>
    <m/>
    <m/>
    <x v="3"/>
    <m/>
    <m/>
    <m/>
    <m/>
    <m/>
    <x v="1"/>
    <d v="1899-12-30T00:00:00"/>
    <d v="1899-12-30T00:00:00"/>
    <d v="1899-12-30T00:00:00"/>
    <d v="1899-12-30T00:00:00"/>
  </r>
  <r>
    <n v="1109"/>
    <m/>
    <m/>
    <m/>
    <x v="5"/>
    <m/>
    <m/>
    <m/>
    <m/>
    <x v="3"/>
    <m/>
    <m/>
    <m/>
    <m/>
    <m/>
    <x v="1"/>
    <d v="1899-12-30T00:00:00"/>
    <d v="1899-12-30T00:00:00"/>
    <d v="1899-12-30T00:00:00"/>
    <d v="1899-12-30T00:00:00"/>
  </r>
  <r>
    <n v="1110"/>
    <m/>
    <m/>
    <m/>
    <x v="5"/>
    <m/>
    <m/>
    <m/>
    <m/>
    <x v="3"/>
    <m/>
    <m/>
    <m/>
    <m/>
    <m/>
    <x v="1"/>
    <d v="1899-12-30T00:00:00"/>
    <d v="1899-12-30T00:00:00"/>
    <d v="1899-12-30T00:00:00"/>
    <d v="1899-12-30T00:00:00"/>
  </r>
  <r>
    <n v="1111"/>
    <s v="F. SANCHEZ"/>
    <d v="1899-12-30T06:00:00"/>
    <d v="2026-04-13T00:00:00"/>
    <x v="21"/>
    <s v="Puntual"/>
    <s v="Variador del halador no prende"/>
    <d v="1899-12-30T20:00:00"/>
    <d v="1899-12-30T21:30:00"/>
    <x v="145"/>
    <s v="Eléctrica"/>
    <s v="L. FLOREZ: 13/04/26 Se requiere variador para cambio_x000a_D. BAUTISTA: 15/4/26 20:00-21:30 Se realiza instalación de variador OPTIDRIVE a motor de rodillo halador, se instala riel omega, se realizo conexión eléctrica y programación del variador, se realizan pruebas y se entrega a producción para arranque 21:30// 15/04/26, se va a realizar acompañamiento y seguimiento en el arranque 1:50// 16/04/26_x000a_Queda en operación"/>
    <s v="NA"/>
    <s v="NA"/>
    <s v="D. BAUTISTA"/>
    <x v="0"/>
    <d v="1899-12-30T01:30:00"/>
    <d v="2026-04-13T06:00:00"/>
    <d v="2026-04-15T21:30:00"/>
    <d v="1900-01-01T15:30:00"/>
  </r>
  <r>
    <n v="1112"/>
    <s v="J. PARDO"/>
    <d v="1899-12-30T13:50:00"/>
    <d v="2026-04-13T00:00:00"/>
    <x v="7"/>
    <s v="Puntual"/>
    <s v="Daño eje embobinador"/>
    <d v="1899-12-30T14:30:00"/>
    <d v="1899-12-30T15:00:00"/>
    <x v="139"/>
    <s v="Neúmatica"/>
    <s v="Se recibe reporte 14:30, se realiza inspección, se encuentra manguera fisurada, se remplaza y se entrega operativa"/>
    <s v="NA"/>
    <s v="Manguera"/>
    <s v="D. BAUTISTA"/>
    <x v="0"/>
    <d v="1899-12-30T00:30:00"/>
    <d v="2026-04-13T13:50:00"/>
    <d v="2026-04-13T15:00:00"/>
    <d v="1899-12-30T01:10:00"/>
  </r>
  <r>
    <n v="1113"/>
    <s v="L. MIRANDA"/>
    <d v="1899-12-30T14:40:00"/>
    <d v="2026-04-13T00:00:00"/>
    <x v="6"/>
    <s v="Puntual"/>
    <s v="Revisar manguera de la salida del IBC que esta rota en 2 partes "/>
    <d v="1899-12-30T14:40:00"/>
    <d v="1899-12-30T14:50:00"/>
    <x v="139"/>
    <s v="Neúmatica"/>
    <s v="Se encuentra manguera de IBC partida"/>
    <s v="NA"/>
    <s v="NA"/>
    <s v="L. FLOREZ"/>
    <x v="0"/>
    <d v="1899-12-30T00:10:00"/>
    <d v="2026-04-13T14:40:00"/>
    <d v="2026-04-13T14:50:00"/>
    <d v="1899-12-30T00:10:00"/>
  </r>
  <r>
    <n v="1114"/>
    <s v="D. CUESTA"/>
    <d v="1899-12-30T04:50:00"/>
    <d v="2026-04-14T00:00:00"/>
    <x v="8"/>
    <s v="Puntual"/>
    <s v="Coex 2 esta haciendo corto, se cae escobilla"/>
    <d v="1899-12-30T04:55:00"/>
    <d v="1899-12-30T05:25:00"/>
    <x v="146"/>
    <s v="Eléctrica"/>
    <s v="Escobilla se cae de su posición, esto genera corto al pegar directo al soporte de la misma, queda operativa"/>
    <s v="NA"/>
    <s v="NA"/>
    <s v="J. SILVA"/>
    <x v="0"/>
    <d v="1899-12-30T00:30:00"/>
    <d v="2026-04-14T04:50:00"/>
    <d v="2026-04-14T05:25:00"/>
    <d v="1899-12-30T00:35:00"/>
  </r>
  <r>
    <n v="1115"/>
    <m/>
    <m/>
    <m/>
    <x v="5"/>
    <m/>
    <m/>
    <m/>
    <m/>
    <x v="3"/>
    <m/>
    <m/>
    <m/>
    <m/>
    <m/>
    <x v="1"/>
    <d v="1899-12-30T00:00:00"/>
    <d v="1899-12-30T00:00:00"/>
    <d v="1899-12-30T00:00:00"/>
    <d v="1899-12-30T00:00:00"/>
  </r>
  <r>
    <n v="1116"/>
    <s v="D. CUESTA"/>
    <d v="1899-12-30T00:25:00"/>
    <d v="2026-04-13T00:00:00"/>
    <x v="9"/>
    <s v="Puntual"/>
    <s v="Tornillo deaña la rosca, no ajusta la manzana para apretar el rollo"/>
    <d v="1899-12-30T00:25:00"/>
    <d v="1899-12-30T01:00:00"/>
    <x v="139"/>
    <s v="Mecánica"/>
    <s v="Se re repasa por marchas M10 se cambia tornillo por roscado dañado"/>
    <s v="1X Tornillo M10"/>
    <s v="NA"/>
    <s v="O. DUARTE"/>
    <x v="0"/>
    <d v="1899-12-30T00:35:00"/>
    <d v="2026-04-13T00:25:00"/>
    <d v="2026-04-13T01:00:00"/>
    <d v="1899-12-30T00:35:00"/>
  </r>
  <r>
    <n v="1117"/>
    <m/>
    <m/>
    <m/>
    <x v="5"/>
    <m/>
    <m/>
    <m/>
    <m/>
    <x v="3"/>
    <m/>
    <m/>
    <m/>
    <m/>
    <m/>
    <x v="1"/>
    <d v="1899-12-30T00:00:00"/>
    <d v="1899-12-30T00:00:00"/>
    <d v="1899-12-30T00:00:00"/>
    <d v="1899-12-30T00:00:00"/>
  </r>
  <r>
    <n v="1118"/>
    <m/>
    <m/>
    <m/>
    <x v="5"/>
    <m/>
    <m/>
    <m/>
    <m/>
    <x v="3"/>
    <m/>
    <m/>
    <m/>
    <m/>
    <m/>
    <x v="1"/>
    <d v="1899-12-30T00:00:00"/>
    <d v="1899-12-30T00:00:00"/>
    <d v="1899-12-30T00:00:00"/>
    <d v="1899-12-30T00:00:00"/>
  </r>
  <r>
    <n v="1119"/>
    <m/>
    <m/>
    <m/>
    <x v="5"/>
    <m/>
    <m/>
    <m/>
    <m/>
    <x v="3"/>
    <m/>
    <m/>
    <m/>
    <m/>
    <m/>
    <x v="1"/>
    <d v="1899-12-30T00:00:00"/>
    <d v="1899-12-30T00:00:00"/>
    <d v="1899-12-30T00:00:00"/>
    <d v="1899-12-30T00:00:00"/>
  </r>
  <r>
    <n v="1120"/>
    <s v="M. MARTINEZ"/>
    <d v="1899-12-30T08:30:00"/>
    <d v="2026-04-13T00:00:00"/>
    <x v="21"/>
    <s v="Puntual"/>
    <s v="Presenta falla de sensor"/>
    <d v="1899-12-30T08:30:00"/>
    <d v="1899-12-30T09:19:00"/>
    <x v="139"/>
    <s v="Eléctrica"/>
    <s v="Se hace revisión de sensor y encoder por falla, se hace ajuste en tiempos"/>
    <s v="NA"/>
    <s v="NA"/>
    <s v="O. DUARTE"/>
    <x v="0"/>
    <d v="1899-12-30T00:49:00"/>
    <d v="2026-04-13T08:30:00"/>
    <d v="2026-04-13T09:19:00"/>
    <d v="1899-12-30T00:49:00"/>
  </r>
  <r>
    <n v="1121"/>
    <s v="A. ROVINA"/>
    <d v="1899-12-30T05:00:00"/>
    <d v="2026-04-16T00:00:00"/>
    <x v="0"/>
    <s v="Puntual"/>
    <s v="Se parte la correa que alimenta el servo"/>
    <d v="1899-12-30T05:00:00"/>
    <d v="1899-12-30T05:20:00"/>
    <x v="147"/>
    <s v="Mecánica"/>
    <s v="Se encuentra correa de transmisión de halador partida, se remplaza correa 900H, se enrega operativa"/>
    <s v="1X Correa 900H"/>
    <s v="NA"/>
    <s v="D. BAUTISTA"/>
    <x v="0"/>
    <d v="1899-12-30T00:20:00"/>
    <d v="2026-04-16T05:00:00"/>
    <d v="2026-04-16T05:20:00"/>
    <d v="1899-12-30T00:20:00"/>
  </r>
  <r>
    <n v="1122"/>
    <s v="H. TRIANA"/>
    <d v="1899-12-30T23:00:00"/>
    <d v="2026-04-16T00:00:00"/>
    <x v="8"/>
    <s v="Puntual"/>
    <s v="Tornillo de calibrar partido y termocupla mala"/>
    <d v="1899-12-30T23:05:00"/>
    <d v="1899-12-30T23:30:00"/>
    <x v="147"/>
    <s v="Mecánica"/>
    <s v="Se saca tornillo y se ajusta termocupla"/>
    <s v="1X Tornillo"/>
    <s v="NA"/>
    <s v="J. SILVA"/>
    <x v="0"/>
    <d v="1899-12-30T00:25:00"/>
    <d v="2026-04-16T23:00:00"/>
    <d v="2026-04-16T23:30:00"/>
    <d v="1899-12-30T00:30:00"/>
  </r>
  <r>
    <n v="1123"/>
    <m/>
    <m/>
    <m/>
    <x v="5"/>
    <m/>
    <m/>
    <m/>
    <m/>
    <x v="3"/>
    <m/>
    <m/>
    <m/>
    <m/>
    <m/>
    <x v="1"/>
    <d v="1899-12-30T00:00:00"/>
    <d v="1899-12-30T00:00:00"/>
    <d v="1899-12-30T00:00:00"/>
    <d v="1899-12-30T00:00:00"/>
  </r>
  <r>
    <n v="1124"/>
    <s v="D. ARRIETA"/>
    <d v="1899-12-30T18:50:00"/>
    <d v="2026-04-17T00:00:00"/>
    <x v="7"/>
    <s v="Puntual"/>
    <s v="Manguera de la bomba neúmatico se rebento"/>
    <d v="1899-12-30T19:39:00"/>
    <d v="1899-12-30T19:31:00"/>
    <x v="148"/>
    <s v="Mecánica"/>
    <s v="Cambio manguera se estalla"/>
    <s v="NA"/>
    <s v="NA"/>
    <s v="J. SILVA"/>
    <x v="0"/>
    <n v="-5.5555555555555358E-3"/>
    <d v="2026-04-17T18:50:00"/>
    <d v="2026-04-17T19:31:00"/>
    <d v="1899-12-30T00:41:00"/>
  </r>
  <r>
    <n v="1125"/>
    <s v="D. ARRIETA"/>
    <d v="1899-12-30T20:15:00"/>
    <d v="2026-04-17T00:00:00"/>
    <x v="7"/>
    <s v="Puntual"/>
    <s v="Rodillo de el balancin se safo y se daño donde y sugetado con la cadena"/>
    <d v="1899-12-30T20:20:00"/>
    <d v="1899-12-30T22:30:00"/>
    <x v="148"/>
    <s v="Mecánica"/>
    <s v="Se soldan los dos dos candados para la cadena del balancin"/>
    <s v="NA"/>
    <s v="NA"/>
    <s v="J. SILVA"/>
    <x v="0"/>
    <d v="1899-12-30T02:10:00"/>
    <d v="2026-04-17T20:15:00"/>
    <d v="2026-04-17T22:30:00"/>
    <d v="1899-12-30T02:15:00"/>
  </r>
  <r>
    <n v="1126"/>
    <s v="A. ROVINA"/>
    <d v="1899-12-30T22:30:00"/>
    <d v="2026-04-17T00:00:00"/>
    <x v="4"/>
    <s v="Puntual"/>
    <s v="Cuchilla se le parte un tornillo que genera la presión y ajusta la base"/>
    <d v="1899-12-30T06:30:00"/>
    <d v="1899-12-30T09:00:00"/>
    <x v="149"/>
    <s v="Mecánica"/>
    <s v="Se encuentran pines guias de cilindros de ajuste de cuchilla con tornillos M4 X 20mm partidos, se extraen tornillos y se remplazan, se realiza montaje y se entrega para arranque"/>
    <s v="4X Tornillos M4 X 20mm"/>
    <s v="NA"/>
    <s v="D. BAUTISTA"/>
    <x v="0"/>
    <d v="1899-12-30T02:30:00"/>
    <d v="2026-04-17T22:30:00"/>
    <d v="2026-04-18T09:00:00"/>
    <d v="1899-12-30T10:30:00"/>
  </r>
  <r>
    <n v="1127"/>
    <s v="S. PATIÑO"/>
    <d v="1899-12-30T07:30:00"/>
    <d v="2026-04-18T00:00:00"/>
    <x v="14"/>
    <s v="Puntual"/>
    <s v="Dosificador no funciona"/>
    <d v="1899-12-30T07:30:00"/>
    <d v="1899-12-30T08:00:00"/>
    <x v="149"/>
    <s v="Eléctrica"/>
    <s v="Se realiza inspección y se encuentran contactos NC y NO en malas condiciones y por ello no realizo enclavamiento el contactor de alimetnación al variador, se remplazan y queda operativo"/>
    <s v="1X Contacto NC_x000a_1X Contacto NO"/>
    <s v="NA"/>
    <s v="D. BAUTISTA"/>
    <x v="0"/>
    <d v="1899-12-30T00:30:00"/>
    <d v="2026-04-18T07:30:00"/>
    <d v="2026-04-18T08:00:00"/>
    <d v="1899-12-30T00:30:00"/>
  </r>
  <r>
    <n v="1128"/>
    <s v="S. PATIÑO"/>
    <d v="1899-12-30T09:30:00"/>
    <d v="2026-04-18T00:00:00"/>
    <x v="14"/>
    <s v="Puntual"/>
    <s v="Rotación no arranca"/>
    <d v="1899-12-30T09:30:00"/>
    <d v="1899-12-30T10:00:00"/>
    <x v="149"/>
    <s v="Eléctrica"/>
    <s v="Se realiza inspeccióne eléctrica, se encuentra protección disparandose por corto, se realiza seguimiento y se encuentra cable de potencia aterrizado, se ajusta y se aisla cableado y se entrega operativo, se genero parada de maquina"/>
    <s v="NA"/>
    <s v="NA"/>
    <s v="D. BAUTISTA"/>
    <x v="0"/>
    <d v="1899-12-30T00:30:00"/>
    <d v="2026-04-18T09:30:00"/>
    <d v="2026-04-18T10:00:00"/>
    <d v="1899-12-30T00:30:00"/>
  </r>
  <r>
    <n v="1129"/>
    <m/>
    <m/>
    <m/>
    <x v="5"/>
    <m/>
    <m/>
    <m/>
    <m/>
    <x v="3"/>
    <m/>
    <m/>
    <m/>
    <m/>
    <m/>
    <x v="1"/>
    <d v="1899-12-30T00:00:00"/>
    <d v="1899-12-30T00:00:00"/>
    <d v="1899-12-30T00:00:00"/>
    <d v="1899-12-30T00:00:00"/>
  </r>
  <r>
    <n v="1130"/>
    <s v="S. PATIÑO"/>
    <d v="1899-12-30T13:00:00"/>
    <d v="2026-04-18T00:00:00"/>
    <x v="14"/>
    <s v="Puntual"/>
    <s v="Fallo en temperatura molde"/>
    <d v="1899-12-30T13:00:00"/>
    <d v="1899-12-30T13:20:00"/>
    <x v="149"/>
    <s v="Eléctrica"/>
    <s v="Se realiza inspección y se encuentra contacto de contactor con punto caliente, se revisa conexión y se entrega operativo"/>
    <s v="NA"/>
    <s v="NA"/>
    <s v="D. BAUTISTA"/>
    <x v="0"/>
    <d v="1899-12-30T00:20:00"/>
    <d v="2026-04-18T13:00:00"/>
    <d v="2026-04-18T13:20:00"/>
    <d v="1899-12-30T00:20:00"/>
  </r>
  <r>
    <n v="1131"/>
    <s v="S. PATIÑO"/>
    <d v="1899-12-30T16:00:00"/>
    <d v="2026-04-18T00:00:00"/>
    <x v="14"/>
    <s v="Puntual"/>
    <s v="Motor dosificador no arranca"/>
    <d v="1899-12-30T16:00:00"/>
    <d v="1899-12-30T17:00:00"/>
    <x v="149"/>
    <s v="Mecánica"/>
    <s v="Se realiza inspección al motor, se inspecciona estado de rodamientos, ajuste y conexiones eléctricas, se realizan pruebas y funciona se realiza montaje y se deja en operación"/>
    <s v="NA"/>
    <s v="NA"/>
    <s v="D. BAUTISTA"/>
    <x v="0"/>
    <d v="1899-12-30T01:00:00"/>
    <d v="2026-04-18T16:00:00"/>
    <d v="2026-04-18T17:00:00"/>
    <d v="1899-12-30T01:00:00"/>
  </r>
  <r>
    <n v="1132"/>
    <s v="F. SANCHEZ"/>
    <d v="1899-12-30T10:30:00"/>
    <d v="2026-04-20T00:00:00"/>
    <x v="6"/>
    <s v="Puntual"/>
    <s v="Problemas con el molde las temperaturas no calientan, se dispara el breaker"/>
    <d v="1899-12-30T10:30:00"/>
    <d v="1899-12-30T11:20:00"/>
    <x v="150"/>
    <s v="Eléctrica"/>
    <s v="Se verifica conexiones, cables sueltos, se torquea quedando con alimentación empieza subir temperatura queda en seguimiento"/>
    <s v="NA"/>
    <s v="NA"/>
    <s v="O. DUARTE"/>
    <x v="0"/>
    <d v="1899-12-30T00:50:00"/>
    <d v="2026-04-20T10:30:00"/>
    <d v="2026-04-20T11:20:00"/>
    <d v="1899-12-30T00:50:00"/>
  </r>
  <r>
    <n v="1133"/>
    <s v="J. PARDO"/>
    <d v="1899-12-30T12:00:00"/>
    <d v="2026-04-20T00:00:00"/>
    <x v="7"/>
    <s v="Puntual"/>
    <s v="Corto eléctrico bomba"/>
    <d v="1899-12-30T12:00:00"/>
    <d v="1899-12-30T14:00:00"/>
    <x v="150"/>
    <s v="Eléctrica"/>
    <s v="Se cambia cable y encuhe CETAC o CEE tipo stick se ajusta conexiones, se verifica protección queda operativa_x000a_Prueba de consumos"/>
    <s v="Cable encauchetado 4 hilos_x000a_Enchufe tipo stick"/>
    <s v="NA"/>
    <s v="O. DUARTE"/>
    <x v="0"/>
    <d v="1899-12-30T02:00:00"/>
    <d v="2026-04-20T12:00:00"/>
    <d v="2026-04-20T14:00:00"/>
    <d v="1899-12-30T02:00:00"/>
  </r>
  <r>
    <n v="1134"/>
    <m/>
    <m/>
    <m/>
    <x v="5"/>
    <m/>
    <m/>
    <m/>
    <m/>
    <x v="3"/>
    <m/>
    <m/>
    <m/>
    <m/>
    <m/>
    <x v="1"/>
    <d v="1899-12-30T00:00:00"/>
    <d v="1899-12-30T00:00:00"/>
    <d v="1899-12-30T00:00:00"/>
    <d v="1899-12-30T00:00:00"/>
  </r>
  <r>
    <n v="1135"/>
    <s v="E. BOHORQUEZ"/>
    <d v="1899-12-30T01:25:00"/>
    <d v="2026-04-29T00:00:00"/>
    <x v="13"/>
    <s v="Puntual"/>
    <s v="Balancin bloqueado"/>
    <d v="1899-12-30T01:25:00"/>
    <d v="1899-12-30T02:45:00"/>
    <x v="151"/>
    <s v="Eléctrica"/>
    <s v="Se evidencian sensores en mala posición por tanto no hacen señal, se posicionan y se ajustan, se calibra entrada de aire"/>
    <s v="NA"/>
    <s v="NA"/>
    <s v="O. DUARTE"/>
    <x v="0"/>
    <d v="1899-12-30T01:20:00"/>
    <d v="2026-04-29T01:25:00"/>
    <d v="2026-04-29T02:45:00"/>
    <d v="1899-12-30T01:20:00"/>
  </r>
  <r>
    <n v="1136"/>
    <s v="F. SANCHEZ"/>
    <d v="1899-12-30T17:50:00"/>
    <d v="2026-04-20T00:00:00"/>
    <x v="14"/>
    <s v="Puntual"/>
    <s v="Zona del molde no calienta"/>
    <d v="1899-12-30T18:10:00"/>
    <d v="1899-12-30T19:00:00"/>
    <x v="150"/>
    <s v="Eléctrica"/>
    <s v="Se encuentra temperatura baja en controlador molde, se inspecciono y se encuentra contacto e conector en fallo, se cambio contactor (32A), se realizan pruebas temperatura llego a setpoint y se entrega para arranque"/>
    <s v="1X Contactor 32A"/>
    <s v="NA"/>
    <s v="D. BAUTISTA"/>
    <x v="0"/>
    <d v="1899-12-30T00:50:00"/>
    <d v="2026-04-20T17:50:00"/>
    <d v="2026-04-20T19:00:00"/>
    <d v="1899-12-30T01:10:00"/>
  </r>
  <r>
    <n v="1137"/>
    <m/>
    <m/>
    <m/>
    <x v="5"/>
    <m/>
    <m/>
    <m/>
    <m/>
    <x v="3"/>
    <m/>
    <m/>
    <m/>
    <m/>
    <m/>
    <x v="1"/>
    <d v="1899-12-30T00:00:00"/>
    <d v="1899-12-30T00:00:00"/>
    <d v="1899-12-30T00:00:00"/>
    <d v="1899-12-30T00:00:00"/>
  </r>
  <r>
    <n v="1138"/>
    <s v="J. RINCON"/>
    <d v="1899-12-30T01:15:00"/>
    <d v="2026-04-21T00:00:00"/>
    <x v="7"/>
    <s v="Puntual"/>
    <s v="Falla embobinador"/>
    <d v="1899-12-30T10:20:00"/>
    <d v="1899-12-30T03:00:00"/>
    <x v="152"/>
    <s v="Eléctrica"/>
    <s v="Se encuentra fallo en bobinador se revisa circuito de control, de accionamiento de tambor y bobinador ya que no habilita la maquina para arrancar, se realizan ajustes en componentes eléctricos del circuito, cambio de componentes en mal estado, ajuste de conexiones eléctricas, inspección de tableros de control, se realizan pruebas y se entrega operativa"/>
    <s v="3X Fusibles 40A"/>
    <s v="NA"/>
    <s v="D. BAUTISTA"/>
    <x v="0"/>
    <n v="-0.30555555555555558"/>
    <d v="2026-04-21T01:15:00"/>
    <d v="2026-04-22T03:00:00"/>
    <d v="1899-12-31T01:45:00"/>
  </r>
  <r>
    <n v="1139"/>
    <s v="D. BUESACO"/>
    <d v="1899-12-30T13:45:00"/>
    <d v="2026-04-21T00:00:00"/>
    <x v="13"/>
    <s v="Puntual"/>
    <s v="Bolsa se queda en las uñas"/>
    <d v="1899-12-30T13:45:00"/>
    <d v="1899-12-30T18:00:00"/>
    <x v="153"/>
    <s v="Neúmatica"/>
    <s v="Se realiza comprobación de entreadas de aire, valvulas neúmaticas, se toma consumo en solenoides, queda hacer seguimiento en el turno, se ajusta conteo para minimizar paradas"/>
    <s v="NA"/>
    <s v="NA"/>
    <s v="O. DUARTE"/>
    <x v="0"/>
    <d v="1899-12-30T04:15:00"/>
    <d v="2026-04-21T13:45:00"/>
    <d v="2026-04-21T18:00:00"/>
    <d v="1899-12-30T04:15:00"/>
  </r>
  <r>
    <n v="1140"/>
    <m/>
    <m/>
    <m/>
    <x v="5"/>
    <m/>
    <m/>
    <m/>
    <m/>
    <x v="3"/>
    <m/>
    <m/>
    <m/>
    <m/>
    <m/>
    <x v="1"/>
    <d v="1899-12-30T00:00:00"/>
    <d v="1899-12-30T00:00:00"/>
    <d v="1899-12-30T00:00:00"/>
    <d v="1899-12-30T00:00:00"/>
  </r>
  <r>
    <n v="1141"/>
    <s v="H. TRIANA"/>
    <d v="1899-12-30T08:00:00"/>
    <d v="2026-04-22T00:00:00"/>
    <x v="8"/>
    <s v="Puntual"/>
    <s v="Cadena del eje embobinador se parte, zona tornillo interno esta recalentada"/>
    <d v="1899-12-30T08:00:00"/>
    <m/>
    <x v="152"/>
    <s v="Mecánica"/>
    <s v="Se cambia cadena en eje del embobinador, lo dos costados se revisa zona del tornillo, cambio de termocupla, toma de consumos, sobre parametros se hace segiumiento"/>
    <s v="1X Termocupla tipo J"/>
    <s v="NA"/>
    <s v="O. DUARTE"/>
    <x v="0"/>
    <n v="-0.33333333333333331"/>
    <d v="2026-04-22T08:00:00"/>
    <d v="2026-04-22T00:00:00"/>
    <n v="-0.33333333333575865"/>
  </r>
  <r>
    <n v="1142"/>
    <s v="H. TRIANA"/>
    <d v="1899-12-30T12:00:00"/>
    <d v="2026-04-23T00:00:00"/>
    <x v="1"/>
    <s v="Puntual"/>
    <s v="Platos corona desajustados se traban, esto hace descalibrar la borbosca"/>
    <m/>
    <m/>
    <x v="3"/>
    <m/>
    <m/>
    <m/>
    <m/>
    <m/>
    <x v="3"/>
    <d v="1899-12-30T00:00:00"/>
    <d v="2026-04-23T12:00:00"/>
    <d v="1899-12-30T00:00:00"/>
    <n v="-46135.5"/>
  </r>
  <r>
    <n v="1143"/>
    <s v="D. ARRIETA"/>
    <d v="1899-12-30T14:38:00"/>
    <d v="2026-04-22T00:00:00"/>
    <x v="7"/>
    <s v="Puntual"/>
    <s v="Rodamiento del embobinador"/>
    <d v="1899-12-30T14:38:00"/>
    <d v="1899-12-30T15:20:00"/>
    <x v="152"/>
    <s v="Mecánica"/>
    <s v="Se hace cambio y ajuste en rodamientos del eje embobinador. Quedo operativo"/>
    <s v="1X Rodamiento 6005_x000a_2X Tornillos M5_x000a_2X Arandelas"/>
    <s v="NA"/>
    <s v="O. DUARTE"/>
    <x v="0"/>
    <d v="1899-12-30T00:42:00"/>
    <d v="2026-04-22T14:38:00"/>
    <d v="2026-04-22T15:20:00"/>
    <d v="1899-12-30T00:42:00"/>
  </r>
  <r>
    <n v="1144"/>
    <s v="D. ARRIETA"/>
    <d v="1899-12-30T06:00:00"/>
    <d v="2026-04-23T00:00:00"/>
    <x v="7"/>
    <s v="Puntual"/>
    <s v="Diferencia de lado izquierdo se queda que no funciona"/>
    <d v="1899-12-30T06:00:00"/>
    <d v="1899-12-30T06:45:00"/>
    <x v="154"/>
    <s v="Eléctrica"/>
    <s v="Se encuentra en caja botonera desconexión mando, se instala terminal, se ajsuta, se organiza tapa de conexión de motor de diferencial queda operativa"/>
    <s v="NA"/>
    <s v="NA"/>
    <s v="O. DUARTE"/>
    <x v="0"/>
    <d v="1899-12-30T00:45:00"/>
    <d v="2026-04-23T06:00:00"/>
    <d v="2026-04-23T06:45:00"/>
    <d v="1899-12-30T00:45:00"/>
  </r>
  <r>
    <n v="1145"/>
    <s v="E. REYES"/>
    <d v="1899-12-30T03:00:00"/>
    <d v="2026-04-23T00:00:00"/>
    <x v="4"/>
    <s v="Puntual"/>
    <s v="Fallo en temperatura de la mordaza"/>
    <d v="1899-12-30T03:00:00"/>
    <d v="1899-12-30T04:00:00"/>
    <x v="154"/>
    <s v="Eléctrica"/>
    <s v="Se encuentra cable de conexión de mordaza superior desconectado, se remplaza cable con terminal de ojo, se instala y se pone a calentar, queda en operación"/>
    <s v="3X Terminales de ojo"/>
    <s v="NA"/>
    <s v="D. BAUTISTA"/>
    <x v="0"/>
    <d v="1899-12-30T01:00:00"/>
    <d v="2026-04-23T03:00:00"/>
    <d v="2026-04-23T04:00:00"/>
    <d v="1899-12-30T01:00:00"/>
  </r>
  <r>
    <n v="1146"/>
    <m/>
    <m/>
    <m/>
    <x v="5"/>
    <m/>
    <m/>
    <m/>
    <m/>
    <x v="3"/>
    <m/>
    <m/>
    <m/>
    <m/>
    <m/>
    <x v="1"/>
    <d v="1899-12-30T00:00:00"/>
    <d v="1899-12-30T00:00:00"/>
    <d v="1899-12-30T00:00:00"/>
    <d v="1899-12-30T00:00:00"/>
  </r>
  <r>
    <n v="1147"/>
    <m/>
    <m/>
    <m/>
    <x v="5"/>
    <m/>
    <m/>
    <m/>
    <m/>
    <x v="3"/>
    <m/>
    <m/>
    <m/>
    <m/>
    <m/>
    <x v="1"/>
    <d v="1899-12-30T00:00:00"/>
    <d v="1899-12-30T00:00:00"/>
    <d v="1899-12-30T00:00:00"/>
    <d v="1899-12-30T00:00:00"/>
  </r>
  <r>
    <n v="1148"/>
    <m/>
    <m/>
    <m/>
    <x v="5"/>
    <m/>
    <m/>
    <m/>
    <m/>
    <x v="3"/>
    <m/>
    <m/>
    <m/>
    <m/>
    <m/>
    <x v="1"/>
    <d v="1899-12-30T00:00:00"/>
    <d v="1899-12-30T00:00:00"/>
    <d v="1899-12-30T00:00:00"/>
    <d v="1899-12-30T00:00:00"/>
  </r>
  <r>
    <n v="1149"/>
    <m/>
    <m/>
    <m/>
    <x v="5"/>
    <m/>
    <m/>
    <m/>
    <m/>
    <x v="3"/>
    <m/>
    <m/>
    <m/>
    <m/>
    <m/>
    <x v="1"/>
    <d v="1899-12-30T00:00:00"/>
    <d v="1899-12-30T00:00:00"/>
    <d v="1899-12-30T00:00:00"/>
    <d v="1899-12-30T00:00:00"/>
  </r>
  <r>
    <n v="1150"/>
    <m/>
    <m/>
    <m/>
    <x v="5"/>
    <m/>
    <m/>
    <m/>
    <m/>
    <x v="3"/>
    <m/>
    <m/>
    <m/>
    <m/>
    <m/>
    <x v="1"/>
    <d v="1899-12-30T00:00:00"/>
    <d v="1899-12-30T00:00:00"/>
    <d v="1899-12-30T00:00:00"/>
    <d v="1899-12-30T00:00:00"/>
  </r>
  <r>
    <n v="1151"/>
    <m/>
    <m/>
    <m/>
    <x v="5"/>
    <m/>
    <m/>
    <m/>
    <m/>
    <x v="3"/>
    <m/>
    <m/>
    <m/>
    <m/>
    <m/>
    <x v="1"/>
    <d v="1899-12-30T00:00:00"/>
    <d v="1899-12-30T00:00:00"/>
    <d v="1899-12-30T00:00:00"/>
    <d v="1899-12-30T00:00:00"/>
  </r>
  <r>
    <n v="1152"/>
    <s v="A. ROVINA"/>
    <d v="1899-12-30T09:45:00"/>
    <d v="2026-04-23T00:00:00"/>
    <x v="4"/>
    <s v="Puntual"/>
    <s v="Se desordenaron las correas"/>
    <d v="1899-12-30T09:45:00"/>
    <d v="1899-12-30T10:15:00"/>
    <x v="154"/>
    <s v="Mecánica"/>
    <s v="Se realiza ajuste a correas sobremontadas queda resaltar que esta es parte operativa"/>
    <s v="NA"/>
    <s v="NA"/>
    <s v="O. DUARTE"/>
    <x v="2"/>
    <d v="1899-12-30T00:30:00"/>
    <d v="2026-04-23T09:45:00"/>
    <d v="2026-04-23T10:15:00"/>
    <d v="1899-12-30T00:30:00"/>
  </r>
  <r>
    <n v="1153"/>
    <s v="A. ROVINA"/>
    <d v="1899-12-30T12:09:00"/>
    <d v="2026-04-23T00:00:00"/>
    <x v="0"/>
    <s v="Puntual"/>
    <s v="Molesta la temperatura, sube y baja"/>
    <d v="1899-12-30T12:09:00"/>
    <d v="1899-12-30T13:15:00"/>
    <x v="154"/>
    <s v="Eléctrica"/>
    <s v="Se revisa, se cambia terminal de resistencia hacia falso contacto, se ajusta se pone a calentar quedando en temperatura de trabajo"/>
    <s v="NA"/>
    <s v="NA"/>
    <s v="O. DUARTE"/>
    <x v="0"/>
    <d v="1899-12-30T01:06:00"/>
    <d v="2026-04-23T12:09:00"/>
    <d v="2026-04-23T13:15:00"/>
    <d v="1899-12-30T01:06:00"/>
  </r>
  <r>
    <n v="1154"/>
    <s v="H. TRIANA"/>
    <d v="1899-12-30T12:10:00"/>
    <d v="2026-04-23T00:00:00"/>
    <x v="1"/>
    <s v="Puntual"/>
    <s v="Temperaturas altas y bajas"/>
    <m/>
    <m/>
    <x v="3"/>
    <m/>
    <m/>
    <m/>
    <m/>
    <m/>
    <x v="2"/>
    <d v="1899-12-30T00:00:00"/>
    <d v="2026-04-23T12:10:00"/>
    <d v="1899-12-30T00:00:00"/>
    <n v="-46135.506944444445"/>
  </r>
  <r>
    <n v="1155"/>
    <s v="D. MORENO"/>
    <d v="1899-12-30T16:30:00"/>
    <d v="2026-04-23T00:00:00"/>
    <x v="24"/>
    <s v="Puntual"/>
    <s v="La corta cores presenta daño en ajuste de tornillo y rodillo del cortacore"/>
    <d v="1899-12-30T16:30:00"/>
    <d v="1899-12-30T17:17:00"/>
    <x v="154"/>
    <s v="Mecánica"/>
    <s v="Se cambia tornillo y tierca"/>
    <s v="2X Tuercas M12_x000a_2X Tornillos M12"/>
    <s v="NA"/>
    <s v="O. DUARTE"/>
    <x v="2"/>
    <d v="1899-12-30T00:47:00"/>
    <d v="2026-04-23T16:30:00"/>
    <d v="2026-04-23T17:17:00"/>
    <d v="1899-12-30T00:47:00"/>
  </r>
  <r>
    <n v="1156"/>
    <s v="F. SANCHEZ"/>
    <d v="1899-12-30T20:30:00"/>
    <d v="2026-04-23T00:00:00"/>
    <x v="6"/>
    <s v="Puntual"/>
    <s v="Problemas con la manguera de salida del IBC, esta rota empate con cinta"/>
    <d v="1899-12-30T20:32:00"/>
    <d v="1899-12-30T21:00:00"/>
    <x v="154"/>
    <s v="Neúmatica"/>
    <m/>
    <m/>
    <m/>
    <m/>
    <x v="0"/>
    <d v="1899-12-30T00:28:00"/>
    <d v="2026-04-23T20:30:00"/>
    <d v="2026-04-23T21:00:00"/>
    <d v="1899-12-30T00:30:00"/>
  </r>
  <r>
    <n v="1157"/>
    <s v="S. PATIÑO"/>
    <d v="1899-12-30T22:10:00"/>
    <d v="2026-04-23T00:00:00"/>
    <x v="14"/>
    <s v="Puntual"/>
    <s v="Corto en la rotación"/>
    <d v="1899-12-30T22:10:00"/>
    <d v="1899-12-30T22:40:00"/>
    <x v="154"/>
    <s v="Eléctrica"/>
    <s v="Corto en escobillas de coex 2 se soluciona y queda OK"/>
    <s v="NA"/>
    <s v="NA"/>
    <s v="J. SILVA"/>
    <x v="0"/>
    <d v="1899-12-30T00:30:00"/>
    <d v="2026-04-23T22:10:00"/>
    <d v="2026-04-23T22:40:00"/>
    <d v="1899-12-30T00:30:00"/>
  </r>
  <r>
    <n v="1158"/>
    <s v="J. PARDO"/>
    <d v="1899-12-30T20:00:00"/>
    <d v="2026-04-23T00:00:00"/>
    <x v="7"/>
    <s v="Puntual"/>
    <s v="La maquina arranca y sube velocidad sola"/>
    <m/>
    <m/>
    <x v="3"/>
    <m/>
    <m/>
    <m/>
    <m/>
    <m/>
    <x v="2"/>
    <d v="1899-12-30T00:00:00"/>
    <d v="2026-04-23T20:00:00"/>
    <d v="1899-12-30T00:00:00"/>
    <n v="-46135.833333333336"/>
  </r>
  <r>
    <n v="1159"/>
    <s v="S. PATIÑO"/>
    <d v="1899-12-30T18:10:00"/>
    <d v="2026-04-23T00:00:00"/>
    <x v="1"/>
    <s v="Repetitiva"/>
    <s v="Platos corona desjaustados"/>
    <d v="1899-12-30T18:30:00"/>
    <d v="1899-12-30T19:57:00"/>
    <x v="154"/>
    <s v="Mecánica"/>
    <s v="Se destraban discos, se les coloca teflon quedan listos provisionalmente"/>
    <s v="NA"/>
    <s v="NA"/>
    <s v="J. SILVA"/>
    <x v="0"/>
    <d v="1899-12-30T01:27:00"/>
    <d v="2026-04-23T18:10:00"/>
    <d v="2026-04-23T19:57:00"/>
    <d v="1899-12-30T01:47:00"/>
  </r>
  <r>
    <n v="1160"/>
    <m/>
    <m/>
    <m/>
    <x v="5"/>
    <m/>
    <m/>
    <m/>
    <m/>
    <x v="3"/>
    <m/>
    <m/>
    <m/>
    <m/>
    <m/>
    <x v="1"/>
    <d v="1899-12-30T00:00:00"/>
    <d v="1899-12-30T00:00:00"/>
    <d v="1899-12-30T00:00:00"/>
    <d v="1899-12-30T00:00:00"/>
  </r>
  <r>
    <n v="1161"/>
    <s v="H. TRIANA"/>
    <d v="1899-12-30T14:40:00"/>
    <d v="2026-04-24T00:00:00"/>
    <x v="8"/>
    <s v="Repetitiva"/>
    <s v="Mangas tratador se quemaron"/>
    <d v="1899-12-30T14:40:00"/>
    <d v="1899-12-30T16:00:00"/>
    <x v="155"/>
    <s v="Mecánica"/>
    <s v="Se limpia mangas con alcohol, se aplica silicona alte temperatura, se recomienda dejar seca 30 min"/>
    <s v="NA"/>
    <s v="Silicona Alta temperatura"/>
    <s v="O. DUARTE"/>
    <x v="0"/>
    <d v="1899-12-30T01:20:00"/>
    <d v="2026-04-24T14:40:00"/>
    <d v="2026-04-24T16:00:00"/>
    <d v="1899-12-30T01:20:00"/>
  </r>
  <r>
    <n v="1162"/>
    <s v="C. CASTRO"/>
    <d v="1899-12-30T08:00:00"/>
    <d v="2026-04-25T00:00:00"/>
    <x v="9"/>
    <s v="Puntual"/>
    <s v="Daño en la toma de corriente "/>
    <d v="1899-12-30T08:00:00"/>
    <d v="1899-12-30T09:00:00"/>
    <x v="156"/>
    <s v="Eléctrica"/>
    <s v="Se encuentra toma 220V trifasica partida y genera corto, se remplaza toma y trs fusibles 16A que quemo en el corto, quedo operativo"/>
    <s v="3X Fusibles 16A_x000a_1X Toma trifasica"/>
    <s v="NA"/>
    <s v="D. BAUTISTA"/>
    <x v="0"/>
    <d v="1899-12-30T01:00:00"/>
    <d v="2026-04-25T08:00:00"/>
    <d v="2026-04-25T09:00:00"/>
    <d v="1899-12-30T01:00:00"/>
  </r>
  <r>
    <n v="1163"/>
    <s v="H. TRIANA"/>
    <d v="1899-12-30T06:30:00"/>
    <d v="2026-04-27T00:00:00"/>
    <x v="14"/>
    <s v="Puntual"/>
    <s v="Fallo en escobillas de rotación"/>
    <d v="1899-12-30T06:30:00"/>
    <d v="1899-12-30T09:00:00"/>
    <x v="157"/>
    <s v="Eléctrica"/>
    <s v="Se calibran escobillas, hay una que el soporte ya no agarra bien"/>
    <s v="NA"/>
    <s v="NA"/>
    <s v="J. SILVA"/>
    <x v="0"/>
    <d v="1899-12-30T02:30:00"/>
    <d v="2026-04-27T06:30:00"/>
    <d v="2026-04-27T09:00:00"/>
    <d v="1899-12-30T02:30:00"/>
  </r>
  <r>
    <n v="1164"/>
    <s v="L. FLOREZ"/>
    <d v="1899-12-30T15:00:00"/>
    <d v="2026-04-27T00:00:00"/>
    <x v="11"/>
    <s v="Puntual"/>
    <s v="Se necesitan materiales para taller de mantenimiento"/>
    <m/>
    <m/>
    <x v="3"/>
    <m/>
    <m/>
    <m/>
    <m/>
    <m/>
    <x v="2"/>
    <d v="1899-12-30T00:00:00"/>
    <d v="2026-04-27T15:00:00"/>
    <d v="1899-12-30T00:00:00"/>
    <n v="-46139.625"/>
  </r>
  <r>
    <n v="1165"/>
    <m/>
    <m/>
    <m/>
    <x v="5"/>
    <m/>
    <m/>
    <m/>
    <m/>
    <x v="3"/>
    <m/>
    <m/>
    <m/>
    <m/>
    <m/>
    <x v="1"/>
    <d v="1899-12-30T00:00:00"/>
    <d v="1899-12-30T00:00:00"/>
    <d v="1899-12-30T00:00:00"/>
    <d v="1899-12-30T00:00:00"/>
  </r>
  <r>
    <n v="1166"/>
    <m/>
    <m/>
    <m/>
    <x v="5"/>
    <m/>
    <m/>
    <m/>
    <m/>
    <x v="3"/>
    <m/>
    <m/>
    <m/>
    <m/>
    <m/>
    <x v="1"/>
    <d v="1899-12-30T00:00:00"/>
    <d v="1899-12-30T00:00:00"/>
    <d v="1899-12-30T00:00:00"/>
    <d v="1899-12-30T00:00:00"/>
  </r>
  <r>
    <n v="1167"/>
    <s v="A. CESPEDES"/>
    <d v="1899-12-30T21:50:00"/>
    <d v="2026-04-27T00:00:00"/>
    <x v="4"/>
    <s v="Puntual"/>
    <s v="Se daña manguera de aire de las uñas"/>
    <d v="1899-12-30T21:50:00"/>
    <d v="1899-12-30T22:40:00"/>
    <x v="157"/>
    <s v="Neúmatica"/>
    <s v="Se realiza cambio de manguera, se encuentra partida, se da ajuste queda operativa"/>
    <s v="1X Tramo de manguera de 8m X 50mm"/>
    <s v="NA"/>
    <s v="O. DUARTE"/>
    <x v="0"/>
    <d v="1899-12-30T00:50:00"/>
    <d v="2026-04-27T21:50:00"/>
    <d v="2026-04-27T22:40:00"/>
    <d v="1899-12-30T00:50:00"/>
  </r>
  <r>
    <n v="1168"/>
    <m/>
    <m/>
    <m/>
    <x v="5"/>
    <m/>
    <m/>
    <m/>
    <m/>
    <x v="3"/>
    <m/>
    <m/>
    <m/>
    <m/>
    <m/>
    <x v="1"/>
    <d v="1899-12-30T00:00:00"/>
    <d v="1899-12-30T00:00:00"/>
    <d v="1899-12-30T00:00:00"/>
    <d v="1899-12-30T00:00:00"/>
  </r>
  <r>
    <n v="1169"/>
    <s v="S. BRICEÑO"/>
    <d v="1899-12-30T04:15:00"/>
    <d v="2026-04-28T00:00:00"/>
    <x v="7"/>
    <s v="Puntual"/>
    <s v="Soldadura del piñon del desembobinador se rompe"/>
    <d v="1899-12-30T04:15:00"/>
    <d v="1899-12-30T05:00:00"/>
    <x v="158"/>
    <s v="Mecánica"/>
    <s v="Se aplica soldadura a eje desembobinador queda operativo"/>
    <s v="NA"/>
    <s v="Soldadura 6013"/>
    <s v="O. DUARTE"/>
    <x v="2"/>
    <d v="1899-12-30T00:45:00"/>
    <d v="2026-04-28T04:15:00"/>
    <d v="2026-04-28T05:00:00"/>
    <d v="1899-12-30T00:45:00"/>
  </r>
  <r>
    <n v="1170"/>
    <m/>
    <m/>
    <m/>
    <x v="5"/>
    <m/>
    <m/>
    <m/>
    <m/>
    <x v="3"/>
    <m/>
    <m/>
    <m/>
    <m/>
    <m/>
    <x v="1"/>
    <d v="1899-12-30T00:00:00"/>
    <d v="1899-12-30T00:00:00"/>
    <d v="1899-12-30T00:00:00"/>
    <d v="1899-12-30T00:00:00"/>
  </r>
  <r>
    <n v="1171"/>
    <m/>
    <m/>
    <m/>
    <x v="5"/>
    <m/>
    <m/>
    <m/>
    <m/>
    <x v="3"/>
    <m/>
    <m/>
    <m/>
    <m/>
    <m/>
    <x v="1"/>
    <d v="1899-12-30T00:00:00"/>
    <d v="1899-12-30T00:00:00"/>
    <d v="1899-12-30T00:00:00"/>
    <d v="1899-12-30T00:00:00"/>
  </r>
  <r>
    <n v="1172"/>
    <s v="H. TRIANA"/>
    <d v="1899-12-30T16:33:00"/>
    <d v="2026-04-28T00:00:00"/>
    <x v="1"/>
    <s v="Puntual"/>
    <s v="Prensa se frena"/>
    <d v="1899-12-30T16:33:00"/>
    <d v="1899-12-30T17:00:00"/>
    <x v="158"/>
    <s v="Mecánica"/>
    <s v="Se lubrican rodamientos de chumaceras, se ajusta tensión motor y se realizan pruebas en operación"/>
    <s v="NA"/>
    <s v="NA"/>
    <s v="D. BAUTISTA"/>
    <x v="0"/>
    <d v="1899-12-30T00:27:00"/>
    <d v="2026-04-28T16:33:00"/>
    <d v="2026-04-28T17:00:00"/>
    <d v="1899-12-30T00:27:00"/>
  </r>
  <r>
    <n v="1173"/>
    <s v="E. REYES"/>
    <d v="1899-12-30T17:00:00"/>
    <d v="2026-04-28T00:00:00"/>
    <x v="0"/>
    <s v="Puntual"/>
    <s v="Fotocelda falla"/>
    <d v="1899-12-30T17:00:00"/>
    <d v="1899-12-30T17:30:00"/>
    <x v="158"/>
    <s v="Eléctrica"/>
    <s v="Se realizo cambio de fotocelda y la operaria realiza cambio de parametros quedando operativa"/>
    <s v="NA"/>
    <s v="NA"/>
    <s v="D. BAUTISTA"/>
    <x v="0"/>
    <d v="1899-12-30T00:30:00"/>
    <d v="2026-04-28T17:00:00"/>
    <d v="2026-04-28T17:30:00"/>
    <d v="1899-12-30T00:30:00"/>
  </r>
  <r>
    <n v="1174"/>
    <s v="B. RODRIGUEZ"/>
    <d v="1899-12-30T17:30:00"/>
    <d v="2026-04-28T00:00:00"/>
    <x v="10"/>
    <s v="Puntual"/>
    <s v="Cambio de rodillo pisador"/>
    <d v="1899-12-30T17:30:00"/>
    <d v="1899-12-30T17:40:00"/>
    <x v="158"/>
    <s v="Mecánica"/>
    <s v="Se realiza cambio de rodillo pisador superior"/>
    <s v="NA"/>
    <s v="NA"/>
    <s v="D. BAUTISTA"/>
    <x v="0"/>
    <d v="1899-12-30T00:10:00"/>
    <d v="2026-04-28T17:30:00"/>
    <d v="2026-04-28T17:40:00"/>
    <d v="1899-12-30T00:10:00"/>
  </r>
  <r>
    <n v="1175"/>
    <s v="A. CESPEDES"/>
    <d v="1899-12-30T00:45:00"/>
    <d v="2026-04-29T00:00:00"/>
    <x v="0"/>
    <s v="Puntual"/>
    <s v="Daño en piñon del servo se sigue trabando bajo seguimiento"/>
    <d v="1899-12-30T00:45:00"/>
    <d v="1899-12-30T05:00:00"/>
    <x v="151"/>
    <s v="Mecánica"/>
    <s v="Se evidencia piñon dañado por falta de dientes, se busca en el taller, no se encuentra repuesto para remplazar_x000a_Seguimiento durante el turno"/>
    <m/>
    <m/>
    <s v="O. DUARTE"/>
    <x v="2"/>
    <d v="1899-12-30T04:15:00"/>
    <d v="2026-04-29T00:45:00"/>
    <d v="2026-04-29T05:00:00"/>
    <d v="1899-12-30T04:15:00"/>
  </r>
  <r>
    <n v="1176"/>
    <s v="A. ROVINA"/>
    <d v="1899-12-30T07:10:00"/>
    <d v="2026-04-29T00:00:00"/>
    <x v="0"/>
    <s v="Puntual"/>
    <s v="Se enreda el material en el servo, se arreglan las uñas"/>
    <d v="1899-12-30T07:12:00"/>
    <d v="1899-12-30T07:45:00"/>
    <x v="151"/>
    <s v="Mecánica"/>
    <s v="Se retiran uñas, se desdoblan_x000a_Quedan OK"/>
    <s v="NA"/>
    <s v="NA"/>
    <s v="J. SILVA"/>
    <x v="2"/>
    <d v="1899-12-30T00:33:00"/>
    <d v="2026-04-29T07:10:00"/>
    <d v="2026-04-29T07:45:00"/>
    <d v="1899-12-30T00:35:00"/>
  </r>
  <r>
    <n v="1177"/>
    <m/>
    <m/>
    <m/>
    <x v="5"/>
    <m/>
    <m/>
    <m/>
    <m/>
    <x v="3"/>
    <m/>
    <m/>
    <m/>
    <m/>
    <m/>
    <x v="1"/>
    <d v="1899-12-30T00:00:00"/>
    <d v="1899-12-30T00:00:00"/>
    <d v="1899-12-30T00:00:00"/>
    <d v="1899-12-30T00:00:00"/>
  </r>
  <r>
    <n v="1178"/>
    <s v="D. CUESTA"/>
    <d v="1899-12-30T08:15:00"/>
    <d v="2026-04-30T00:00:00"/>
    <x v="6"/>
    <s v="Puntual"/>
    <s v="Correa del halador destencionada"/>
    <d v="1899-12-30T08:15:00"/>
    <d v="1899-12-30T08:30:00"/>
    <x v="28"/>
    <s v="Mecánica"/>
    <s v="Se tensiona correa sincronica de halador ya que se encuentra demasiado destencionada"/>
    <s v="NA"/>
    <s v="NA"/>
    <s v="D. BAUTISTA"/>
    <x v="0"/>
    <d v="1899-12-30T00:15:00"/>
    <d v="2026-04-30T08:15:00"/>
    <d v="2026-04-30T08:30:00"/>
    <d v="1899-12-30T00:15:00"/>
  </r>
  <r>
    <n v="1179"/>
    <s v="H. TRIANA"/>
    <d v="1899-12-30T05:55:00"/>
    <d v="2026-04-30T00:00:00"/>
    <x v="1"/>
    <s v="Puntual"/>
    <s v="Echa candela el tratador"/>
    <d v="1899-12-30T07:30:00"/>
    <d v="1899-12-30T08:15:00"/>
    <x v="28"/>
    <s v="Eléctrica"/>
    <s v="Se realiza ajuste en conectores, se aisla terminal de potencia y se ajustan cuchillas de tratado, se realizan pruebas y queda operativo, se entrega para arranque"/>
    <s v="NA"/>
    <s v="NA"/>
    <s v="D. BAUTISTA"/>
    <x v="0"/>
    <d v="1899-12-30T00:45:00"/>
    <d v="2026-04-30T05:55:00"/>
    <d v="2026-04-30T08:15:00"/>
    <d v="1899-12-30T02:20:00"/>
  </r>
  <r>
    <n v="1180"/>
    <s v="L. FLOREZ"/>
    <d v="1899-12-30T11:00:00"/>
    <d v="2026-04-30T00:00:00"/>
    <x v="8"/>
    <s v="Puntual"/>
    <s v="Fabricación de mangas tratadoras 51mm X 55mm X 1100mm X3 unidades"/>
    <m/>
    <m/>
    <x v="3"/>
    <m/>
    <m/>
    <m/>
    <m/>
    <m/>
    <x v="2"/>
    <d v="1899-12-30T00:00:00"/>
    <d v="2026-04-30T11:00:00"/>
    <d v="1899-12-30T00:00:00"/>
    <n v="-46142.458333333336"/>
  </r>
  <r>
    <n v="1181"/>
    <m/>
    <m/>
    <m/>
    <x v="5"/>
    <m/>
    <m/>
    <m/>
    <m/>
    <x v="3"/>
    <m/>
    <m/>
    <m/>
    <m/>
    <m/>
    <x v="1"/>
    <d v="1899-12-30T00:00:00"/>
    <d v="1899-12-30T00:00:00"/>
    <d v="1899-12-30T00:00:00"/>
    <d v="1899-12-30T00:00:00"/>
  </r>
  <r>
    <n v="1182"/>
    <s v="J. LUCAS"/>
    <d v="1899-12-30T13:40:00"/>
    <d v="2026-04-30T00:00:00"/>
    <x v="0"/>
    <s v="Puntual"/>
    <s v="Muestrar error en sensor 05"/>
    <d v="1899-12-30T13:40:00"/>
    <d v="1899-12-30T14:00:00"/>
    <x v="28"/>
    <s v="Eléctrica"/>
    <s v="Falla 05 en sensor drive, se ajusto sensor, se reseteo maquina y se realizan pruebas"/>
    <s v="NA"/>
    <s v="NA"/>
    <s v="D. BAUTISTA"/>
    <x v="0"/>
    <d v="1899-12-30T00:20:00"/>
    <d v="2026-04-30T13:40:00"/>
    <d v="2026-04-30T14:00:00"/>
    <d v="1899-12-30T00:20:00"/>
  </r>
  <r>
    <n v="1183"/>
    <s v="S. PATIÑO"/>
    <d v="1899-12-30T08:30:00"/>
    <d v="2026-04-30T00:00:00"/>
    <x v="1"/>
    <s v="Puntual"/>
    <s v="Zona 1 (Tolva) no calienta"/>
    <d v="1899-12-30T08:30:00"/>
    <d v="1899-12-30T09:00:00"/>
    <x v="28"/>
    <s v="Eléctrica"/>
    <s v="Se realiza cambio de pirometro de tolva"/>
    <s v="1X Pirometro"/>
    <s v="NA"/>
    <s v="D. BAUTISTA"/>
    <x v="0"/>
    <d v="1899-12-30T00:30:00"/>
    <d v="2026-04-30T08:30:00"/>
    <d v="2026-04-30T09:00:00"/>
    <d v="1899-12-30T00:30:00"/>
  </r>
  <r>
    <n v="1184"/>
    <s v="H. TRIANA"/>
    <d v="1899-12-30T19:35:00"/>
    <d v="2026-04-30T00:00:00"/>
    <x v="8"/>
    <s v="Puntual"/>
    <s v="Falla en tratador (echa candela)"/>
    <d v="1899-12-30T19:35:00"/>
    <d v="1899-12-30T23:40:00"/>
    <x v="28"/>
    <s v="Eléctrica"/>
    <s v="Se encuentra aislador quemado, se cambia por el del cable a tierra ya que no hay en stock, queda OK_x000a_Se solicita para su cambio"/>
    <s v="1X Aislador"/>
    <s v="NA"/>
    <s v="J. SILVA"/>
    <x v="0"/>
    <d v="1899-12-30T04:05:00"/>
    <d v="2026-04-30T19:35:00"/>
    <d v="2026-04-30T23:40:00"/>
    <d v="1899-12-30T04:05:00"/>
  </r>
  <r>
    <n v="1185"/>
    <s v="D. CUESTA"/>
    <d v="1899-12-30T17:50:00"/>
    <d v="2026-04-30T00:00:00"/>
    <x v="6"/>
    <s v="Puntual"/>
    <s v="Ajustar clavos de los perforadores"/>
    <d v="1899-12-30T18:20:00"/>
    <d v="1899-12-30T21:40:00"/>
    <x v="28"/>
    <s v="Mecánica"/>
    <s v="Se calibran perforadores, se les echa superbonder como medida transitoria"/>
    <s v="NA"/>
    <s v="NA"/>
    <s v="J. SILVA"/>
    <x v="0"/>
    <d v="1899-12-30T03:20:00"/>
    <d v="2026-04-30T17:50:00"/>
    <d v="2026-04-30T21:40:00"/>
    <d v="1899-12-30T03:50:00"/>
  </r>
  <r>
    <n v="1186"/>
    <m/>
    <m/>
    <m/>
    <x v="5"/>
    <m/>
    <m/>
    <m/>
    <m/>
    <x v="3"/>
    <m/>
    <m/>
    <m/>
    <m/>
    <m/>
    <x v="1"/>
    <d v="1899-12-30T00:00:00"/>
    <d v="1899-12-30T00:00:00"/>
    <d v="1899-12-30T00:00:00"/>
    <d v="1899-12-30T00:00:00"/>
  </r>
  <r>
    <n v="1187"/>
    <s v="E. BOHORQUEZ"/>
    <d v="1899-12-30T00:28:00"/>
    <d v="2026-05-01T00:00:00"/>
    <x v="4"/>
    <s v="Puntual"/>
    <s v="Daño en el balancin"/>
    <d v="1899-12-30T00:30:00"/>
    <d v="1899-12-30T01:00:00"/>
    <x v="159"/>
    <s v="Mecánica"/>
    <s v="Se ajustan rodamientos Queda OK"/>
    <s v="NA"/>
    <s v="NA"/>
    <s v="J. SILVA"/>
    <x v="0"/>
    <d v="1899-12-30T00:30:00"/>
    <d v="2026-05-01T00:28:00"/>
    <d v="2026-05-01T01:00:00"/>
    <d v="1899-12-30T00:32:00"/>
  </r>
  <r>
    <n v="1188"/>
    <s v="D. ARRIETA"/>
    <m/>
    <d v="2026-05-01T00:00:00"/>
    <x v="7"/>
    <s v="Puntual"/>
    <s v="Diferencial izquierda no subia, bombas neumatica y eléctricas"/>
    <m/>
    <m/>
    <x v="3"/>
    <m/>
    <s v="Se revisan bombas, clavijas mal conexión, la neúmatica se le hace mantenimiento, diferencial cable abierto, se remplaza, todo queda OK"/>
    <s v="NA"/>
    <s v="NA"/>
    <s v="J. SILVA"/>
    <x v="0"/>
    <d v="1899-12-30T00:00:00"/>
    <d v="2026-05-01T00:00:00"/>
    <d v="1899-12-30T00:00:00"/>
    <n v="-46143"/>
  </r>
  <r>
    <n v="1189"/>
    <s v="E. BELLO"/>
    <d v="1899-12-30T00:50:00"/>
    <d v="2026-05-01T00:00:00"/>
    <x v="2"/>
    <s v="Puntual"/>
    <s v="Daño en cilindro neúmatico del perforador"/>
    <d v="1899-12-30T00:55:00"/>
    <d v="1899-12-30T01:10:00"/>
    <x v="159"/>
    <s v="Mecánica"/>
    <s v="Se cambio cilindro neúmatico por daño en rosca"/>
    <s v="1X Cilindro Neúmatico"/>
    <s v="NA"/>
    <s v="J. SILVA"/>
    <x v="0"/>
    <d v="1899-12-30T00:15:00"/>
    <d v="2026-05-01T00:50:00"/>
    <d v="2026-05-01T01:10:00"/>
    <d v="1899-12-30T00:20:00"/>
  </r>
  <r>
    <n v="1190"/>
    <s v="A. ROVINA"/>
    <d v="1899-12-30T10:00:00"/>
    <d v="2026-05-01T00:00:00"/>
    <x v="0"/>
    <s v="Puntual"/>
    <s v="Se enreda el material en el servo y se doblan las uñas"/>
    <d v="1899-12-30T10:00:00"/>
    <d v="1899-12-30T12:31:00"/>
    <x v="159"/>
    <s v="Mecánica"/>
    <s v="Se evidencia material y cinta enredados en rodillo servo, se doblan las uñas, se desmontan se enderezan, se limpian rodillos, se hacen pruebas queda operativa"/>
    <s v="NA"/>
    <s v="NA"/>
    <s v="O. DUARTE"/>
    <x v="0"/>
    <d v="1899-12-30T02:31:00"/>
    <d v="2026-05-01T10:00:00"/>
    <d v="2026-05-01T12:31:00"/>
    <d v="1899-12-30T02:31:00"/>
  </r>
  <r>
    <n v="1191"/>
    <m/>
    <m/>
    <m/>
    <x v="5"/>
    <m/>
    <m/>
    <m/>
    <m/>
    <x v="3"/>
    <m/>
    <m/>
    <m/>
    <m/>
    <m/>
    <x v="1"/>
    <d v="1899-12-30T00:00:00"/>
    <d v="1899-12-30T00:00:00"/>
    <d v="1899-12-30T00:00:00"/>
    <d v="1899-12-30T00:00:00"/>
  </r>
  <r>
    <n v="1192"/>
    <s v="A. CESPEDES"/>
    <d v="1899-12-30T00:10:00"/>
    <d v="2026-05-02T00:00:00"/>
    <x v="4"/>
    <s v="Puntual"/>
    <s v="Se rompe correa del servo"/>
    <d v="1899-12-30T00:10:00"/>
    <d v="1899-12-30T01:20:00"/>
    <x v="160"/>
    <s v="Mecánica"/>
    <s v="Se realiza cambio de correa de rodillo de cuchilla ya que se encuentra y queda operativa"/>
    <s v="NA"/>
    <s v="NA"/>
    <s v="D. BAUTISTA"/>
    <x v="0"/>
    <d v="1899-12-30T01:10:00"/>
    <d v="2026-05-02T00:10:00"/>
    <d v="2026-05-02T01:20:00"/>
    <d v="1899-12-30T01:10:00"/>
  </r>
  <r>
    <n v="1193"/>
    <m/>
    <m/>
    <m/>
    <x v="5"/>
    <m/>
    <m/>
    <m/>
    <m/>
    <x v="3"/>
    <m/>
    <m/>
    <m/>
    <m/>
    <m/>
    <x v="1"/>
    <d v="1899-12-30T00:00:00"/>
    <d v="1899-12-30T00:00:00"/>
    <d v="1899-12-30T00:00:00"/>
    <d v="1899-12-30T00:00:00"/>
  </r>
  <r>
    <n v="1194"/>
    <m/>
    <m/>
    <m/>
    <x v="5"/>
    <m/>
    <m/>
    <m/>
    <m/>
    <x v="3"/>
    <m/>
    <m/>
    <m/>
    <m/>
    <m/>
    <x v="1"/>
    <d v="1899-12-30T00:00:00"/>
    <d v="1899-12-30T00:00:00"/>
    <d v="1899-12-30T00:00:00"/>
    <d v="1899-12-30T00:00:00"/>
  </r>
  <r>
    <n v="1195"/>
    <s v="D. CUESTA"/>
    <d v="1899-12-30T19:00:00"/>
    <d v="2026-05-01T00:00:00"/>
    <x v="6"/>
    <s v="Puntual"/>
    <s v="Manguera del IBC ROTA"/>
    <d v="1899-12-30T19:00:00"/>
    <d v="1899-12-30T19:40:00"/>
    <x v="159"/>
    <s v="Mecánica"/>
    <s v="Se realiza cambio de manguera de salida del IBC la cual se encuentra en mal estado, se interviene en cambio de mallas del cañon A y C, queda lista para arrancar"/>
    <s v="NA"/>
    <s v="NA"/>
    <s v="D. BAUTISTA"/>
    <x v="0"/>
    <d v="1899-12-30T00:40:00"/>
    <d v="2026-05-01T19:00:00"/>
    <d v="2026-05-01T19:40:00"/>
    <d v="1899-12-30T00:40:00"/>
  </r>
  <r>
    <n v="1196"/>
    <m/>
    <m/>
    <m/>
    <x v="5"/>
    <m/>
    <m/>
    <m/>
    <m/>
    <x v="3"/>
    <m/>
    <m/>
    <m/>
    <m/>
    <m/>
    <x v="1"/>
    <d v="1899-12-30T00:00:00"/>
    <d v="1899-12-30T00:00:00"/>
    <d v="1899-12-30T00:00:00"/>
    <d v="1899-12-30T00:00:00"/>
  </r>
  <r>
    <n v="1197"/>
    <s v="A. ROVINA"/>
    <d v="1899-12-30T07:50:00"/>
    <d v="2026-05-02T00:00:00"/>
    <x v="4"/>
    <s v="Puntual"/>
    <s v="Rodillo en mal estado"/>
    <d v="1899-12-30T07:50:00"/>
    <d v="1899-12-30T08:40:00"/>
    <x v="160"/>
    <s v="Mecánica"/>
    <s v="Se evidencia polea de transmisión rodillo halador servo suelto, se ajusta cuña y prisionero y queda operativo"/>
    <s v="NA"/>
    <s v="NA"/>
    <s v="O. DUARTE"/>
    <x v="0"/>
    <d v="1899-12-30T00:50:00"/>
    <d v="2026-05-02T07:50:00"/>
    <d v="2026-05-02T08:40:00"/>
    <d v="1899-12-30T00:50:00"/>
  </r>
  <r>
    <n v="1198"/>
    <s v="A. ROVINA"/>
    <d v="1899-12-30T10:00:00"/>
    <d v="2026-05-02T00:00:00"/>
    <x v="4"/>
    <s v="Puntual"/>
    <s v="Se rompe rodillo punta del transportador"/>
    <d v="1899-12-30T10:00:00"/>
    <d v="1899-12-30T11:30:00"/>
    <x v="160"/>
    <s v="Mecánica"/>
    <s v="Se desmonta rodillo tensor de transportador, se reconstruye punta se da ajuste al eje, se tensionan correas y queda operativa la maquina"/>
    <s v="NA"/>
    <s v="Soldadura 60113"/>
    <s v="O. DUARTE"/>
    <x v="0"/>
    <d v="1899-12-30T01:30:00"/>
    <d v="2026-05-02T10:00:00"/>
    <d v="2026-05-02T11:30:00"/>
    <d v="1899-12-30T01:30:00"/>
  </r>
  <r>
    <n v="1199"/>
    <s v="E. BOHORQUEZ"/>
    <d v="1899-12-30T22:17:00"/>
    <d v="2026-05-02T00:00:00"/>
    <x v="0"/>
    <s v="Puntual"/>
    <s v="Maquina presenta variación de emperatura (baja)"/>
    <d v="1899-12-30T22:20:00"/>
    <d v="1899-12-30T22:40:00"/>
    <x v="160"/>
    <s v="Eléctrica"/>
    <s v="Se encuentra cable de derivación a resistencia de mordaza superior en mal estado, se realizo el cambio y se instala bornera, queda operativa"/>
    <s v="1X Bornera"/>
    <s v="NA"/>
    <s v="D. BAUTISTA"/>
    <x v="0"/>
    <d v="1899-12-30T00:20:00"/>
    <d v="2026-05-02T22:17:00"/>
    <d v="2026-05-02T22:40:00"/>
    <d v="1899-12-30T00:23:00"/>
  </r>
  <r>
    <n v="1200"/>
    <s v="F. SANCHEZ"/>
    <d v="1899-12-30T10:00:00"/>
    <d v="2026-04-03T00:00:00"/>
    <x v="6"/>
    <s v="Puntual"/>
    <s v="Probelmas con los tratadores no funcionan para abrir y para cerrar las densiddes, no funcionan para calcularles lasque es"/>
    <d v="1899-12-30T10:00:00"/>
    <d v="1899-12-30T12:00:00"/>
    <x v="132"/>
    <s v="Eléctrica"/>
    <s v="Se revisa tablero, control de tablero y paletas, se identifica cableado, se da conexión y ajuste por parte operario queda operativa, se reinicio el equipo pero persiste falla de densidad para calcular"/>
    <s v="NA"/>
    <s v="NA"/>
    <s v="O. DUARTE"/>
    <x v="2"/>
    <d v="1899-12-30T02:00:00"/>
    <d v="2026-04-03T10:00:00"/>
    <d v="2026-04-03T12:00:00"/>
    <d v="1899-12-30T02:00:00"/>
  </r>
  <r>
    <n v="1201"/>
    <s v="A. ROVINA"/>
    <d v="1899-12-30T08:00:00"/>
    <d v="2026-05-04T00:00:00"/>
    <x v="4"/>
    <s v="Puntual"/>
    <s v="Cambio de cuchilla"/>
    <m/>
    <m/>
    <x v="3"/>
    <m/>
    <m/>
    <m/>
    <m/>
    <m/>
    <x v="2"/>
    <d v="1899-12-30T00:00:00"/>
    <d v="2026-05-04T08:00:00"/>
    <d v="1899-12-30T00:00:00"/>
    <n v="-46146.333333333336"/>
  </r>
  <r>
    <n v="1202"/>
    <s v="L. FLOREZ"/>
    <d v="1899-12-30T08:02:00"/>
    <d v="2026-05-04T00:00:00"/>
    <x v="1"/>
    <m/>
    <s v="Compra urgente:_x000a_X30 Tornillo bristol M16 X 60mm_x000a_X2 Llaves bristol M14 largas_x000a_X2 Laves bristol 9/16&quot; largas_x000a_X1 Palanca para dado 1/2&quot;"/>
    <m/>
    <m/>
    <x v="3"/>
    <m/>
    <m/>
    <m/>
    <m/>
    <m/>
    <x v="2"/>
    <d v="1899-12-30T00:00:00"/>
    <d v="2026-05-04T08:02:00"/>
    <d v="1899-12-30T00:00:00"/>
    <n v="-46146.334722222222"/>
  </r>
  <r>
    <n v="1203"/>
    <s v="L. FLOREZ"/>
    <d v="1899-12-30T07:04:00"/>
    <d v="2026-05-04T00:00:00"/>
    <x v="11"/>
    <m/>
    <s v="X2 cuñetes aceite 320 Frixo"/>
    <m/>
    <m/>
    <x v="3"/>
    <m/>
    <m/>
    <m/>
    <m/>
    <m/>
    <x v="2"/>
    <d v="1899-12-30T00:00:00"/>
    <d v="2026-05-04T07:04:00"/>
    <d v="1899-12-30T00:00:00"/>
    <n v="-46146.294444444444"/>
  </r>
  <r>
    <n v="1204"/>
    <s v="L. FLOREZ"/>
    <d v="1899-12-30T07:42:00"/>
    <d v="2026-05-05T00:00:00"/>
    <x v="0"/>
    <m/>
    <s v="Correa 240L 075 X6 u/n correa dentada "/>
    <m/>
    <m/>
    <x v="3"/>
    <m/>
    <m/>
    <m/>
    <m/>
    <m/>
    <x v="2"/>
    <d v="1899-12-30T00:00:00"/>
    <d v="2026-05-05T07:42:00"/>
    <d v="1899-12-30T00:00:00"/>
    <n v="-46147.320833333331"/>
  </r>
  <r>
    <n v="1205"/>
    <s v="H. TRIANA"/>
    <d v="1899-12-30T14:00:00"/>
    <d v="2026-05-04T00:00:00"/>
    <x v="8"/>
    <s v="Puntual"/>
    <s v="Tornillo esta muy duro y no sirve"/>
    <d v="1899-12-30T14:00:00"/>
    <d v="1899-12-30T16:30:00"/>
    <x v="161"/>
    <s v="Mecánica"/>
    <s v="Se aplica soldadura se rompe tornillo, se extrae con buje de camisa, se reporta a producción equipo parado mientras traen repuesto, tornillos nuevos"/>
    <m/>
    <s v="NA"/>
    <s v="O. DUARTE"/>
    <x v="0"/>
    <d v="1899-12-30T02:30:00"/>
    <d v="2026-05-04T14:00:00"/>
    <d v="2026-05-04T16:30:00"/>
    <d v="1899-12-30T02:30:00"/>
  </r>
  <r>
    <n v="1206"/>
    <m/>
    <m/>
    <m/>
    <x v="5"/>
    <m/>
    <m/>
    <m/>
    <m/>
    <x v="3"/>
    <m/>
    <m/>
    <m/>
    <m/>
    <m/>
    <x v="1"/>
    <d v="1899-12-30T00:00:00"/>
    <d v="1899-12-30T00:00:00"/>
    <d v="1899-12-30T00:00:00"/>
    <d v="1899-12-30T00:00:00"/>
  </r>
  <r>
    <n v="1207"/>
    <s v="D. ARRIETA"/>
    <d v="1899-12-30T11:40:00"/>
    <d v="2026-05-04T00:00:00"/>
    <x v="7"/>
    <s v="Puntual"/>
    <s v="Balancin del embobinador al momento de prender el embobinador se arrancaba sola y se subia la velocidad a 35"/>
    <d v="1899-12-30T11:40:00"/>
    <d v="1899-12-30T14:00:00"/>
    <x v="161"/>
    <s v="Eléctrica"/>
    <s v="Se realiza inspección de circuitos, se condiciona velocidad de motor tambor para operar a baja velocidad ya que se necesita cambio de potenciometro selector el cual se pidio para el cambio, se tiene en seguimiento"/>
    <s v="NA"/>
    <s v="NA"/>
    <s v="L. FLOREZ"/>
    <x v="0"/>
    <d v="1899-12-30T02:20:00"/>
    <d v="2026-05-04T11:40:00"/>
    <d v="2026-05-04T14:00:00"/>
    <d v="1899-12-30T02:20:00"/>
  </r>
  <r>
    <n v="1208"/>
    <s v="C. BARAJAS"/>
    <d v="1899-12-30T15:50:00"/>
    <d v="2026-05-04T00:00:00"/>
    <x v="13"/>
    <s v="Puntual"/>
    <s v="Falla en sensor"/>
    <d v="1899-12-30T15:50:00"/>
    <d v="1899-12-30T16:50:00"/>
    <x v="161"/>
    <s v="Eléctrica"/>
    <s v="Sensor del desembobinador golpeado y cable trozado, se hace empalme cables y posicionamiento de sensor queda operativo"/>
    <s v="NA"/>
    <s v="NA"/>
    <s v="O. DUARTE"/>
    <x v="0"/>
    <d v="1899-12-30T01:00:00"/>
    <d v="2026-05-04T15:50:00"/>
    <d v="2026-05-04T16:50:00"/>
    <d v="1899-12-30T01:00:00"/>
  </r>
  <r>
    <n v="1209"/>
    <s v="J. PARDO"/>
    <d v="1899-12-30T19:00:00"/>
    <d v="2026-05-04T00:00:00"/>
    <x v="7"/>
    <s v="Puntual"/>
    <s v="Daño en potenciometro_x000a_No sube la velocidad_x000a_No frena se abaja rampa de descenso"/>
    <d v="1899-12-30T06:30:00"/>
    <d v="1899-12-30T08:00:00"/>
    <x v="162"/>
    <s v="Eléctrica"/>
    <s v="Se realizo cambio de pontecniometro, se da ajuste a freno, se realizan pruebas y queda operativa"/>
    <s v="1X Potenciometro"/>
    <s v="NA"/>
    <s v="L. FLOREZ"/>
    <x v="0"/>
    <d v="1899-12-30T01:30:00"/>
    <d v="2026-05-04T19:00:00"/>
    <d v="2026-05-05T08:00:00"/>
    <d v="1899-12-30T13:00:00"/>
  </r>
  <r>
    <n v="1210"/>
    <s v="E. REYES"/>
    <d v="1899-12-30T21:10:00"/>
    <d v="2026-05-04T00:00:00"/>
    <x v="13"/>
    <s v="Puntual"/>
    <s v="Cambio de teflon"/>
    <d v="1899-12-30T21:10:00"/>
    <d v="1899-12-30T21:45:00"/>
    <x v="161"/>
    <s v="Mecánica"/>
    <s v="Se cambia teflon, se coloca y queda OK"/>
    <s v="NA"/>
    <s v="NA"/>
    <s v="J. SILVA"/>
    <x v="0"/>
    <d v="1899-12-30T00:35:00"/>
    <d v="2026-05-04T21:10:00"/>
    <d v="2026-05-04T21:45:00"/>
    <d v="1899-12-30T00:35:00"/>
  </r>
  <r>
    <n v="1211"/>
    <s v="E. REYES"/>
    <d v="1899-12-30T22:39:00"/>
    <d v="2026-05-04T00:00:00"/>
    <x v="4"/>
    <s v="Puntual"/>
    <s v="Rectficar rosca"/>
    <d v="1899-12-30T22:39:00"/>
    <d v="1899-12-30T23:50:00"/>
    <x v="161"/>
    <s v="Mecánica"/>
    <s v="Se repasa rosca de mordaza"/>
    <s v="NA"/>
    <s v="NA"/>
    <s v="J. SILVA"/>
    <x v="0"/>
    <d v="1899-12-30T01:11:00"/>
    <d v="2026-05-04T22:39:00"/>
    <d v="2026-05-04T23:50:00"/>
    <d v="1899-12-30T01:11:00"/>
  </r>
  <r>
    <n v="1212"/>
    <s v="E."/>
    <d v="1899-12-30T01:00:00"/>
    <d v="2026-05-05T00:00:00"/>
    <x v="23"/>
    <s v="Puntual"/>
    <s v="Atasco en tolva por material"/>
    <d v="1899-12-30T01:20:00"/>
    <d v="1899-12-30T03:00:00"/>
    <x v="162"/>
    <s v="Mecánica"/>
    <s v="Se destraba tolva queda OK"/>
    <s v="NA"/>
    <s v="NA"/>
    <s v="J. SILVA"/>
    <x v="0"/>
    <d v="1899-12-30T01:40:00"/>
    <d v="2026-05-05T01:00:00"/>
    <d v="2026-05-05T03:00:00"/>
    <d v="1899-12-30T02:00:00"/>
  </r>
  <r>
    <n v="1213"/>
    <s v="L. FLOREZ"/>
    <d v="1899-12-30T08:00:00"/>
    <d v="2026-05-05T00:00:00"/>
    <x v="8"/>
    <s v="Puntual"/>
    <s v="Fabricación de camisas roscadas DE CAMISAS ROSCADAS M16 Ø INTERNO X M22 Ø EXTERNO X 30 MM LONGITUD portamallas"/>
    <m/>
    <m/>
    <x v="3"/>
    <m/>
    <m/>
    <m/>
    <m/>
    <m/>
    <x v="2"/>
    <d v="1899-12-30T00:00:00"/>
    <d v="2026-05-05T08:00:00"/>
    <d v="1899-12-30T00:00:00"/>
    <n v="-46147.333333333336"/>
  </r>
  <r>
    <n v="1214"/>
    <m/>
    <m/>
    <m/>
    <x v="5"/>
    <m/>
    <m/>
    <m/>
    <m/>
    <x v="3"/>
    <m/>
    <m/>
    <m/>
    <m/>
    <m/>
    <x v="1"/>
    <d v="1899-12-30T00:00:00"/>
    <d v="1899-12-30T00:00:00"/>
    <d v="1899-12-30T00:00:00"/>
    <d v="1899-12-30T00:00:00"/>
  </r>
  <r>
    <n v="1215"/>
    <s v="D. MENDOZA"/>
    <d v="1899-12-30T13:00:00"/>
    <d v="2026-05-05T00:00:00"/>
    <x v="11"/>
    <s v="Puntual"/>
    <s v="Daño selladora manual_x000a_Soldadura sueta en el pedal"/>
    <d v="1899-12-30T13:00:00"/>
    <d v="1899-12-30T16:00:00"/>
    <x v="162"/>
    <s v="Mecánica"/>
    <s v="Se aplica soldadura a soportes del pedal"/>
    <s v="NA"/>
    <s v="NA"/>
    <s v="D. BAUTISTA"/>
    <x v="0"/>
    <d v="1899-12-30T03:00:00"/>
    <d v="2026-05-05T13:00:00"/>
    <d v="2026-05-05T16:00:00"/>
    <d v="1899-12-30T03:00:00"/>
  </r>
  <r>
    <n v="1216"/>
    <s v="A"/>
    <d v="1899-12-30T15:00:00"/>
    <d v="2026-05-05T00:00:00"/>
    <x v="2"/>
    <s v="Puntual"/>
    <s v="Daño en los perforadores desde las 15:00"/>
    <d v="1899-12-30T17:00:00"/>
    <d v="1899-12-30T17:55:00"/>
    <x v="162"/>
    <s v="Mecánica"/>
    <s v="Se solda soporte de perforadores ya que se encuentra partido y se instalan tornillos"/>
    <s v="4X Tornillos M6 X 30mm"/>
    <s v="NA"/>
    <s v="D. BAUTISTA"/>
    <x v="2"/>
    <d v="1899-12-30T00:55:00"/>
    <d v="2026-05-05T15:00:00"/>
    <d v="2026-05-05T17:55:00"/>
    <d v="1899-12-30T02:55:00"/>
  </r>
  <r>
    <n v="1217"/>
    <s v="J. LUCAS"/>
    <d v="1899-12-30T16:50:00"/>
    <d v="2026-05-05T00:00:00"/>
    <x v="13"/>
    <s v="Puntual"/>
    <s v="La cuchilla rompe la bolsa"/>
    <d v="1899-12-30T16:50:00"/>
    <d v="1899-12-30T17:30:00"/>
    <x v="162"/>
    <s v="Mecánica"/>
    <s v="Se da ajuste en cuchilla y mordaza, se ajusta temperatura, se realizan puebas y queda en operación"/>
    <s v="NA"/>
    <s v="NA"/>
    <s v="D. BAUTISTA"/>
    <x v="0"/>
    <d v="1899-12-30T00:40:00"/>
    <d v="2026-05-05T16:50:00"/>
    <d v="2026-05-05T17:30:00"/>
    <d v="1899-12-30T00:40:00"/>
  </r>
  <r>
    <n v="1218"/>
    <s v="J. LUCAS"/>
    <d v="1899-12-30T19:50:00"/>
    <d v="2026-05-05T00:00:00"/>
    <x v="13"/>
    <s v="Puntual"/>
    <s v="Daño en perforación"/>
    <d v="1899-12-30T19:51:00"/>
    <d v="1899-12-30T20:35:00"/>
    <x v="162"/>
    <s v="Neúmatica"/>
    <s v="Cambio de cilindro"/>
    <s v="1X Cilindro neumático"/>
    <s v="NA"/>
    <s v="J. SILVA"/>
    <x v="0"/>
    <d v="1899-12-30T00:44:00"/>
    <d v="2026-05-05T19:50:00"/>
    <d v="2026-05-05T20:35:00"/>
    <d v="1899-12-30T00:45:00"/>
  </r>
  <r>
    <n v="1219"/>
    <s v="E. REYES"/>
    <d v="1899-12-30T03:12:00"/>
    <d v="2026-05-06T00:00:00"/>
    <x v="0"/>
    <s v="Puntual"/>
    <s v="Manguera del aire se suelta"/>
    <d v="1899-12-30T03:15:00"/>
    <d v="1899-12-30T04:00:00"/>
    <x v="163"/>
    <s v="Neúmatica"/>
    <s v="Se ajusta manguera y cilindro neumático queda operativo"/>
    <s v="NA"/>
    <s v="NA"/>
    <s v="J. SILVA"/>
    <x v="0"/>
    <d v="1899-12-30T00:45:00"/>
    <d v="2026-05-06T03:12:00"/>
    <d v="2026-05-06T04:00:00"/>
    <d v="1899-12-30T00:48:00"/>
  </r>
  <r>
    <n v="1220"/>
    <m/>
    <m/>
    <m/>
    <x v="5"/>
    <m/>
    <m/>
    <m/>
    <m/>
    <x v="3"/>
    <m/>
    <m/>
    <m/>
    <m/>
    <m/>
    <x v="1"/>
    <d v="1899-12-30T00:00:00"/>
    <d v="1899-12-30T00:00:00"/>
    <d v="1899-12-30T00:00:00"/>
    <d v="1899-12-30T00:00:00"/>
  </r>
  <r>
    <n v="1221"/>
    <m/>
    <m/>
    <m/>
    <x v="5"/>
    <m/>
    <m/>
    <m/>
    <m/>
    <x v="3"/>
    <m/>
    <m/>
    <m/>
    <m/>
    <m/>
    <x v="1"/>
    <d v="1899-12-30T00:00:00"/>
    <d v="1899-12-30T00:00:00"/>
    <d v="1899-12-30T00:00:00"/>
    <d v="1899-12-30T00:00:00"/>
  </r>
  <r>
    <n v="1222"/>
    <s v="H. TRIANA"/>
    <d v="1899-12-30T19:25:00"/>
    <d v="2026-05-06T00:00:00"/>
    <x v="1"/>
    <s v="Puntual"/>
    <s v="Falla ventilador del motor halador prensa"/>
    <d v="1899-12-30T21:00:00"/>
    <d v="1899-12-30T22:30:00"/>
    <x v="163"/>
    <s v="Eléctrica"/>
    <s v="Se cambia y se adapta blower_x000a_Queda OK"/>
    <s v="NA"/>
    <s v="NA"/>
    <s v="J. SILVA"/>
    <x v="2"/>
    <d v="1899-12-30T01:30:00"/>
    <d v="2026-05-06T19:25:00"/>
    <d v="2026-05-06T22:30:00"/>
    <d v="1899-12-30T03:05:00"/>
  </r>
  <r>
    <n v="1223"/>
    <s v="H. TRIANA"/>
    <d v="1899-12-30T12:00:00"/>
    <d v="2026-05-06T00:00:00"/>
    <x v="8"/>
    <s v="Puntual"/>
    <s v="Temperatura tornillo externo elevada"/>
    <d v="1899-12-30T12:20:00"/>
    <d v="1899-12-30T01:35:00"/>
    <x v="163"/>
    <s v="Eléctrica"/>
    <s v="Se cambia relé estado solido y termocupla queda bajando temperatura"/>
    <s v="NA"/>
    <s v="NA"/>
    <s v="J. SILVA"/>
    <x v="2"/>
    <n v="-0.44791666666666663"/>
    <d v="2026-05-06T12:00:00"/>
    <d v="2026-05-06T01:35:00"/>
    <n v="-0.43402777778101154"/>
  </r>
  <r>
    <n v="1224"/>
    <s v="A. CESPEDES"/>
    <d v="1899-12-30T23:22:00"/>
    <d v="2026-05-08T00:00:00"/>
    <x v="16"/>
    <s v="Puntual"/>
    <s v="Daño en las uñas"/>
    <d v="1899-12-30T23:30:00"/>
    <d v="1899-12-30T00:30:00"/>
    <x v="164"/>
    <s v="Mecánica"/>
    <s v="Se desmontan uñas, se enderezan uñas de las flautas, se retira desgaste en uñas y queda en operación"/>
    <s v="NA"/>
    <s v="NA"/>
    <s v="D. BAUTISTA"/>
    <x v="0"/>
    <n v="-0.95833333333333326"/>
    <d v="2026-05-08T23:22:00"/>
    <d v="2026-05-09T00:30:00"/>
    <d v="1899-12-30T01:08:00"/>
  </r>
  <r>
    <n v="1225"/>
    <m/>
    <m/>
    <m/>
    <x v="5"/>
    <m/>
    <m/>
    <m/>
    <m/>
    <x v="3"/>
    <m/>
    <m/>
    <m/>
    <m/>
    <m/>
    <x v="1"/>
    <d v="1899-12-30T00:00:00"/>
    <d v="1899-12-30T00:00:00"/>
    <d v="1899-12-30T00:00:00"/>
    <d v="1899-12-30T00:00:00"/>
  </r>
  <r>
    <n v="1226"/>
    <s v="A. CESPEDES"/>
    <d v="1899-12-30T14:30:00"/>
    <d v="2026-05-07T00:00:00"/>
    <x v="4"/>
    <s v="Repetitiva"/>
    <s v="Daño en soporte de perforadores"/>
    <d v="1899-12-30T14:30:00"/>
    <d v="1899-12-30T14:50:00"/>
    <x v="165"/>
    <s v="Mecánica"/>
    <s v="Se desmonta soporte perforadores, se aplica soldadura, se monta y se ajusta queda operativa"/>
    <s v="NA"/>
    <s v="NA"/>
    <s v="O. DUARTE"/>
    <x v="0"/>
    <d v="1899-12-30T00:20:00"/>
    <d v="2026-05-07T14:30:00"/>
    <d v="2026-05-07T14:50:00"/>
    <d v="1899-12-30T00:20:00"/>
  </r>
  <r>
    <n v="1227"/>
    <s v="S. PATIÑO"/>
    <d v="1899-12-30T12:00:00"/>
    <d v="2026-05-07T00:00:00"/>
    <x v="14"/>
    <s v="Puntual"/>
    <s v="Torpedo del molde suelto"/>
    <d v="1899-12-30T12:00:00"/>
    <d v="1899-12-30T15:00:00"/>
    <x v="165"/>
    <s v="Mecánica"/>
    <s v="Se ajusta torpedo del equipo y se entrega a el operario"/>
    <s v="NA"/>
    <s v="NA"/>
    <s v="O. DUARTE"/>
    <x v="0"/>
    <d v="1899-12-30T03:00:00"/>
    <d v="2026-05-07T12:00:00"/>
    <d v="2026-05-07T15:00:00"/>
    <d v="1899-12-30T03:00:00"/>
  </r>
  <r>
    <n v="1228"/>
    <s v="F. SANCHEZ"/>
    <d v="1899-12-30T06:30:00"/>
    <d v="2026-05-08T00:00:00"/>
    <x v="6"/>
    <s v="Puntual"/>
    <s v="Rodillo loco rodamiento en mal estado"/>
    <d v="1899-12-30T06:30:00"/>
    <d v="1899-12-30T09:00:00"/>
    <x v="166"/>
    <s v="Mecánica"/>
    <s v="Se revisa rodillo loco estaba girando en su eje por que la chumacera estaba pegada, se hace limpieza lubricación y ajuste en ambos costados y queda operativo, se lija rodillo "/>
    <s v="NA"/>
    <s v="NA"/>
    <s v="O. DUARTE"/>
    <x v="0"/>
    <d v="1899-12-30T02:30:00"/>
    <d v="2026-05-08T06:30:00"/>
    <d v="2026-05-08T09:00:00"/>
    <d v="1899-12-30T02:30:00"/>
  </r>
  <r>
    <n v="1229"/>
    <s v="O. DUARTE"/>
    <d v="1899-12-30T10:00:00"/>
    <d v="2026-05-08T00:00:00"/>
    <x v="6"/>
    <s v="Puntual"/>
    <s v="Se requiere chumacera UC FL 206 para equipo coex 5, rodillo loco"/>
    <m/>
    <m/>
    <x v="3"/>
    <m/>
    <m/>
    <m/>
    <m/>
    <m/>
    <x v="2"/>
    <d v="1899-12-30T00:00:00"/>
    <d v="2026-05-08T10:00:00"/>
    <d v="1899-12-30T00:00:00"/>
    <n v="-46150.416666666664"/>
  </r>
  <r>
    <n v="1230"/>
    <m/>
    <m/>
    <m/>
    <x v="5"/>
    <m/>
    <m/>
    <m/>
    <m/>
    <x v="3"/>
    <m/>
    <m/>
    <m/>
    <m/>
    <m/>
    <x v="1"/>
    <d v="1899-12-30T00:00:00"/>
    <d v="1899-12-30T00:00:00"/>
    <d v="1899-12-30T00:00:00"/>
    <d v="1899-12-30T00:00:00"/>
  </r>
  <r>
    <n v="1231"/>
    <s v="A. CESPEDES"/>
    <d v="1899-12-30T03:55:00"/>
    <d v="2026-05-09T00:00:00"/>
    <x v="16"/>
    <s v="Puntual"/>
    <s v="Daño en el transportador"/>
    <d v="1899-12-30T03:55:00"/>
    <d v="1899-12-30T04:25:00"/>
    <x v="164"/>
    <s v="Mecánica"/>
    <s v="Se parte tornillo de sujeción de rodillo tenso transportador, se extrae tornillo y se instala tornillo,se realiza montaje y queda en operación"/>
    <s v="2X Tornillo M5 X 20MM"/>
    <s v="NA"/>
    <s v="D. BAUTISTA"/>
    <x v="0"/>
    <d v="1899-12-30T00:30:00"/>
    <d v="2026-05-09T03:55:00"/>
    <d v="2026-05-09T04:25:00"/>
    <d v="1899-12-30T00:30:00"/>
  </r>
  <r>
    <n v="1232"/>
    <s v="H. TRIANA"/>
    <d v="1899-12-30T17:00:00"/>
    <d v="2026-05-09T00:00:00"/>
    <x v="14"/>
    <s v="Puntual"/>
    <s v="Cables del porta mallas desconectado"/>
    <d v="1899-12-30T17:00:00"/>
    <d v="1899-12-30T20:00:00"/>
    <x v="164"/>
    <s v="Eléctrica"/>
    <s v="Se evdencia cable desnconectado en resistencia se daña, terminal hace corto, se conecta nuevamente, se hace seguimiento en el turno"/>
    <s v="NA"/>
    <s v="NA"/>
    <s v="O. DUARTE"/>
    <x v="0"/>
    <d v="1899-12-30T03:00:00"/>
    <d v="2026-05-09T17:00:00"/>
    <d v="2026-05-09T20:00:00"/>
    <d v="1899-12-30T03:00:00"/>
  </r>
  <r>
    <n v="1233"/>
    <s v="H. TRIANA"/>
    <d v="1899-12-30T00:00:00"/>
    <d v="2026-05-09T00:00:00"/>
    <x v="8"/>
    <s v="Puntual"/>
    <s v="Falla en el tratador (se apaga)"/>
    <d v="1899-12-30T00:00:00"/>
    <d v="1899-12-30T02:00:00"/>
    <x v="164"/>
    <s v="Eléctrica"/>
    <s v="Se evidencia punto caliente, se hace ajuste se cambia cinta, se hace prueba y persiste corto, se evidencia mangas quemadas y cable dañado, se hace cambio cable y terminales, se aplica silicona de alta temperatuura, queda operativa y se hace seguimiento durante el turno"/>
    <s v="5X Terminales"/>
    <s v="Cinta aislante_x000a_Silicona alta temperatura_x000a_"/>
    <s v="O. DUARTE"/>
    <x v="2"/>
    <d v="1899-12-30T02:00:00"/>
    <d v="2026-05-09T00:00:00"/>
    <d v="2026-05-09T02:00:00"/>
    <d v="1899-12-30T02:00:00"/>
  </r>
  <r>
    <n v="1234"/>
    <s v="L. GALVIS"/>
    <d v="1899-12-30T03:00:00"/>
    <d v="2026-05-10T00:00:00"/>
    <x v="11"/>
    <s v="Puntual"/>
    <s v="Manzana corta cores no aprieta, rosca dañada"/>
    <d v="1899-12-30T03:00:00"/>
    <d v="1899-12-30T03:40:00"/>
    <x v="167"/>
    <s v="Mecánica"/>
    <s v="Se remplaza tuerca y tornillo por desgaste y exceso de ajust"/>
    <s v="1X Tornillo M12_x000a_1X Tuerca M12"/>
    <s v="NA"/>
    <s v="O. DUARTE"/>
    <x v="2"/>
    <d v="1899-12-30T00:40:00"/>
    <d v="2026-05-10T03:00:00"/>
    <d v="2026-05-10T03:40:00"/>
    <d v="1899-12-30T00:40:00"/>
  </r>
  <r>
    <n v="1235"/>
    <m/>
    <m/>
    <m/>
    <x v="5"/>
    <m/>
    <m/>
    <m/>
    <m/>
    <x v="3"/>
    <m/>
    <m/>
    <m/>
    <m/>
    <m/>
    <x v="1"/>
    <d v="1899-12-30T00:00:00"/>
    <d v="1899-12-30T00:00:00"/>
    <d v="1899-12-30T00:00:00"/>
    <d v="1899-12-30T00:00:00"/>
  </r>
  <r>
    <n v="1236"/>
    <m/>
    <m/>
    <m/>
    <x v="5"/>
    <m/>
    <m/>
    <m/>
    <m/>
    <x v="3"/>
    <m/>
    <m/>
    <m/>
    <m/>
    <m/>
    <x v="1"/>
    <d v="1899-12-30T00:00:00"/>
    <d v="1899-12-30T00:00:00"/>
    <d v="1899-12-30T00:00:00"/>
    <d v="1899-12-30T00:00:00"/>
  </r>
  <r>
    <n v="1237"/>
    <m/>
    <m/>
    <m/>
    <x v="5"/>
    <m/>
    <m/>
    <m/>
    <m/>
    <x v="3"/>
    <m/>
    <m/>
    <m/>
    <m/>
    <m/>
    <x v="1"/>
    <d v="1899-12-30T00:00:00"/>
    <d v="1899-12-30T00:00:00"/>
    <d v="1899-12-30T00:00:00"/>
    <d v="1899-12-30T00:00:00"/>
  </r>
  <r>
    <n v="1238"/>
    <m/>
    <m/>
    <m/>
    <x v="5"/>
    <m/>
    <m/>
    <m/>
    <m/>
    <x v="3"/>
    <m/>
    <m/>
    <m/>
    <m/>
    <m/>
    <x v="1"/>
    <d v="1899-12-30T00:00:00"/>
    <d v="1899-12-30T00:00:00"/>
    <d v="1899-12-30T00:00:00"/>
    <d v="1899-12-30T00:00:00"/>
  </r>
  <r>
    <n v="1239"/>
    <m/>
    <m/>
    <m/>
    <x v="5"/>
    <m/>
    <m/>
    <m/>
    <m/>
    <x v="3"/>
    <m/>
    <m/>
    <m/>
    <m/>
    <m/>
    <x v="1"/>
    <d v="1899-12-30T00:00:00"/>
    <d v="1899-12-30T00:00:00"/>
    <d v="1899-12-30T00:00:00"/>
    <d v="1899-12-30T00:00:00"/>
  </r>
  <r>
    <n v="1240"/>
    <m/>
    <m/>
    <m/>
    <x v="5"/>
    <m/>
    <m/>
    <m/>
    <m/>
    <x v="3"/>
    <m/>
    <m/>
    <m/>
    <m/>
    <m/>
    <x v="1"/>
    <d v="1899-12-30T00:00:00"/>
    <d v="1899-12-30T00:00:00"/>
    <d v="1899-12-30T00:00:00"/>
    <d v="1899-12-30T00:00:00"/>
  </r>
  <r>
    <n v="1241"/>
    <m/>
    <m/>
    <m/>
    <x v="5"/>
    <m/>
    <m/>
    <m/>
    <m/>
    <x v="3"/>
    <m/>
    <m/>
    <m/>
    <m/>
    <m/>
    <x v="1"/>
    <d v="1899-12-30T00:00:00"/>
    <d v="1899-12-30T00:00:00"/>
    <d v="1899-12-30T00:00:00"/>
    <d v="1899-12-30T00:00:00"/>
  </r>
  <r>
    <n v="1242"/>
    <m/>
    <m/>
    <m/>
    <x v="5"/>
    <m/>
    <m/>
    <m/>
    <m/>
    <x v="3"/>
    <m/>
    <m/>
    <m/>
    <m/>
    <m/>
    <x v="1"/>
    <d v="1899-12-30T00:00:00"/>
    <d v="1899-12-30T00:00:00"/>
    <d v="1899-12-30T00:00:00"/>
    <d v="1899-12-30T00:00:00"/>
  </r>
  <r>
    <n v="1243"/>
    <m/>
    <m/>
    <m/>
    <x v="5"/>
    <m/>
    <m/>
    <m/>
    <m/>
    <x v="3"/>
    <m/>
    <m/>
    <m/>
    <m/>
    <m/>
    <x v="1"/>
    <d v="1899-12-30T00:00:00"/>
    <d v="1899-12-30T00:00:00"/>
    <d v="1899-12-30T00:00:00"/>
    <d v="1899-12-30T00:00:00"/>
  </r>
  <r>
    <n v="1244"/>
    <m/>
    <m/>
    <m/>
    <x v="5"/>
    <m/>
    <m/>
    <m/>
    <m/>
    <x v="3"/>
    <m/>
    <m/>
    <m/>
    <m/>
    <m/>
    <x v="1"/>
    <d v="1899-12-30T00:00:00"/>
    <d v="1899-12-30T00:00:00"/>
    <d v="1899-12-30T00:00:00"/>
    <d v="1899-12-30T00:00:00"/>
  </r>
  <r>
    <n v="1245"/>
    <m/>
    <m/>
    <m/>
    <x v="5"/>
    <m/>
    <m/>
    <m/>
    <m/>
    <x v="3"/>
    <m/>
    <m/>
    <m/>
    <m/>
    <m/>
    <x v="1"/>
    <d v="1899-12-30T00:00:00"/>
    <d v="1899-12-30T00:00:00"/>
    <d v="1899-12-30T00:00:00"/>
    <d v="1899-12-30T00:00:00"/>
  </r>
  <r>
    <n v="1246"/>
    <m/>
    <m/>
    <m/>
    <x v="5"/>
    <m/>
    <m/>
    <m/>
    <m/>
    <x v="3"/>
    <m/>
    <m/>
    <m/>
    <m/>
    <m/>
    <x v="1"/>
    <d v="1899-12-30T00:00:00"/>
    <d v="1899-12-30T00:00:00"/>
    <d v="1899-12-30T00:00:00"/>
    <d v="1899-12-30T00:00:00"/>
  </r>
  <r>
    <n v="1247"/>
    <m/>
    <m/>
    <m/>
    <x v="5"/>
    <m/>
    <m/>
    <m/>
    <m/>
    <x v="3"/>
    <m/>
    <m/>
    <m/>
    <m/>
    <m/>
    <x v="1"/>
    <d v="1899-12-30T00:00:00"/>
    <d v="1899-12-30T00:00:00"/>
    <d v="1899-12-30T00:00:00"/>
    <d v="1899-12-30T00:00:00"/>
  </r>
  <r>
    <n v="1248"/>
    <m/>
    <m/>
    <m/>
    <x v="5"/>
    <m/>
    <m/>
    <m/>
    <m/>
    <x v="3"/>
    <m/>
    <m/>
    <m/>
    <m/>
    <m/>
    <x v="1"/>
    <d v="1899-12-30T00:00:00"/>
    <d v="1899-12-30T00:00:00"/>
    <d v="1899-12-30T00:00:00"/>
    <d v="1899-12-30T00:00:00"/>
  </r>
  <r>
    <n v="1249"/>
    <m/>
    <m/>
    <m/>
    <x v="5"/>
    <m/>
    <m/>
    <m/>
    <m/>
    <x v="3"/>
    <m/>
    <m/>
    <m/>
    <m/>
    <m/>
    <x v="1"/>
    <d v="1899-12-30T00:00:00"/>
    <d v="1899-12-30T00:00:00"/>
    <d v="1899-12-30T00:00:00"/>
    <d v="1899-12-30T00:00:00"/>
  </r>
  <r>
    <n v="1250"/>
    <m/>
    <m/>
    <m/>
    <x v="5"/>
    <m/>
    <m/>
    <m/>
    <m/>
    <x v="3"/>
    <m/>
    <m/>
    <m/>
    <m/>
    <m/>
    <x v="1"/>
    <d v="1899-12-30T00:00:00"/>
    <d v="1899-12-30T00:00:00"/>
    <d v="1899-12-30T00:00:00"/>
    <d v="1899-12-30T00:00:00"/>
  </r>
  <r>
    <n v="1251"/>
    <m/>
    <m/>
    <m/>
    <x v="5"/>
    <m/>
    <m/>
    <m/>
    <m/>
    <x v="3"/>
    <m/>
    <m/>
    <m/>
    <m/>
    <m/>
    <x v="1"/>
    <d v="1899-12-30T00:00:00"/>
    <d v="1899-12-30T00:00:00"/>
    <d v="1899-12-30T00:00:00"/>
    <d v="1899-12-30T00:00:00"/>
  </r>
  <r>
    <n v="1252"/>
    <m/>
    <m/>
    <m/>
    <x v="5"/>
    <m/>
    <m/>
    <m/>
    <m/>
    <x v="3"/>
    <m/>
    <m/>
    <m/>
    <m/>
    <m/>
    <x v="1"/>
    <d v="1899-12-30T00:00:00"/>
    <d v="1899-12-30T00:00:00"/>
    <d v="1899-12-30T00:00:00"/>
    <d v="1899-12-30T00:00:00"/>
  </r>
  <r>
    <n v="1253"/>
    <m/>
    <m/>
    <m/>
    <x v="5"/>
    <m/>
    <m/>
    <m/>
    <m/>
    <x v="3"/>
    <m/>
    <m/>
    <m/>
    <m/>
    <m/>
    <x v="1"/>
    <d v="1899-12-30T00:00:00"/>
    <d v="1899-12-30T00:00:00"/>
    <d v="1899-12-30T00:00:00"/>
    <d v="1899-12-30T00:00:00"/>
  </r>
  <r>
    <n v="1254"/>
    <m/>
    <m/>
    <m/>
    <x v="5"/>
    <m/>
    <m/>
    <m/>
    <m/>
    <x v="3"/>
    <m/>
    <m/>
    <m/>
    <m/>
    <m/>
    <x v="1"/>
    <d v="1899-12-30T00:00:00"/>
    <d v="1899-12-30T00:00:00"/>
    <d v="1899-12-30T00:00:00"/>
    <d v="1899-12-30T00:00:00"/>
  </r>
  <r>
    <n v="1255"/>
    <m/>
    <m/>
    <m/>
    <x v="5"/>
    <m/>
    <m/>
    <m/>
    <m/>
    <x v="3"/>
    <m/>
    <m/>
    <m/>
    <m/>
    <m/>
    <x v="1"/>
    <d v="1899-12-30T00:00:00"/>
    <d v="1899-12-30T00:00:00"/>
    <d v="1899-12-30T00:00:00"/>
    <d v="1899-12-30T00:00:00"/>
  </r>
  <r>
    <n v="1256"/>
    <m/>
    <m/>
    <m/>
    <x v="5"/>
    <m/>
    <m/>
    <m/>
    <m/>
    <x v="3"/>
    <m/>
    <m/>
    <m/>
    <m/>
    <m/>
    <x v="1"/>
    <d v="1899-12-30T00:00:00"/>
    <d v="1899-12-30T00:00:00"/>
    <d v="1899-12-30T00:00:00"/>
    <d v="1899-12-30T00:00:00"/>
  </r>
  <r>
    <n v="1257"/>
    <m/>
    <m/>
    <m/>
    <x v="5"/>
    <m/>
    <m/>
    <m/>
    <m/>
    <x v="3"/>
    <m/>
    <m/>
    <m/>
    <m/>
    <m/>
    <x v="1"/>
    <d v="1899-12-30T00:00:00"/>
    <d v="1899-12-30T00:00:00"/>
    <d v="1899-12-30T00:00:00"/>
    <d v="1899-12-30T00:00:00"/>
  </r>
  <r>
    <n v="1258"/>
    <m/>
    <m/>
    <m/>
    <x v="5"/>
    <m/>
    <m/>
    <m/>
    <m/>
    <x v="3"/>
    <m/>
    <m/>
    <m/>
    <m/>
    <m/>
    <x v="1"/>
    <d v="1899-12-30T00:00:00"/>
    <d v="1899-12-30T00:00:00"/>
    <d v="1899-12-30T00:00:00"/>
    <d v="1899-12-30T00:00:00"/>
  </r>
  <r>
    <n v="1259"/>
    <m/>
    <m/>
    <m/>
    <x v="5"/>
    <m/>
    <m/>
    <m/>
    <m/>
    <x v="3"/>
    <m/>
    <m/>
    <m/>
    <m/>
    <m/>
    <x v="1"/>
    <d v="1899-12-30T00:00:00"/>
    <d v="1899-12-30T00:00:00"/>
    <d v="1899-12-30T00:00:00"/>
    <d v="1899-12-30T00:00:00"/>
  </r>
  <r>
    <n v="1260"/>
    <m/>
    <m/>
    <m/>
    <x v="5"/>
    <m/>
    <m/>
    <m/>
    <m/>
    <x v="3"/>
    <m/>
    <m/>
    <m/>
    <m/>
    <m/>
    <x v="1"/>
    <d v="1899-12-30T00:00:00"/>
    <d v="1899-12-30T00:00:00"/>
    <d v="1899-12-30T00:00:00"/>
    <d v="1899-12-30T00:00:00"/>
  </r>
  <r>
    <n v="1261"/>
    <m/>
    <m/>
    <m/>
    <x v="5"/>
    <m/>
    <m/>
    <m/>
    <m/>
    <x v="3"/>
    <m/>
    <m/>
    <m/>
    <m/>
    <m/>
    <x v="1"/>
    <d v="1899-12-30T00:00:00"/>
    <d v="1899-12-30T00:00:00"/>
    <d v="1899-12-30T00:00:00"/>
    <d v="1899-12-30T00:00:00"/>
  </r>
  <r>
    <n v="1262"/>
    <m/>
    <m/>
    <m/>
    <x v="5"/>
    <m/>
    <m/>
    <m/>
    <m/>
    <x v="3"/>
    <m/>
    <m/>
    <m/>
    <m/>
    <m/>
    <x v="1"/>
    <d v="1899-12-30T00:00:00"/>
    <d v="1899-12-30T00:00:00"/>
    <d v="1899-12-30T00:00:00"/>
    <d v="1899-12-30T00:00:00"/>
  </r>
  <r>
    <n v="1263"/>
    <m/>
    <m/>
    <m/>
    <x v="5"/>
    <m/>
    <m/>
    <m/>
    <m/>
    <x v="3"/>
    <m/>
    <m/>
    <m/>
    <m/>
    <m/>
    <x v="1"/>
    <d v="1899-12-30T00:00:00"/>
    <d v="1899-12-30T00:00:00"/>
    <d v="1899-12-30T00:00:00"/>
    <d v="1899-12-30T00:00:00"/>
  </r>
  <r>
    <n v="1264"/>
    <m/>
    <m/>
    <m/>
    <x v="5"/>
    <m/>
    <m/>
    <m/>
    <m/>
    <x v="3"/>
    <m/>
    <m/>
    <m/>
    <m/>
    <m/>
    <x v="1"/>
    <d v="1899-12-30T00:00:00"/>
    <d v="1899-12-30T00:00:00"/>
    <d v="1899-12-30T00:00:00"/>
    <d v="1899-12-30T00:00:00"/>
  </r>
  <r>
    <n v="1265"/>
    <m/>
    <m/>
    <m/>
    <x v="5"/>
    <m/>
    <m/>
    <m/>
    <m/>
    <x v="3"/>
    <m/>
    <m/>
    <m/>
    <m/>
    <m/>
    <x v="1"/>
    <d v="1899-12-30T00:00:00"/>
    <d v="1899-12-30T00:00:00"/>
    <d v="1899-12-30T00:00:00"/>
    <d v="1899-12-30T00:00:00"/>
  </r>
  <r>
    <n v="1266"/>
    <m/>
    <m/>
    <m/>
    <x v="5"/>
    <m/>
    <m/>
    <m/>
    <m/>
    <x v="3"/>
    <m/>
    <m/>
    <m/>
    <m/>
    <m/>
    <x v="1"/>
    <d v="1899-12-30T00:00:00"/>
    <d v="1899-12-30T00:00:00"/>
    <d v="1899-12-30T00:00:00"/>
    <d v="1899-12-30T00:00:00"/>
  </r>
  <r>
    <n v="1267"/>
    <m/>
    <m/>
    <m/>
    <x v="5"/>
    <m/>
    <m/>
    <m/>
    <m/>
    <x v="3"/>
    <m/>
    <m/>
    <m/>
    <m/>
    <m/>
    <x v="1"/>
    <d v="1899-12-30T00:00:00"/>
    <d v="1899-12-30T00:00:00"/>
    <d v="1899-12-30T00:00:00"/>
    <d v="1899-12-30T00:00:00"/>
  </r>
  <r>
    <n v="1268"/>
    <m/>
    <m/>
    <m/>
    <x v="5"/>
    <m/>
    <m/>
    <m/>
    <m/>
    <x v="3"/>
    <m/>
    <m/>
    <m/>
    <m/>
    <m/>
    <x v="1"/>
    <d v="1899-12-30T00:00:00"/>
    <d v="1899-12-30T00:00:00"/>
    <d v="1899-12-30T00:00:00"/>
    <d v="1899-12-30T00:00:00"/>
  </r>
  <r>
    <n v="1269"/>
    <m/>
    <m/>
    <m/>
    <x v="5"/>
    <m/>
    <m/>
    <m/>
    <m/>
    <x v="3"/>
    <m/>
    <m/>
    <m/>
    <m/>
    <m/>
    <x v="1"/>
    <d v="1899-12-30T00:00:00"/>
    <d v="1899-12-30T00:00:00"/>
    <d v="1899-12-30T00:00:00"/>
    <d v="1899-12-30T00:00:00"/>
  </r>
  <r>
    <n v="1270"/>
    <m/>
    <m/>
    <m/>
    <x v="5"/>
    <m/>
    <m/>
    <m/>
    <m/>
    <x v="3"/>
    <m/>
    <m/>
    <m/>
    <m/>
    <m/>
    <x v="1"/>
    <d v="1899-12-30T00:00:00"/>
    <d v="1899-12-30T00:00:00"/>
    <d v="1899-12-30T00:00:00"/>
    <d v="1899-12-30T00:00:00"/>
  </r>
  <r>
    <n v="1271"/>
    <m/>
    <m/>
    <m/>
    <x v="5"/>
    <m/>
    <m/>
    <m/>
    <m/>
    <x v="3"/>
    <m/>
    <m/>
    <m/>
    <m/>
    <m/>
    <x v="1"/>
    <d v="1899-12-30T00:00:00"/>
    <d v="1899-12-30T00:00:00"/>
    <d v="1899-12-30T00:00:00"/>
    <d v="1899-12-30T00:00:00"/>
  </r>
  <r>
    <n v="1272"/>
    <m/>
    <m/>
    <m/>
    <x v="5"/>
    <m/>
    <m/>
    <m/>
    <m/>
    <x v="3"/>
    <m/>
    <m/>
    <m/>
    <m/>
    <m/>
    <x v="1"/>
    <d v="1899-12-30T00:00:00"/>
    <d v="1899-12-30T00:00:00"/>
    <d v="1899-12-30T00:00:00"/>
    <d v="1899-12-30T00:00:00"/>
  </r>
  <r>
    <n v="1273"/>
    <m/>
    <m/>
    <m/>
    <x v="5"/>
    <m/>
    <m/>
    <m/>
    <m/>
    <x v="3"/>
    <m/>
    <m/>
    <m/>
    <m/>
    <m/>
    <x v="1"/>
    <d v="1899-12-30T00:00:00"/>
    <d v="1899-12-30T00:00:00"/>
    <d v="1899-12-30T00:00:00"/>
    <d v="1899-12-30T00:00:00"/>
  </r>
  <r>
    <n v="1274"/>
    <m/>
    <m/>
    <m/>
    <x v="5"/>
    <m/>
    <m/>
    <m/>
    <m/>
    <x v="3"/>
    <m/>
    <m/>
    <m/>
    <m/>
    <m/>
    <x v="1"/>
    <d v="1899-12-30T00:00:00"/>
    <d v="1899-12-30T00:00:00"/>
    <d v="1899-12-30T00:00:00"/>
    <d v="1899-12-30T00:00:00"/>
  </r>
  <r>
    <n v="1275"/>
    <m/>
    <m/>
    <m/>
    <x v="5"/>
    <m/>
    <m/>
    <m/>
    <m/>
    <x v="3"/>
    <m/>
    <m/>
    <m/>
    <m/>
    <m/>
    <x v="1"/>
    <d v="1899-12-30T00:00:00"/>
    <d v="1899-12-30T00:00:00"/>
    <d v="1899-12-30T00:00:00"/>
    <d v="1899-12-30T00:00:00"/>
  </r>
  <r>
    <n v="1276"/>
    <m/>
    <m/>
    <m/>
    <x v="5"/>
    <m/>
    <m/>
    <m/>
    <m/>
    <x v="3"/>
    <m/>
    <m/>
    <m/>
    <m/>
    <m/>
    <x v="1"/>
    <d v="1899-12-30T00:00:00"/>
    <d v="1899-12-30T00:00:00"/>
    <d v="1899-12-30T00:00:00"/>
    <d v="1899-12-30T00:00:00"/>
  </r>
  <r>
    <n v="1277"/>
    <m/>
    <m/>
    <m/>
    <x v="5"/>
    <m/>
    <m/>
    <m/>
    <m/>
    <x v="3"/>
    <m/>
    <m/>
    <m/>
    <m/>
    <m/>
    <x v="1"/>
    <d v="1899-12-30T00:00:00"/>
    <d v="1899-12-30T00:00:00"/>
    <d v="1899-12-30T00:00:00"/>
    <d v="1899-12-30T00:00:00"/>
  </r>
  <r>
    <n v="1278"/>
    <m/>
    <m/>
    <m/>
    <x v="5"/>
    <m/>
    <m/>
    <m/>
    <m/>
    <x v="3"/>
    <m/>
    <m/>
    <m/>
    <m/>
    <m/>
    <x v="1"/>
    <d v="1899-12-30T00:00:00"/>
    <d v="1899-12-30T00:00:00"/>
    <d v="1899-12-30T00:00:00"/>
    <d v="1899-12-30T00:00:00"/>
  </r>
  <r>
    <n v="1279"/>
    <m/>
    <m/>
    <m/>
    <x v="5"/>
    <m/>
    <m/>
    <m/>
    <m/>
    <x v="3"/>
    <m/>
    <m/>
    <m/>
    <m/>
    <m/>
    <x v="1"/>
    <d v="1899-12-30T00:00:00"/>
    <d v="1899-12-30T00:00:00"/>
    <d v="1899-12-30T00:00:00"/>
    <d v="1899-12-30T00:00:00"/>
  </r>
  <r>
    <n v="1280"/>
    <m/>
    <m/>
    <m/>
    <x v="5"/>
    <m/>
    <m/>
    <m/>
    <m/>
    <x v="3"/>
    <m/>
    <m/>
    <m/>
    <m/>
    <m/>
    <x v="1"/>
    <d v="1899-12-30T00:00:00"/>
    <d v="1899-12-30T00:00:00"/>
    <d v="1899-12-30T00:00:00"/>
    <d v="1899-12-30T00:00:00"/>
  </r>
  <r>
    <n v="1281"/>
    <m/>
    <m/>
    <m/>
    <x v="5"/>
    <m/>
    <m/>
    <m/>
    <m/>
    <x v="3"/>
    <m/>
    <m/>
    <m/>
    <m/>
    <m/>
    <x v="1"/>
    <d v="1899-12-30T00:00:00"/>
    <d v="1899-12-30T00:00:00"/>
    <d v="1899-12-30T00:00:00"/>
    <d v="1899-12-30T00:00:00"/>
  </r>
  <r>
    <n v="1282"/>
    <m/>
    <m/>
    <m/>
    <x v="5"/>
    <m/>
    <m/>
    <m/>
    <m/>
    <x v="3"/>
    <m/>
    <m/>
    <m/>
    <m/>
    <m/>
    <x v="1"/>
    <d v="1899-12-30T00:00:00"/>
    <d v="1899-12-30T00:00:00"/>
    <d v="1899-12-30T00:00:00"/>
    <d v="1899-12-30T00:00:00"/>
  </r>
  <r>
    <n v="1283"/>
    <m/>
    <m/>
    <m/>
    <x v="5"/>
    <m/>
    <m/>
    <m/>
    <m/>
    <x v="3"/>
    <m/>
    <m/>
    <m/>
    <m/>
    <m/>
    <x v="1"/>
    <d v="1899-12-30T00:00:00"/>
    <d v="1899-12-30T00:00:00"/>
    <d v="1899-12-30T00:00:00"/>
    <d v="1899-12-30T00:00:00"/>
  </r>
  <r>
    <n v="1284"/>
    <m/>
    <m/>
    <m/>
    <x v="5"/>
    <m/>
    <m/>
    <m/>
    <m/>
    <x v="3"/>
    <m/>
    <m/>
    <m/>
    <m/>
    <m/>
    <x v="1"/>
    <d v="1899-12-30T00:00:00"/>
    <d v="1899-12-30T00:00:00"/>
    <d v="1899-12-30T00:00:00"/>
    <d v="1899-12-30T00:00:00"/>
  </r>
  <r>
    <n v="1285"/>
    <m/>
    <m/>
    <m/>
    <x v="5"/>
    <m/>
    <m/>
    <m/>
    <m/>
    <x v="3"/>
    <m/>
    <m/>
    <m/>
    <m/>
    <m/>
    <x v="1"/>
    <d v="1899-12-30T00:00:00"/>
    <d v="1899-12-30T00:00:00"/>
    <d v="1899-12-30T00:00:00"/>
    <d v="1899-12-30T00:00:00"/>
  </r>
  <r>
    <n v="1286"/>
    <m/>
    <m/>
    <m/>
    <x v="5"/>
    <m/>
    <m/>
    <m/>
    <m/>
    <x v="3"/>
    <m/>
    <m/>
    <m/>
    <m/>
    <m/>
    <x v="1"/>
    <d v="1899-12-30T00:00:00"/>
    <d v="1899-12-30T00:00:00"/>
    <d v="1899-12-30T00:00:00"/>
    <d v="1899-12-30T00:00:00"/>
  </r>
  <r>
    <n v="1287"/>
    <m/>
    <m/>
    <m/>
    <x v="5"/>
    <m/>
    <m/>
    <m/>
    <m/>
    <x v="3"/>
    <m/>
    <m/>
    <m/>
    <m/>
    <m/>
    <x v="1"/>
    <d v="1899-12-30T00:00:00"/>
    <d v="1899-12-30T00:00:00"/>
    <d v="1899-12-30T00:00:00"/>
    <d v="1899-12-30T00:00:00"/>
  </r>
  <r>
    <n v="1288"/>
    <m/>
    <m/>
    <m/>
    <x v="5"/>
    <m/>
    <m/>
    <m/>
    <m/>
    <x v="3"/>
    <m/>
    <m/>
    <m/>
    <m/>
    <m/>
    <x v="1"/>
    <d v="1899-12-30T00:00:00"/>
    <d v="1899-12-30T00:00:00"/>
    <d v="1899-12-30T00:00:00"/>
    <d v="1899-12-30T00:00:00"/>
  </r>
  <r>
    <n v="1289"/>
    <m/>
    <m/>
    <m/>
    <x v="5"/>
    <m/>
    <m/>
    <m/>
    <m/>
    <x v="3"/>
    <m/>
    <m/>
    <m/>
    <m/>
    <m/>
    <x v="1"/>
    <d v="1899-12-30T00:00:00"/>
    <d v="1899-12-30T00:00:00"/>
    <d v="1899-12-30T00:00:00"/>
    <d v="1899-12-30T00:00:00"/>
  </r>
  <r>
    <n v="1290"/>
    <m/>
    <m/>
    <m/>
    <x v="5"/>
    <m/>
    <m/>
    <m/>
    <m/>
    <x v="3"/>
    <m/>
    <m/>
    <m/>
    <m/>
    <m/>
    <x v="1"/>
    <d v="1899-12-30T00:00:00"/>
    <d v="1899-12-30T00:00:00"/>
    <d v="1899-12-30T00:00:00"/>
    <d v="1899-12-30T00:00:00"/>
  </r>
  <r>
    <n v="1291"/>
    <m/>
    <m/>
    <m/>
    <x v="5"/>
    <m/>
    <m/>
    <m/>
    <m/>
    <x v="3"/>
    <m/>
    <m/>
    <m/>
    <m/>
    <m/>
    <x v="1"/>
    <d v="1899-12-30T00:00:00"/>
    <d v="1899-12-30T00:00:00"/>
    <d v="1899-12-30T00:00:00"/>
    <d v="1899-12-30T00:00:00"/>
  </r>
  <r>
    <n v="1292"/>
    <m/>
    <m/>
    <m/>
    <x v="5"/>
    <m/>
    <m/>
    <m/>
    <m/>
    <x v="3"/>
    <m/>
    <m/>
    <m/>
    <m/>
    <m/>
    <x v="1"/>
    <d v="1899-12-30T00:00:00"/>
    <d v="1899-12-30T00:00:00"/>
    <d v="1899-12-30T00:00:00"/>
    <d v="1899-12-30T00:00:00"/>
  </r>
  <r>
    <n v="1293"/>
    <m/>
    <m/>
    <m/>
    <x v="5"/>
    <m/>
    <m/>
    <m/>
    <m/>
    <x v="3"/>
    <m/>
    <m/>
    <m/>
    <m/>
    <m/>
    <x v="1"/>
    <d v="1899-12-30T00:00:00"/>
    <d v="1899-12-30T00:00:00"/>
    <d v="1899-12-30T00:00:00"/>
    <d v="1899-12-30T00:00:00"/>
  </r>
  <r>
    <n v="1294"/>
    <m/>
    <m/>
    <m/>
    <x v="5"/>
    <m/>
    <m/>
    <m/>
    <m/>
    <x v="3"/>
    <m/>
    <m/>
    <m/>
    <m/>
    <m/>
    <x v="1"/>
    <d v="1899-12-30T00:00:00"/>
    <d v="1899-12-30T00:00:00"/>
    <d v="1899-12-30T00:00:00"/>
    <d v="1899-12-30T00:00:00"/>
  </r>
  <r>
    <n v="1295"/>
    <m/>
    <m/>
    <m/>
    <x v="5"/>
    <m/>
    <m/>
    <m/>
    <m/>
    <x v="3"/>
    <m/>
    <m/>
    <m/>
    <m/>
    <m/>
    <x v="1"/>
    <d v="1899-12-30T00:00:00"/>
    <d v="1899-12-30T00:00:00"/>
    <d v="1899-12-30T00:00:00"/>
    <d v="1899-12-30T00:00:00"/>
  </r>
  <r>
    <n v="1296"/>
    <m/>
    <m/>
    <m/>
    <x v="5"/>
    <m/>
    <m/>
    <m/>
    <m/>
    <x v="3"/>
    <m/>
    <m/>
    <m/>
    <m/>
    <m/>
    <x v="1"/>
    <d v="1899-12-30T00:00:00"/>
    <d v="1899-12-30T00:00:00"/>
    <d v="1899-12-30T00:00:00"/>
    <d v="1899-12-30T00:00:00"/>
  </r>
  <r>
    <n v="1297"/>
    <m/>
    <m/>
    <m/>
    <x v="5"/>
    <m/>
    <m/>
    <m/>
    <m/>
    <x v="3"/>
    <m/>
    <m/>
    <m/>
    <m/>
    <m/>
    <x v="1"/>
    <d v="1899-12-30T00:00:00"/>
    <d v="1899-12-30T00:00:00"/>
    <d v="1899-12-30T00:00:00"/>
    <d v="1899-12-30T00:00:00"/>
  </r>
  <r>
    <n v="1298"/>
    <m/>
    <m/>
    <m/>
    <x v="5"/>
    <m/>
    <m/>
    <m/>
    <m/>
    <x v="3"/>
    <m/>
    <m/>
    <m/>
    <m/>
    <m/>
    <x v="1"/>
    <d v="1899-12-30T00:00:00"/>
    <d v="1899-12-30T00:00:00"/>
    <d v="1899-12-30T00:00:00"/>
    <d v="1899-12-30T00:00:00"/>
  </r>
  <r>
    <n v="1299"/>
    <m/>
    <m/>
    <m/>
    <x v="5"/>
    <m/>
    <m/>
    <m/>
    <m/>
    <x v="3"/>
    <m/>
    <m/>
    <m/>
    <m/>
    <m/>
    <x v="1"/>
    <d v="1899-12-30T00:00:00"/>
    <d v="1899-12-30T00:00:00"/>
    <d v="1899-12-30T00:00:00"/>
    <d v="1899-12-30T00:00:00"/>
  </r>
  <r>
    <n v="1300"/>
    <m/>
    <m/>
    <m/>
    <x v="5"/>
    <m/>
    <m/>
    <m/>
    <m/>
    <x v="3"/>
    <m/>
    <m/>
    <m/>
    <m/>
    <m/>
    <x v="1"/>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TPM"/>
    <s v="NOMBRE DE QUIEN REPORTA"/>
    <m/>
    <m/>
    <x v="28"/>
    <s v="TIPO FALLA"/>
    <s v="DESCIPCIÓN "/>
    <m/>
    <m/>
    <x v="3"/>
    <s v="TIPO INTERVENCIÓN"/>
    <s v="ACCIÓN TOMADA"/>
    <s v="REPUESTOS USADOS"/>
    <s v="INSUMOS UTILIZADOS"/>
    <s v="TÉCNICO ENCARGADO"/>
    <x v="4"/>
    <d v="1899-12-30T00:00:00"/>
    <d v="1899-12-30T00:00:00"/>
    <d v="1899-12-30T00:00:00"/>
    <d v="1899-12-30T00:00:00"/>
  </r>
  <r>
    <s v="E1"/>
    <s v="D. CUESTA"/>
    <d v="1899-12-30T20:39:00"/>
    <d v="2026-02-21T00:00:00"/>
    <x v="6"/>
    <s v="Puntual"/>
    <s v="Coex #5 presenta varias alarmas y se apaga los husillos A-B-C falla en el alimentador A"/>
    <d v="1899-12-30T20:40:00"/>
    <d v="1899-12-30T22:10:00"/>
    <x v="168"/>
    <s v="Eléctrica"/>
    <s v="Sensor brazo alimentador con sensor mal reparado y en corto, se toma prestado un sensor de la selladora #4 temporalmente quedando OK. Se requiere RQ para compra de sensores según muestra"/>
    <s v="Sensor posicionamiento selladora #4"/>
    <s v="NA"/>
    <s v="L. CASTILLA"/>
    <x v="0"/>
    <d v="1899-12-30T01:30:00"/>
    <d v="2026-02-21T20:39:00"/>
    <d v="2026-02-21T22:10:00"/>
    <d v="1899-12-30T01:31:00"/>
  </r>
  <r>
    <s v="E10"/>
    <s v="E. BELLO"/>
    <d v="1899-12-30T06:15:00"/>
    <d v="2025-11-25T00:00:00"/>
    <x v="11"/>
    <s v="Puntual"/>
    <s v="Resistencia en mal estado, el cubrimiento echa chispa"/>
    <m/>
    <m/>
    <x v="3"/>
    <m/>
    <m/>
    <m/>
    <m/>
    <m/>
    <x v="2"/>
    <d v="1899-12-30T00:00:00"/>
    <d v="2025-11-25T06:15:00"/>
    <d v="1899-12-30T00:00:00"/>
    <n v="-45986.260416666664"/>
  </r>
  <r>
    <s v="E1090"/>
    <m/>
    <m/>
    <m/>
    <x v="5"/>
    <m/>
    <m/>
    <m/>
    <m/>
    <x v="3"/>
    <m/>
    <m/>
    <m/>
    <m/>
    <m/>
    <x v="1"/>
    <d v="1899-12-30T00:00:00"/>
    <d v="1899-12-30T00:00:00"/>
    <d v="1899-12-30T00:00:00"/>
    <d v="1899-12-30T00:00:00"/>
  </r>
  <r>
    <s v="E1091"/>
    <m/>
    <m/>
    <m/>
    <x v="5"/>
    <m/>
    <m/>
    <m/>
    <m/>
    <x v="3"/>
    <m/>
    <m/>
    <m/>
    <m/>
    <m/>
    <x v="1"/>
    <d v="1899-12-30T00:00:00"/>
    <d v="1899-12-30T00:00:00"/>
    <d v="1899-12-30T00:00:00"/>
    <d v="1899-12-30T00:00:00"/>
  </r>
  <r>
    <s v="E1092"/>
    <m/>
    <m/>
    <m/>
    <x v="5"/>
    <m/>
    <m/>
    <m/>
    <m/>
    <x v="3"/>
    <m/>
    <m/>
    <m/>
    <m/>
    <m/>
    <x v="1"/>
    <d v="1899-12-30T00:00:00"/>
    <d v="1899-12-30T00:00:00"/>
    <d v="1899-12-30T00:00:00"/>
    <d v="1899-12-30T00:00:00"/>
  </r>
  <r>
    <s v="E1093"/>
    <m/>
    <m/>
    <m/>
    <x v="5"/>
    <m/>
    <m/>
    <m/>
    <m/>
    <x v="3"/>
    <m/>
    <m/>
    <m/>
    <m/>
    <m/>
    <x v="1"/>
    <d v="1899-12-30T00:00:00"/>
    <d v="1899-12-30T00:00:00"/>
    <d v="1899-12-30T00:00:00"/>
    <d v="1899-12-30T00:00:00"/>
  </r>
  <r>
    <s v="E1094"/>
    <m/>
    <m/>
    <m/>
    <x v="5"/>
    <m/>
    <m/>
    <m/>
    <m/>
    <x v="3"/>
    <m/>
    <m/>
    <m/>
    <m/>
    <m/>
    <x v="1"/>
    <d v="1899-12-30T00:00:00"/>
    <d v="1899-12-30T00:00:00"/>
    <d v="1899-12-30T00:00:00"/>
    <d v="1899-12-30T00:00:00"/>
  </r>
  <r>
    <s v="E1095"/>
    <m/>
    <m/>
    <m/>
    <x v="5"/>
    <m/>
    <m/>
    <m/>
    <m/>
    <x v="3"/>
    <m/>
    <m/>
    <m/>
    <m/>
    <m/>
    <x v="1"/>
    <d v="1899-12-30T00:00:00"/>
    <d v="1899-12-30T00:00:00"/>
    <d v="1899-12-30T00:00:00"/>
    <d v="1899-12-30T00:00:00"/>
  </r>
  <r>
    <s v="E1096"/>
    <s v="S. CARDENAL"/>
    <d v="1899-12-30T09:30:00"/>
    <d v="2026-03-30T00:00:00"/>
    <x v="4"/>
    <s v="Puntual"/>
    <s v="Base de perforadores esta torcida y hace falta tornillo y ruercas "/>
    <d v="1899-12-30T09:30:00"/>
    <d v="1899-12-30T10:00:00"/>
    <x v="142"/>
    <s v="Mecánica"/>
    <s v="Se apoya a operario a ajuste de base perforación de precorte, se realizan pruebas, se instalas 2 tornillos M6 X 30mm y 3 tuercas M6_x000a_Se requieren mas tornillos y tuercas"/>
    <s v="2X Tornillo M6 X 30mm_x000a_3X Tuerca M6"/>
    <s v="NA"/>
    <s v="D. BAUTISTA"/>
    <x v="0"/>
    <d v="1899-12-30T00:30:00"/>
    <d v="2026-03-30T09:30:00"/>
    <d v="2026-03-30T10:00:00"/>
    <d v="1899-12-30T00:30:00"/>
  </r>
  <r>
    <s v="E1097"/>
    <m/>
    <m/>
    <m/>
    <x v="5"/>
    <m/>
    <m/>
    <m/>
    <m/>
    <x v="3"/>
    <m/>
    <m/>
    <m/>
    <m/>
    <m/>
    <x v="1"/>
    <d v="1899-12-30T00:00:00"/>
    <d v="1899-12-30T00:00:00"/>
    <d v="1899-12-30T00:00:00"/>
    <d v="1899-12-30T00:00:00"/>
  </r>
  <r>
    <s v="E1098"/>
    <m/>
    <m/>
    <m/>
    <x v="5"/>
    <m/>
    <m/>
    <m/>
    <m/>
    <x v="3"/>
    <m/>
    <m/>
    <m/>
    <m/>
    <m/>
    <x v="1"/>
    <d v="1899-12-30T00:00:00"/>
    <d v="1899-12-30T00:00:00"/>
    <d v="1899-12-30T00:00:00"/>
    <d v="1899-12-30T00:00:00"/>
  </r>
  <r>
    <s v="E1099"/>
    <s v="H. TRIANA"/>
    <d v="1899-12-30T11:50:00"/>
    <d v="2026-04-10T00:00:00"/>
    <x v="14"/>
    <s v="Puntual"/>
    <s v="Zona del tornillo interior 50° por encima de lo establecido"/>
    <d v="1899-12-30T11:55:00"/>
    <d v="1899-12-30T12:10:00"/>
    <x v="169"/>
    <s v="Eléctrica"/>
    <s v="Se cambia relé de estado solido"/>
    <s v="1X SSR 40A 3-32 VAC"/>
    <s v="NA"/>
    <s v="J. SILVA"/>
    <x v="0"/>
    <d v="1899-12-30T00:15:00"/>
    <d v="2026-04-10T11:50:00"/>
    <d v="2026-04-10T12:10:00"/>
    <d v="1899-12-30T00:20:00"/>
  </r>
  <r>
    <s v="E1100"/>
    <s v="F. SANCHEZ"/>
    <d v="1899-12-30T06:15:00"/>
    <d v="2026-04-10T00:00:00"/>
    <x v="6"/>
    <s v="Puntual"/>
    <s v="Sensor de la tolva 4 de la B_x000a_No tiene"/>
    <d v="1899-12-30T06:30:00"/>
    <d v="1899-12-30T06:45:00"/>
    <x v="169"/>
    <s v="Eléctrica"/>
    <s v="Se coloca sensor este se toma de la tolva A4 ya que no se cuenta con otro. Ya se solicito hace un mes"/>
    <s v="NA"/>
    <s v="NA"/>
    <s v="J. SILVA"/>
    <x v="0"/>
    <d v="1899-12-30T00:15:00"/>
    <d v="2026-04-10T06:15:00"/>
    <d v="2026-04-10T06:45:00"/>
    <d v="1899-12-30T00:30:00"/>
  </r>
  <r>
    <s v="E1101"/>
    <m/>
    <m/>
    <m/>
    <x v="5"/>
    <m/>
    <m/>
    <m/>
    <m/>
    <x v="3"/>
    <m/>
    <m/>
    <m/>
    <m/>
    <m/>
    <x v="1"/>
    <d v="1899-12-30T00:00:00"/>
    <d v="1899-12-30T00:00:00"/>
    <d v="1899-12-30T00:00:00"/>
    <d v="1899-12-30T00:00:00"/>
  </r>
  <r>
    <s v="E1102"/>
    <s v="J. SILVA"/>
    <d v="1899-12-30T16:25:00"/>
    <d v="2026-03-30T00:00:00"/>
    <x v="8"/>
    <s v="Puntual"/>
    <s v="Daño en manga interior del tratador"/>
    <m/>
    <m/>
    <x v="3"/>
    <m/>
    <s v="Fabricación funda de tratador, se necesita fabricar no hay en stock, medidas Dext56mm, Dint 50mm, 1.1m longitud"/>
    <m/>
    <m/>
    <m/>
    <x v="2"/>
    <d v="1899-12-30T00:00:00"/>
    <d v="2026-03-30T16:25:00"/>
    <d v="1899-12-30T00:00:00"/>
    <n v="-46111.684027777781"/>
  </r>
  <r>
    <s v="E1103"/>
    <m/>
    <m/>
    <m/>
    <x v="5"/>
    <m/>
    <m/>
    <m/>
    <m/>
    <x v="3"/>
    <m/>
    <m/>
    <m/>
    <m/>
    <m/>
    <x v="1"/>
    <d v="1899-12-30T00:00:00"/>
    <d v="1899-12-30T00:00:00"/>
    <d v="1899-12-30T00:00:00"/>
    <d v="1899-12-30T00:00:00"/>
  </r>
  <r>
    <s v="E1104"/>
    <m/>
    <m/>
    <m/>
    <x v="5"/>
    <m/>
    <m/>
    <m/>
    <m/>
    <x v="3"/>
    <m/>
    <m/>
    <m/>
    <m/>
    <m/>
    <x v="1"/>
    <d v="1899-12-30T00:00:00"/>
    <d v="1899-12-30T00:00:00"/>
    <d v="1899-12-30T00:00:00"/>
    <d v="1899-12-30T00:00:00"/>
  </r>
  <r>
    <s v="E1105"/>
    <m/>
    <m/>
    <m/>
    <x v="5"/>
    <m/>
    <m/>
    <m/>
    <m/>
    <x v="3"/>
    <m/>
    <m/>
    <m/>
    <m/>
    <m/>
    <x v="1"/>
    <d v="1899-12-30T00:00:00"/>
    <d v="1899-12-30T00:00:00"/>
    <d v="1899-12-30T00:00:00"/>
    <d v="1899-12-30T00:00:00"/>
  </r>
  <r>
    <s v="E1106"/>
    <m/>
    <m/>
    <m/>
    <x v="5"/>
    <m/>
    <m/>
    <m/>
    <m/>
    <x v="3"/>
    <m/>
    <m/>
    <m/>
    <m/>
    <m/>
    <x v="1"/>
    <d v="1899-12-30T00:00:00"/>
    <d v="1899-12-30T00:00:00"/>
    <d v="1899-12-30T00:00:00"/>
    <d v="1899-12-30T00:00:00"/>
  </r>
  <r>
    <s v="E1107"/>
    <m/>
    <m/>
    <m/>
    <x v="5"/>
    <m/>
    <m/>
    <m/>
    <m/>
    <x v="3"/>
    <m/>
    <m/>
    <m/>
    <m/>
    <m/>
    <x v="1"/>
    <d v="1899-12-30T00:00:00"/>
    <d v="1899-12-30T00:00:00"/>
    <d v="1899-12-30T00:00:00"/>
    <d v="1899-12-30T00:00:00"/>
  </r>
  <r>
    <s v="E1108"/>
    <m/>
    <m/>
    <m/>
    <x v="5"/>
    <m/>
    <m/>
    <m/>
    <m/>
    <x v="3"/>
    <m/>
    <m/>
    <m/>
    <m/>
    <m/>
    <x v="1"/>
    <d v="1899-12-30T00:00:00"/>
    <d v="1899-12-30T00:00:00"/>
    <d v="1899-12-30T00:00:00"/>
    <d v="1899-12-30T00:00:00"/>
  </r>
  <r>
    <s v="E1109"/>
    <s v="J. RINCON"/>
    <d v="1899-12-30T18:40:00"/>
    <d v="2026-04-08T00:00:00"/>
    <x v="7"/>
    <s v="Puntual"/>
    <s v="Correa de los motores_x000a_Se daña por segunda vez 22:36"/>
    <d v="1899-12-30T18:40:00"/>
    <d v="1899-12-30T01:00:00"/>
    <x v="170"/>
    <s v="Mecánica"/>
    <s v="Se encuentra polea de transmisión de embobinador superior suelto,se instala nuevo prisioneros, se da ajuste y queda operativo_x000a_Fallo nuevamente 22:38 reporte 23:0 en tiempo de comida tecnico, interveción 23:15_x000a_Se dosmonta polea, se extrae prisionero, se rectifica rosca M8 de prisionero de la polea, se instala prisionero M8 X 30mm, se realiza montaje y pruebasen vacio, se entrga operativo"/>
    <s v="1X Prisionero M8 X 30mm"/>
    <s v="NA"/>
    <s v="D. BAUTISTA"/>
    <x v="0"/>
    <n v="-0.73611111111111116"/>
    <d v="2026-04-08T18:40:00"/>
    <d v="2026-04-09T01:00:00"/>
    <d v="1899-12-30T06:20:00"/>
  </r>
  <r>
    <s v="E1110"/>
    <s v="E. REYES"/>
    <d v="1899-12-30T03:26:00"/>
    <d v="2026-04-01T00:00:00"/>
    <x v="4"/>
    <s v="Puntual"/>
    <s v="Corto en cable"/>
    <d v="1899-12-30T03:27:00"/>
    <d v="1899-12-30T04:00:00"/>
    <x v="171"/>
    <s v="Eléctrica"/>
    <s v="Se remplaza terminal, se aisla y quedo OK"/>
    <s v="NA"/>
    <s v="NA"/>
    <s v="J. SILVA"/>
    <x v="0"/>
    <d v="1899-12-30T00:33:00"/>
    <d v="2026-04-01T03:26:00"/>
    <d v="2026-04-01T04:00:00"/>
    <d v="1899-12-30T00:34:00"/>
  </r>
  <r>
    <s v="E1111"/>
    <s v="E. REYES"/>
    <d v="1899-12-30T05:00:00"/>
    <d v="2026-04-03T00:00:00"/>
    <x v="13"/>
    <s v="Puntual"/>
    <s v="Cilindro perforador"/>
    <d v="1899-12-30T05:00:00"/>
    <d v="1899-12-30T05:15:00"/>
    <x v="132"/>
    <s v="Neúmatica"/>
    <s v="Se realiza cambio de cilindro en perforadores por rasgado, se da ajuste en el soporte"/>
    <s v="1X Cilindro 16 X 25mm grafado"/>
    <s v="NA"/>
    <s v="O. DUARTE"/>
    <x v="0"/>
    <d v="1899-12-30T00:15:00"/>
    <d v="2026-04-03T05:00:00"/>
    <d v="2026-04-03T05:15:00"/>
    <d v="1899-12-30T00:15:00"/>
  </r>
  <r>
    <s v="E1112"/>
    <m/>
    <m/>
    <m/>
    <x v="5"/>
    <m/>
    <m/>
    <m/>
    <m/>
    <x v="3"/>
    <m/>
    <m/>
    <m/>
    <m/>
    <m/>
    <x v="1"/>
    <d v="1899-12-30T00:00:00"/>
    <d v="1899-12-30T00:00:00"/>
    <d v="1899-12-30T00:00:00"/>
    <d v="1899-12-30T00:00:00"/>
  </r>
  <r>
    <s v="E1113"/>
    <m/>
    <m/>
    <m/>
    <x v="5"/>
    <m/>
    <m/>
    <m/>
    <m/>
    <x v="3"/>
    <m/>
    <m/>
    <m/>
    <m/>
    <m/>
    <x v="1"/>
    <d v="1899-12-30T00:00:00"/>
    <d v="1899-12-30T00:00:00"/>
    <d v="1899-12-30T00:00:00"/>
    <d v="1899-12-30T00:00:00"/>
  </r>
  <r>
    <s v="E1114"/>
    <m/>
    <m/>
    <m/>
    <x v="5"/>
    <m/>
    <m/>
    <m/>
    <m/>
    <x v="3"/>
    <m/>
    <m/>
    <m/>
    <m/>
    <m/>
    <x v="1"/>
    <d v="1899-12-30T00:00:00"/>
    <d v="1899-12-30T00:00:00"/>
    <d v="1899-12-30T00:00:00"/>
    <d v="1899-12-30T00:00:00"/>
  </r>
  <r>
    <s v="E1115"/>
    <m/>
    <m/>
    <m/>
    <x v="5"/>
    <m/>
    <m/>
    <m/>
    <m/>
    <x v="3"/>
    <m/>
    <m/>
    <m/>
    <m/>
    <m/>
    <x v="1"/>
    <d v="1899-12-30T00:00:00"/>
    <d v="1899-12-30T00:00:00"/>
    <d v="1899-12-30T00:00:00"/>
    <d v="1899-12-30T00:00:00"/>
  </r>
  <r>
    <s v="E1116"/>
    <m/>
    <m/>
    <m/>
    <x v="5"/>
    <m/>
    <m/>
    <m/>
    <m/>
    <x v="3"/>
    <m/>
    <m/>
    <m/>
    <m/>
    <m/>
    <x v="1"/>
    <d v="1899-12-30T00:00:00"/>
    <d v="1899-12-30T00:00:00"/>
    <d v="1899-12-30T00:00:00"/>
    <d v="1899-12-30T00:00:00"/>
  </r>
  <r>
    <s v="E1117"/>
    <m/>
    <m/>
    <m/>
    <x v="5"/>
    <m/>
    <m/>
    <m/>
    <m/>
    <x v="3"/>
    <m/>
    <m/>
    <m/>
    <m/>
    <m/>
    <x v="1"/>
    <d v="1899-12-30T00:00:00"/>
    <d v="1899-12-30T00:00:00"/>
    <d v="1899-12-30T00:00:00"/>
    <d v="1899-12-30T00:00:00"/>
  </r>
  <r>
    <s v="E1118"/>
    <m/>
    <m/>
    <m/>
    <x v="5"/>
    <m/>
    <m/>
    <m/>
    <m/>
    <x v="3"/>
    <m/>
    <m/>
    <m/>
    <m/>
    <m/>
    <x v="1"/>
    <d v="1899-12-30T00:00:00"/>
    <d v="1899-12-30T00:00:00"/>
    <d v="1899-12-30T00:00:00"/>
    <d v="1899-12-30T00:00:00"/>
  </r>
  <r>
    <s v="E1119"/>
    <m/>
    <m/>
    <m/>
    <x v="5"/>
    <m/>
    <m/>
    <m/>
    <m/>
    <x v="3"/>
    <m/>
    <m/>
    <m/>
    <m/>
    <m/>
    <x v="1"/>
    <d v="1899-12-30T00:00:00"/>
    <d v="1899-12-30T00:00:00"/>
    <d v="1899-12-30T00:00:00"/>
    <d v="1899-12-30T00:00:00"/>
  </r>
  <r>
    <s v="E1120"/>
    <m/>
    <m/>
    <m/>
    <x v="5"/>
    <m/>
    <m/>
    <m/>
    <m/>
    <x v="3"/>
    <m/>
    <m/>
    <m/>
    <m/>
    <m/>
    <x v="1"/>
    <d v="1899-12-30T00:00:00"/>
    <d v="1899-12-30T00:00:00"/>
    <d v="1899-12-30T00:00:00"/>
    <d v="1899-12-30T00:00:00"/>
  </r>
  <r>
    <s v="E1121"/>
    <s v="D. BUESACO"/>
    <d v="1899-12-30T12:00:00"/>
    <d v="2026-04-03T00:00:00"/>
    <x v="13"/>
    <s v="Puntual"/>
    <s v="Maquina se para varias veces, se le avisa a mantenimiento (sensor)"/>
    <m/>
    <m/>
    <x v="3"/>
    <m/>
    <m/>
    <m/>
    <m/>
    <m/>
    <x v="2"/>
    <d v="1899-12-30T00:00:00"/>
    <d v="2026-04-03T12:00:00"/>
    <d v="1899-12-30T00:00:00"/>
    <n v="-46115.5"/>
  </r>
  <r>
    <s v="E1122"/>
    <s v="D. BUESACO"/>
    <d v="1899-12-30T09:10:00"/>
    <d v="2026-04-04T00:00:00"/>
    <x v="4"/>
    <s v="Puntual"/>
    <s v="Cuchilla"/>
    <d v="1899-12-30T09:33:00"/>
    <d v="1899-12-30T09:42:00"/>
    <x v="172"/>
    <s v="Mecánica"/>
    <s v="Afilamento de cuchilla quedo filo OK"/>
    <s v="NA"/>
    <s v="NA"/>
    <s v="J. SILVA"/>
    <x v="0"/>
    <d v="1899-12-30T00:09:00"/>
    <d v="2026-04-04T09:10:00"/>
    <d v="2026-04-04T09:42:00"/>
    <d v="1899-12-30T00:32:00"/>
  </r>
  <r>
    <s v="E1123"/>
    <m/>
    <m/>
    <m/>
    <x v="5"/>
    <m/>
    <m/>
    <m/>
    <m/>
    <x v="3"/>
    <m/>
    <m/>
    <m/>
    <m/>
    <m/>
    <x v="1"/>
    <d v="1899-12-30T00:00:00"/>
    <d v="1899-12-30T00:00:00"/>
    <d v="1899-12-30T00:00:00"/>
    <d v="1899-12-30T00:00:00"/>
  </r>
  <r>
    <s v="E1124"/>
    <m/>
    <m/>
    <m/>
    <x v="5"/>
    <m/>
    <m/>
    <m/>
    <m/>
    <x v="3"/>
    <m/>
    <m/>
    <m/>
    <m/>
    <m/>
    <x v="1"/>
    <d v="1899-12-30T00:00:00"/>
    <d v="1899-12-30T00:00:00"/>
    <d v="1899-12-30T00:00:00"/>
    <d v="1899-12-30T00:00:00"/>
  </r>
  <r>
    <s v="E1125"/>
    <m/>
    <m/>
    <m/>
    <x v="5"/>
    <m/>
    <m/>
    <m/>
    <m/>
    <x v="3"/>
    <m/>
    <m/>
    <m/>
    <m/>
    <m/>
    <x v="1"/>
    <d v="1899-12-30T00:00:00"/>
    <d v="1899-12-30T00:00:00"/>
    <d v="1899-12-30T00:00:00"/>
    <d v="1899-12-30T00:00:00"/>
  </r>
  <r>
    <s v="E1126"/>
    <s v="L. MIRANDA"/>
    <d v="1899-12-30T18:20:00"/>
    <d v="2026-04-04T00:00:00"/>
    <x v="14"/>
    <s v="Puntual"/>
    <s v="Prensa del embobinador esta partido (arrastre)"/>
    <m/>
    <m/>
    <x v="3"/>
    <m/>
    <s v="Se realiza desmonte de rodillo conducido de prensa, se encuentra espigo partido, se requiere servicio externo coex parada"/>
    <m/>
    <m/>
    <m/>
    <x v="2"/>
    <d v="1899-12-30T00:00:00"/>
    <d v="2026-04-04T18:20:00"/>
    <d v="1899-12-30T00:00:00"/>
    <n v="-46116.763888888891"/>
  </r>
  <r>
    <s v="E1127"/>
    <s v="D. ARRIETA"/>
    <d v="1899-12-30T20:08:00"/>
    <d v="2026-04-03T00:00:00"/>
    <x v="7"/>
    <s v="Puntual"/>
    <s v="Rodamiento del seguro del eje embobinador"/>
    <d v="1899-12-30T20:08:00"/>
    <d v="1899-12-30T20:30:00"/>
    <x v="132"/>
    <s v="Mecánica"/>
    <s v="Se realiza cambio de tornillo tuerca y arandelas, se da ajuste al rodamiento"/>
    <s v="1X Tornillo M6 X 60mm"/>
    <s v="NA"/>
    <s v="O. DUARTE"/>
    <x v="0"/>
    <d v="1899-12-30T00:22:00"/>
    <d v="2026-04-03T20:08:00"/>
    <d v="2026-04-03T20:30:00"/>
    <d v="1899-12-30T00:22:00"/>
  </r>
  <r>
    <s v="E1128"/>
    <s v="D. ARRIETA"/>
    <d v="1899-12-30T21:00:00"/>
    <d v="2026-04-05T00:00:00"/>
    <x v="7"/>
    <s v="Puntual"/>
    <s v="Daño en rodamiento"/>
    <d v="1899-12-30T21:00:00"/>
    <d v="1899-12-30T21:30:00"/>
    <x v="173"/>
    <s v="Mecánica"/>
    <s v="Se realiza cambio de 2 rodamientos KR22 - PP - A (Seguidor de leva de unidad #2) desembobinador inferior"/>
    <s v="NAA"/>
    <s v="NA"/>
    <s v="D. BAUTISTA"/>
    <x v="0"/>
    <d v="1899-12-30T00:30:00"/>
    <d v="2026-04-05T21:00:00"/>
    <d v="2026-04-05T21:30:00"/>
    <d v="1899-12-30T00:30:00"/>
  </r>
  <r>
    <s v="E1129"/>
    <s v="M. MARTINEZ"/>
    <d v="1899-12-30T01:00:00"/>
    <d v="2026-04-07T00:00:00"/>
    <x v="4"/>
    <s v="Puntual"/>
    <s v="Calibración tornillo de presión_x000a_Ajuste rodamiento eje de tensión de correas"/>
    <d v="1899-12-30T01:10:00"/>
    <d v="1899-12-30T01:50:00"/>
    <x v="174"/>
    <s v="Mecánica"/>
    <s v="Se ajustan tuercas de tornillo de presión para poder calibrar ser verifica rodamiento y se ajusta"/>
    <s v="NA"/>
    <s v="NA"/>
    <s v="J. SILVA"/>
    <x v="0"/>
    <d v="1899-12-30T00:40:00"/>
    <d v="2026-04-07T01:00:00"/>
    <d v="2026-04-07T01:50:00"/>
    <d v="1899-12-30T00:50:00"/>
  </r>
  <r>
    <s v="E1130"/>
    <s v="D. ARRIETA"/>
    <d v="1899-12-30T16:30:00"/>
    <d v="2026-04-07T00:00:00"/>
    <x v="7"/>
    <s v="Puntual"/>
    <s v="Eje bobinador pinchado"/>
    <d v="1899-12-30T16:30:00"/>
    <d v="1899-12-30T17:13:00"/>
    <x v="174"/>
    <s v="Mecánica"/>
    <s v="Se realiza inspección de eje se observa fuga interna, se realiza cambio de eje y se entrega operativa"/>
    <s v="NA"/>
    <s v="NA"/>
    <s v="D. BAUTISTA"/>
    <x v="0"/>
    <d v="1899-12-30T00:43:00"/>
    <d v="2026-04-07T16:30:00"/>
    <d v="2026-04-07T17:13:00"/>
    <d v="1899-12-30T00:43:00"/>
  </r>
  <r>
    <s v="E1131"/>
    <s v="A. ROVINA"/>
    <d v="1899-12-30T06:36:00"/>
    <d v="2026-04-08T00:00:00"/>
    <x v="9"/>
    <s v="Puntual"/>
    <s v="No embobina"/>
    <d v="1899-12-30T06:36:00"/>
    <d v="1899-12-30T09:00:00"/>
    <x v="175"/>
    <s v="Eléctrica"/>
    <s v="Se realiza seguimeitno y comprobación componentes eléctricos, se hace seguimiento contactor pegado, se soluciona queda operativo el equipo"/>
    <s v="NA"/>
    <s v="NA"/>
    <s v="O. DUARTE"/>
    <x v="0"/>
    <d v="1899-12-30T02:24:00"/>
    <d v="2026-04-08T06:36:00"/>
    <d v="2026-04-08T09:00:00"/>
    <d v="1899-12-30T02:24:00"/>
  </r>
  <r>
    <s v="E1132"/>
    <m/>
    <m/>
    <m/>
    <x v="5"/>
    <m/>
    <m/>
    <m/>
    <m/>
    <x v="3"/>
    <m/>
    <m/>
    <m/>
    <m/>
    <m/>
    <x v="1"/>
    <d v="1899-12-30T00:00:00"/>
    <d v="1899-12-30T00:00:00"/>
    <d v="1899-12-30T00:00:00"/>
    <d v="1899-12-30T00:00:00"/>
  </r>
  <r>
    <s v="E1133"/>
    <m/>
    <m/>
    <m/>
    <x v="5"/>
    <m/>
    <m/>
    <m/>
    <m/>
    <x v="3"/>
    <m/>
    <m/>
    <m/>
    <m/>
    <m/>
    <x v="1"/>
    <d v="1899-12-30T00:00:00"/>
    <d v="1899-12-30T00:00:00"/>
    <d v="1899-12-30T00:00:00"/>
    <d v="1899-12-30T00:00:00"/>
  </r>
  <r>
    <s v="E1134"/>
    <m/>
    <m/>
    <m/>
    <x v="5"/>
    <m/>
    <m/>
    <m/>
    <m/>
    <x v="3"/>
    <m/>
    <m/>
    <m/>
    <m/>
    <m/>
    <x v="1"/>
    <d v="1899-12-30T00:00:00"/>
    <d v="1899-12-30T00:00:00"/>
    <d v="1899-12-30T00:00:00"/>
    <d v="1899-12-30T00:00:00"/>
  </r>
  <r>
    <s v="E1135"/>
    <s v="M. MARTINEZ"/>
    <d v="1899-12-30T01:00:00"/>
    <d v="2026-04-10T00:00:00"/>
    <x v="4"/>
    <s v="Puntual"/>
    <s v="Falla en correa de transmisión"/>
    <d v="1899-12-30T01:00:00"/>
    <d v="1899-12-30T02:30:00"/>
    <x v="169"/>
    <s v="Mecánica"/>
    <s v="Se encuentra polea de transmisión sin cuña, el espacio de la cuña M8 se encuentra con desgaste, se fabrica cuña a medida del desgaste, se rectifican roscas M8 para los prisioneros de la polea y se instala buje de posición , se arma sistema de transmisión, se realiza pruebas y queda en operación"/>
    <s v="NA"/>
    <s v="NA"/>
    <s v="D. BAUTISTA"/>
    <x v="0"/>
    <d v="1899-12-30T01:30:00"/>
    <d v="2026-04-10T01:00:00"/>
    <d v="2026-04-10T02:30:00"/>
    <d v="1899-12-30T01:30:00"/>
  </r>
  <r>
    <s v="E1136"/>
    <s v="H. TRIANA"/>
    <d v="1899-12-30T13:23:00"/>
    <d v="2026-04-07T00:00:00"/>
    <x v="14"/>
    <s v="Puntual"/>
    <s v="Temperatura baja en barril"/>
    <d v="1899-12-30T13:30:00"/>
    <d v="1899-12-30T13:50:00"/>
    <x v="174"/>
    <s v="Eléctrica"/>
    <s v="Se encuentra contactor de potencia en falla con punto caliente, se corrige fallo quedando operativo"/>
    <s v="NA"/>
    <s v="NA"/>
    <s v="L. FLOREZ"/>
    <x v="0"/>
    <d v="1899-12-30T00:20:00"/>
    <d v="2026-04-07T13:23:00"/>
    <d v="2026-04-07T13:50:00"/>
    <d v="1899-12-30T00:27:00"/>
  </r>
  <r>
    <s v="E1137"/>
    <s v="L. GARZON"/>
    <d v="1899-12-30T19:15:00"/>
    <d v="2026-04-09T00:00:00"/>
    <x v="4"/>
    <s v="Puntual"/>
    <s v="Se suelta rodillo y daño de rodamiento en el mismp corea del servo suelto"/>
    <d v="1899-12-30T19:15:00"/>
    <d v="1899-12-30T20:10:00"/>
    <x v="170"/>
    <s v="Mecánica"/>
    <s v="Se da ajuste a rodillo #22, se necesita repuesto para cambio, se ajusta polea de transmisión de prensa ya que se suelta y queda sin cuña"/>
    <s v="NA"/>
    <s v="NA"/>
    <s v="D. BAUTISTA"/>
    <x v="0"/>
    <d v="1899-12-30T00:55:00"/>
    <d v="2026-04-09T19:15:00"/>
    <d v="2026-04-09T20:10:00"/>
    <d v="1899-12-30T00:55:00"/>
  </r>
  <r>
    <s v="E1138"/>
    <s v="D. SANCHEZ"/>
    <d v="1899-12-30T06:00:00"/>
    <d v="2026-03-31T00:00:00"/>
    <x v="29"/>
    <s v="Puntual"/>
    <s v="Falla en la corta cores daño de la pera"/>
    <d v="1899-12-30T06:20:00"/>
    <d v="1899-12-30T07:25:00"/>
    <x v="3"/>
    <s v="Mecánica"/>
    <s v="Se instala tornillo y tuerca M12 para ajuste de pera del contactor"/>
    <s v="1X Tornillo M12 X 60mm_x000a_1X Tuerca M12"/>
    <s v="NA"/>
    <s v="D. BAUTISTA"/>
    <x v="0"/>
    <d v="1899-12-30T01:05:00"/>
    <d v="2026-03-31T06:00:00"/>
    <d v="1899-12-30T07:25:00"/>
    <n v="-46111.940972222219"/>
  </r>
  <r>
    <s v="E1139"/>
    <m/>
    <m/>
    <m/>
    <x v="5"/>
    <m/>
    <m/>
    <m/>
    <m/>
    <x v="3"/>
    <m/>
    <m/>
    <m/>
    <m/>
    <m/>
    <x v="1"/>
    <d v="1899-12-30T00:00:00"/>
    <d v="1899-12-30T00:00:00"/>
    <d v="1899-12-30T00:00:00"/>
    <d v="1899-12-30T00:00:00"/>
  </r>
  <r>
    <s v="E1140"/>
    <m/>
    <m/>
    <m/>
    <x v="5"/>
    <m/>
    <m/>
    <m/>
    <m/>
    <x v="3"/>
    <m/>
    <m/>
    <m/>
    <m/>
    <m/>
    <x v="1"/>
    <d v="1899-12-30T00:00:00"/>
    <d v="1899-12-30T00:00:00"/>
    <d v="1899-12-30T00:00:00"/>
    <d v="1899-12-30T00:00:00"/>
  </r>
  <r>
    <s v="E1141"/>
    <m/>
    <m/>
    <m/>
    <x v="5"/>
    <m/>
    <m/>
    <m/>
    <m/>
    <x v="3"/>
    <m/>
    <m/>
    <m/>
    <m/>
    <m/>
    <x v="1"/>
    <d v="1899-12-30T00:00:00"/>
    <d v="1899-12-30T00:00:00"/>
    <d v="1899-12-30T00:00:00"/>
    <d v="1899-12-30T00:00:00"/>
  </r>
  <r>
    <s v="E1142"/>
    <m/>
    <m/>
    <m/>
    <x v="5"/>
    <m/>
    <m/>
    <m/>
    <m/>
    <x v="3"/>
    <m/>
    <m/>
    <m/>
    <m/>
    <m/>
    <x v="1"/>
    <d v="1899-12-30T00:00:00"/>
    <d v="1899-12-30T00:00:00"/>
    <d v="1899-12-30T00:00:00"/>
    <d v="1899-12-30T00:00:00"/>
  </r>
  <r>
    <s v="E1143"/>
    <m/>
    <m/>
    <m/>
    <x v="5"/>
    <m/>
    <m/>
    <m/>
    <m/>
    <x v="3"/>
    <m/>
    <m/>
    <m/>
    <m/>
    <m/>
    <x v="1"/>
    <d v="1899-12-30T00:00:00"/>
    <d v="1899-12-30T00:00:00"/>
    <d v="1899-12-30T00:00:00"/>
    <d v="1899-12-30T00:00:00"/>
  </r>
  <r>
    <s v="E1144"/>
    <m/>
    <m/>
    <m/>
    <x v="5"/>
    <m/>
    <m/>
    <m/>
    <m/>
    <x v="3"/>
    <m/>
    <m/>
    <m/>
    <m/>
    <m/>
    <x v="1"/>
    <d v="1899-12-30T00:00:00"/>
    <d v="1899-12-30T00:00:00"/>
    <d v="1899-12-30T00:00:00"/>
    <d v="1899-12-30T00:00:00"/>
  </r>
  <r>
    <s v="E1145"/>
    <m/>
    <m/>
    <m/>
    <x v="5"/>
    <m/>
    <m/>
    <m/>
    <m/>
    <x v="3"/>
    <m/>
    <m/>
    <m/>
    <m/>
    <m/>
    <x v="1"/>
    <d v="1899-12-30T00:00:00"/>
    <d v="1899-12-30T00:00:00"/>
    <d v="1899-12-30T00:00:00"/>
    <d v="1899-12-30T00:00:00"/>
  </r>
  <r>
    <s v="E1146"/>
    <m/>
    <m/>
    <m/>
    <x v="5"/>
    <m/>
    <m/>
    <m/>
    <m/>
    <x v="3"/>
    <m/>
    <m/>
    <m/>
    <m/>
    <m/>
    <x v="1"/>
    <d v="1899-12-30T00:00:00"/>
    <d v="1899-12-30T00:00:00"/>
    <d v="1899-12-30T00:00:00"/>
    <d v="1899-12-30T00:00:00"/>
  </r>
  <r>
    <s v="E1147"/>
    <m/>
    <m/>
    <m/>
    <x v="5"/>
    <m/>
    <m/>
    <m/>
    <m/>
    <x v="3"/>
    <m/>
    <m/>
    <m/>
    <m/>
    <m/>
    <x v="1"/>
    <d v="1899-12-30T00:00:00"/>
    <d v="1899-12-30T00:00:00"/>
    <d v="1899-12-30T00:00:00"/>
    <d v="1899-12-30T00:00:00"/>
  </r>
  <r>
    <s v="E1148"/>
    <m/>
    <m/>
    <m/>
    <x v="5"/>
    <m/>
    <m/>
    <m/>
    <m/>
    <x v="3"/>
    <m/>
    <m/>
    <m/>
    <m/>
    <m/>
    <x v="1"/>
    <d v="1899-12-30T00:00:00"/>
    <d v="1899-12-30T00:00:00"/>
    <d v="1899-12-30T00:00:00"/>
    <d v="1899-12-30T00:00:00"/>
  </r>
  <r>
    <s v="E1149"/>
    <m/>
    <m/>
    <m/>
    <x v="5"/>
    <m/>
    <m/>
    <m/>
    <m/>
    <x v="3"/>
    <m/>
    <m/>
    <m/>
    <m/>
    <m/>
    <x v="1"/>
    <d v="1899-12-30T00:00:00"/>
    <d v="1899-12-30T00:00:00"/>
    <d v="1899-12-30T00:00:00"/>
    <d v="1899-12-30T00:00:00"/>
  </r>
  <r>
    <s v="E1150"/>
    <m/>
    <m/>
    <m/>
    <x v="5"/>
    <m/>
    <m/>
    <m/>
    <m/>
    <x v="3"/>
    <m/>
    <m/>
    <m/>
    <m/>
    <m/>
    <x v="1"/>
    <d v="1899-12-30T00:00:00"/>
    <d v="1899-12-30T00:00:00"/>
    <d v="1899-12-30T00:00:00"/>
    <d v="1899-12-30T00:00:00"/>
  </r>
  <r>
    <s v="E1151"/>
    <m/>
    <m/>
    <m/>
    <x v="5"/>
    <m/>
    <m/>
    <m/>
    <m/>
    <x v="3"/>
    <m/>
    <m/>
    <m/>
    <m/>
    <m/>
    <x v="1"/>
    <d v="1899-12-30T00:00:00"/>
    <d v="1899-12-30T00:00:00"/>
    <d v="1899-12-30T00:00:00"/>
    <d v="1899-12-30T00:00:00"/>
  </r>
  <r>
    <s v="E1152"/>
    <m/>
    <m/>
    <m/>
    <x v="5"/>
    <m/>
    <m/>
    <m/>
    <m/>
    <x v="3"/>
    <m/>
    <m/>
    <m/>
    <m/>
    <m/>
    <x v="1"/>
    <d v="1899-12-30T00:00:00"/>
    <d v="1899-12-30T00:00:00"/>
    <d v="1899-12-30T00:00:00"/>
    <d v="1899-12-30T00:00:00"/>
  </r>
  <r>
    <s v="E1153"/>
    <m/>
    <m/>
    <m/>
    <x v="5"/>
    <m/>
    <m/>
    <m/>
    <m/>
    <x v="3"/>
    <m/>
    <m/>
    <m/>
    <m/>
    <m/>
    <x v="1"/>
    <d v="1899-12-30T00:00:00"/>
    <d v="1899-12-30T00:00:00"/>
    <d v="1899-12-30T00:00:00"/>
    <d v="1899-12-30T00:00:00"/>
  </r>
  <r>
    <s v="E1154"/>
    <m/>
    <m/>
    <m/>
    <x v="5"/>
    <m/>
    <m/>
    <m/>
    <m/>
    <x v="3"/>
    <m/>
    <m/>
    <m/>
    <m/>
    <m/>
    <x v="1"/>
    <d v="1899-12-30T00:00:00"/>
    <d v="1899-12-30T00:00:00"/>
    <d v="1899-12-30T00:00:00"/>
    <d v="1899-12-30T00:00:00"/>
  </r>
  <r>
    <s v="E1155"/>
    <m/>
    <m/>
    <m/>
    <x v="5"/>
    <m/>
    <m/>
    <m/>
    <m/>
    <x v="3"/>
    <m/>
    <m/>
    <m/>
    <m/>
    <m/>
    <x v="1"/>
    <d v="1899-12-30T00:00:00"/>
    <d v="1899-12-30T00:00:00"/>
    <d v="1899-12-30T00:00:00"/>
    <d v="1899-12-30T00:00:00"/>
  </r>
  <r>
    <s v="E1156"/>
    <m/>
    <m/>
    <m/>
    <x v="5"/>
    <m/>
    <m/>
    <m/>
    <m/>
    <x v="3"/>
    <m/>
    <m/>
    <m/>
    <m/>
    <m/>
    <x v="1"/>
    <d v="1899-12-30T00:00:00"/>
    <d v="1899-12-30T00:00:00"/>
    <d v="1899-12-30T00:00:00"/>
    <d v="1899-12-30T00:00:00"/>
  </r>
  <r>
    <s v="E1157"/>
    <m/>
    <m/>
    <m/>
    <x v="5"/>
    <m/>
    <m/>
    <m/>
    <m/>
    <x v="3"/>
    <m/>
    <m/>
    <m/>
    <m/>
    <m/>
    <x v="1"/>
    <d v="1899-12-30T00:00:00"/>
    <d v="1899-12-30T00:00:00"/>
    <d v="1899-12-30T00:00:00"/>
    <d v="1899-12-30T00:00:00"/>
  </r>
  <r>
    <s v="E1158"/>
    <m/>
    <m/>
    <m/>
    <x v="5"/>
    <m/>
    <m/>
    <m/>
    <m/>
    <x v="3"/>
    <m/>
    <m/>
    <m/>
    <m/>
    <m/>
    <x v="1"/>
    <d v="1899-12-30T00:00:00"/>
    <d v="1899-12-30T00:00:00"/>
    <d v="1899-12-30T00:00:00"/>
    <d v="1899-12-30T00:00:00"/>
  </r>
  <r>
    <s v="E1159"/>
    <m/>
    <m/>
    <m/>
    <x v="5"/>
    <m/>
    <m/>
    <m/>
    <m/>
    <x v="3"/>
    <m/>
    <m/>
    <m/>
    <m/>
    <m/>
    <x v="1"/>
    <d v="1899-12-30T00:00:00"/>
    <d v="1899-12-30T00:00:00"/>
    <d v="1899-12-30T00:00:00"/>
    <d v="1899-12-30T00:00:00"/>
  </r>
  <r>
    <s v="E1160"/>
    <m/>
    <m/>
    <m/>
    <x v="5"/>
    <m/>
    <m/>
    <m/>
    <m/>
    <x v="3"/>
    <m/>
    <m/>
    <m/>
    <m/>
    <m/>
    <x v="1"/>
    <d v="1899-12-30T00:00:00"/>
    <d v="1899-12-30T00:00:00"/>
    <d v="1899-12-30T00:00:00"/>
    <d v="1899-12-30T00:00:00"/>
  </r>
  <r>
    <s v="E1161"/>
    <m/>
    <m/>
    <m/>
    <x v="5"/>
    <m/>
    <m/>
    <m/>
    <m/>
    <x v="3"/>
    <m/>
    <m/>
    <m/>
    <m/>
    <m/>
    <x v="1"/>
    <d v="1899-12-30T00:00:00"/>
    <d v="1899-12-30T00:00:00"/>
    <d v="1899-12-30T00:00:00"/>
    <d v="1899-12-30T00:00:00"/>
  </r>
  <r>
    <s v="E1162"/>
    <m/>
    <m/>
    <m/>
    <x v="5"/>
    <m/>
    <m/>
    <m/>
    <m/>
    <x v="3"/>
    <m/>
    <m/>
    <m/>
    <m/>
    <m/>
    <x v="1"/>
    <d v="1899-12-30T00:00:00"/>
    <d v="1899-12-30T00:00:00"/>
    <d v="1899-12-30T00:00:00"/>
    <d v="1899-12-30T00:00:00"/>
  </r>
  <r>
    <s v="E1163"/>
    <m/>
    <m/>
    <m/>
    <x v="5"/>
    <m/>
    <m/>
    <m/>
    <m/>
    <x v="3"/>
    <m/>
    <m/>
    <m/>
    <m/>
    <m/>
    <x v="1"/>
    <d v="1899-12-30T00:00:00"/>
    <d v="1899-12-30T00:00:00"/>
    <d v="1899-12-30T00:00:00"/>
    <d v="1899-12-30T00:00:00"/>
  </r>
  <r>
    <s v="E1164"/>
    <m/>
    <m/>
    <m/>
    <x v="5"/>
    <m/>
    <m/>
    <m/>
    <m/>
    <x v="3"/>
    <m/>
    <m/>
    <m/>
    <m/>
    <m/>
    <x v="1"/>
    <d v="1899-12-30T00:00:00"/>
    <d v="1899-12-30T00:00:00"/>
    <d v="1899-12-30T00:00:00"/>
    <d v="1899-12-30T00:00:00"/>
  </r>
  <r>
    <s v="E1165"/>
    <m/>
    <m/>
    <m/>
    <x v="5"/>
    <m/>
    <m/>
    <m/>
    <m/>
    <x v="3"/>
    <m/>
    <m/>
    <m/>
    <m/>
    <m/>
    <x v="1"/>
    <d v="1899-12-30T00:00:00"/>
    <d v="1899-12-30T00:00:00"/>
    <d v="1899-12-30T00:00:00"/>
    <d v="1899-12-30T00:00:00"/>
  </r>
  <r>
    <s v="E1166"/>
    <m/>
    <m/>
    <m/>
    <x v="5"/>
    <m/>
    <m/>
    <m/>
    <m/>
    <x v="3"/>
    <m/>
    <m/>
    <m/>
    <m/>
    <m/>
    <x v="1"/>
    <d v="1899-12-30T00:00:00"/>
    <d v="1899-12-30T00:00:00"/>
    <d v="1899-12-30T00:00:00"/>
    <d v="1899-12-30T00:00:00"/>
  </r>
  <r>
    <s v="E1167"/>
    <m/>
    <m/>
    <m/>
    <x v="5"/>
    <m/>
    <m/>
    <m/>
    <m/>
    <x v="3"/>
    <m/>
    <m/>
    <m/>
    <m/>
    <m/>
    <x v="1"/>
    <d v="1899-12-30T00:00:00"/>
    <d v="1899-12-30T00:00:00"/>
    <d v="1899-12-30T00:00:00"/>
    <d v="1899-12-30T00:00:00"/>
  </r>
  <r>
    <s v="E1168"/>
    <m/>
    <m/>
    <m/>
    <x v="5"/>
    <m/>
    <m/>
    <m/>
    <m/>
    <x v="3"/>
    <m/>
    <m/>
    <m/>
    <m/>
    <m/>
    <x v="1"/>
    <d v="1899-12-30T00:00:00"/>
    <d v="1899-12-30T00:00:00"/>
    <d v="1899-12-30T00:00:00"/>
    <d v="1899-12-30T00:00:00"/>
  </r>
  <r>
    <s v="E1169"/>
    <m/>
    <m/>
    <m/>
    <x v="5"/>
    <m/>
    <m/>
    <m/>
    <m/>
    <x v="3"/>
    <m/>
    <m/>
    <m/>
    <m/>
    <m/>
    <x v="1"/>
    <d v="1899-12-30T00:00:00"/>
    <d v="1899-12-30T00:00:00"/>
    <d v="1899-12-30T00:00:00"/>
    <d v="1899-12-30T00:00:00"/>
  </r>
  <r>
    <s v="E1170"/>
    <m/>
    <m/>
    <m/>
    <x v="5"/>
    <m/>
    <m/>
    <m/>
    <m/>
    <x v="3"/>
    <m/>
    <m/>
    <m/>
    <m/>
    <m/>
    <x v="1"/>
    <d v="1899-12-30T00:00:00"/>
    <d v="1899-12-30T00:00:00"/>
    <d v="1899-12-30T00:00:00"/>
    <d v="1899-12-30T00:00:00"/>
  </r>
  <r>
    <s v="E1171"/>
    <m/>
    <m/>
    <m/>
    <x v="5"/>
    <m/>
    <m/>
    <m/>
    <m/>
    <x v="3"/>
    <m/>
    <m/>
    <m/>
    <m/>
    <m/>
    <x v="1"/>
    <d v="1899-12-30T00:00:00"/>
    <d v="1899-12-30T00:00:00"/>
    <d v="1899-12-30T00:00:00"/>
    <d v="1899-12-30T00:00:00"/>
  </r>
  <r>
    <s v="E1172"/>
    <m/>
    <m/>
    <m/>
    <x v="5"/>
    <m/>
    <m/>
    <m/>
    <m/>
    <x v="3"/>
    <m/>
    <m/>
    <m/>
    <m/>
    <m/>
    <x v="1"/>
    <d v="1899-12-30T00:00:00"/>
    <d v="1899-12-30T00:00:00"/>
    <d v="1899-12-30T00:00:00"/>
    <d v="1899-12-30T00:00:00"/>
  </r>
  <r>
    <s v="E1173"/>
    <m/>
    <m/>
    <m/>
    <x v="5"/>
    <m/>
    <m/>
    <m/>
    <m/>
    <x v="3"/>
    <m/>
    <m/>
    <m/>
    <m/>
    <m/>
    <x v="1"/>
    <d v="1899-12-30T00:00:00"/>
    <d v="1899-12-30T00:00:00"/>
    <d v="1899-12-30T00:00:00"/>
    <d v="1899-12-30T00:00:00"/>
  </r>
  <r>
    <s v="E1174"/>
    <m/>
    <m/>
    <m/>
    <x v="5"/>
    <m/>
    <m/>
    <m/>
    <m/>
    <x v="3"/>
    <m/>
    <m/>
    <m/>
    <m/>
    <m/>
    <x v="1"/>
    <d v="1899-12-30T00:00:00"/>
    <d v="1899-12-30T00:00:00"/>
    <d v="1899-12-30T00:00:00"/>
    <d v="1899-12-30T00:00:00"/>
  </r>
  <r>
    <s v="E1175"/>
    <m/>
    <m/>
    <m/>
    <x v="5"/>
    <m/>
    <m/>
    <m/>
    <m/>
    <x v="3"/>
    <m/>
    <m/>
    <m/>
    <m/>
    <m/>
    <x v="1"/>
    <d v="1899-12-30T00:00:00"/>
    <d v="1899-12-30T00:00:00"/>
    <d v="1899-12-30T00:00:00"/>
    <d v="1899-12-30T00:00:00"/>
  </r>
  <r>
    <s v="E1176"/>
    <m/>
    <m/>
    <m/>
    <x v="5"/>
    <m/>
    <m/>
    <m/>
    <m/>
    <x v="3"/>
    <m/>
    <m/>
    <m/>
    <m/>
    <m/>
    <x v="1"/>
    <d v="1899-12-30T00:00:00"/>
    <d v="1899-12-30T00:00:00"/>
    <d v="1899-12-30T00:00:00"/>
    <d v="1899-12-30T00:00:00"/>
  </r>
  <r>
    <s v="E1177"/>
    <m/>
    <m/>
    <m/>
    <x v="5"/>
    <m/>
    <m/>
    <m/>
    <m/>
    <x v="3"/>
    <m/>
    <m/>
    <m/>
    <m/>
    <m/>
    <x v="1"/>
    <d v="1899-12-30T00:00:00"/>
    <d v="1899-12-30T00:00:00"/>
    <d v="1899-12-30T00:00:00"/>
    <d v="1899-12-30T00:00:00"/>
  </r>
  <r>
    <s v="E1178"/>
    <m/>
    <m/>
    <m/>
    <x v="5"/>
    <m/>
    <m/>
    <m/>
    <m/>
    <x v="3"/>
    <m/>
    <m/>
    <m/>
    <m/>
    <m/>
    <x v="1"/>
    <d v="1899-12-30T00:00:00"/>
    <d v="1899-12-30T00:00:00"/>
    <d v="1899-12-30T00:00:00"/>
    <d v="1899-12-30T00:00:00"/>
  </r>
  <r>
    <s v="E1179"/>
    <m/>
    <m/>
    <m/>
    <x v="5"/>
    <m/>
    <m/>
    <m/>
    <m/>
    <x v="3"/>
    <m/>
    <m/>
    <m/>
    <m/>
    <m/>
    <x v="1"/>
    <d v="1899-12-30T00:00:00"/>
    <d v="1899-12-30T00:00:00"/>
    <d v="1899-12-30T00:00:00"/>
    <d v="1899-12-30T00:00:00"/>
  </r>
  <r>
    <s v="E1180"/>
    <m/>
    <m/>
    <m/>
    <x v="5"/>
    <m/>
    <m/>
    <m/>
    <m/>
    <x v="3"/>
    <m/>
    <m/>
    <m/>
    <m/>
    <m/>
    <x v="1"/>
    <d v="1899-12-30T00:00:00"/>
    <d v="1899-12-30T00:00:00"/>
    <d v="1899-12-30T00:00:00"/>
    <d v="1899-12-30T00:00:00"/>
  </r>
  <r>
    <s v="E1181"/>
    <m/>
    <m/>
    <m/>
    <x v="5"/>
    <m/>
    <m/>
    <m/>
    <m/>
    <x v="3"/>
    <m/>
    <m/>
    <m/>
    <m/>
    <m/>
    <x v="1"/>
    <d v="1899-12-30T00:00:00"/>
    <d v="1899-12-30T00:00:00"/>
    <d v="1899-12-30T00:00:00"/>
    <d v="1899-12-30T00:00:00"/>
  </r>
  <r>
    <s v="E1182"/>
    <m/>
    <m/>
    <m/>
    <x v="5"/>
    <m/>
    <m/>
    <m/>
    <m/>
    <x v="3"/>
    <m/>
    <m/>
    <m/>
    <m/>
    <m/>
    <x v="1"/>
    <d v="1899-12-30T00:00:00"/>
    <d v="1899-12-30T00:00:00"/>
    <d v="1899-12-30T00:00:00"/>
    <d v="1899-12-30T00:00:00"/>
  </r>
  <r>
    <s v="E1183"/>
    <m/>
    <m/>
    <m/>
    <x v="5"/>
    <m/>
    <m/>
    <m/>
    <m/>
    <x v="3"/>
    <m/>
    <m/>
    <m/>
    <m/>
    <m/>
    <x v="1"/>
    <d v="1899-12-30T00:00:00"/>
    <d v="1899-12-30T00:00:00"/>
    <d v="1899-12-30T00:00:00"/>
    <d v="1899-12-30T00:00:00"/>
  </r>
  <r>
    <s v="E1184"/>
    <m/>
    <m/>
    <m/>
    <x v="5"/>
    <m/>
    <m/>
    <m/>
    <m/>
    <x v="3"/>
    <m/>
    <m/>
    <m/>
    <m/>
    <m/>
    <x v="1"/>
    <d v="1899-12-30T00:00:00"/>
    <d v="1899-12-30T00:00:00"/>
    <d v="1899-12-30T00:00:00"/>
    <d v="1899-12-30T00:00:00"/>
  </r>
  <r>
    <s v="E1185"/>
    <m/>
    <m/>
    <m/>
    <x v="5"/>
    <m/>
    <m/>
    <m/>
    <m/>
    <x v="3"/>
    <m/>
    <m/>
    <m/>
    <m/>
    <m/>
    <x v="1"/>
    <d v="1899-12-30T00:00:00"/>
    <d v="1899-12-30T00:00:00"/>
    <d v="1899-12-30T00:00:00"/>
    <d v="1899-12-30T00:00:00"/>
  </r>
  <r>
    <s v="E1186"/>
    <m/>
    <m/>
    <m/>
    <x v="5"/>
    <m/>
    <m/>
    <m/>
    <m/>
    <x v="3"/>
    <m/>
    <m/>
    <m/>
    <m/>
    <m/>
    <x v="1"/>
    <d v="1899-12-30T00:00:00"/>
    <d v="1899-12-30T00:00:00"/>
    <d v="1899-12-30T00:00:00"/>
    <d v="1899-12-30T00:00:00"/>
  </r>
  <r>
    <s v="E1187"/>
    <m/>
    <m/>
    <m/>
    <x v="5"/>
    <m/>
    <m/>
    <m/>
    <m/>
    <x v="3"/>
    <m/>
    <m/>
    <m/>
    <m/>
    <m/>
    <x v="1"/>
    <d v="1899-12-30T00:00:00"/>
    <d v="1899-12-30T00:00:00"/>
    <d v="1899-12-30T00:00:00"/>
    <d v="1899-12-30T00:00:00"/>
  </r>
  <r>
    <s v="E1188"/>
    <m/>
    <m/>
    <m/>
    <x v="5"/>
    <m/>
    <m/>
    <m/>
    <m/>
    <x v="3"/>
    <m/>
    <m/>
    <m/>
    <m/>
    <m/>
    <x v="1"/>
    <d v="1899-12-30T00:00:00"/>
    <d v="1899-12-30T00:00:00"/>
    <d v="1899-12-30T00:00:00"/>
    <d v="1899-12-30T00:00:00"/>
  </r>
  <r>
    <s v="E1189"/>
    <m/>
    <m/>
    <m/>
    <x v="5"/>
    <m/>
    <m/>
    <m/>
    <m/>
    <x v="3"/>
    <m/>
    <m/>
    <m/>
    <m/>
    <m/>
    <x v="1"/>
    <d v="1899-12-30T00:00:00"/>
    <d v="1899-12-30T00:00:00"/>
    <d v="1899-12-30T00:00:00"/>
    <d v="1899-12-30T00:00:00"/>
  </r>
  <r>
    <s v="E1190"/>
    <m/>
    <m/>
    <m/>
    <x v="5"/>
    <m/>
    <m/>
    <m/>
    <m/>
    <x v="3"/>
    <m/>
    <m/>
    <m/>
    <m/>
    <m/>
    <x v="1"/>
    <d v="1899-12-30T00:00:00"/>
    <d v="1899-12-30T00:00:00"/>
    <d v="1899-12-30T00:00:00"/>
    <d v="1899-12-30T00:00:00"/>
  </r>
  <r>
    <s v="E1191"/>
    <m/>
    <m/>
    <m/>
    <x v="5"/>
    <m/>
    <m/>
    <m/>
    <m/>
    <x v="3"/>
    <m/>
    <m/>
    <m/>
    <m/>
    <m/>
    <x v="1"/>
    <d v="1899-12-30T00:00:00"/>
    <d v="1899-12-30T00:00:00"/>
    <d v="1899-12-30T00:00:00"/>
    <d v="1899-12-30T00:00:00"/>
  </r>
  <r>
    <s v="E1192"/>
    <m/>
    <m/>
    <m/>
    <x v="5"/>
    <m/>
    <m/>
    <m/>
    <m/>
    <x v="3"/>
    <m/>
    <m/>
    <m/>
    <m/>
    <m/>
    <x v="1"/>
    <d v="1899-12-30T00:00:00"/>
    <d v="1899-12-30T00:00:00"/>
    <d v="1899-12-30T00:00:00"/>
    <d v="1899-12-30T00:00:00"/>
  </r>
  <r>
    <s v="E1193"/>
    <m/>
    <m/>
    <m/>
    <x v="5"/>
    <m/>
    <m/>
    <m/>
    <m/>
    <x v="3"/>
    <m/>
    <m/>
    <m/>
    <m/>
    <m/>
    <x v="1"/>
    <d v="1899-12-30T00:00:00"/>
    <d v="1899-12-30T00:00:00"/>
    <d v="1899-12-30T00:00:00"/>
    <d v="1899-12-30T00:00:00"/>
  </r>
  <r>
    <s v="E1194"/>
    <m/>
    <m/>
    <m/>
    <x v="5"/>
    <m/>
    <m/>
    <m/>
    <m/>
    <x v="3"/>
    <m/>
    <m/>
    <m/>
    <m/>
    <m/>
    <x v="1"/>
    <d v="1899-12-30T00:00:00"/>
    <d v="1899-12-30T00:00:00"/>
    <d v="1899-12-30T00:00:00"/>
    <d v="1899-12-30T00:00:00"/>
  </r>
  <r>
    <s v="E1195"/>
    <m/>
    <m/>
    <m/>
    <x v="5"/>
    <m/>
    <m/>
    <m/>
    <m/>
    <x v="3"/>
    <m/>
    <m/>
    <m/>
    <m/>
    <m/>
    <x v="1"/>
    <d v="1899-12-30T00:00:00"/>
    <d v="1899-12-30T00:00:00"/>
    <d v="1899-12-30T00:00:00"/>
    <d v="1899-12-30T00:00:00"/>
  </r>
  <r>
    <s v="E1196"/>
    <m/>
    <m/>
    <m/>
    <x v="5"/>
    <m/>
    <m/>
    <m/>
    <m/>
    <x v="3"/>
    <m/>
    <m/>
    <m/>
    <m/>
    <m/>
    <x v="1"/>
    <d v="1899-12-30T00:00:00"/>
    <d v="1899-12-30T00:00:00"/>
    <d v="1899-12-30T00:00:00"/>
    <d v="1899-12-30T00:00:00"/>
  </r>
  <r>
    <s v="E1197"/>
    <m/>
    <m/>
    <m/>
    <x v="5"/>
    <m/>
    <m/>
    <m/>
    <m/>
    <x v="3"/>
    <m/>
    <m/>
    <m/>
    <m/>
    <m/>
    <x v="1"/>
    <d v="1899-12-30T00:00:00"/>
    <d v="1899-12-30T00:00:00"/>
    <d v="1899-12-30T00:00:00"/>
    <d v="1899-12-30T00:00:00"/>
  </r>
  <r>
    <s v="E1198"/>
    <m/>
    <m/>
    <m/>
    <x v="5"/>
    <m/>
    <m/>
    <m/>
    <m/>
    <x v="3"/>
    <m/>
    <m/>
    <m/>
    <m/>
    <m/>
    <x v="1"/>
    <d v="1899-12-30T00:00:00"/>
    <d v="1899-12-30T00:00:00"/>
    <d v="1899-12-30T00:00:00"/>
    <d v="1899-12-30T00:00:00"/>
  </r>
  <r>
    <s v="E1199"/>
    <m/>
    <m/>
    <m/>
    <x v="5"/>
    <m/>
    <m/>
    <m/>
    <m/>
    <x v="3"/>
    <m/>
    <m/>
    <m/>
    <m/>
    <m/>
    <x v="1"/>
    <d v="1899-12-30T00:00:00"/>
    <d v="1899-12-30T00:00:00"/>
    <d v="1899-12-30T00:00:00"/>
    <d v="1899-12-30T00:00:00"/>
  </r>
  <r>
    <s v="E1200"/>
    <m/>
    <m/>
    <m/>
    <x v="5"/>
    <m/>
    <m/>
    <m/>
    <m/>
    <x v="3"/>
    <m/>
    <m/>
    <m/>
    <m/>
    <m/>
    <x v="1"/>
    <d v="1899-12-30T00:00:00"/>
    <d v="1899-12-30T00:00:00"/>
    <d v="1899-12-30T00:00:00"/>
    <d v="1899-12-30T00:00:00"/>
  </r>
  <r>
    <s v="E2"/>
    <s v="D. CUESTA"/>
    <d v="1899-12-30T22:40:00"/>
    <d v="2026-02-21T00:00:00"/>
    <x v="6"/>
    <s v="Puntual"/>
    <s v="Flautas desalienadas"/>
    <d v="1899-12-30T22:40:00"/>
    <d v="1899-12-30T23:00:00"/>
    <x v="168"/>
    <s v="Mecánica"/>
    <s v="Se alinean flautas de torre ya que se encuentran desalineadas, se da ajuste y se entrega maquina para arranque "/>
    <s v="NA"/>
    <s v="NA"/>
    <s v="D. BAUTISTA"/>
    <x v="0"/>
    <d v="1899-12-30T00:20:00"/>
    <d v="2026-02-21T22:40:00"/>
    <d v="2026-02-21T23:00:00"/>
    <d v="1899-12-30T00:20:00"/>
  </r>
  <r>
    <s v="E3"/>
    <s v="D. CUESTA"/>
    <d v="1899-12-30T22:10:00"/>
    <d v="2026-02-21T00:00:00"/>
    <x v="6"/>
    <s v="Puntual"/>
    <s v="Revisar corona no sube tampoco baja"/>
    <d v="1899-12-30T22:10:00"/>
    <d v="1899-12-30T22:40:00"/>
    <x v="168"/>
    <s v="Mecánica"/>
    <s v="Se encuentra cadena de transmisión de reductor salido y sin candado, se alinean piñones, se monta cadena, se instala candado y se realizan pruebas en vacio"/>
    <s v="NA"/>
    <s v="NA"/>
    <s v="D. BAUTISTA"/>
    <x v="0"/>
    <d v="1899-12-30T00:30:00"/>
    <d v="2026-02-21T22:10:00"/>
    <d v="2026-02-21T22:40:00"/>
    <d v="1899-12-30T00:30:00"/>
  </r>
  <r>
    <s v="E4"/>
    <s v="S. CARDENAL"/>
    <d v="1899-12-30T23:15:00"/>
    <d v="2026-02-21T00:00:00"/>
    <x v="4"/>
    <s v="Puntual"/>
    <s v="El transportador tiene un ruido"/>
    <d v="1899-12-30T23:15:00"/>
    <d v="1899-12-30T02:45:00"/>
    <x v="176"/>
    <s v="Mecánica"/>
    <s v="Se encuentra sistema de transportador con sonido anormal, se procede a desarmar para encontrar el fallo, se encuentra rodamiento sin lubricación de eje inferior de transmisión, se procede a limpieza y lubricación, se arma nuevamente"/>
    <s v="NA"/>
    <s v="NA"/>
    <s v="D. BAUTISTA"/>
    <x v="0"/>
    <n v="-0.85416666666666663"/>
    <d v="2026-02-21T23:15:00"/>
    <d v="2026-02-22T02:45:00"/>
    <d v="1899-12-30T03:30:00"/>
  </r>
  <r>
    <s v="E5"/>
    <m/>
    <m/>
    <m/>
    <x v="5"/>
    <m/>
    <m/>
    <m/>
    <m/>
    <x v="3"/>
    <m/>
    <m/>
    <m/>
    <m/>
    <m/>
    <x v="1"/>
    <d v="1899-12-30T00:00:00"/>
    <d v="1899-12-30T00:00:00"/>
    <d v="1899-12-30T00:00:00"/>
    <d v="1899-12-30T00:00:00"/>
  </r>
  <r>
    <s v="E6"/>
    <s v="S. PATIÑO"/>
    <d v="1899-12-30T22:30:00"/>
    <d v="2026-02-22T00:00:00"/>
    <x v="1"/>
    <s v="Puntual"/>
    <s v="Variador del halador no enciende"/>
    <d v="1899-12-30T22:35:00"/>
    <d v="1899-12-30T22:45:00"/>
    <x v="176"/>
    <s v="Eléctrica"/>
    <s v="Se reseteo y se enciende nuevamente variador quedando operativo"/>
    <s v="NA"/>
    <s v="NA"/>
    <s v="D. BAUTISTA"/>
    <x v="0"/>
    <d v="1899-12-30T00:10:00"/>
    <d v="2026-02-22T22:30:00"/>
    <d v="2026-02-22T22:45:00"/>
    <d v="1899-12-30T00:15:00"/>
  </r>
  <r>
    <s v="E7"/>
    <s v="F. SANCHEZ"/>
    <d v="1899-12-30T18:00:00"/>
    <d v="2026-02-22T00:00:00"/>
    <x v="6"/>
    <s v="Puntual"/>
    <s v="Temperatura del molde no estaba calentando y mando de temperatura de presiones desconectado"/>
    <d v="1899-12-30T18:00:00"/>
    <d v="1899-12-30T18:40:00"/>
    <x v="176"/>
    <s v="Eléctrica"/>
    <s v="Temperatura para 1 molde bajo el setpoint, se encuentra breaker disparado, se resetea y se toma lectura de consumo, se da espera a que suba la temperatura. Conector sensor temperatura portamallas tornillo A desconectado y por ello no mostraba lectura"/>
    <s v="NA"/>
    <s v="NA"/>
    <s v="D. BAUTISTA"/>
    <x v="0"/>
    <d v="1899-12-30T00:40:00"/>
    <d v="2026-02-22T18:00:00"/>
    <d v="2026-02-22T18:40:00"/>
    <d v="1899-12-30T00:40:00"/>
  </r>
  <r>
    <s v="E8"/>
    <s v="L. GARZON"/>
    <d v="1899-12-30T15:20:00"/>
    <d v="2025-12-12T00:00:00"/>
    <x v="4"/>
    <s v="Puntual"/>
    <s v="Se parte tornillo soporte perforadores"/>
    <d v="1899-12-30T15:20:00"/>
    <d v="1899-12-30T15:35:00"/>
    <x v="29"/>
    <s v="Mecánica"/>
    <s v="Se encuentra tornillo partido, se extrae y se instalo tornillo M8 x 30mm, se da ajuste y quedo en operación"/>
    <s v="1X Tornillo M8 x 30mm"/>
    <s v="NA"/>
    <s v="D. BAUTISTA"/>
    <x v="0"/>
    <d v="1899-12-30T00:15:00"/>
    <d v="2025-12-12T15:20:00"/>
    <d v="2025-12-12T15:35:00"/>
    <d v="1899-12-30T00:15:00"/>
  </r>
  <r>
    <s v="E9"/>
    <s v="E. BELLO"/>
    <d v="1899-12-30T06:50:00"/>
    <d v="2025-12-15T00:00:00"/>
    <x v="11"/>
    <s v="Puntual"/>
    <s v="Se reventaron las coreas de el molino"/>
    <d v="1899-12-30T07:45:00"/>
    <d v="1899-12-30T08:45:00"/>
    <x v="47"/>
    <s v="Mecánica"/>
    <s v="Se realizo cambio de 4 correas de transmisión del molino de peletizadora"/>
    <s v="4x Correas transmisión"/>
    <s v="NA"/>
    <s v="D. BAUTISTA"/>
    <x v="0"/>
    <d v="1899-12-30T01:00:00"/>
    <d v="2025-12-15T06:50:00"/>
    <d v="2025-12-15T08:45:00"/>
    <d v="1899-12-30T01:55: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s v="Etiquetas de fila"/>
    <m/>
    <m/>
    <x v="5"/>
    <m/>
    <m/>
    <m/>
    <m/>
    <x v="3"/>
    <m/>
    <m/>
    <m/>
    <m/>
    <m/>
    <x v="1"/>
    <d v="1899-12-30T00:00:00"/>
    <d v="1899-12-30T00:00:00"/>
    <d v="1899-12-30T00:00:00"/>
    <d v="1899-12-30T00:00:00"/>
  </r>
  <r>
    <m/>
    <s v="C. ORTEGA"/>
    <m/>
    <m/>
    <x v="5"/>
    <m/>
    <m/>
    <m/>
    <m/>
    <x v="3"/>
    <m/>
    <m/>
    <m/>
    <m/>
    <m/>
    <x v="1"/>
    <d v="1899-12-30T00:00:00"/>
    <d v="1899-12-30T00:00:00"/>
    <d v="1899-12-30T00:00:00"/>
    <d v="1899-12-30T00:00:00"/>
  </r>
  <r>
    <m/>
    <s v="D. BAUTISTA"/>
    <m/>
    <m/>
    <x v="5"/>
    <m/>
    <m/>
    <m/>
    <m/>
    <x v="3"/>
    <m/>
    <m/>
    <m/>
    <m/>
    <m/>
    <x v="1"/>
    <d v="1899-12-30T00:00:00"/>
    <d v="1899-12-30T00:00:00"/>
    <d v="1899-12-30T00:00:00"/>
    <d v="1899-12-30T00:00:00"/>
  </r>
  <r>
    <m/>
    <s v="L. CASTILLA"/>
    <m/>
    <m/>
    <x v="5"/>
    <m/>
    <m/>
    <m/>
    <m/>
    <x v="3"/>
    <m/>
    <m/>
    <m/>
    <m/>
    <m/>
    <x v="1"/>
    <d v="1899-12-30T00:00:00"/>
    <d v="1899-12-30T00:00:00"/>
    <d v="1899-12-30T00:00:00"/>
    <d v="1899-12-30T00:00:00"/>
  </r>
  <r>
    <m/>
    <s v="L. FLOREZ"/>
    <m/>
    <m/>
    <x v="5"/>
    <m/>
    <m/>
    <m/>
    <m/>
    <x v="3"/>
    <m/>
    <m/>
    <m/>
    <m/>
    <m/>
    <x v="1"/>
    <d v="1899-12-30T00:00:00"/>
    <d v="1899-12-30T00:00:00"/>
    <d v="1899-12-30T00:00:00"/>
    <d v="1899-12-30T00:00:00"/>
  </r>
  <r>
    <m/>
    <s v="O. DUARTE"/>
    <m/>
    <m/>
    <x v="5"/>
    <m/>
    <m/>
    <m/>
    <m/>
    <x v="3"/>
    <m/>
    <m/>
    <m/>
    <m/>
    <m/>
    <x v="1"/>
    <d v="1899-12-30T00:00:00"/>
    <d v="1899-12-30T00:00:00"/>
    <d v="1899-12-30T00:00:00"/>
    <d v="1899-12-30T00:00:00"/>
  </r>
  <r>
    <m/>
    <s v="(en blanco)"/>
    <m/>
    <m/>
    <x v="5"/>
    <m/>
    <m/>
    <m/>
    <m/>
    <x v="3"/>
    <m/>
    <m/>
    <m/>
    <m/>
    <m/>
    <x v="1"/>
    <d v="1899-12-30T00:00:00"/>
    <d v="1899-12-30T00:00:00"/>
    <d v="1899-12-30T00:00:00"/>
    <d v="1899-12-30T00:00:00"/>
  </r>
  <r>
    <m/>
    <s v="Total general"/>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s v="Etiquetas de fila"/>
    <m/>
    <m/>
    <x v="5"/>
    <m/>
    <m/>
    <m/>
    <m/>
    <x v="3"/>
    <m/>
    <m/>
    <m/>
    <m/>
    <m/>
    <x v="1"/>
    <d v="1899-12-30T00:00:00"/>
    <d v="1899-12-30T00:00:00"/>
    <d v="1899-12-30T00:00:00"/>
    <d v="1899-12-30T00:00:00"/>
  </r>
  <r>
    <m/>
    <s v="C. ORTEGA"/>
    <m/>
    <m/>
    <x v="5"/>
    <m/>
    <m/>
    <m/>
    <m/>
    <x v="3"/>
    <m/>
    <m/>
    <m/>
    <m/>
    <m/>
    <x v="1"/>
    <d v="1899-12-30T00:00:00"/>
    <d v="1899-12-30T00:00:00"/>
    <d v="1899-12-30T00:00:00"/>
    <d v="1899-12-30T00:00:00"/>
  </r>
  <r>
    <m/>
    <s v="D. BAUTISTA"/>
    <m/>
    <m/>
    <x v="5"/>
    <m/>
    <m/>
    <m/>
    <m/>
    <x v="3"/>
    <m/>
    <m/>
    <m/>
    <m/>
    <m/>
    <x v="1"/>
    <d v="1899-12-30T00:00:00"/>
    <d v="1899-12-30T00:00:00"/>
    <d v="1899-12-30T00:00:00"/>
    <d v="1899-12-30T00:00:00"/>
  </r>
  <r>
    <m/>
    <s v="L. CASTILLA"/>
    <m/>
    <m/>
    <x v="5"/>
    <m/>
    <m/>
    <m/>
    <m/>
    <x v="3"/>
    <m/>
    <m/>
    <m/>
    <m/>
    <m/>
    <x v="1"/>
    <d v="1899-12-30T00:00:00"/>
    <d v="1899-12-30T00:00:00"/>
    <d v="1899-12-30T00:00:00"/>
    <d v="1899-12-30T00:00:00"/>
  </r>
  <r>
    <m/>
    <s v="L. FLOREZ"/>
    <m/>
    <m/>
    <x v="5"/>
    <m/>
    <m/>
    <m/>
    <m/>
    <x v="3"/>
    <m/>
    <m/>
    <m/>
    <m/>
    <m/>
    <x v="1"/>
    <d v="1899-12-30T00:00:00"/>
    <d v="1899-12-30T00:00:00"/>
    <d v="1899-12-30T00:00:00"/>
    <d v="1899-12-30T00:00:00"/>
  </r>
  <r>
    <m/>
    <s v="NA"/>
    <m/>
    <m/>
    <x v="5"/>
    <m/>
    <m/>
    <m/>
    <m/>
    <x v="3"/>
    <m/>
    <m/>
    <m/>
    <m/>
    <m/>
    <x v="1"/>
    <d v="1899-12-30T00:00:00"/>
    <d v="1899-12-30T00:00:00"/>
    <d v="1899-12-30T00:00:00"/>
    <d v="1899-12-30T00:00:00"/>
  </r>
  <r>
    <m/>
    <s v="O. DUARTE"/>
    <m/>
    <m/>
    <x v="5"/>
    <m/>
    <m/>
    <m/>
    <m/>
    <x v="3"/>
    <m/>
    <m/>
    <m/>
    <m/>
    <m/>
    <x v="1"/>
    <d v="1899-12-30T00:00:00"/>
    <d v="1899-12-30T00:00:00"/>
    <d v="1899-12-30T00:00:00"/>
    <d v="1899-12-30T00:00:00"/>
  </r>
  <r>
    <m/>
    <s v="(en blanco)"/>
    <m/>
    <m/>
    <x v="5"/>
    <m/>
    <m/>
    <m/>
    <m/>
    <x v="3"/>
    <m/>
    <m/>
    <m/>
    <m/>
    <m/>
    <x v="1"/>
    <d v="1899-12-30T00:00:00"/>
    <d v="1899-12-30T00:00:00"/>
    <d v="1899-12-30T00:00:00"/>
    <d v="1899-12-30T00:00:00"/>
  </r>
  <r>
    <m/>
    <s v="Total general"/>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d v="1899-12-30T00:00:00"/>
    <d v="1899-12-30T00:00:00"/>
    <d v="1899-12-30T00:00:00"/>
    <d v="1899-12-30T00:00:00"/>
  </r>
  <r>
    <m/>
    <m/>
    <m/>
    <m/>
    <x v="5"/>
    <m/>
    <m/>
    <m/>
    <m/>
    <x v="3"/>
    <m/>
    <m/>
    <m/>
    <m/>
    <m/>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FB955-D9CA-489D-A2C0-CE8AA690C433}"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5:B22" firstHeaderRow="1" firstDataRow="1" firstDataCol="1" rowPageCount="1" colPageCount="1"/>
  <pivotFields count="23">
    <pivotField dataField="1" showAll="0"/>
    <pivotField showAll="0"/>
    <pivotField showAll="0"/>
    <pivotField showAll="0">
      <items count="170">
        <item x="51"/>
        <item x="35"/>
        <item x="27"/>
        <item x="0"/>
        <item x="1"/>
        <item x="2"/>
        <item x="4"/>
        <item x="5"/>
        <item x="6"/>
        <item x="7"/>
        <item x="8"/>
        <item x="9"/>
        <item x="10"/>
        <item x="11"/>
        <item x="12"/>
        <item x="13"/>
        <item x="14"/>
        <item x="16"/>
        <item x="17"/>
        <item x="18"/>
        <item x="19"/>
        <item x="20"/>
        <item x="15"/>
        <item x="21"/>
        <item x="22"/>
        <item x="23"/>
        <item x="32"/>
        <item x="25"/>
        <item x="26"/>
        <item x="24"/>
        <item x="45"/>
        <item x="46"/>
        <item x="47"/>
        <item x="48"/>
        <item x="49"/>
        <item x="50"/>
        <item x="33"/>
        <item x="52"/>
        <item x="53"/>
        <item x="54"/>
        <item x="55"/>
        <item x="56"/>
        <item x="58"/>
        <item x="59"/>
        <item x="34"/>
        <item x="60"/>
        <item x="57"/>
        <item x="61"/>
        <item x="62"/>
        <item x="63"/>
        <item x="64"/>
        <item x="65"/>
        <item x="66"/>
        <item x="28"/>
        <item x="68"/>
        <item x="69"/>
        <item x="70"/>
        <item x="71"/>
        <item x="72"/>
        <item x="73"/>
        <item x="67"/>
        <item x="75"/>
        <item x="76"/>
        <item x="39"/>
        <item x="77"/>
        <item x="74"/>
        <item x="78"/>
        <item x="79"/>
        <item x="29"/>
        <item x="80"/>
        <item x="81"/>
        <item x="82"/>
        <item x="83"/>
        <item x="84"/>
        <item x="85"/>
        <item x="86"/>
        <item x="87"/>
        <item x="88"/>
        <item x="90"/>
        <item x="91"/>
        <item x="36"/>
        <item x="92"/>
        <item x="93"/>
        <item x="94"/>
        <item x="95"/>
        <item x="96"/>
        <item x="97"/>
        <item x="98"/>
        <item x="99"/>
        <item x="37"/>
        <item x="38"/>
        <item x="100"/>
        <item x="30"/>
        <item x="101"/>
        <item x="102"/>
        <item x="106"/>
        <item x="103"/>
        <item x="108"/>
        <item x="109"/>
        <item x="110"/>
        <item x="104"/>
        <item x="112"/>
        <item x="113"/>
        <item x="40"/>
        <item x="41"/>
        <item x="114"/>
        <item x="115"/>
        <item x="116"/>
        <item x="42"/>
        <item x="117"/>
        <item x="118"/>
        <item x="119"/>
        <item x="120"/>
        <item x="168"/>
        <item x="122"/>
        <item x="123"/>
        <item x="121"/>
        <item x="124"/>
        <item x="31"/>
        <item x="111"/>
        <item x="125"/>
        <item x="126"/>
        <item x="127"/>
        <item x="128"/>
        <item x="129"/>
        <item x="43"/>
        <item x="130"/>
        <item x="132"/>
        <item x="131"/>
        <item x="133"/>
        <item x="3"/>
        <item x="89"/>
        <item x="107"/>
        <item x="134"/>
        <item x="135"/>
        <item x="136"/>
        <item x="137"/>
        <item x="138"/>
        <item x="105"/>
        <item x="139"/>
        <item x="141"/>
        <item x="142"/>
        <item x="143"/>
        <item x="144"/>
        <item x="145"/>
        <item x="147"/>
        <item x="146"/>
        <item x="149"/>
        <item x="150"/>
        <item x="151"/>
        <item x="167"/>
        <item x="140"/>
        <item x="162"/>
        <item x="161"/>
        <item x="163"/>
        <item x="44"/>
        <item x="148"/>
        <item x="152"/>
        <item x="153"/>
        <item x="154"/>
        <item x="155"/>
        <item x="156"/>
        <item x="157"/>
        <item x="159"/>
        <item x="160"/>
        <item x="164"/>
        <item x="165"/>
        <item x="166"/>
        <item x="158"/>
        <item t="default"/>
      </items>
    </pivotField>
    <pivotField showAll="0"/>
    <pivotField showAll="0"/>
    <pivotField showAll="0"/>
    <pivotField showAll="0"/>
    <pivotField showAll="0"/>
    <pivotField showAll="0"/>
    <pivotField showAll="0"/>
    <pivotField showAll="0"/>
    <pivotField showAll="0"/>
    <pivotField showAll="0"/>
    <pivotField axis="axisRow" showAll="0">
      <items count="18">
        <item x="0"/>
        <item x="2"/>
        <item x="11"/>
        <item x="7"/>
        <item x="9"/>
        <item x="10"/>
        <item x="14"/>
        <item x="3"/>
        <item x="12"/>
        <item x="5"/>
        <item x="15"/>
        <item x="13"/>
        <item x="6"/>
        <item x="8"/>
        <item x="1"/>
        <item x="16"/>
        <item x="4"/>
        <item t="default"/>
      </items>
    </pivotField>
    <pivotField axis="axisPage" showAll="0">
      <items count="5">
        <item x="2"/>
        <item x="0"/>
        <item x="3"/>
        <item x="1"/>
        <item t="default"/>
      </items>
    </pivotField>
    <pivotField numFmtId="164" showAll="0"/>
    <pivotField numFmtId="22" showAll="0"/>
    <pivotField numFmtId="22"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7">
    <i>
      <x/>
    </i>
    <i>
      <x v="1"/>
    </i>
    <i>
      <x v="2"/>
    </i>
    <i>
      <x v="3"/>
    </i>
    <i>
      <x v="4"/>
    </i>
    <i>
      <x v="5"/>
    </i>
    <i>
      <x v="6"/>
    </i>
    <i>
      <x v="7"/>
    </i>
    <i>
      <x v="8"/>
    </i>
    <i>
      <x v="9"/>
    </i>
    <i>
      <x v="10"/>
    </i>
    <i>
      <x v="11"/>
    </i>
    <i>
      <x v="12"/>
    </i>
    <i>
      <x v="13"/>
    </i>
    <i>
      <x v="14"/>
    </i>
    <i>
      <x v="16"/>
    </i>
    <i t="grand">
      <x/>
    </i>
  </rowItems>
  <colItems count="1">
    <i/>
  </colItems>
  <pageFields count="1">
    <pageField fld="15" item="1" hier="-1"/>
  </pageFields>
  <dataFields count="1">
    <dataField name="Cuenta de #TPM" fld="0" subtotal="count" baseField="0" baseItem="0"/>
  </dataFields>
  <chartFormats count="1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2" format="5">
      <pivotArea type="data" outline="0" fieldPosition="0">
        <references count="2">
          <reference field="4294967294" count="1" selected="0">
            <x v="0"/>
          </reference>
          <reference field="14" count="1" selected="0">
            <x v="4"/>
          </reference>
        </references>
      </pivotArea>
    </chartFormat>
    <chartFormat chart="2" format="6">
      <pivotArea type="data" outline="0" fieldPosition="0">
        <references count="2">
          <reference field="4294967294" count="1" selected="0">
            <x v="0"/>
          </reference>
          <reference field="14" count="1" selected="0">
            <x v="5"/>
          </reference>
        </references>
      </pivotArea>
    </chartFormat>
    <chartFormat chart="2" format="7">
      <pivotArea type="data" outline="0" fieldPosition="0">
        <references count="2">
          <reference field="4294967294" count="1" selected="0">
            <x v="0"/>
          </reference>
          <reference field="14" count="1" selected="0">
            <x v="6"/>
          </reference>
        </references>
      </pivotArea>
    </chartFormat>
    <chartFormat chart="2" format="8">
      <pivotArea type="data" outline="0" fieldPosition="0">
        <references count="2">
          <reference field="4294967294" count="1" selected="0">
            <x v="0"/>
          </reference>
          <reference field="14" count="1" selected="0">
            <x v="7"/>
          </reference>
        </references>
      </pivotArea>
    </chartFormat>
    <chartFormat chart="2" format="9">
      <pivotArea type="data" outline="0" fieldPosition="0">
        <references count="2">
          <reference field="4294967294" count="1" selected="0">
            <x v="0"/>
          </reference>
          <reference field="14" count="1" selected="0">
            <x v="8"/>
          </reference>
        </references>
      </pivotArea>
    </chartFormat>
    <chartFormat chart="2" format="10">
      <pivotArea type="data" outline="0" fieldPosition="0">
        <references count="2">
          <reference field="4294967294" count="1" selected="0">
            <x v="0"/>
          </reference>
          <reference field="14" count="1" selected="0">
            <x v="9"/>
          </reference>
        </references>
      </pivotArea>
    </chartFormat>
    <chartFormat chart="2" format="11">
      <pivotArea type="data" outline="0" fieldPosition="0">
        <references count="2">
          <reference field="4294967294" count="1" selected="0">
            <x v="0"/>
          </reference>
          <reference field="14" count="1" selected="0">
            <x v="10"/>
          </reference>
        </references>
      </pivotArea>
    </chartFormat>
    <chartFormat chart="2" format="12">
      <pivotArea type="data" outline="0" fieldPosition="0">
        <references count="2">
          <reference field="4294967294" count="1" selected="0">
            <x v="0"/>
          </reference>
          <reference field="14" count="1" selected="0">
            <x v="11"/>
          </reference>
        </references>
      </pivotArea>
    </chartFormat>
    <chartFormat chart="2" format="13">
      <pivotArea type="data" outline="0" fieldPosition="0">
        <references count="2">
          <reference field="4294967294" count="1" selected="0">
            <x v="0"/>
          </reference>
          <reference field="14" count="1" selected="0">
            <x v="12"/>
          </reference>
        </references>
      </pivotArea>
    </chartFormat>
    <chartFormat chart="2" format="14">
      <pivotArea type="data" outline="0" fieldPosition="0">
        <references count="2">
          <reference field="4294967294" count="1" selected="0">
            <x v="0"/>
          </reference>
          <reference field="14" count="1" selected="0">
            <x v="13"/>
          </reference>
        </references>
      </pivotArea>
    </chartFormat>
    <chartFormat chart="2" format="15">
      <pivotArea type="data" outline="0" fieldPosition="0">
        <references count="2">
          <reference field="4294967294" count="1" selected="0">
            <x v="0"/>
          </reference>
          <reference field="14" count="1" selected="0">
            <x v="14"/>
          </reference>
        </references>
      </pivotArea>
    </chartFormat>
    <chartFormat chart="2" format="16">
      <pivotArea type="data" outline="0" fieldPosition="0">
        <references count="2">
          <reference field="4294967294" count="1" selected="0">
            <x v="0"/>
          </reference>
          <reference field="1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88DB7-CFDD-4CFB-B2BC-8828D615484D}" name="TablaDinámica6"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53:C64" firstHeaderRow="0" firstDataRow="1" firstDataCol="1" rowPageCount="2" colPageCount="1"/>
  <pivotFields count="20">
    <pivotField dataField="1" showAll="0"/>
    <pivotField showAll="0"/>
    <pivotField showAll="0"/>
    <pivotField multipleItemSelectionAllowed="1" showAll="0"/>
    <pivotField axis="axisRow" showAll="0">
      <items count="39">
        <item m="1" x="36"/>
        <item m="1" x="35"/>
        <item m="1" x="37"/>
        <item m="1" x="32"/>
        <item m="1" x="33"/>
        <item x="24"/>
        <item x="3"/>
        <item x="19"/>
        <item x="21"/>
        <item x="14"/>
        <item x="8"/>
        <item x="26"/>
        <item x="1"/>
        <item m="1" x="31"/>
        <item m="1" x="30"/>
        <item x="6"/>
        <item x="7"/>
        <item m="1" x="34"/>
        <item x="22"/>
        <item x="28"/>
        <item x="18"/>
        <item x="15"/>
        <item x="11"/>
        <item x="23"/>
        <item x="20"/>
        <item x="17"/>
        <item x="9"/>
        <item x="25"/>
        <item x="2"/>
        <item x="16"/>
        <item x="10"/>
        <item x="13"/>
        <item x="4"/>
        <item x="0"/>
        <item x="12"/>
        <item x="27"/>
        <item x="5"/>
        <item x="29"/>
        <item t="default"/>
      </items>
    </pivotField>
    <pivotField showAll="0"/>
    <pivotField showAll="0"/>
    <pivotField showAll="0"/>
    <pivotField showAll="0"/>
    <pivotField axis="axisPage" multipleItemSelectionAllowed="1" showAll="0">
      <items count="180">
        <item h="1" x="59"/>
        <item h="1" x="0"/>
        <item h="1" x="1"/>
        <item h="1" x="2"/>
        <item h="1" x="4"/>
        <item h="1" x="5"/>
        <item h="1" x="6"/>
        <item h="1" x="7"/>
        <item h="1" x="8"/>
        <item h="1" x="9"/>
        <item h="1" x="10"/>
        <item h="1" x="11"/>
        <item h="1" x="12"/>
        <item h="1" x="13"/>
        <item h="1" x="14"/>
        <item h="1" x="16"/>
        <item h="1" x="17"/>
        <item h="1" x="18"/>
        <item h="1" x="19"/>
        <item h="1" x="15"/>
        <item h="1" x="20"/>
        <item h="1" x="21"/>
        <item h="1" x="22"/>
        <item h="1" x="35"/>
        <item h="1" x="24"/>
        <item h="1" x="25"/>
        <item h="1" x="23"/>
        <item h="1" x="32"/>
        <item h="1" x="33"/>
        <item h="1" x="34"/>
        <item h="1" x="36"/>
        <item h="1" x="37"/>
        <item h="1" x="38"/>
        <item h="1" x="39"/>
        <item h="1" x="30"/>
        <item h="1" x="40"/>
        <item h="1" x="41"/>
        <item h="1" x="42"/>
        <item h="1" x="44"/>
        <item h="1" x="45"/>
        <item h="1" x="31"/>
        <item h="1" x="29"/>
        <item h="1" x="43"/>
        <item h="1" x="46"/>
        <item h="1" x="47"/>
        <item h="1" x="48"/>
        <item h="1" x="49"/>
        <item h="1" x="50"/>
        <item h="1" x="51"/>
        <item h="1" x="26"/>
        <item h="1" x="53"/>
        <item h="1" x="54"/>
        <item h="1" x="55"/>
        <item h="1" x="56"/>
        <item h="1" x="57"/>
        <item h="1" x="58"/>
        <item h="1" x="52"/>
        <item h="1" x="67"/>
        <item h="1" x="60"/>
        <item h="1" x="61"/>
        <item h="1" x="62"/>
        <item h="1" x="63"/>
        <item h="1" x="64"/>
        <item h="1" x="65"/>
        <item h="1" x="66"/>
        <item h="1" x="69"/>
        <item h="1" x="70"/>
        <item h="1" x="71"/>
        <item h="1" x="72"/>
        <item h="1" x="73"/>
        <item h="1" x="74"/>
        <item h="1" x="75"/>
        <item h="1" x="76"/>
        <item h="1" x="78"/>
        <item h="1" x="79"/>
        <item h="1" x="80"/>
        <item h="1" x="81"/>
        <item h="1" x="82"/>
        <item h="1" x="83"/>
        <item h="1" x="84"/>
        <item h="1" x="85"/>
        <item h="1" x="86"/>
        <item h="1" x="87"/>
        <item h="1" x="88"/>
        <item h="1" x="89"/>
        <item h="1" x="90"/>
        <item h="1" x="91"/>
        <item h="1" x="27"/>
        <item h="1" x="92"/>
        <item h="1" x="94"/>
        <item h="1" x="96"/>
        <item h="1" x="97"/>
        <item h="1" x="93"/>
        <item h="1" x="98"/>
        <item h="1" x="99"/>
        <item h="1" x="101"/>
        <item h="1" x="102"/>
        <item h="1" x="103"/>
        <item h="1" x="104"/>
        <item h="1" x="105"/>
        <item h="1" x="106"/>
        <item h="1" x="107"/>
        <item h="1" x="108"/>
        <item h="1" x="109"/>
        <item h="1" x="110"/>
        <item h="1" x="168"/>
        <item h="1" x="176"/>
        <item h="1" x="112"/>
        <item h="1" x="113"/>
        <item h="1" x="111"/>
        <item h="1" x="114"/>
        <item h="1" x="116"/>
        <item h="1" x="100"/>
        <item h="1" x="117"/>
        <item h="1" x="118"/>
        <item h="1" x="119"/>
        <item h="1" x="120"/>
        <item h="1" x="121"/>
        <item h="1" x="122"/>
        <item h="1" x="124"/>
        <item h="1" x="125"/>
        <item h="1" x="115"/>
        <item h="1" x="123"/>
        <item h="1" x="126"/>
        <item h="1" x="77"/>
        <item h="1" x="128"/>
        <item h="1" x="3"/>
        <item h="1" x="127"/>
        <item h="1" x="129"/>
        <item h="1" x="130"/>
        <item h="1" x="95"/>
        <item h="1" x="131"/>
        <item h="1" x="133"/>
        <item h="1" x="134"/>
        <item h="1" x="135"/>
        <item h="1" x="136"/>
        <item h="1" x="137"/>
        <item h="1" x="138"/>
        <item h="1" x="68"/>
        <item h="1" x="140"/>
        <item h="1" x="141"/>
        <item h="1" x="142"/>
        <item h="1" m="1" x="177"/>
        <item m="1" x="178"/>
        <item h="1" x="132"/>
        <item h="1" x="171"/>
        <item h="1" x="173"/>
        <item h="1" x="172"/>
        <item h="1" x="174"/>
        <item h="1" x="175"/>
        <item h="1" x="169"/>
        <item h="1" x="170"/>
        <item h="1" x="139"/>
        <item h="1" x="143"/>
        <item h="1" x="144"/>
        <item h="1" x="146"/>
        <item h="1" x="145"/>
        <item h="1" x="147"/>
        <item h="1" x="148"/>
        <item h="1" x="149"/>
        <item h="1" x="150"/>
        <item h="1" x="152"/>
        <item h="1" x="153"/>
        <item h="1" x="154"/>
        <item h="1" x="155"/>
        <item h="1" x="156"/>
        <item h="1" x="157"/>
        <item h="1" x="28"/>
        <item h="1" x="151"/>
        <item h="1" x="158"/>
        <item h="1" x="159"/>
        <item h="1" x="160"/>
        <item x="161"/>
        <item x="162"/>
        <item x="163"/>
        <item x="165"/>
        <item x="164"/>
        <item x="166"/>
        <item x="167"/>
        <item t="default"/>
      </items>
    </pivotField>
    <pivotField showAll="0"/>
    <pivotField showAll="0"/>
    <pivotField showAll="0"/>
    <pivotField showAll="0"/>
    <pivotField showAll="0"/>
    <pivotField axis="axisPage" showAll="0">
      <items count="6">
        <item x="2"/>
        <item x="0"/>
        <item x="4"/>
        <item x="1"/>
        <item x="3"/>
        <item t="default"/>
      </items>
    </pivotField>
    <pivotField showAll="0"/>
    <pivotField showAll="0"/>
    <pivotField showAll="0"/>
    <pivotField dataField="1" showAll="0"/>
  </pivotFields>
  <rowFields count="1">
    <field x="4"/>
  </rowFields>
  <rowItems count="11">
    <i>
      <x v="9"/>
    </i>
    <i>
      <x v="10"/>
    </i>
    <i>
      <x v="15"/>
    </i>
    <i>
      <x v="16"/>
    </i>
    <i>
      <x v="22"/>
    </i>
    <i>
      <x v="23"/>
    </i>
    <i>
      <x v="29"/>
    </i>
    <i>
      <x v="31"/>
    </i>
    <i>
      <x v="32"/>
    </i>
    <i>
      <x v="33"/>
    </i>
    <i t="grand">
      <x/>
    </i>
  </rowItems>
  <colFields count="1">
    <field x="-2"/>
  </colFields>
  <colItems count="2">
    <i>
      <x/>
    </i>
    <i i="1">
      <x v="1"/>
    </i>
  </colItems>
  <pageFields count="2">
    <pageField fld="15" item="1" hier="-1"/>
    <pageField fld="9" hier="-1"/>
  </pageFields>
  <dataFields count="2">
    <dataField name="Suma de TIEMPO TOTAL SOLUCIÓN" fld="19" baseField="4" baseItem="0" numFmtId="165"/>
    <dataField name="Cuenta de #TPM" fld="0" subtotal="count" baseField="4" baseItem="8" numFmtId="166"/>
  </dataFields>
  <formats count="2">
    <format dxfId="39">
      <pivotArea outline="0" collapsedLevelsAreSubtotals="1" fieldPosition="0"/>
    </format>
    <format dxfId="38">
      <pivotArea outline="0" collapsedLevelsAreSubtotals="1" fieldPosition="0">
        <references count="1">
          <reference field="4294967294" count="1" selected="0">
            <x v="1"/>
          </reference>
        </references>
      </pivotArea>
    </format>
  </formats>
  <chartFormats count="3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4" count="1" selected="0">
            <x v="8"/>
          </reference>
        </references>
      </pivotArea>
    </chartFormat>
    <chartFormat chart="2" format="3">
      <pivotArea type="data" outline="0" fieldPosition="0">
        <references count="2">
          <reference field="4294967294" count="1" selected="0">
            <x v="0"/>
          </reference>
          <reference field="4" count="1" selected="0">
            <x v="9"/>
          </reference>
        </references>
      </pivotArea>
    </chartFormat>
    <chartFormat chart="2" format="4">
      <pivotArea type="data" outline="0" fieldPosition="0">
        <references count="2">
          <reference field="4294967294" count="1" selected="0">
            <x v="0"/>
          </reference>
          <reference field="4" count="1" selected="0">
            <x v="12"/>
          </reference>
        </references>
      </pivotArea>
    </chartFormat>
    <chartFormat chart="2" format="5">
      <pivotArea type="data" outline="0" fieldPosition="0">
        <references count="2">
          <reference field="4294967294" count="1" selected="0">
            <x v="0"/>
          </reference>
          <reference field="4" count="1" selected="0">
            <x v="15"/>
          </reference>
        </references>
      </pivotArea>
    </chartFormat>
    <chartFormat chart="2" format="6">
      <pivotArea type="data" outline="0" fieldPosition="0">
        <references count="2">
          <reference field="4294967294" count="1" selected="0">
            <x v="0"/>
          </reference>
          <reference field="4" count="1" selected="0">
            <x v="16"/>
          </reference>
        </references>
      </pivotArea>
    </chartFormat>
    <chartFormat chart="2" format="7">
      <pivotArea type="data" outline="0" fieldPosition="0">
        <references count="2">
          <reference field="4294967294" count="1" selected="0">
            <x v="0"/>
          </reference>
          <reference field="4" count="1" selected="0">
            <x v="26"/>
          </reference>
        </references>
      </pivotArea>
    </chartFormat>
    <chartFormat chart="2" format="8">
      <pivotArea type="data" outline="0" fieldPosition="0">
        <references count="2">
          <reference field="4294967294" count="1" selected="0">
            <x v="0"/>
          </reference>
          <reference field="4" count="1" selected="0">
            <x v="30"/>
          </reference>
        </references>
      </pivotArea>
    </chartFormat>
    <chartFormat chart="2" format="9">
      <pivotArea type="data" outline="0" fieldPosition="0">
        <references count="2">
          <reference field="4294967294" count="1" selected="0">
            <x v="0"/>
          </reference>
          <reference field="4" count="1" selected="0">
            <x v="31"/>
          </reference>
        </references>
      </pivotArea>
    </chartFormat>
    <chartFormat chart="2" format="10">
      <pivotArea type="data" outline="0" fieldPosition="0">
        <references count="2">
          <reference field="4294967294" count="1" selected="0">
            <x v="0"/>
          </reference>
          <reference field="4" count="1" selected="0">
            <x v="32"/>
          </reference>
        </references>
      </pivotArea>
    </chartFormat>
    <chartFormat chart="2" format="11">
      <pivotArea type="data" outline="0" fieldPosition="0">
        <references count="2">
          <reference field="4294967294" count="1" selected="0">
            <x v="0"/>
          </reference>
          <reference field="4" count="1" selected="0">
            <x v="33"/>
          </reference>
        </references>
      </pivotArea>
    </chartFormat>
    <chartFormat chart="2" format="12">
      <pivotArea type="data" outline="0" fieldPosition="0">
        <references count="2">
          <reference field="4294967294" count="1" selected="0">
            <x v="1"/>
          </reference>
          <reference field="4" count="1" selected="0">
            <x v="8"/>
          </reference>
        </references>
      </pivotArea>
    </chartFormat>
    <chartFormat chart="2" format="13">
      <pivotArea type="data" outline="0" fieldPosition="0">
        <references count="2">
          <reference field="4294967294" count="1" selected="0">
            <x v="1"/>
          </reference>
          <reference field="4" count="1" selected="0">
            <x v="9"/>
          </reference>
        </references>
      </pivotArea>
    </chartFormat>
    <chartFormat chart="2" format="14">
      <pivotArea type="data" outline="0" fieldPosition="0">
        <references count="2">
          <reference field="4294967294" count="1" selected="0">
            <x v="1"/>
          </reference>
          <reference field="4" count="1" selected="0">
            <x v="12"/>
          </reference>
        </references>
      </pivotArea>
    </chartFormat>
    <chartFormat chart="2" format="15">
      <pivotArea type="data" outline="0" fieldPosition="0">
        <references count="2">
          <reference field="4294967294" count="1" selected="0">
            <x v="1"/>
          </reference>
          <reference field="4" count="1" selected="0">
            <x v="15"/>
          </reference>
        </references>
      </pivotArea>
    </chartFormat>
    <chartFormat chart="2" format="16">
      <pivotArea type="data" outline="0" fieldPosition="0">
        <references count="2">
          <reference field="4294967294" count="1" selected="0">
            <x v="1"/>
          </reference>
          <reference field="4" count="1" selected="0">
            <x v="16"/>
          </reference>
        </references>
      </pivotArea>
    </chartFormat>
    <chartFormat chart="2" format="17">
      <pivotArea type="data" outline="0" fieldPosition="0">
        <references count="2">
          <reference field="4294967294" count="1" selected="0">
            <x v="1"/>
          </reference>
          <reference field="4" count="1" selected="0">
            <x v="26"/>
          </reference>
        </references>
      </pivotArea>
    </chartFormat>
    <chartFormat chart="2" format="18">
      <pivotArea type="data" outline="0" fieldPosition="0">
        <references count="2">
          <reference field="4294967294" count="1" selected="0">
            <x v="1"/>
          </reference>
          <reference field="4" count="1" selected="0">
            <x v="30"/>
          </reference>
        </references>
      </pivotArea>
    </chartFormat>
    <chartFormat chart="2" format="19">
      <pivotArea type="data" outline="0" fieldPosition="0">
        <references count="2">
          <reference field="4294967294" count="1" selected="0">
            <x v="1"/>
          </reference>
          <reference field="4" count="1" selected="0">
            <x v="31"/>
          </reference>
        </references>
      </pivotArea>
    </chartFormat>
    <chartFormat chart="2" format="20">
      <pivotArea type="data" outline="0" fieldPosition="0">
        <references count="2">
          <reference field="4294967294" count="1" selected="0">
            <x v="1"/>
          </reference>
          <reference field="4" count="1" selected="0">
            <x v="32"/>
          </reference>
        </references>
      </pivotArea>
    </chartFormat>
    <chartFormat chart="2" format="21">
      <pivotArea type="data" outline="0" fieldPosition="0">
        <references count="2">
          <reference field="4294967294" count="1" selected="0">
            <x v="1"/>
          </reference>
          <reference field="4" count="1" selected="0">
            <x v="33"/>
          </reference>
        </references>
      </pivotArea>
    </chartFormat>
    <chartFormat chart="2" format="22">
      <pivotArea type="data" outline="0" fieldPosition="0">
        <references count="2">
          <reference field="4294967294" count="1" selected="0">
            <x v="0"/>
          </reference>
          <reference field="4" count="1" selected="0">
            <x v="27"/>
          </reference>
        </references>
      </pivotArea>
    </chartFormat>
    <chartFormat chart="2" format="23">
      <pivotArea type="data" outline="0" fieldPosition="0">
        <references count="2">
          <reference field="4294967294" count="1" selected="0">
            <x v="1"/>
          </reference>
          <reference field="4" count="1" selected="0">
            <x v="27"/>
          </reference>
        </references>
      </pivotArea>
    </chartFormat>
    <chartFormat chart="2" format="24">
      <pivotArea type="data" outline="0" fieldPosition="0">
        <references count="2">
          <reference field="4294967294" count="1" selected="0">
            <x v="0"/>
          </reference>
          <reference field="4" count="1" selected="0">
            <x v="23"/>
          </reference>
        </references>
      </pivotArea>
    </chartFormat>
    <chartFormat chart="2" format="25">
      <pivotArea type="data" outline="0" fieldPosition="0">
        <references count="2">
          <reference field="4294967294" count="1" selected="0">
            <x v="1"/>
          </reference>
          <reference field="4" count="1" selected="0">
            <x v="23"/>
          </reference>
        </references>
      </pivotArea>
    </chartFormat>
    <chartFormat chart="2" format="26">
      <pivotArea type="data" outline="0" fieldPosition="0">
        <references count="2">
          <reference field="4294967294" count="1" selected="0">
            <x v="0"/>
          </reference>
          <reference field="4" count="1" selected="0">
            <x v="5"/>
          </reference>
        </references>
      </pivotArea>
    </chartFormat>
    <chartFormat chart="2" format="27">
      <pivotArea type="data" outline="0" fieldPosition="0">
        <references count="2">
          <reference field="4294967294" count="1" selected="0">
            <x v="0"/>
          </reference>
          <reference field="4" count="1" selected="0">
            <x v="22"/>
          </reference>
        </references>
      </pivotArea>
    </chartFormat>
    <chartFormat chart="2" format="28">
      <pivotArea type="data" outline="0" fieldPosition="0">
        <references count="2">
          <reference field="4294967294" count="1" selected="0">
            <x v="0"/>
          </reference>
          <reference field="4" count="1" selected="0">
            <x v="36"/>
          </reference>
        </references>
      </pivotArea>
    </chartFormat>
    <chartFormat chart="2" format="29">
      <pivotArea type="data" outline="0" fieldPosition="0">
        <references count="2">
          <reference field="4294967294" count="1" selected="0">
            <x v="1"/>
          </reference>
          <reference field="4" count="1" selected="0">
            <x v="5"/>
          </reference>
        </references>
      </pivotArea>
    </chartFormat>
    <chartFormat chart="2" format="30">
      <pivotArea type="data" outline="0" fieldPosition="0">
        <references count="2">
          <reference field="4294967294" count="1" selected="0">
            <x v="1"/>
          </reference>
          <reference field="4" count="1" selected="0">
            <x v="22"/>
          </reference>
        </references>
      </pivotArea>
    </chartFormat>
    <chartFormat chart="2" format="31">
      <pivotArea type="data" outline="0" fieldPosition="0">
        <references count="2">
          <reference field="4294967294" count="1" selected="0">
            <x v="1"/>
          </reference>
          <reference field="4" count="1" selected="0">
            <x v="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98F046-F1EA-442C-9234-BC7C2F6487EC}" name="TablaDinámica2"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72:F99" firstHeaderRow="1" firstDataRow="2" firstDataCol="1" rowPageCount="1" colPageCount="1"/>
  <pivotFields count="19">
    <pivotField dataField="1" showAll="0"/>
    <pivotField showAll="0"/>
    <pivotField showAll="0"/>
    <pivotField axis="axisPage" multipleItemSelectionAllowed="1" showAll="0">
      <items count="187">
        <item x="55"/>
        <item x="38"/>
        <item x="27"/>
        <item x="0"/>
        <item x="1"/>
        <item x="2"/>
        <item x="4"/>
        <item x="5"/>
        <item x="6"/>
        <item x="7"/>
        <item x="8"/>
        <item x="9"/>
        <item x="10"/>
        <item x="11"/>
        <item x="12"/>
        <item x="13"/>
        <item x="14"/>
        <item x="16"/>
        <item x="17"/>
        <item x="18"/>
        <item x="19"/>
        <item x="20"/>
        <item x="15"/>
        <item x="21"/>
        <item x="22"/>
        <item x="23"/>
        <item x="35"/>
        <item x="25"/>
        <item x="26"/>
        <item x="24"/>
        <item x="49"/>
        <item x="50"/>
        <item x="51"/>
        <item x="52"/>
        <item x="53"/>
        <item x="54"/>
        <item x="36"/>
        <item x="56"/>
        <item x="57"/>
        <item x="58"/>
        <item x="59"/>
        <item x="60"/>
        <item x="62"/>
        <item x="63"/>
        <item x="37"/>
        <item x="64"/>
        <item x="61"/>
        <item x="65"/>
        <item x="66"/>
        <item x="67"/>
        <item x="68"/>
        <item x="69"/>
        <item x="70"/>
        <item x="28"/>
        <item x="72"/>
        <item x="73"/>
        <item x="74"/>
        <item x="75"/>
        <item x="76"/>
        <item x="77"/>
        <item x="71"/>
        <item x="79"/>
        <item x="80"/>
        <item x="42"/>
        <item x="81"/>
        <item x="78"/>
        <item x="82"/>
        <item x="83"/>
        <item x="29"/>
        <item x="84"/>
        <item x="85"/>
        <item x="86"/>
        <item x="87"/>
        <item x="88"/>
        <item x="89"/>
        <item x="90"/>
        <item x="91"/>
        <item x="92"/>
        <item x="94"/>
        <item x="95"/>
        <item x="39"/>
        <item x="96"/>
        <item x="97"/>
        <item x="98"/>
        <item x="99"/>
        <item x="100"/>
        <item x="101"/>
        <item x="102"/>
        <item x="103"/>
        <item x="40"/>
        <item x="41"/>
        <item x="104"/>
        <item x="30"/>
        <item x="105"/>
        <item x="106"/>
        <item x="110"/>
        <item x="107"/>
        <item x="112"/>
        <item x="113"/>
        <item x="114"/>
        <item x="108"/>
        <item x="116"/>
        <item x="117"/>
        <item x="43"/>
        <item x="44"/>
        <item x="118"/>
        <item x="119"/>
        <item x="120"/>
        <item x="45"/>
        <item x="121"/>
        <item x="122"/>
        <item x="123"/>
        <item x="124"/>
        <item x="185"/>
        <item x="126"/>
        <item x="127"/>
        <item x="125"/>
        <item x="128"/>
        <item x="31"/>
        <item x="115"/>
        <item x="129"/>
        <item x="130"/>
        <item x="131"/>
        <item x="132"/>
        <item x="133"/>
        <item x="46"/>
        <item x="134"/>
        <item x="136"/>
        <item x="135"/>
        <item x="137"/>
        <item x="3"/>
        <item x="93"/>
        <item x="111"/>
        <item x="139"/>
        <item x="140"/>
        <item x="138"/>
        <item x="141"/>
        <item x="142"/>
        <item x="109"/>
        <item x="143"/>
        <item x="145"/>
        <item x="146"/>
        <item x="147"/>
        <item x="148"/>
        <item x="149"/>
        <item x="151"/>
        <item x="150"/>
        <item x="152"/>
        <item x="153"/>
        <item x="154"/>
        <item x="184"/>
        <item x="144"/>
        <item x="179"/>
        <item x="180"/>
        <item x="169"/>
        <item x="181"/>
        <item x="182"/>
        <item x="178"/>
        <item x="177"/>
        <item x="183"/>
        <item x="32"/>
        <item x="155"/>
        <item x="156"/>
        <item x="47"/>
        <item x="157"/>
        <item x="158"/>
        <item x="159"/>
        <item x="160"/>
        <item x="161"/>
        <item x="163"/>
        <item x="162"/>
        <item x="48"/>
        <item x="164"/>
        <item x="165"/>
        <item x="33"/>
        <item x="34"/>
        <item x="166"/>
        <item x="167"/>
        <item x="168"/>
        <item x="170"/>
        <item x="171"/>
        <item x="172"/>
        <item x="174"/>
        <item x="173"/>
        <item x="175"/>
        <item x="176"/>
        <item t="default"/>
      </items>
    </pivotField>
    <pivotField axis="axisRow" showAll="0">
      <items count="31">
        <item x="24"/>
        <item x="3"/>
        <item h="1" x="19"/>
        <item x="21"/>
        <item x="14"/>
        <item x="8"/>
        <item x="26"/>
        <item x="1"/>
        <item x="6"/>
        <item x="7"/>
        <item x="22"/>
        <item h="1" x="28"/>
        <item x="18"/>
        <item h="1" x="15"/>
        <item x="11"/>
        <item x="23"/>
        <item x="20"/>
        <item x="17"/>
        <item x="9"/>
        <item x="25"/>
        <item x="10"/>
        <item x="2"/>
        <item h="1" x="16"/>
        <item x="13"/>
        <item x="4"/>
        <item x="0"/>
        <item x="12"/>
        <item x="27"/>
        <item h="1" x="5"/>
        <item x="29"/>
        <item t="default"/>
      </items>
    </pivotField>
    <pivotField showAll="0"/>
    <pivotField showAll="0"/>
    <pivotField showAll="0"/>
    <pivotField showAll="0"/>
    <pivotField multipleItemSelectionAllowed="1" showAll="0"/>
    <pivotField showAll="0"/>
    <pivotField showAll="0"/>
    <pivotField showAll="0"/>
    <pivotField showAll="0"/>
    <pivotField showAll="0"/>
    <pivotField axis="axisCol" showAll="0">
      <items count="6">
        <item x="2"/>
        <item x="3"/>
        <item x="0"/>
        <item x="4"/>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4"/>
  </rowFields>
  <rowItems count="26">
    <i>
      <x/>
    </i>
    <i>
      <x v="1"/>
    </i>
    <i>
      <x v="3"/>
    </i>
    <i>
      <x v="4"/>
    </i>
    <i>
      <x v="5"/>
    </i>
    <i>
      <x v="6"/>
    </i>
    <i>
      <x v="7"/>
    </i>
    <i>
      <x v="8"/>
    </i>
    <i>
      <x v="9"/>
    </i>
    <i>
      <x v="10"/>
    </i>
    <i>
      <x v="12"/>
    </i>
    <i>
      <x v="14"/>
    </i>
    <i>
      <x v="15"/>
    </i>
    <i>
      <x v="16"/>
    </i>
    <i>
      <x v="17"/>
    </i>
    <i>
      <x v="18"/>
    </i>
    <i>
      <x v="19"/>
    </i>
    <i>
      <x v="20"/>
    </i>
    <i>
      <x v="21"/>
    </i>
    <i>
      <x v="23"/>
    </i>
    <i>
      <x v="24"/>
    </i>
    <i>
      <x v="25"/>
    </i>
    <i>
      <x v="26"/>
    </i>
    <i>
      <x v="27"/>
    </i>
    <i>
      <x v="29"/>
    </i>
    <i t="grand">
      <x/>
    </i>
  </rowItems>
  <colFields count="1">
    <field x="15"/>
  </colFields>
  <colItems count="5">
    <i>
      <x/>
    </i>
    <i>
      <x v="1"/>
    </i>
    <i>
      <x v="2"/>
    </i>
    <i>
      <x v="4"/>
    </i>
    <i t="grand">
      <x/>
    </i>
  </colItems>
  <pageFields count="1">
    <pageField fld="3" hier="-1"/>
  </pageFields>
  <dataFields count="1">
    <dataField name="Cuenta de #TPM" fld="0" subtotal="count" baseField="0" baseItem="0"/>
  </dataField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4"/>
          </reference>
        </references>
      </pivotArea>
    </chartFormat>
    <chartFormat chart="2" format="3">
      <pivotArea type="data" outline="0" fieldPosition="0">
        <references count="2">
          <reference field="4294967294" count="1" selected="0">
            <x v="0"/>
          </reference>
          <reference field="4" count="1" selected="0">
            <x v="7"/>
          </reference>
        </references>
      </pivotArea>
    </chartFormat>
    <chartFormat chart="2" format="4">
      <pivotArea type="data" outline="0" fieldPosition="0">
        <references count="2">
          <reference field="4294967294" count="1" selected="0">
            <x v="0"/>
          </reference>
          <reference field="4" count="1" selected="0">
            <x v="8"/>
          </reference>
        </references>
      </pivotArea>
    </chartFormat>
    <chartFormat chart="2" format="6">
      <pivotArea type="data" outline="0" fieldPosition="0">
        <references count="2">
          <reference field="4294967294" count="1" selected="0">
            <x v="0"/>
          </reference>
          <reference field="4" count="1" selected="0">
            <x v="9"/>
          </reference>
        </references>
      </pivotArea>
    </chartFormat>
    <chartFormat chart="2" format="7">
      <pivotArea type="data" outline="0" fieldPosition="0">
        <references count="2">
          <reference field="4294967294" count="1" selected="0">
            <x v="0"/>
          </reference>
          <reference field="4" count="1" selected="0">
            <x v="18"/>
          </reference>
        </references>
      </pivotArea>
    </chartFormat>
    <chartFormat chart="2" format="8">
      <pivotArea type="data" outline="0" fieldPosition="0">
        <references count="2">
          <reference field="4294967294" count="1" selected="0">
            <x v="0"/>
          </reference>
          <reference field="4" count="1" selected="0">
            <x v="20"/>
          </reference>
        </references>
      </pivotArea>
    </chartFormat>
    <chartFormat chart="2" format="9">
      <pivotArea type="data" outline="0" fieldPosition="0">
        <references count="2">
          <reference field="4294967294" count="1" selected="0">
            <x v="0"/>
          </reference>
          <reference field="4" count="1" selected="0">
            <x v="23"/>
          </reference>
        </references>
      </pivotArea>
    </chartFormat>
    <chartFormat chart="2" format="10">
      <pivotArea type="data" outline="0" fieldPosition="0">
        <references count="2">
          <reference field="4294967294" count="1" selected="0">
            <x v="0"/>
          </reference>
          <reference field="4" count="1" selected="0">
            <x v="24"/>
          </reference>
        </references>
      </pivotArea>
    </chartFormat>
    <chartFormat chart="2" format="11">
      <pivotArea type="data" outline="0" fieldPosition="0">
        <references count="2">
          <reference field="4294967294" count="1" selected="0">
            <x v="0"/>
          </reference>
          <reference field="4" count="1" selected="0">
            <x v="25"/>
          </reference>
        </references>
      </pivotArea>
    </chartFormat>
    <chartFormat chart="2" format="12">
      <pivotArea type="data" outline="0" fieldPosition="0">
        <references count="2">
          <reference field="4294967294" count="1" selected="0">
            <x v="0"/>
          </reference>
          <reference field="4" count="1" selected="0">
            <x v="19"/>
          </reference>
        </references>
      </pivotArea>
    </chartFormat>
    <chartFormat chart="2" format="13">
      <pivotArea type="data" outline="0" fieldPosition="0">
        <references count="2">
          <reference field="4294967294" count="1" selected="0">
            <x v="0"/>
          </reference>
          <reference field="4" count="1" selected="0">
            <x v="15"/>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15" count="1" selected="0">
            <x v="1"/>
          </reference>
        </references>
      </pivotArea>
    </chartFormat>
    <chartFormat chart="3" format="2" series="1">
      <pivotArea type="data" outline="0" fieldPosition="0">
        <references count="2">
          <reference field="4294967294" count="1" selected="0">
            <x v="0"/>
          </reference>
          <reference field="15" count="1" selected="0">
            <x v="2"/>
          </reference>
        </references>
      </pivotArea>
    </chartFormat>
    <chartFormat chart="3" format="3" series="1">
      <pivotArea type="data" outline="0" fieldPosition="0">
        <references count="2">
          <reference field="4294967294" count="1" selected="0">
            <x v="0"/>
          </reference>
          <reference field="15" count="1" selected="0">
            <x v="4"/>
          </reference>
        </references>
      </pivotArea>
    </chartFormat>
    <chartFormat chart="3" format="4"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11106B-9114-4190-8D47-A6BD1C4ECC78}"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189" firstHeaderRow="1" firstDataRow="1" firstDataCol="1" rowPageCount="1" colPageCount="1"/>
  <pivotFields count="23">
    <pivotField showAll="0"/>
    <pivotField showAll="0"/>
    <pivotField showAll="0"/>
    <pivotField showAll="0">
      <items count="170">
        <item x="51"/>
        <item x="35"/>
        <item x="27"/>
        <item x="0"/>
        <item x="1"/>
        <item x="2"/>
        <item x="4"/>
        <item x="5"/>
        <item x="6"/>
        <item x="7"/>
        <item x="8"/>
        <item x="9"/>
        <item x="10"/>
        <item x="11"/>
        <item x="12"/>
        <item x="13"/>
        <item x="14"/>
        <item x="16"/>
        <item x="17"/>
        <item x="18"/>
        <item x="19"/>
        <item x="20"/>
        <item x="15"/>
        <item x="21"/>
        <item x="22"/>
        <item x="23"/>
        <item x="32"/>
        <item x="25"/>
        <item x="26"/>
        <item x="24"/>
        <item x="45"/>
        <item x="46"/>
        <item x="47"/>
        <item x="48"/>
        <item x="49"/>
        <item x="50"/>
        <item x="33"/>
        <item x="52"/>
        <item x="53"/>
        <item x="54"/>
        <item x="55"/>
        <item x="56"/>
        <item x="58"/>
        <item x="59"/>
        <item x="34"/>
        <item x="60"/>
        <item x="57"/>
        <item x="61"/>
        <item x="62"/>
        <item x="63"/>
        <item x="64"/>
        <item x="65"/>
        <item x="66"/>
        <item x="28"/>
        <item x="68"/>
        <item x="69"/>
        <item x="70"/>
        <item x="71"/>
        <item x="72"/>
        <item x="73"/>
        <item x="67"/>
        <item x="75"/>
        <item x="76"/>
        <item x="39"/>
        <item x="77"/>
        <item x="74"/>
        <item x="78"/>
        <item x="79"/>
        <item x="29"/>
        <item x="80"/>
        <item x="81"/>
        <item x="82"/>
        <item x="83"/>
        <item x="84"/>
        <item x="85"/>
        <item x="86"/>
        <item x="87"/>
        <item x="88"/>
        <item x="90"/>
        <item x="91"/>
        <item x="36"/>
        <item x="92"/>
        <item x="93"/>
        <item x="94"/>
        <item x="95"/>
        <item x="96"/>
        <item x="97"/>
        <item x="98"/>
        <item x="99"/>
        <item x="37"/>
        <item x="38"/>
        <item x="100"/>
        <item x="30"/>
        <item x="101"/>
        <item x="102"/>
        <item x="106"/>
        <item x="103"/>
        <item x="108"/>
        <item x="109"/>
        <item x="110"/>
        <item x="104"/>
        <item x="112"/>
        <item x="113"/>
        <item x="40"/>
        <item x="41"/>
        <item x="114"/>
        <item x="115"/>
        <item x="116"/>
        <item x="42"/>
        <item x="117"/>
        <item x="118"/>
        <item x="119"/>
        <item x="120"/>
        <item x="168"/>
        <item x="122"/>
        <item x="123"/>
        <item x="121"/>
        <item x="124"/>
        <item x="31"/>
        <item x="111"/>
        <item x="125"/>
        <item x="126"/>
        <item x="127"/>
        <item x="128"/>
        <item x="129"/>
        <item x="43"/>
        <item x="130"/>
        <item x="132"/>
        <item x="131"/>
        <item x="133"/>
        <item x="89"/>
        <item x="107"/>
        <item x="134"/>
        <item x="135"/>
        <item x="136"/>
        <item x="137"/>
        <item x="138"/>
        <item x="139"/>
        <item x="105"/>
        <item x="141"/>
        <item x="142"/>
        <item x="143"/>
        <item x="3"/>
        <item x="144"/>
        <item x="145"/>
        <item x="147"/>
        <item x="146"/>
        <item x="149"/>
        <item x="150"/>
        <item x="151"/>
        <item x="167"/>
        <item x="140"/>
        <item x="162"/>
        <item x="161"/>
        <item x="163"/>
        <item x="44"/>
        <item x="148"/>
        <item x="152"/>
        <item x="153"/>
        <item x="154"/>
        <item x="155"/>
        <item x="156"/>
        <item x="157"/>
        <item x="159"/>
        <item x="160"/>
        <item x="164"/>
        <item x="165"/>
        <item x="166"/>
        <item x="158"/>
        <item t="default"/>
      </items>
    </pivotField>
    <pivotField showAll="0"/>
    <pivotField showAll="0"/>
    <pivotField showAll="0"/>
    <pivotField showAll="0"/>
    <pivotField showAll="0"/>
    <pivotField axis="axisPage" multipleItemSelectionAllowed="1" showAll="0">
      <items count="163">
        <item x="58"/>
        <item x="0"/>
        <item x="1"/>
        <item x="2"/>
        <item x="4"/>
        <item x="5"/>
        <item x="6"/>
        <item x="7"/>
        <item x="8"/>
        <item x="9"/>
        <item x="10"/>
        <item x="11"/>
        <item x="12"/>
        <item x="13"/>
        <item x="14"/>
        <item x="16"/>
        <item x="17"/>
        <item x="18"/>
        <item x="19"/>
        <item x="15"/>
        <item x="20"/>
        <item x="21"/>
        <item x="22"/>
        <item x="34"/>
        <item x="24"/>
        <item x="25"/>
        <item x="23"/>
        <item x="31"/>
        <item x="32"/>
        <item x="33"/>
        <item x="35"/>
        <item x="36"/>
        <item x="37"/>
        <item x="38"/>
        <item x="29"/>
        <item x="39"/>
        <item x="40"/>
        <item x="41"/>
        <item x="43"/>
        <item x="44"/>
        <item x="30"/>
        <item x="28"/>
        <item x="42"/>
        <item x="45"/>
        <item x="46"/>
        <item x="47"/>
        <item x="48"/>
        <item x="49"/>
        <item x="50"/>
        <item x="26"/>
        <item x="52"/>
        <item x="53"/>
        <item x="54"/>
        <item x="55"/>
        <item x="56"/>
        <item x="57"/>
        <item x="51"/>
        <item x="66"/>
        <item x="59"/>
        <item x="60"/>
        <item x="61"/>
        <item x="62"/>
        <item x="63"/>
        <item x="64"/>
        <item x="65"/>
        <item x="68"/>
        <item x="69"/>
        <item x="70"/>
        <item x="71"/>
        <item x="72"/>
        <item x="73"/>
        <item x="74"/>
        <item x="75"/>
        <item x="77"/>
        <item x="78"/>
        <item x="79"/>
        <item x="80"/>
        <item x="81"/>
        <item x="82"/>
        <item x="83"/>
        <item x="84"/>
        <item x="85"/>
        <item x="86"/>
        <item x="87"/>
        <item x="88"/>
        <item x="89"/>
        <item x="90"/>
        <item x="27"/>
        <item x="91"/>
        <item x="93"/>
        <item x="95"/>
        <item x="96"/>
        <item x="92"/>
        <item x="97"/>
        <item x="98"/>
        <item x="100"/>
        <item x="101"/>
        <item x="102"/>
        <item x="103"/>
        <item x="104"/>
        <item x="105"/>
        <item x="106"/>
        <item x="107"/>
        <item x="108"/>
        <item x="109"/>
        <item x="152"/>
        <item x="160"/>
        <item x="111"/>
        <item x="112"/>
        <item x="110"/>
        <item x="113"/>
        <item x="115"/>
        <item x="99"/>
        <item x="116"/>
        <item x="117"/>
        <item x="118"/>
        <item x="119"/>
        <item x="120"/>
        <item x="121"/>
        <item x="123"/>
        <item x="124"/>
        <item x="114"/>
        <item x="122"/>
        <item x="125"/>
        <item x="76"/>
        <item x="126"/>
        <item x="127"/>
        <item x="128"/>
        <item x="129"/>
        <item x="130"/>
        <item x="94"/>
        <item x="132"/>
        <item x="133"/>
        <item x="134"/>
        <item x="3"/>
        <item x="135"/>
        <item x="136"/>
        <item x="137"/>
        <item x="67"/>
        <item x="139"/>
        <item x="140"/>
        <item x="141"/>
        <item m="1" x="161"/>
        <item x="131"/>
        <item x="155"/>
        <item x="157"/>
        <item x="156"/>
        <item x="138"/>
        <item x="142"/>
        <item x="143"/>
        <item x="144"/>
        <item x="145"/>
        <item x="146"/>
        <item x="147"/>
        <item x="148"/>
        <item x="149"/>
        <item x="153"/>
        <item x="154"/>
        <item x="158"/>
        <item x="159"/>
        <item x="150"/>
        <item x="151"/>
        <item t="default"/>
      </items>
    </pivotField>
    <pivotField showAll="0"/>
    <pivotField showAll="0"/>
    <pivotField axis="axisRow" showAll="0">
      <items count="189">
        <item x="59"/>
        <item x="52"/>
        <item x="39"/>
        <item x="49"/>
        <item x="36"/>
        <item x="60"/>
        <item x="53"/>
        <item x="25"/>
        <item x="24"/>
        <item x="50"/>
        <item x="58"/>
        <item x="86"/>
        <item x="41"/>
        <item x="56"/>
        <item x="34"/>
        <item x="3"/>
        <item x="43"/>
        <item x="35"/>
        <item x="45"/>
        <item x="46"/>
        <item x="38"/>
        <item x="23"/>
        <item x="26"/>
        <item x="54"/>
        <item x="47"/>
        <item x="57"/>
        <item x="94"/>
        <item x="140"/>
        <item x="142"/>
        <item x="145"/>
        <item x="152"/>
        <item x="106"/>
        <item x="89"/>
        <item x="144"/>
        <item x="133"/>
        <item x="149"/>
        <item x="108"/>
        <item x="85"/>
        <item x="159"/>
        <item x="88"/>
        <item x="156"/>
        <item x="136"/>
        <item x="137"/>
        <item x="151"/>
        <item x="61"/>
        <item x="121"/>
        <item x="157"/>
        <item x="129"/>
        <item x="130"/>
        <item x="119"/>
        <item x="104"/>
        <item x="139"/>
        <item x="148"/>
        <item x="138"/>
        <item x="99"/>
        <item x="105"/>
        <item x="110"/>
        <item x="135"/>
        <item x="100"/>
        <item x="98"/>
        <item x="131"/>
        <item x="150"/>
        <item x="146"/>
        <item x="62"/>
        <item x="128"/>
        <item x="116"/>
        <item x="183"/>
        <item x="103"/>
        <item x="111"/>
        <item x="109"/>
        <item x="14"/>
        <item x="70"/>
        <item x="16"/>
        <item x="32"/>
        <item x="51"/>
        <item x="42"/>
        <item x="30"/>
        <item x="11"/>
        <item x="37"/>
        <item x="0"/>
        <item x="147"/>
        <item x="141"/>
        <item x="112"/>
        <item x="96"/>
        <item x="122"/>
        <item x="184"/>
        <item x="75"/>
        <item x="92"/>
        <item x="29"/>
        <item x="67"/>
        <item x="28"/>
        <item x="87"/>
        <item x="9"/>
        <item x="13"/>
        <item x="31"/>
        <item x="8"/>
        <item x="17"/>
        <item x="12"/>
        <item x="65"/>
        <item x="5"/>
        <item x="20"/>
        <item x="154"/>
        <item x="22"/>
        <item x="27"/>
        <item x="15"/>
        <item x="55"/>
        <item x="93"/>
        <item x="33"/>
        <item x="82"/>
        <item x="102"/>
        <item x="95"/>
        <item x="44"/>
        <item x="1"/>
        <item x="97"/>
        <item x="115"/>
        <item x="90"/>
        <item x="91"/>
        <item x="6"/>
        <item x="66"/>
        <item x="83"/>
        <item x="63"/>
        <item x="114"/>
        <item x="21"/>
        <item x="174"/>
        <item x="153"/>
        <item x="143"/>
        <item x="64"/>
        <item x="18"/>
        <item x="19"/>
        <item x="78"/>
        <item x="120"/>
        <item x="84"/>
        <item x="134"/>
        <item x="175"/>
        <item x="74"/>
        <item x="101"/>
        <item x="2"/>
        <item x="10"/>
        <item x="68"/>
        <item x="72"/>
        <item x="69"/>
        <item x="77"/>
        <item x="79"/>
        <item x="80"/>
        <item x="48"/>
        <item x="81"/>
        <item x="71"/>
        <item x="73"/>
        <item x="117"/>
        <item x="40"/>
        <item x="7"/>
        <item x="132"/>
        <item x="107"/>
        <item x="118"/>
        <item x="113"/>
        <item x="126"/>
        <item x="124"/>
        <item x="127"/>
        <item x="123"/>
        <item x="125"/>
        <item x="4"/>
        <item x="155"/>
        <item x="160"/>
        <item x="161"/>
        <item x="162"/>
        <item x="163"/>
        <item x="164"/>
        <item x="158"/>
        <item x="165"/>
        <item x="167"/>
        <item x="76"/>
        <item x="166"/>
        <item m="1" x="185"/>
        <item m="1" x="186"/>
        <item m="1" x="187"/>
        <item x="168"/>
        <item x="169"/>
        <item x="170"/>
        <item x="171"/>
        <item x="172"/>
        <item x="176"/>
        <item x="177"/>
        <item x="178"/>
        <item x="179"/>
        <item x="180"/>
        <item x="181"/>
        <item x="182"/>
        <item x="173"/>
        <item t="default"/>
      </items>
    </pivotField>
    <pivotField showAll="0"/>
    <pivotField showAll="0"/>
    <pivotField showAll="0"/>
    <pivotField showAll="0"/>
    <pivotField numFmtId="22" showAll="0"/>
    <pivotField numFmtId="22" showAll="0"/>
    <pivotField showAll="0"/>
    <pivotField showAll="0" defaultSubtotal="0"/>
    <pivotField showAll="0" defaultSubtotal="0"/>
    <pivotField showAll="0" defaultSubtotal="0">
      <items count="4">
        <item x="0"/>
        <item x="1"/>
        <item x="2"/>
        <item x="3"/>
      </items>
    </pivotField>
  </pivotFields>
  <rowFields count="1">
    <field x="12"/>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5"/>
    </i>
    <i>
      <x v="176"/>
    </i>
    <i>
      <x v="177"/>
    </i>
    <i>
      <x v="178"/>
    </i>
    <i>
      <x v="179"/>
    </i>
    <i>
      <x v="180"/>
    </i>
    <i>
      <x v="181"/>
    </i>
    <i>
      <x v="182"/>
    </i>
    <i>
      <x v="183"/>
    </i>
    <i>
      <x v="184"/>
    </i>
    <i>
      <x v="185"/>
    </i>
    <i>
      <x v="186"/>
    </i>
    <i>
      <x v="187"/>
    </i>
    <i t="grand">
      <x/>
    </i>
  </rowItems>
  <colItems count="1">
    <i/>
  </colItems>
  <pageFields count="1">
    <pageField fld="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7" xr16:uid="{343750C2-008E-4546-B2D2-BB290314463B}" autoFormatId="16" applyNumberFormats="0" applyBorderFormats="0" applyFontFormats="0" applyPatternFormats="0" applyAlignmentFormats="0" applyWidthHeightFormats="0">
  <queryTableRefresh nextId="17">
    <queryTableFields count="16">
      <queryTableField id="1" name="#TPM" tableColumnId="1"/>
      <queryTableField id="2" name="NOMBRE DE QUIEN REPORTA" tableColumnId="2"/>
      <queryTableField id="3" name="HORA REPORTE" tableColumnId="3"/>
      <queryTableField id="4" name="FECHA DE REPORTE" tableColumnId="4"/>
      <queryTableField id="5" name="MÁQUINA " tableColumnId="5"/>
      <queryTableField id="6" name="TIPO FALLA" tableColumnId="6"/>
      <queryTableField id="7" name="DESCIPCIÓN " tableColumnId="7"/>
      <queryTableField id="8" name="HORA INICIO INTERVENCIÓN" tableColumnId="8"/>
      <queryTableField id="9" name="HORA FIN  INTERVENCIÓN" tableColumnId="9"/>
      <queryTableField id="10" name="FECHA DE INTERVENCÓN" tableColumnId="10"/>
      <queryTableField id="11" name="TIPO INTERVENCIÓN" tableColumnId="11"/>
      <queryTableField id="12" name="ACCIÓN TOMADA" tableColumnId="12"/>
      <queryTableField id="13" name="REPUESTOS USADOS" tableColumnId="13"/>
      <queryTableField id="14" name="INSUMOS UTILIZADOS" tableColumnId="14"/>
      <queryTableField id="15" name="TÉCNICO ENCARGADO" tableColumnId="15"/>
      <queryTableField id="16" name="ESTADO"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4ADBB6EB-AD52-42D3-A7AF-2D3452485E90}" autoFormatId="16" applyNumberFormats="0" applyBorderFormats="0" applyFontFormats="0" applyPatternFormats="0" applyAlignmentFormats="0" applyWidthHeightFormats="0">
  <queryTableRefresh nextId="21" unboundColumnsRight="4">
    <queryTableFields count="20">
      <queryTableField id="1" name="#TPM" tableColumnId="1"/>
      <queryTableField id="2" name="NOMBRE DE QUIEN REPORTA" tableColumnId="2"/>
      <queryTableField id="3" name="HORA REPORTE" tableColumnId="3"/>
      <queryTableField id="4" name="FECHA DE REPORTE" tableColumnId="4"/>
      <queryTableField id="5" name="MÁQUINA " tableColumnId="5"/>
      <queryTableField id="6" name="TIPO FALLA" tableColumnId="6"/>
      <queryTableField id="7" name="DESCIPCIÓN " tableColumnId="7"/>
      <queryTableField id="8" name="HORA INICIO INTERVENCIÓN" tableColumnId="8"/>
      <queryTableField id="9" name="HORA FIN  INTERVENCIÓN" tableColumnId="9"/>
      <queryTableField id="10" name="FECHA DE INTERVENCÓN" tableColumnId="10"/>
      <queryTableField id="11" name="TIPO INTERVENCIÓN" tableColumnId="11"/>
      <queryTableField id="12" name="ACCIÓN TOMADA" tableColumnId="12"/>
      <queryTableField id="13" name="REPUESTOS USADOS" tableColumnId="13"/>
      <queryTableField id="14" name="INSUMOS UTILIZADOS" tableColumnId="14"/>
      <queryTableField id="15" name="TÉCNICO ENCARGADO" tableColumnId="15"/>
      <queryTableField id="16" name="ESTADO" tableColumnId="16"/>
      <queryTableField id="17" dataBound="0" tableColumnId="17"/>
      <queryTableField id="18" dataBound="0" tableColumnId="18"/>
      <queryTableField id="19" dataBound="0" tableColumnId="19"/>
      <queryTableField id="20" dataBound="0"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1BC757-B2A7-4340-8ED3-9AB6990EFB02}" name="SEGUIMIENTO_TPM_xlsx__4" displayName="SEGUIMIENTO_TPM_xlsx__4" ref="A1:P1465" tableType="queryTable" totalsRowShown="0">
  <autoFilter ref="A1:P1465" xr:uid="{981BC757-B2A7-4340-8ED3-9AB6990EFB02}"/>
  <tableColumns count="16">
    <tableColumn id="1" xr3:uid="{92A61F55-6341-48D9-9E89-B4C7E3A8A4A4}" uniqueName="1" name="#TPM" queryTableFieldId="1"/>
    <tableColumn id="2" xr3:uid="{669E8C2B-6C31-4BF8-A573-B5E54EAC360B}" uniqueName="2" name="NOMBRE DE QUIEN REPORTA" queryTableFieldId="2" dataDxfId="27"/>
    <tableColumn id="3" xr3:uid="{4E338F6A-30E6-4FBC-9576-BA20BAFC37BB}" uniqueName="3" name="HORA REPORTE" queryTableFieldId="3" dataDxfId="26"/>
    <tableColumn id="4" xr3:uid="{550AB454-8DDC-42DA-A4B7-5C31C77A8A08}" uniqueName="4" name="FECHA DE REPORTE" queryTableFieldId="4" dataDxfId="25"/>
    <tableColumn id="5" xr3:uid="{79591578-1ECB-40BA-93DC-B5A7CA33797B}" uniqueName="5" name="MÁQUINA " queryTableFieldId="5" dataDxfId="24"/>
    <tableColumn id="6" xr3:uid="{A24E8754-C91E-4BBD-B5CC-80D7D6294A3A}" uniqueName="6" name="TIPO FALLA" queryTableFieldId="6" dataDxfId="23"/>
    <tableColumn id="7" xr3:uid="{C9C32429-AF92-480C-B257-1785432A85E1}" uniqueName="7" name="DESCIPCIÓN " queryTableFieldId="7" dataDxfId="22"/>
    <tableColumn id="8" xr3:uid="{91E3F641-D218-4D3B-B8EA-325C3CA4E87F}" uniqueName="8" name="HORA INICIO INTERVENCIÓN" queryTableFieldId="8" dataDxfId="21"/>
    <tableColumn id="9" xr3:uid="{6920F14C-D121-4663-BF31-28C3B9B8B23C}" uniqueName="9" name="HORA FIN  INTERVENCIÓN" queryTableFieldId="9" dataDxfId="20"/>
    <tableColumn id="10" xr3:uid="{CC70DDEA-F877-4542-BCD4-DA66D542B6EA}" uniqueName="10" name="FECHA DE INTERVENCÓN" queryTableFieldId="10" dataDxfId="19"/>
    <tableColumn id="11" xr3:uid="{9ADC0316-B26C-47B5-A7CA-58BBE5F19193}" uniqueName="11" name="TIPO INTERVENCIÓN" queryTableFieldId="11" dataDxfId="18"/>
    <tableColumn id="12" xr3:uid="{A3E71774-FEEE-4ABB-B185-4A876417A7DD}" uniqueName="12" name="ACCIÓN TOMADA" queryTableFieldId="12" dataDxfId="17"/>
    <tableColumn id="13" xr3:uid="{48C02692-7371-41D5-AC63-BE16C918AC81}" uniqueName="13" name="REPUESTOS USADOS" queryTableFieldId="13" dataDxfId="16"/>
    <tableColumn id="14" xr3:uid="{F45F8752-8A64-4DAD-B36C-CF715D5325B7}" uniqueName="14" name="INSUMOS UTILIZADOS" queryTableFieldId="14" dataDxfId="15"/>
    <tableColumn id="15" xr3:uid="{1700F417-2A67-44D9-867E-AC08544EAD23}" uniqueName="15" name="TÉCNICO ENCARGADO" queryTableFieldId="15" dataDxfId="14"/>
    <tableColumn id="16" xr3:uid="{A8E4922F-A00B-4FA8-8441-B1518FC80EF7}" uniqueName="16" name="ESTADO" queryTableFieldId="16"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07224D-B96B-4E06-891B-DBF2A7F5AD95}" name="SEGUIMIENTO_TPM_xlsx" displayName="SEGUIMIENTO_TPM_xlsx" ref="A1:T1465" tableType="queryTable" totalsRowShown="0">
  <autoFilter ref="A1:T1465" xr:uid="{8607224D-B96B-4E06-891B-DBF2A7F5AD95}"/>
  <sortState xmlns:xlrd2="http://schemas.microsoft.com/office/spreadsheetml/2017/richdata2" ref="A2:T1465">
    <sortCondition ref="A1:A1465"/>
  </sortState>
  <tableColumns count="20">
    <tableColumn id="1" xr3:uid="{45F6FBE2-3980-4287-A155-BE428098D5D4}" uniqueName="1" name="#TPM" queryTableFieldId="1"/>
    <tableColumn id="2" xr3:uid="{CF5A120A-E256-463A-BEB8-09C40A647102}" uniqueName="2" name="NOMBRE DE QUIEN REPORTA" queryTableFieldId="2" dataDxfId="37"/>
    <tableColumn id="3" xr3:uid="{A70321E3-6799-482F-A899-0AF789A77E9B}" uniqueName="3" name="HORA REPORTE" queryTableFieldId="3" dataDxfId="12"/>
    <tableColumn id="4" xr3:uid="{23687FB5-CE14-4805-963B-51CC970D7D51}" uniqueName="4" name="FECHA DE REPORTE" queryTableFieldId="4" dataDxfId="11"/>
    <tableColumn id="5" xr3:uid="{A68AD21C-9AE7-4F48-BE11-0D58EAB9A3CC}" uniqueName="5" name="MÁQUINA " queryTableFieldId="5" dataDxfId="36"/>
    <tableColumn id="6" xr3:uid="{37C00133-D386-4B6C-9E55-947418E67C80}" uniqueName="6" name="TIPO FALLA" queryTableFieldId="6" dataDxfId="35"/>
    <tableColumn id="7" xr3:uid="{FAE24195-3E20-462C-8106-03B07CD591FF}" uniqueName="7" name="DESCIPCIÓN " queryTableFieldId="7" dataDxfId="34"/>
    <tableColumn id="8" xr3:uid="{C077D55D-CD4D-4C24-8DC5-CDA86D5D321B}" uniqueName="8" name="HORA INICIO INTERVENCIÓN" queryTableFieldId="8" dataDxfId="10"/>
    <tableColumn id="9" xr3:uid="{5C12558B-34FA-4BA8-AA6E-AF1C1C1EB540}" uniqueName="9" name="HORA FIN  INTERVENCIÓN" queryTableFieldId="9" dataDxfId="9"/>
    <tableColumn id="10" xr3:uid="{2754AA69-A09C-44D3-B388-420641951870}" uniqueName="10" name="FECHA DE INTERVENCÓN" queryTableFieldId="10" dataDxfId="8"/>
    <tableColumn id="11" xr3:uid="{F81C4864-4C2F-4E40-B770-7A0843721927}" uniqueName="11" name="TIPO INTERVENCIÓN" queryTableFieldId="11" dataDxfId="33"/>
    <tableColumn id="12" xr3:uid="{5581219A-4C85-4336-B469-DACA3BBF0225}" uniqueName="12" name="ACCIÓN TOMADA" queryTableFieldId="12" dataDxfId="32"/>
    <tableColumn id="13" xr3:uid="{7CFA2581-7ADD-4079-B0CF-A4AE491B75B8}" uniqueName="13" name="REPUESTOS USADOS" queryTableFieldId="13" dataDxfId="31"/>
    <tableColumn id="14" xr3:uid="{E078E4D9-3AEB-4BE8-AF8D-D7667D049B3F}" uniqueName="14" name="INSUMOS UTILIZADOS" queryTableFieldId="14" dataDxfId="30"/>
    <tableColumn id="15" xr3:uid="{EA96D0EB-5DA1-4F56-96A4-A0F458994D35}" uniqueName="15" name="TÉCNICO ENCARGADO" queryTableFieldId="15" dataDxfId="29"/>
    <tableColumn id="16" xr3:uid="{115469A4-CEBA-4317-BCD7-4C70DC08CD93}" uniqueName="16" name="ESTADO" queryTableFieldId="16" dataDxfId="28"/>
    <tableColumn id="17" xr3:uid="{EFC65E0E-7753-4CEB-A626-67FF802A960C}" uniqueName="17" name="TIEMPO DE INTERVENCIÓN" queryTableFieldId="17" dataDxfId="7">
      <calculatedColumnFormula>SEGUIMIENTO_TPM_xlsx[[#This Row],[HORA FIN  INTERVENCIÓN]]-SEGUIMIENTO_TPM_xlsx[[#This Row],[HORA INICIO INTERVENCIÓN]]</calculatedColumnFormula>
    </tableColumn>
    <tableColumn id="18" xr3:uid="{18B78068-2609-47AB-A550-DC095081767D}" uniqueName="18" name="FECHA Y HORA INICIO" queryTableFieldId="18" dataDxfId="6">
      <calculatedColumnFormula>(SEGUIMIENTO_TPM_xlsx[[#This Row],[HORA REPORTE]]+SEGUIMIENTO_TPM_xlsx[[#This Row],[FECHA DE REPORTE]])</calculatedColumnFormula>
    </tableColumn>
    <tableColumn id="19" xr3:uid="{3F9E2B0B-0A4B-4BFC-89F4-40F132C995CA}" uniqueName="19" name="FECHA Y HORA FINAL" queryTableFieldId="19" dataDxfId="5">
      <calculatedColumnFormula>(SEGUIMIENTO_TPM_xlsx[[#This Row],[FECHA DE INTERVENCÓN]]+SEGUIMIENTO_TPM_xlsx[[#This Row],[HORA FIN  INTERVENCIÓN]])</calculatedColumnFormula>
    </tableColumn>
    <tableColumn id="20" xr3:uid="{E7707444-F58B-48AA-A3EF-7B99CB0BC9A8}" uniqueName="20" name="TIEMPO TOTAL SOLUCIÓN" queryTableFieldId="20" dataDxfId="4">
      <calculatedColumnFormula>(SEGUIMIENTO_TPM_xlsx[[#This Row],[FECHA Y HORA FINAL]]-SEGUIMIENTO_TPM_xlsx[[#This Row],[FECHA Y HORA INICIO]])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C3A9-99CA-4995-A3B8-2CF9B30DC257}">
  <dimension ref="A1:P1465"/>
  <sheetViews>
    <sheetView workbookViewId="0"/>
  </sheetViews>
  <sheetFormatPr baseColWidth="10" defaultRowHeight="15" x14ac:dyDescent="0.25"/>
  <cols>
    <col min="1" max="1" width="8" bestFit="1" customWidth="1"/>
    <col min="2" max="2" width="29.85546875" bestFit="1" customWidth="1"/>
    <col min="3" max="3" width="17.42578125" bestFit="1" customWidth="1"/>
    <col min="4" max="4" width="21.42578125" bestFit="1" customWidth="1"/>
    <col min="5" max="5" width="26.7109375" bestFit="1" customWidth="1"/>
    <col min="6" max="6" width="13.140625" bestFit="1" customWidth="1"/>
    <col min="7" max="7" width="81.140625" bestFit="1" customWidth="1"/>
    <col min="8" max="8" width="29.85546875" bestFit="1" customWidth="1"/>
    <col min="9" max="9" width="27.140625" bestFit="1" customWidth="1"/>
    <col min="10" max="10" width="26.5703125" bestFit="1" customWidth="1"/>
    <col min="11" max="11" width="22" bestFit="1" customWidth="1"/>
    <col min="12" max="12" width="81.140625" bestFit="1" customWidth="1"/>
    <col min="13" max="13" width="51.85546875" bestFit="1" customWidth="1"/>
    <col min="14" max="14" width="37.85546875" bestFit="1" customWidth="1"/>
    <col min="15" max="15" width="24.28515625" bestFit="1" customWidth="1"/>
    <col min="16" max="16" width="10.5703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101</v>
      </c>
      <c r="B2" s="25" t="s">
        <v>16</v>
      </c>
      <c r="C2" s="26">
        <v>0.54583333333333328</v>
      </c>
      <c r="D2" s="2">
        <v>45971</v>
      </c>
      <c r="E2" s="25" t="s">
        <v>17</v>
      </c>
      <c r="F2" s="25" t="s">
        <v>18</v>
      </c>
      <c r="G2" s="25" t="s">
        <v>19</v>
      </c>
      <c r="H2" s="26">
        <v>0.54583333333333328</v>
      </c>
      <c r="I2" s="26">
        <v>0.55277777777777781</v>
      </c>
      <c r="J2" s="2">
        <v>45971</v>
      </c>
      <c r="K2" s="25" t="s">
        <v>20</v>
      </c>
      <c r="L2" s="25" t="s">
        <v>21</v>
      </c>
      <c r="M2" s="25" t="s">
        <v>22</v>
      </c>
      <c r="N2" s="25" t="s">
        <v>22</v>
      </c>
      <c r="O2" s="25" t="s">
        <v>112</v>
      </c>
      <c r="P2" s="25" t="s">
        <v>23</v>
      </c>
    </row>
    <row r="3" spans="1:16" x14ac:dyDescent="0.25">
      <c r="A3">
        <v>102</v>
      </c>
      <c r="B3" s="25" t="s">
        <v>16</v>
      </c>
      <c r="C3" s="26">
        <v>0.34027777777777779</v>
      </c>
      <c r="D3" s="2">
        <v>45972</v>
      </c>
      <c r="E3" s="25" t="s">
        <v>109</v>
      </c>
      <c r="F3" s="25" t="s">
        <v>18</v>
      </c>
      <c r="G3" s="25" t="s">
        <v>24</v>
      </c>
      <c r="H3" s="26">
        <v>0.34027777777777779</v>
      </c>
      <c r="I3" s="26">
        <v>0.52083333333333337</v>
      </c>
      <c r="J3" s="2">
        <v>45972</v>
      </c>
      <c r="K3" s="25" t="s">
        <v>25</v>
      </c>
      <c r="L3" s="25" t="s">
        <v>26</v>
      </c>
      <c r="M3" s="25" t="s">
        <v>22</v>
      </c>
      <c r="N3" s="25" t="s">
        <v>22</v>
      </c>
      <c r="O3" s="25" t="s">
        <v>112</v>
      </c>
      <c r="P3" s="25" t="s">
        <v>23</v>
      </c>
    </row>
    <row r="4" spans="1:16" x14ac:dyDescent="0.25">
      <c r="A4">
        <v>103</v>
      </c>
      <c r="B4" s="25" t="s">
        <v>27</v>
      </c>
      <c r="C4" s="26">
        <v>0.58333333333333337</v>
      </c>
      <c r="D4" s="2">
        <v>45973</v>
      </c>
      <c r="E4" s="25" t="s">
        <v>17</v>
      </c>
      <c r="F4" s="25" t="s">
        <v>18</v>
      </c>
      <c r="G4" s="25" t="s">
        <v>28</v>
      </c>
      <c r="H4" s="26">
        <v>0.60416666666666663</v>
      </c>
      <c r="I4" s="26">
        <v>0.61805555555555558</v>
      </c>
      <c r="J4" s="2">
        <v>45973</v>
      </c>
      <c r="K4" s="25" t="s">
        <v>22</v>
      </c>
      <c r="L4" s="25" t="s">
        <v>29</v>
      </c>
      <c r="M4" s="25" t="s">
        <v>22</v>
      </c>
      <c r="N4" s="25" t="s">
        <v>30</v>
      </c>
      <c r="O4" s="25" t="s">
        <v>66</v>
      </c>
      <c r="P4" s="25" t="s">
        <v>23</v>
      </c>
    </row>
    <row r="5" spans="1:16" x14ac:dyDescent="0.25">
      <c r="A5">
        <v>104</v>
      </c>
      <c r="B5" s="25" t="s">
        <v>27</v>
      </c>
      <c r="C5" s="26">
        <v>0.4375</v>
      </c>
      <c r="D5" s="2">
        <v>45974</v>
      </c>
      <c r="E5" s="25" t="s">
        <v>17</v>
      </c>
      <c r="F5" s="25" t="s">
        <v>18</v>
      </c>
      <c r="G5" s="25" t="s">
        <v>2005</v>
      </c>
      <c r="H5" s="26">
        <v>0.29166666666666669</v>
      </c>
      <c r="I5" s="26">
        <v>0.31944444444444442</v>
      </c>
      <c r="J5" s="2">
        <v>45979</v>
      </c>
      <c r="K5" s="25" t="s">
        <v>25</v>
      </c>
      <c r="L5" s="25" t="s">
        <v>31</v>
      </c>
      <c r="M5" s="25" t="s">
        <v>22</v>
      </c>
      <c r="N5" s="25" t="s">
        <v>32</v>
      </c>
      <c r="O5" s="25" t="s">
        <v>59</v>
      </c>
      <c r="P5" s="25" t="s">
        <v>33</v>
      </c>
    </row>
    <row r="6" spans="1:16" x14ac:dyDescent="0.25">
      <c r="A6">
        <v>105</v>
      </c>
      <c r="B6" s="25" t="s">
        <v>27</v>
      </c>
      <c r="C6" s="26">
        <v>0.29166666666666669</v>
      </c>
      <c r="D6" s="2">
        <v>45974</v>
      </c>
      <c r="E6" s="25" t="s">
        <v>34</v>
      </c>
      <c r="F6" s="25" t="s">
        <v>18</v>
      </c>
      <c r="G6" s="25" t="s">
        <v>35</v>
      </c>
      <c r="H6" s="26"/>
      <c r="I6" s="26"/>
      <c r="J6" s="2"/>
      <c r="K6" s="25"/>
      <c r="L6" s="25"/>
      <c r="M6" s="25"/>
      <c r="N6" s="25"/>
      <c r="O6" s="25"/>
      <c r="P6" s="25" t="s">
        <v>33</v>
      </c>
    </row>
    <row r="7" spans="1:16" x14ac:dyDescent="0.25">
      <c r="A7">
        <v>106</v>
      </c>
      <c r="B7" s="25" t="s">
        <v>16</v>
      </c>
      <c r="C7" s="26">
        <v>0.32222222222222224</v>
      </c>
      <c r="D7" s="2">
        <v>45975</v>
      </c>
      <c r="E7" s="25" t="s">
        <v>109</v>
      </c>
      <c r="F7" s="25" t="s">
        <v>18</v>
      </c>
      <c r="G7" s="25" t="s">
        <v>36</v>
      </c>
      <c r="H7" s="26">
        <v>0.32222222222222224</v>
      </c>
      <c r="I7" s="26">
        <v>0.3298611111111111</v>
      </c>
      <c r="J7" s="2">
        <v>45975</v>
      </c>
      <c r="K7" s="25" t="s">
        <v>20</v>
      </c>
      <c r="L7" s="25" t="s">
        <v>37</v>
      </c>
      <c r="M7" s="25" t="s">
        <v>22</v>
      </c>
      <c r="N7" s="25" t="s">
        <v>22</v>
      </c>
      <c r="O7" s="25" t="s">
        <v>112</v>
      </c>
      <c r="P7" s="25" t="s">
        <v>23</v>
      </c>
    </row>
    <row r="8" spans="1:16" x14ac:dyDescent="0.25">
      <c r="A8">
        <v>107</v>
      </c>
      <c r="B8" s="25" t="s">
        <v>38</v>
      </c>
      <c r="C8" s="26">
        <v>0.51666666666666672</v>
      </c>
      <c r="D8" s="2">
        <v>45980</v>
      </c>
      <c r="E8" s="25" t="s">
        <v>34</v>
      </c>
      <c r="F8" s="25" t="s">
        <v>18</v>
      </c>
      <c r="G8" s="25" t="s">
        <v>39</v>
      </c>
      <c r="H8" s="26"/>
      <c r="I8" s="26"/>
      <c r="J8" s="2"/>
      <c r="K8" s="25"/>
      <c r="L8" s="25"/>
      <c r="M8" s="25"/>
      <c r="N8" s="25"/>
      <c r="O8" s="25"/>
      <c r="P8" s="25" t="s">
        <v>33</v>
      </c>
    </row>
    <row r="9" spans="1:16" x14ac:dyDescent="0.25">
      <c r="A9">
        <v>108</v>
      </c>
      <c r="B9" s="25" t="s">
        <v>27</v>
      </c>
      <c r="C9" s="26">
        <v>0.29166666666666669</v>
      </c>
      <c r="D9" s="2">
        <v>45985</v>
      </c>
      <c r="E9" s="25" t="s">
        <v>34</v>
      </c>
      <c r="F9" s="25" t="s">
        <v>18</v>
      </c>
      <c r="G9" s="25" t="s">
        <v>40</v>
      </c>
      <c r="H9" s="26"/>
      <c r="I9" s="26"/>
      <c r="J9" s="2"/>
      <c r="K9" s="25"/>
      <c r="L9" s="25"/>
      <c r="M9" s="25"/>
      <c r="N9" s="25"/>
      <c r="O9" s="25"/>
      <c r="P9" s="25" t="s">
        <v>33</v>
      </c>
    </row>
    <row r="10" spans="1:16" x14ac:dyDescent="0.25">
      <c r="A10">
        <v>109</v>
      </c>
      <c r="B10" s="25" t="s">
        <v>27</v>
      </c>
      <c r="C10" s="26">
        <v>0.41666666666666669</v>
      </c>
      <c r="D10" s="2">
        <v>45952</v>
      </c>
      <c r="E10" s="25" t="s">
        <v>34</v>
      </c>
      <c r="F10" s="25" t="s">
        <v>18</v>
      </c>
      <c r="G10" s="25" t="s">
        <v>1571</v>
      </c>
      <c r="H10" s="26"/>
      <c r="I10" s="26"/>
      <c r="J10" s="2"/>
      <c r="K10" s="25"/>
      <c r="L10" s="25" t="s">
        <v>1572</v>
      </c>
      <c r="M10" s="25"/>
      <c r="N10" s="25"/>
      <c r="O10" s="25" t="s">
        <v>59</v>
      </c>
      <c r="P10" s="25" t="s">
        <v>23</v>
      </c>
    </row>
    <row r="11" spans="1:16" x14ac:dyDescent="0.25">
      <c r="A11">
        <v>110</v>
      </c>
      <c r="B11" s="25" t="s">
        <v>27</v>
      </c>
      <c r="C11" s="26">
        <v>0.41666666666666669</v>
      </c>
      <c r="D11" s="2">
        <v>45952</v>
      </c>
      <c r="E11" s="25" t="s">
        <v>17</v>
      </c>
      <c r="F11" s="25" t="s">
        <v>18</v>
      </c>
      <c r="G11" s="25" t="s">
        <v>2006</v>
      </c>
      <c r="H11" s="26">
        <v>0.375</v>
      </c>
      <c r="I11" s="26">
        <v>0.5</v>
      </c>
      <c r="J11" s="2">
        <v>45973</v>
      </c>
      <c r="K11" s="25" t="s">
        <v>25</v>
      </c>
      <c r="L11" s="25" t="s">
        <v>2007</v>
      </c>
      <c r="M11" s="25" t="s">
        <v>22</v>
      </c>
      <c r="N11" s="25" t="s">
        <v>22</v>
      </c>
      <c r="O11" s="25" t="s">
        <v>66</v>
      </c>
      <c r="P11" s="25" t="s">
        <v>23</v>
      </c>
    </row>
    <row r="12" spans="1:16" x14ac:dyDescent="0.25">
      <c r="A12">
        <v>111</v>
      </c>
      <c r="B12" s="25"/>
      <c r="C12" s="26"/>
      <c r="D12" s="2"/>
      <c r="E12" s="25"/>
      <c r="F12" s="25"/>
      <c r="G12" s="25"/>
      <c r="H12" s="26"/>
      <c r="I12" s="26"/>
      <c r="J12" s="2"/>
      <c r="K12" s="25"/>
      <c r="L12" s="25"/>
      <c r="M12" s="25"/>
      <c r="N12" s="25"/>
      <c r="O12" s="25"/>
      <c r="P12" s="25"/>
    </row>
    <row r="13" spans="1:16" x14ac:dyDescent="0.25">
      <c r="A13">
        <v>112</v>
      </c>
      <c r="B13" s="25" t="s">
        <v>38</v>
      </c>
      <c r="C13" s="26">
        <v>0.38124999999999998</v>
      </c>
      <c r="D13" s="2">
        <v>46011</v>
      </c>
      <c r="E13" s="25" t="s">
        <v>34</v>
      </c>
      <c r="F13" s="25" t="s">
        <v>18</v>
      </c>
      <c r="G13" s="25" t="s">
        <v>41</v>
      </c>
      <c r="H13" s="26">
        <v>0.3923611111111111</v>
      </c>
      <c r="I13" s="26">
        <v>0.40277777777777779</v>
      </c>
      <c r="J13" s="2">
        <v>46011</v>
      </c>
      <c r="K13" s="25" t="s">
        <v>20</v>
      </c>
      <c r="L13" s="25" t="s">
        <v>42</v>
      </c>
      <c r="M13" s="25" t="s">
        <v>43</v>
      </c>
      <c r="N13" s="25" t="s">
        <v>22</v>
      </c>
      <c r="O13" s="25" t="s">
        <v>44</v>
      </c>
      <c r="P13" s="25" t="s">
        <v>23</v>
      </c>
    </row>
    <row r="14" spans="1:16" x14ac:dyDescent="0.25">
      <c r="A14">
        <v>113</v>
      </c>
      <c r="B14" s="25" t="s">
        <v>38</v>
      </c>
      <c r="C14" s="26"/>
      <c r="D14" s="2">
        <v>46030</v>
      </c>
      <c r="E14" s="25" t="s">
        <v>34</v>
      </c>
      <c r="F14" s="25" t="s">
        <v>18</v>
      </c>
      <c r="G14" s="25" t="s">
        <v>45</v>
      </c>
      <c r="H14" s="26"/>
      <c r="I14" s="26"/>
      <c r="J14" s="2"/>
      <c r="K14" s="25"/>
      <c r="L14" s="25"/>
      <c r="M14" s="25"/>
      <c r="N14" s="25"/>
      <c r="O14" s="25"/>
      <c r="P14" s="25" t="s">
        <v>33</v>
      </c>
    </row>
    <row r="15" spans="1:16" x14ac:dyDescent="0.25">
      <c r="A15">
        <v>114</v>
      </c>
      <c r="B15" s="25" t="s">
        <v>46</v>
      </c>
      <c r="C15" s="26">
        <v>0.66874999999999996</v>
      </c>
      <c r="D15" s="2">
        <v>46054</v>
      </c>
      <c r="E15" s="25" t="s">
        <v>143</v>
      </c>
      <c r="F15" s="25" t="s">
        <v>18</v>
      </c>
      <c r="G15" s="25" t="s">
        <v>47</v>
      </c>
      <c r="H15" s="26">
        <v>0.67013888888888884</v>
      </c>
      <c r="I15" s="26">
        <v>0.68402777777777779</v>
      </c>
      <c r="J15" s="2">
        <v>46054</v>
      </c>
      <c r="K15" s="25" t="s">
        <v>48</v>
      </c>
      <c r="L15" s="25" t="s">
        <v>49</v>
      </c>
      <c r="M15" s="25" t="s">
        <v>50</v>
      </c>
      <c r="N15" s="25" t="s">
        <v>22</v>
      </c>
      <c r="O15" s="25" t="s">
        <v>44</v>
      </c>
      <c r="P15" s="25" t="s">
        <v>23</v>
      </c>
    </row>
    <row r="16" spans="1:16" x14ac:dyDescent="0.25">
      <c r="A16">
        <v>115</v>
      </c>
      <c r="B16" s="25" t="s">
        <v>51</v>
      </c>
      <c r="C16" s="26">
        <v>0.92708333333333337</v>
      </c>
      <c r="D16" s="2">
        <v>46080</v>
      </c>
      <c r="E16" s="25" t="s">
        <v>17</v>
      </c>
      <c r="F16" s="25" t="s">
        <v>18</v>
      </c>
      <c r="G16" s="25" t="s">
        <v>52</v>
      </c>
      <c r="H16" s="26"/>
      <c r="I16" s="26"/>
      <c r="J16" s="2"/>
      <c r="K16" s="25"/>
      <c r="L16" s="25"/>
      <c r="M16" s="25"/>
      <c r="N16" s="25"/>
      <c r="O16" s="25"/>
      <c r="P16" s="25" t="s">
        <v>33</v>
      </c>
    </row>
    <row r="17" spans="1:16" x14ac:dyDescent="0.25">
      <c r="A17">
        <v>116</v>
      </c>
      <c r="B17" s="25" t="s">
        <v>113</v>
      </c>
      <c r="C17" s="26">
        <v>1.7361111111111112E-2</v>
      </c>
      <c r="D17" s="2">
        <v>46125</v>
      </c>
      <c r="E17" s="25" t="s">
        <v>154</v>
      </c>
      <c r="F17" s="25" t="s">
        <v>18</v>
      </c>
      <c r="G17" s="25" t="s">
        <v>2008</v>
      </c>
      <c r="H17" s="26"/>
      <c r="I17" s="26">
        <v>4.1666666666666664E-2</v>
      </c>
      <c r="J17" s="2"/>
      <c r="K17" s="25"/>
      <c r="L17" s="25" t="s">
        <v>2009</v>
      </c>
      <c r="M17" s="25" t="s">
        <v>1951</v>
      </c>
      <c r="N17" s="25" t="s">
        <v>22</v>
      </c>
      <c r="O17" s="25" t="s">
        <v>108</v>
      </c>
      <c r="P17" s="25" t="s">
        <v>23</v>
      </c>
    </row>
    <row r="18" spans="1:16" x14ac:dyDescent="0.25">
      <c r="A18">
        <v>117</v>
      </c>
      <c r="B18" s="25"/>
      <c r="C18" s="26"/>
      <c r="D18" s="2"/>
      <c r="E18" s="25"/>
      <c r="F18" s="25"/>
      <c r="G18" s="25"/>
      <c r="H18" s="26"/>
      <c r="I18" s="26"/>
      <c r="J18" s="2"/>
      <c r="K18" s="25"/>
      <c r="L18" s="25"/>
      <c r="M18" s="25"/>
      <c r="N18" s="25"/>
      <c r="O18" s="25"/>
      <c r="P18" s="25"/>
    </row>
    <row r="19" spans="1:16" x14ac:dyDescent="0.25">
      <c r="A19">
        <v>118</v>
      </c>
      <c r="B19" s="25" t="s">
        <v>103</v>
      </c>
      <c r="C19" s="26">
        <v>0</v>
      </c>
      <c r="D19" s="2">
        <v>46142</v>
      </c>
      <c r="E19" s="25" t="s">
        <v>147</v>
      </c>
      <c r="F19" s="25" t="s">
        <v>18</v>
      </c>
      <c r="G19" s="25" t="s">
        <v>2035</v>
      </c>
      <c r="H19" s="26">
        <v>0</v>
      </c>
      <c r="I19" s="26">
        <v>4.3749999999999997E-2</v>
      </c>
      <c r="J19" s="2">
        <v>46142</v>
      </c>
      <c r="K19" s="25" t="s">
        <v>25</v>
      </c>
      <c r="L19" s="25" t="s">
        <v>2036</v>
      </c>
      <c r="M19" s="25" t="s">
        <v>22</v>
      </c>
      <c r="N19" s="25" t="s">
        <v>2037</v>
      </c>
      <c r="O19" s="25" t="s">
        <v>108</v>
      </c>
      <c r="P19" s="25" t="s">
        <v>23</v>
      </c>
    </row>
    <row r="20" spans="1:16" x14ac:dyDescent="0.25">
      <c r="A20">
        <v>119</v>
      </c>
      <c r="B20" s="25" t="s">
        <v>199</v>
      </c>
      <c r="C20" s="26">
        <v>0.9375</v>
      </c>
      <c r="D20" s="2">
        <v>46141</v>
      </c>
      <c r="E20" s="25" t="s">
        <v>91</v>
      </c>
      <c r="F20" s="25" t="s">
        <v>18</v>
      </c>
      <c r="G20" s="25" t="s">
        <v>2038</v>
      </c>
      <c r="H20" s="26">
        <v>0.25</v>
      </c>
      <c r="I20" s="26"/>
      <c r="J20" s="2"/>
      <c r="K20" s="25" t="s">
        <v>25</v>
      </c>
      <c r="L20" s="25" t="s">
        <v>2039</v>
      </c>
      <c r="M20" s="25" t="s">
        <v>22</v>
      </c>
      <c r="N20" s="25" t="s">
        <v>22</v>
      </c>
      <c r="O20" s="25" t="s">
        <v>112</v>
      </c>
      <c r="P20" s="25" t="s">
        <v>33</v>
      </c>
    </row>
    <row r="21" spans="1:16" x14ac:dyDescent="0.25">
      <c r="A21">
        <v>120</v>
      </c>
      <c r="B21" s="25" t="s">
        <v>103</v>
      </c>
      <c r="C21" s="26">
        <v>0.41666666666666669</v>
      </c>
      <c r="D21" s="2">
        <v>46142</v>
      </c>
      <c r="E21" s="25" t="s">
        <v>147</v>
      </c>
      <c r="F21" s="25" t="s">
        <v>18</v>
      </c>
      <c r="G21" s="25" t="s">
        <v>2040</v>
      </c>
      <c r="H21" s="26">
        <v>0.41666666666666669</v>
      </c>
      <c r="I21" s="26">
        <v>0.60416666666666663</v>
      </c>
      <c r="J21" s="2">
        <v>46142</v>
      </c>
      <c r="K21" s="25" t="s">
        <v>25</v>
      </c>
      <c r="L21" s="25" t="s">
        <v>2041</v>
      </c>
      <c r="M21" s="25" t="s">
        <v>22</v>
      </c>
      <c r="N21" s="25" t="s">
        <v>22</v>
      </c>
      <c r="O21" s="25" t="s">
        <v>112</v>
      </c>
      <c r="P21" s="25" t="s">
        <v>23</v>
      </c>
    </row>
    <row r="22" spans="1:16" x14ac:dyDescent="0.25">
      <c r="A22">
        <v>121</v>
      </c>
      <c r="B22" s="25"/>
      <c r="C22" s="26"/>
      <c r="D22" s="2"/>
      <c r="E22" s="25"/>
      <c r="F22" s="25"/>
      <c r="G22" s="25"/>
      <c r="H22" s="26"/>
      <c r="I22" s="26"/>
      <c r="J22" s="2"/>
      <c r="K22" s="25"/>
      <c r="L22" s="25"/>
      <c r="M22" s="25"/>
      <c r="N22" s="25"/>
      <c r="O22" s="25"/>
      <c r="P22" s="25"/>
    </row>
    <row r="23" spans="1:16" x14ac:dyDescent="0.25">
      <c r="A23">
        <v>122</v>
      </c>
      <c r="B23" s="25"/>
      <c r="C23" s="26"/>
      <c r="D23" s="2"/>
      <c r="E23" s="25"/>
      <c r="F23" s="25"/>
      <c r="G23" s="25"/>
      <c r="H23" s="26"/>
      <c r="I23" s="26"/>
      <c r="J23" s="2"/>
      <c r="K23" s="25"/>
      <c r="L23" s="25"/>
      <c r="M23" s="25"/>
      <c r="N23" s="25"/>
      <c r="O23" s="25"/>
      <c r="P23" s="25"/>
    </row>
    <row r="24" spans="1:16" x14ac:dyDescent="0.25">
      <c r="A24">
        <v>123</v>
      </c>
      <c r="B24" s="25"/>
      <c r="C24" s="26"/>
      <c r="D24" s="2"/>
      <c r="E24" s="25"/>
      <c r="F24" s="25"/>
      <c r="G24" s="25"/>
      <c r="H24" s="26"/>
      <c r="I24" s="26"/>
      <c r="J24" s="2"/>
      <c r="K24" s="25"/>
      <c r="L24" s="25"/>
      <c r="M24" s="25"/>
      <c r="N24" s="25"/>
      <c r="O24" s="25"/>
      <c r="P24" s="25"/>
    </row>
    <row r="25" spans="1:16" x14ac:dyDescent="0.25">
      <c r="A25">
        <v>124</v>
      </c>
      <c r="B25" s="25"/>
      <c r="C25" s="26"/>
      <c r="D25" s="2"/>
      <c r="E25" s="25"/>
      <c r="F25" s="25"/>
      <c r="G25" s="25"/>
      <c r="H25" s="26"/>
      <c r="I25" s="26"/>
      <c r="J25" s="2"/>
      <c r="K25" s="25"/>
      <c r="L25" s="25"/>
      <c r="M25" s="25"/>
      <c r="N25" s="25"/>
      <c r="O25" s="25"/>
      <c r="P25" s="25"/>
    </row>
    <row r="26" spans="1:16" x14ac:dyDescent="0.25">
      <c r="A26">
        <v>125</v>
      </c>
      <c r="B26" s="25"/>
      <c r="C26" s="26"/>
      <c r="D26" s="2"/>
      <c r="E26" s="25"/>
      <c r="F26" s="25"/>
      <c r="G26" s="25"/>
      <c r="H26" s="26"/>
      <c r="I26" s="26"/>
      <c r="J26" s="2"/>
      <c r="K26" s="25"/>
      <c r="L26" s="25"/>
      <c r="M26" s="25"/>
      <c r="N26" s="25"/>
      <c r="O26" s="25"/>
      <c r="P26" s="25"/>
    </row>
    <row r="27" spans="1:16" x14ac:dyDescent="0.25">
      <c r="A27">
        <v>126</v>
      </c>
      <c r="B27" s="25"/>
      <c r="C27" s="26"/>
      <c r="D27" s="2"/>
      <c r="E27" s="25"/>
      <c r="F27" s="25"/>
      <c r="G27" s="25"/>
      <c r="H27" s="26"/>
      <c r="I27" s="26"/>
      <c r="J27" s="2"/>
      <c r="K27" s="25"/>
      <c r="L27" s="25"/>
      <c r="M27" s="25"/>
      <c r="N27" s="25"/>
      <c r="O27" s="25"/>
      <c r="P27" s="25"/>
    </row>
    <row r="28" spans="1:16" x14ac:dyDescent="0.25">
      <c r="A28">
        <v>127</v>
      </c>
      <c r="B28" s="25"/>
      <c r="C28" s="26"/>
      <c r="D28" s="2"/>
      <c r="E28" s="25"/>
      <c r="F28" s="25"/>
      <c r="G28" s="25"/>
      <c r="H28" s="26"/>
      <c r="I28" s="26"/>
      <c r="J28" s="2"/>
      <c r="K28" s="25"/>
      <c r="L28" s="25"/>
      <c r="M28" s="25"/>
      <c r="N28" s="25"/>
      <c r="O28" s="25"/>
      <c r="P28" s="25"/>
    </row>
    <row r="29" spans="1:16" x14ac:dyDescent="0.25">
      <c r="A29">
        <v>128</v>
      </c>
      <c r="B29" s="25"/>
      <c r="C29" s="26"/>
      <c r="D29" s="2"/>
      <c r="E29" s="25"/>
      <c r="F29" s="25"/>
      <c r="G29" s="25"/>
      <c r="H29" s="26"/>
      <c r="I29" s="26"/>
      <c r="J29" s="2"/>
      <c r="K29" s="25"/>
      <c r="L29" s="25"/>
      <c r="M29" s="25"/>
      <c r="N29" s="25"/>
      <c r="O29" s="25"/>
      <c r="P29" s="25"/>
    </row>
    <row r="30" spans="1:16" x14ac:dyDescent="0.25">
      <c r="A30">
        <v>129</v>
      </c>
      <c r="B30" s="25"/>
      <c r="C30" s="26"/>
      <c r="D30" s="2"/>
      <c r="E30" s="25"/>
      <c r="F30" s="25"/>
      <c r="G30" s="25"/>
      <c r="H30" s="26"/>
      <c r="I30" s="26"/>
      <c r="J30" s="2"/>
      <c r="K30" s="25"/>
      <c r="L30" s="25"/>
      <c r="M30" s="25"/>
      <c r="N30" s="25"/>
      <c r="O30" s="25"/>
      <c r="P30" s="25"/>
    </row>
    <row r="31" spans="1:16" x14ac:dyDescent="0.25">
      <c r="A31">
        <v>130</v>
      </c>
      <c r="B31" s="25"/>
      <c r="C31" s="26"/>
      <c r="D31" s="2"/>
      <c r="E31" s="25"/>
      <c r="F31" s="25"/>
      <c r="G31" s="25"/>
      <c r="H31" s="26"/>
      <c r="I31" s="26"/>
      <c r="J31" s="2"/>
      <c r="K31" s="25"/>
      <c r="L31" s="25"/>
      <c r="M31" s="25"/>
      <c r="N31" s="25"/>
      <c r="O31" s="25"/>
      <c r="P31" s="25"/>
    </row>
    <row r="32" spans="1:16" x14ac:dyDescent="0.25">
      <c r="A32">
        <v>131</v>
      </c>
      <c r="B32" s="25"/>
      <c r="C32" s="26"/>
      <c r="D32" s="2"/>
      <c r="E32" s="25"/>
      <c r="F32" s="25"/>
      <c r="G32" s="25"/>
      <c r="H32" s="26"/>
      <c r="I32" s="26"/>
      <c r="J32" s="2"/>
      <c r="K32" s="25"/>
      <c r="L32" s="25"/>
      <c r="M32" s="25"/>
      <c r="N32" s="25"/>
      <c r="O32" s="25"/>
      <c r="P32" s="25"/>
    </row>
    <row r="33" spans="1:16" x14ac:dyDescent="0.25">
      <c r="A33">
        <v>132</v>
      </c>
      <c r="B33" s="25"/>
      <c r="C33" s="26"/>
      <c r="D33" s="2"/>
      <c r="E33" s="25"/>
      <c r="F33" s="25"/>
      <c r="G33" s="25"/>
      <c r="H33" s="26"/>
      <c r="I33" s="26"/>
      <c r="J33" s="2"/>
      <c r="K33" s="25"/>
      <c r="L33" s="25"/>
      <c r="M33" s="25"/>
      <c r="N33" s="25"/>
      <c r="O33" s="25"/>
      <c r="P33" s="25"/>
    </row>
    <row r="34" spans="1:16" x14ac:dyDescent="0.25">
      <c r="A34">
        <v>133</v>
      </c>
      <c r="B34" s="25"/>
      <c r="C34" s="26"/>
      <c r="D34" s="2"/>
      <c r="E34" s="25"/>
      <c r="F34" s="25"/>
      <c r="G34" s="25"/>
      <c r="H34" s="26"/>
      <c r="I34" s="26"/>
      <c r="J34" s="2"/>
      <c r="K34" s="25"/>
      <c r="L34" s="25"/>
      <c r="M34" s="25"/>
      <c r="N34" s="25"/>
      <c r="O34" s="25"/>
      <c r="P34" s="25"/>
    </row>
    <row r="35" spans="1:16" x14ac:dyDescent="0.25">
      <c r="A35">
        <v>134</v>
      </c>
      <c r="B35" s="25"/>
      <c r="C35" s="26"/>
      <c r="D35" s="2"/>
      <c r="E35" s="25"/>
      <c r="F35" s="25"/>
      <c r="G35" s="25"/>
      <c r="H35" s="26"/>
      <c r="I35" s="26"/>
      <c r="J35" s="2"/>
      <c r="K35" s="25"/>
      <c r="L35" s="25"/>
      <c r="M35" s="25"/>
      <c r="N35" s="25"/>
      <c r="O35" s="25"/>
      <c r="P35" s="25"/>
    </row>
    <row r="36" spans="1:16" x14ac:dyDescent="0.25">
      <c r="A36">
        <v>135</v>
      </c>
      <c r="B36" s="25"/>
      <c r="C36" s="26"/>
      <c r="D36" s="2"/>
      <c r="E36" s="25"/>
      <c r="F36" s="25"/>
      <c r="G36" s="25"/>
      <c r="H36" s="26"/>
      <c r="I36" s="26"/>
      <c r="J36" s="2"/>
      <c r="K36" s="25"/>
      <c r="L36" s="25"/>
      <c r="M36" s="25"/>
      <c r="N36" s="25"/>
      <c r="O36" s="25"/>
      <c r="P36" s="25"/>
    </row>
    <row r="37" spans="1:16" x14ac:dyDescent="0.25">
      <c r="A37">
        <v>136</v>
      </c>
      <c r="B37" s="25"/>
      <c r="C37" s="26"/>
      <c r="D37" s="2"/>
      <c r="E37" s="25"/>
      <c r="F37" s="25"/>
      <c r="G37" s="25"/>
      <c r="H37" s="26"/>
      <c r="I37" s="26"/>
      <c r="J37" s="2"/>
      <c r="K37" s="25"/>
      <c r="L37" s="25"/>
      <c r="M37" s="25"/>
      <c r="N37" s="25"/>
      <c r="O37" s="25"/>
      <c r="P37" s="25"/>
    </row>
    <row r="38" spans="1:16" x14ac:dyDescent="0.25">
      <c r="A38">
        <v>137</v>
      </c>
      <c r="B38" s="25"/>
      <c r="C38" s="26"/>
      <c r="D38" s="2"/>
      <c r="E38" s="25"/>
      <c r="F38" s="25"/>
      <c r="G38" s="25"/>
      <c r="H38" s="26"/>
      <c r="I38" s="26"/>
      <c r="J38" s="2"/>
      <c r="K38" s="25"/>
      <c r="L38" s="25"/>
      <c r="M38" s="25"/>
      <c r="N38" s="25"/>
      <c r="O38" s="25"/>
      <c r="P38" s="25"/>
    </row>
    <row r="39" spans="1:16" x14ac:dyDescent="0.25">
      <c r="A39">
        <v>138</v>
      </c>
      <c r="B39" s="25"/>
      <c r="C39" s="26"/>
      <c r="D39" s="2"/>
      <c r="E39" s="25"/>
      <c r="F39" s="25"/>
      <c r="G39" s="25"/>
      <c r="H39" s="26"/>
      <c r="I39" s="26"/>
      <c r="J39" s="2"/>
      <c r="K39" s="25"/>
      <c r="L39" s="25"/>
      <c r="M39" s="25"/>
      <c r="N39" s="25"/>
      <c r="O39" s="25"/>
      <c r="P39" s="25"/>
    </row>
    <row r="40" spans="1:16" x14ac:dyDescent="0.25">
      <c r="A40">
        <v>139</v>
      </c>
      <c r="B40" s="25"/>
      <c r="C40" s="26"/>
      <c r="D40" s="2"/>
      <c r="E40" s="25"/>
      <c r="F40" s="25"/>
      <c r="G40" s="25"/>
      <c r="H40" s="26"/>
      <c r="I40" s="26"/>
      <c r="J40" s="2"/>
      <c r="K40" s="25"/>
      <c r="L40" s="25"/>
      <c r="M40" s="25"/>
      <c r="N40" s="25"/>
      <c r="O40" s="25"/>
      <c r="P40" s="25"/>
    </row>
    <row r="41" spans="1:16" x14ac:dyDescent="0.25">
      <c r="A41">
        <v>140</v>
      </c>
      <c r="B41" s="25"/>
      <c r="C41" s="26"/>
      <c r="D41" s="2"/>
      <c r="E41" s="25"/>
      <c r="F41" s="25"/>
      <c r="G41" s="25"/>
      <c r="H41" s="26"/>
      <c r="I41" s="26"/>
      <c r="J41" s="2"/>
      <c r="K41" s="25"/>
      <c r="L41" s="25"/>
      <c r="M41" s="25"/>
      <c r="N41" s="25"/>
      <c r="O41" s="25"/>
      <c r="P41" s="25"/>
    </row>
    <row r="42" spans="1:16" x14ac:dyDescent="0.25">
      <c r="A42">
        <v>141</v>
      </c>
      <c r="B42" s="25"/>
      <c r="C42" s="26"/>
      <c r="D42" s="2"/>
      <c r="E42" s="25"/>
      <c r="F42" s="25"/>
      <c r="G42" s="25"/>
      <c r="H42" s="26"/>
      <c r="I42" s="26"/>
      <c r="J42" s="2"/>
      <c r="K42" s="25"/>
      <c r="L42" s="25"/>
      <c r="M42" s="25"/>
      <c r="N42" s="25"/>
      <c r="O42" s="25"/>
      <c r="P42" s="25"/>
    </row>
    <row r="43" spans="1:16" x14ac:dyDescent="0.25">
      <c r="A43">
        <v>142</v>
      </c>
      <c r="B43" s="25"/>
      <c r="C43" s="26"/>
      <c r="D43" s="2"/>
      <c r="E43" s="25"/>
      <c r="F43" s="25"/>
      <c r="G43" s="25"/>
      <c r="H43" s="26"/>
      <c r="I43" s="26"/>
      <c r="J43" s="2"/>
      <c r="K43" s="25"/>
      <c r="L43" s="25"/>
      <c r="M43" s="25"/>
      <c r="N43" s="25"/>
      <c r="O43" s="25"/>
      <c r="P43" s="25"/>
    </row>
    <row r="44" spans="1:16" x14ac:dyDescent="0.25">
      <c r="A44">
        <v>143</v>
      </c>
      <c r="B44" s="25"/>
      <c r="C44" s="26"/>
      <c r="D44" s="2"/>
      <c r="E44" s="25"/>
      <c r="F44" s="25"/>
      <c r="G44" s="25"/>
      <c r="H44" s="26"/>
      <c r="I44" s="26"/>
      <c r="J44" s="2"/>
      <c r="K44" s="25"/>
      <c r="L44" s="25"/>
      <c r="M44" s="25"/>
      <c r="N44" s="25"/>
      <c r="O44" s="25"/>
      <c r="P44" s="25"/>
    </row>
    <row r="45" spans="1:16" x14ac:dyDescent="0.25">
      <c r="A45">
        <v>144</v>
      </c>
      <c r="B45" s="25"/>
      <c r="C45" s="26"/>
      <c r="D45" s="2"/>
      <c r="E45" s="25"/>
      <c r="F45" s="25"/>
      <c r="G45" s="25"/>
      <c r="H45" s="26"/>
      <c r="I45" s="26"/>
      <c r="J45" s="2"/>
      <c r="K45" s="25"/>
      <c r="L45" s="25"/>
      <c r="M45" s="25"/>
      <c r="N45" s="25"/>
      <c r="O45" s="25"/>
      <c r="P45" s="25"/>
    </row>
    <row r="46" spans="1:16" x14ac:dyDescent="0.25">
      <c r="A46">
        <v>145</v>
      </c>
      <c r="B46" s="25"/>
      <c r="C46" s="26"/>
      <c r="D46" s="2"/>
      <c r="E46" s="25"/>
      <c r="F46" s="25"/>
      <c r="G46" s="25"/>
      <c r="H46" s="26"/>
      <c r="I46" s="26"/>
      <c r="J46" s="2"/>
      <c r="K46" s="25"/>
      <c r="L46" s="25"/>
      <c r="M46" s="25"/>
      <c r="N46" s="25"/>
      <c r="O46" s="25"/>
      <c r="P46" s="25"/>
    </row>
    <row r="47" spans="1:16" x14ac:dyDescent="0.25">
      <c r="A47">
        <v>146</v>
      </c>
      <c r="B47" s="25"/>
      <c r="C47" s="26"/>
      <c r="D47" s="2"/>
      <c r="E47" s="25"/>
      <c r="F47" s="25"/>
      <c r="G47" s="25"/>
      <c r="H47" s="26"/>
      <c r="I47" s="26"/>
      <c r="J47" s="2"/>
      <c r="K47" s="25"/>
      <c r="L47" s="25"/>
      <c r="M47" s="25"/>
      <c r="N47" s="25"/>
      <c r="O47" s="25"/>
      <c r="P47" s="25"/>
    </row>
    <row r="48" spans="1:16" x14ac:dyDescent="0.25">
      <c r="A48">
        <v>147</v>
      </c>
      <c r="B48" s="25"/>
      <c r="C48" s="26"/>
      <c r="D48" s="2"/>
      <c r="E48" s="25"/>
      <c r="F48" s="25"/>
      <c r="G48" s="25"/>
      <c r="H48" s="26"/>
      <c r="I48" s="26"/>
      <c r="J48" s="2"/>
      <c r="K48" s="25"/>
      <c r="L48" s="25"/>
      <c r="M48" s="25"/>
      <c r="N48" s="25"/>
      <c r="O48" s="25"/>
      <c r="P48" s="25"/>
    </row>
    <row r="49" spans="1:16" x14ac:dyDescent="0.25">
      <c r="A49">
        <v>148</v>
      </c>
      <c r="B49" s="25"/>
      <c r="C49" s="26"/>
      <c r="D49" s="2"/>
      <c r="E49" s="25"/>
      <c r="F49" s="25"/>
      <c r="G49" s="25"/>
      <c r="H49" s="26"/>
      <c r="I49" s="26"/>
      <c r="J49" s="2"/>
      <c r="K49" s="25"/>
      <c r="L49" s="25"/>
      <c r="M49" s="25"/>
      <c r="N49" s="25"/>
      <c r="O49" s="25"/>
      <c r="P49" s="25"/>
    </row>
    <row r="50" spans="1:16" x14ac:dyDescent="0.25">
      <c r="A50">
        <v>149</v>
      </c>
      <c r="B50" s="25"/>
      <c r="C50" s="26"/>
      <c r="D50" s="2"/>
      <c r="E50" s="25"/>
      <c r="F50" s="25"/>
      <c r="G50" s="25"/>
      <c r="H50" s="26"/>
      <c r="I50" s="26"/>
      <c r="J50" s="2"/>
      <c r="K50" s="25"/>
      <c r="L50" s="25"/>
      <c r="M50" s="25"/>
      <c r="N50" s="25"/>
      <c r="O50" s="25"/>
      <c r="P50" s="25"/>
    </row>
    <row r="51" spans="1:16" x14ac:dyDescent="0.25">
      <c r="A51">
        <v>150</v>
      </c>
      <c r="B51" s="25"/>
      <c r="C51" s="26"/>
      <c r="D51" s="2"/>
      <c r="E51" s="25"/>
      <c r="F51" s="25"/>
      <c r="G51" s="25"/>
      <c r="H51" s="26"/>
      <c r="I51" s="26"/>
      <c r="J51" s="2"/>
      <c r="K51" s="25"/>
      <c r="L51" s="25"/>
      <c r="M51" s="25"/>
      <c r="N51" s="25"/>
      <c r="O51" s="25"/>
      <c r="P51" s="25"/>
    </row>
    <row r="52" spans="1:16" x14ac:dyDescent="0.25">
      <c r="A52">
        <v>151</v>
      </c>
      <c r="B52" s="25"/>
      <c r="C52" s="26"/>
      <c r="D52" s="2"/>
      <c r="E52" s="25"/>
      <c r="F52" s="25"/>
      <c r="G52" s="25"/>
      <c r="H52" s="26"/>
      <c r="I52" s="26"/>
      <c r="J52" s="2"/>
      <c r="K52" s="25"/>
      <c r="L52" s="25"/>
      <c r="M52" s="25"/>
      <c r="N52" s="25"/>
      <c r="O52" s="25"/>
      <c r="P52" s="25"/>
    </row>
    <row r="53" spans="1:16" x14ac:dyDescent="0.25">
      <c r="A53">
        <v>152</v>
      </c>
      <c r="B53" s="25"/>
      <c r="C53" s="26"/>
      <c r="D53" s="2"/>
      <c r="E53" s="25"/>
      <c r="F53" s="25"/>
      <c r="G53" s="25"/>
      <c r="H53" s="26"/>
      <c r="I53" s="26"/>
      <c r="J53" s="2"/>
      <c r="K53" s="25"/>
      <c r="L53" s="25"/>
      <c r="M53" s="25"/>
      <c r="N53" s="25"/>
      <c r="O53" s="25"/>
      <c r="P53" s="25"/>
    </row>
    <row r="54" spans="1:16" x14ac:dyDescent="0.25">
      <c r="A54">
        <v>153</v>
      </c>
      <c r="B54" s="25"/>
      <c r="C54" s="26"/>
      <c r="D54" s="2"/>
      <c r="E54" s="25"/>
      <c r="F54" s="25"/>
      <c r="G54" s="25"/>
      <c r="H54" s="26"/>
      <c r="I54" s="26"/>
      <c r="J54" s="2"/>
      <c r="K54" s="25"/>
      <c r="L54" s="25"/>
      <c r="M54" s="25"/>
      <c r="N54" s="25"/>
      <c r="O54" s="25"/>
      <c r="P54" s="25"/>
    </row>
    <row r="55" spans="1:16" x14ac:dyDescent="0.25">
      <c r="A55">
        <v>154</v>
      </c>
      <c r="B55" s="25"/>
      <c r="C55" s="26"/>
      <c r="D55" s="2"/>
      <c r="E55" s="25"/>
      <c r="F55" s="25"/>
      <c r="G55" s="25"/>
      <c r="H55" s="26"/>
      <c r="I55" s="26"/>
      <c r="J55" s="2"/>
      <c r="K55" s="25"/>
      <c r="L55" s="25"/>
      <c r="M55" s="25"/>
      <c r="N55" s="25"/>
      <c r="O55" s="25"/>
      <c r="P55" s="25"/>
    </row>
    <row r="56" spans="1:16" x14ac:dyDescent="0.25">
      <c r="A56">
        <v>155</v>
      </c>
      <c r="B56" s="25"/>
      <c r="C56" s="26"/>
      <c r="D56" s="2"/>
      <c r="E56" s="25"/>
      <c r="F56" s="25"/>
      <c r="G56" s="25"/>
      <c r="H56" s="26"/>
      <c r="I56" s="26"/>
      <c r="J56" s="2"/>
      <c r="K56" s="25"/>
      <c r="L56" s="25"/>
      <c r="M56" s="25"/>
      <c r="N56" s="25"/>
      <c r="O56" s="25"/>
      <c r="P56" s="25"/>
    </row>
    <row r="57" spans="1:16" x14ac:dyDescent="0.25">
      <c r="A57">
        <v>156</v>
      </c>
      <c r="B57" s="25"/>
      <c r="C57" s="26"/>
      <c r="D57" s="2"/>
      <c r="E57" s="25"/>
      <c r="F57" s="25"/>
      <c r="G57" s="25"/>
      <c r="H57" s="26"/>
      <c r="I57" s="26"/>
      <c r="J57" s="2"/>
      <c r="K57" s="25"/>
      <c r="L57" s="25"/>
      <c r="M57" s="25"/>
      <c r="N57" s="25"/>
      <c r="O57" s="25"/>
      <c r="P57" s="25"/>
    </row>
    <row r="58" spans="1:16" x14ac:dyDescent="0.25">
      <c r="A58">
        <v>157</v>
      </c>
      <c r="B58" s="25"/>
      <c r="C58" s="26"/>
      <c r="D58" s="2"/>
      <c r="E58" s="25"/>
      <c r="F58" s="25"/>
      <c r="G58" s="25"/>
      <c r="H58" s="26"/>
      <c r="I58" s="26"/>
      <c r="J58" s="2"/>
      <c r="K58" s="25"/>
      <c r="L58" s="25"/>
      <c r="M58" s="25"/>
      <c r="N58" s="25"/>
      <c r="O58" s="25"/>
      <c r="P58" s="25"/>
    </row>
    <row r="59" spans="1:16" x14ac:dyDescent="0.25">
      <c r="A59">
        <v>158</v>
      </c>
      <c r="B59" s="25"/>
      <c r="C59" s="26"/>
      <c r="D59" s="2"/>
      <c r="E59" s="25"/>
      <c r="F59" s="25"/>
      <c r="G59" s="25"/>
      <c r="H59" s="26"/>
      <c r="I59" s="26"/>
      <c r="J59" s="2"/>
      <c r="K59" s="25"/>
      <c r="L59" s="25"/>
      <c r="M59" s="25"/>
      <c r="N59" s="25"/>
      <c r="O59" s="25"/>
      <c r="P59" s="25"/>
    </row>
    <row r="60" spans="1:16" x14ac:dyDescent="0.25">
      <c r="A60">
        <v>159</v>
      </c>
      <c r="B60" s="25"/>
      <c r="C60" s="26"/>
      <c r="D60" s="2"/>
      <c r="E60" s="25"/>
      <c r="F60" s="25"/>
      <c r="G60" s="25"/>
      <c r="H60" s="26"/>
      <c r="I60" s="26"/>
      <c r="J60" s="2"/>
      <c r="K60" s="25"/>
      <c r="L60" s="25"/>
      <c r="M60" s="25"/>
      <c r="N60" s="25"/>
      <c r="O60" s="25"/>
      <c r="P60" s="25"/>
    </row>
    <row r="61" spans="1:16" x14ac:dyDescent="0.25">
      <c r="A61">
        <v>160</v>
      </c>
      <c r="B61" s="25"/>
      <c r="C61" s="26"/>
      <c r="D61" s="2"/>
      <c r="E61" s="25"/>
      <c r="F61" s="25"/>
      <c r="G61" s="25"/>
      <c r="H61" s="26"/>
      <c r="I61" s="26"/>
      <c r="J61" s="2"/>
      <c r="K61" s="25"/>
      <c r="L61" s="25"/>
      <c r="M61" s="25"/>
      <c r="N61" s="25"/>
      <c r="O61" s="25"/>
      <c r="P61" s="25"/>
    </row>
    <row r="62" spans="1:16" x14ac:dyDescent="0.25">
      <c r="A62">
        <v>161</v>
      </c>
      <c r="B62" s="25"/>
      <c r="C62" s="26"/>
      <c r="D62" s="2"/>
      <c r="E62" s="25"/>
      <c r="F62" s="25"/>
      <c r="G62" s="25"/>
      <c r="H62" s="26"/>
      <c r="I62" s="26"/>
      <c r="J62" s="2"/>
      <c r="K62" s="25"/>
      <c r="L62" s="25"/>
      <c r="M62" s="25"/>
      <c r="N62" s="25"/>
      <c r="O62" s="25"/>
      <c r="P62" s="25"/>
    </row>
    <row r="63" spans="1:16" x14ac:dyDescent="0.25">
      <c r="A63">
        <v>162</v>
      </c>
      <c r="B63" s="25"/>
      <c r="C63" s="26"/>
      <c r="D63" s="2"/>
      <c r="E63" s="25"/>
      <c r="F63" s="25"/>
      <c r="G63" s="25"/>
      <c r="H63" s="26"/>
      <c r="I63" s="26"/>
      <c r="J63" s="2"/>
      <c r="K63" s="25"/>
      <c r="L63" s="25"/>
      <c r="M63" s="25"/>
      <c r="N63" s="25"/>
      <c r="O63" s="25"/>
      <c r="P63" s="25"/>
    </row>
    <row r="64" spans="1:16" x14ac:dyDescent="0.25">
      <c r="A64">
        <v>163</v>
      </c>
      <c r="B64" s="25"/>
      <c r="C64" s="26"/>
      <c r="D64" s="2"/>
      <c r="E64" s="25"/>
      <c r="F64" s="25"/>
      <c r="G64" s="25"/>
      <c r="H64" s="26"/>
      <c r="I64" s="26"/>
      <c r="J64" s="2"/>
      <c r="K64" s="25"/>
      <c r="L64" s="25"/>
      <c r="M64" s="25"/>
      <c r="N64" s="25"/>
      <c r="O64" s="25"/>
      <c r="P64" s="25"/>
    </row>
    <row r="65" spans="1:16" x14ac:dyDescent="0.25">
      <c r="A65">
        <v>164</v>
      </c>
      <c r="B65" s="25"/>
      <c r="C65" s="26"/>
      <c r="D65" s="2"/>
      <c r="E65" s="25"/>
      <c r="F65" s="25"/>
      <c r="G65" s="25"/>
      <c r="H65" s="26"/>
      <c r="I65" s="26"/>
      <c r="J65" s="2"/>
      <c r="K65" s="25"/>
      <c r="L65" s="25"/>
      <c r="M65" s="25"/>
      <c r="N65" s="25"/>
      <c r="O65" s="25"/>
      <c r="P65" s="25"/>
    </row>
    <row r="66" spans="1:16" x14ac:dyDescent="0.25">
      <c r="A66">
        <v>165</v>
      </c>
      <c r="B66" s="25"/>
      <c r="C66" s="26"/>
      <c r="D66" s="2"/>
      <c r="E66" s="25"/>
      <c r="F66" s="25"/>
      <c r="G66" s="25"/>
      <c r="H66" s="26"/>
      <c r="I66" s="26"/>
      <c r="J66" s="2"/>
      <c r="K66" s="25"/>
      <c r="L66" s="25"/>
      <c r="M66" s="25"/>
      <c r="N66" s="25"/>
      <c r="O66" s="25"/>
      <c r="P66" s="25"/>
    </row>
    <row r="67" spans="1:16" x14ac:dyDescent="0.25">
      <c r="A67">
        <v>166</v>
      </c>
      <c r="B67" s="25"/>
      <c r="C67" s="26"/>
      <c r="D67" s="2"/>
      <c r="E67" s="25"/>
      <c r="F67" s="25"/>
      <c r="G67" s="25"/>
      <c r="H67" s="26"/>
      <c r="I67" s="26"/>
      <c r="J67" s="2"/>
      <c r="K67" s="25"/>
      <c r="L67" s="25"/>
      <c r="M67" s="25"/>
      <c r="N67" s="25"/>
      <c r="O67" s="25"/>
      <c r="P67" s="25"/>
    </row>
    <row r="68" spans="1:16" x14ac:dyDescent="0.25">
      <c r="A68">
        <v>167</v>
      </c>
      <c r="B68" s="25"/>
      <c r="C68" s="26"/>
      <c r="D68" s="2"/>
      <c r="E68" s="25"/>
      <c r="F68" s="25"/>
      <c r="G68" s="25"/>
      <c r="H68" s="26"/>
      <c r="I68" s="26"/>
      <c r="J68" s="2"/>
      <c r="K68" s="25"/>
      <c r="L68" s="25"/>
      <c r="M68" s="25"/>
      <c r="N68" s="25"/>
      <c r="O68" s="25"/>
      <c r="P68" s="25"/>
    </row>
    <row r="69" spans="1:16" x14ac:dyDescent="0.25">
      <c r="A69">
        <v>168</v>
      </c>
      <c r="B69" s="25"/>
      <c r="C69" s="26"/>
      <c r="D69" s="2"/>
      <c r="E69" s="25"/>
      <c r="F69" s="25"/>
      <c r="G69" s="25"/>
      <c r="H69" s="26"/>
      <c r="I69" s="26"/>
      <c r="J69" s="2"/>
      <c r="K69" s="25"/>
      <c r="L69" s="25"/>
      <c r="M69" s="25"/>
      <c r="N69" s="25"/>
      <c r="O69" s="25"/>
      <c r="P69" s="25"/>
    </row>
    <row r="70" spans="1:16" x14ac:dyDescent="0.25">
      <c r="A70">
        <v>169</v>
      </c>
      <c r="B70" s="25"/>
      <c r="C70" s="26"/>
      <c r="D70" s="2"/>
      <c r="E70" s="25"/>
      <c r="F70" s="25"/>
      <c r="G70" s="25"/>
      <c r="H70" s="26"/>
      <c r="I70" s="26"/>
      <c r="J70" s="2"/>
      <c r="K70" s="25"/>
      <c r="L70" s="25"/>
      <c r="M70" s="25"/>
      <c r="N70" s="25"/>
      <c r="O70" s="25"/>
      <c r="P70" s="25"/>
    </row>
    <row r="71" spans="1:16" x14ac:dyDescent="0.25">
      <c r="A71">
        <v>170</v>
      </c>
      <c r="B71" s="25"/>
      <c r="C71" s="26"/>
      <c r="D71" s="2"/>
      <c r="E71" s="25"/>
      <c r="F71" s="25"/>
      <c r="G71" s="25"/>
      <c r="H71" s="26"/>
      <c r="I71" s="26"/>
      <c r="J71" s="2"/>
      <c r="K71" s="25"/>
      <c r="L71" s="25"/>
      <c r="M71" s="25"/>
      <c r="N71" s="25"/>
      <c r="O71" s="25"/>
      <c r="P71" s="25"/>
    </row>
    <row r="72" spans="1:16" x14ac:dyDescent="0.25">
      <c r="A72">
        <v>171</v>
      </c>
      <c r="B72" s="25"/>
      <c r="C72" s="26"/>
      <c r="D72" s="2"/>
      <c r="E72" s="25"/>
      <c r="F72" s="25"/>
      <c r="G72" s="25"/>
      <c r="H72" s="26"/>
      <c r="I72" s="26"/>
      <c r="J72" s="2"/>
      <c r="K72" s="25"/>
      <c r="L72" s="25"/>
      <c r="M72" s="25"/>
      <c r="N72" s="25"/>
      <c r="O72" s="25"/>
      <c r="P72" s="25"/>
    </row>
    <row r="73" spans="1:16" x14ac:dyDescent="0.25">
      <c r="A73">
        <v>172</v>
      </c>
      <c r="B73" s="25"/>
      <c r="C73" s="26"/>
      <c r="D73" s="2"/>
      <c r="E73" s="25"/>
      <c r="F73" s="25"/>
      <c r="G73" s="25"/>
      <c r="H73" s="26"/>
      <c r="I73" s="26"/>
      <c r="J73" s="2"/>
      <c r="K73" s="25"/>
      <c r="L73" s="25"/>
      <c r="M73" s="25"/>
      <c r="N73" s="25"/>
      <c r="O73" s="25"/>
      <c r="P73" s="25"/>
    </row>
    <row r="74" spans="1:16" x14ac:dyDescent="0.25">
      <c r="A74">
        <v>173</v>
      </c>
      <c r="B74" s="25"/>
      <c r="C74" s="26"/>
      <c r="D74" s="2"/>
      <c r="E74" s="25"/>
      <c r="F74" s="25"/>
      <c r="G74" s="25"/>
      <c r="H74" s="26"/>
      <c r="I74" s="26"/>
      <c r="J74" s="2"/>
      <c r="K74" s="25"/>
      <c r="L74" s="25"/>
      <c r="M74" s="25"/>
      <c r="N74" s="25"/>
      <c r="O74" s="25"/>
      <c r="P74" s="25"/>
    </row>
    <row r="75" spans="1:16" x14ac:dyDescent="0.25">
      <c r="A75">
        <v>174</v>
      </c>
      <c r="B75" s="25"/>
      <c r="C75" s="26"/>
      <c r="D75" s="2"/>
      <c r="E75" s="25"/>
      <c r="F75" s="25"/>
      <c r="G75" s="25"/>
      <c r="H75" s="26"/>
      <c r="I75" s="26"/>
      <c r="J75" s="2"/>
      <c r="K75" s="25"/>
      <c r="L75" s="25"/>
      <c r="M75" s="25"/>
      <c r="N75" s="25"/>
      <c r="O75" s="25"/>
      <c r="P75" s="25"/>
    </row>
    <row r="76" spans="1:16" x14ac:dyDescent="0.25">
      <c r="A76">
        <v>175</v>
      </c>
      <c r="B76" s="25"/>
      <c r="C76" s="26"/>
      <c r="D76" s="2"/>
      <c r="E76" s="25"/>
      <c r="F76" s="25"/>
      <c r="G76" s="25"/>
      <c r="H76" s="26"/>
      <c r="I76" s="26"/>
      <c r="J76" s="2"/>
      <c r="K76" s="25"/>
      <c r="L76" s="25"/>
      <c r="M76" s="25"/>
      <c r="N76" s="25"/>
      <c r="O76" s="25"/>
      <c r="P76" s="25"/>
    </row>
    <row r="77" spans="1:16" x14ac:dyDescent="0.25">
      <c r="A77">
        <v>176</v>
      </c>
      <c r="B77" s="25"/>
      <c r="C77" s="26"/>
      <c r="D77" s="2"/>
      <c r="E77" s="25"/>
      <c r="F77" s="25"/>
      <c r="G77" s="25"/>
      <c r="H77" s="26"/>
      <c r="I77" s="26"/>
      <c r="J77" s="2"/>
      <c r="K77" s="25"/>
      <c r="L77" s="25"/>
      <c r="M77" s="25"/>
      <c r="N77" s="25"/>
      <c r="O77" s="25"/>
      <c r="P77" s="25"/>
    </row>
    <row r="78" spans="1:16" x14ac:dyDescent="0.25">
      <c r="A78">
        <v>177</v>
      </c>
      <c r="B78" s="25"/>
      <c r="C78" s="26"/>
      <c r="D78" s="2"/>
      <c r="E78" s="25"/>
      <c r="F78" s="25"/>
      <c r="G78" s="25"/>
      <c r="H78" s="26"/>
      <c r="I78" s="26"/>
      <c r="J78" s="2"/>
      <c r="K78" s="25"/>
      <c r="L78" s="25"/>
      <c r="M78" s="25"/>
      <c r="N78" s="25"/>
      <c r="O78" s="25"/>
      <c r="P78" s="25"/>
    </row>
    <row r="79" spans="1:16" x14ac:dyDescent="0.25">
      <c r="A79">
        <v>178</v>
      </c>
      <c r="B79" s="25"/>
      <c r="C79" s="26"/>
      <c r="D79" s="2"/>
      <c r="E79" s="25"/>
      <c r="F79" s="25"/>
      <c r="G79" s="25"/>
      <c r="H79" s="26"/>
      <c r="I79" s="26"/>
      <c r="J79" s="2"/>
      <c r="K79" s="25"/>
      <c r="L79" s="25"/>
      <c r="M79" s="25"/>
      <c r="N79" s="25"/>
      <c r="O79" s="25"/>
      <c r="P79" s="25"/>
    </row>
    <row r="80" spans="1:16" x14ac:dyDescent="0.25">
      <c r="A80">
        <v>179</v>
      </c>
      <c r="B80" s="25"/>
      <c r="C80" s="26"/>
      <c r="D80" s="2"/>
      <c r="E80" s="25"/>
      <c r="F80" s="25"/>
      <c r="G80" s="25"/>
      <c r="H80" s="26"/>
      <c r="I80" s="26"/>
      <c r="J80" s="2"/>
      <c r="K80" s="25"/>
      <c r="L80" s="25"/>
      <c r="M80" s="25"/>
      <c r="N80" s="25"/>
      <c r="O80" s="25"/>
      <c r="P80" s="25"/>
    </row>
    <row r="81" spans="1:16" x14ac:dyDescent="0.25">
      <c r="A81">
        <v>180</v>
      </c>
      <c r="B81" s="25"/>
      <c r="C81" s="26"/>
      <c r="D81" s="2"/>
      <c r="E81" s="25"/>
      <c r="F81" s="25"/>
      <c r="G81" s="25"/>
      <c r="H81" s="26"/>
      <c r="I81" s="26"/>
      <c r="J81" s="2"/>
      <c r="K81" s="25"/>
      <c r="L81" s="25"/>
      <c r="M81" s="25"/>
      <c r="N81" s="25"/>
      <c r="O81" s="25"/>
      <c r="P81" s="25"/>
    </row>
    <row r="82" spans="1:16" x14ac:dyDescent="0.25">
      <c r="A82">
        <v>181</v>
      </c>
      <c r="B82" s="25"/>
      <c r="C82" s="26"/>
      <c r="D82" s="2"/>
      <c r="E82" s="25"/>
      <c r="F82" s="25"/>
      <c r="G82" s="25"/>
      <c r="H82" s="26"/>
      <c r="I82" s="26"/>
      <c r="J82" s="2"/>
      <c r="K82" s="25"/>
      <c r="L82" s="25"/>
      <c r="M82" s="25"/>
      <c r="N82" s="25"/>
      <c r="O82" s="25"/>
      <c r="P82" s="25"/>
    </row>
    <row r="83" spans="1:16" x14ac:dyDescent="0.25">
      <c r="A83">
        <v>182</v>
      </c>
      <c r="B83" s="25"/>
      <c r="C83" s="26"/>
      <c r="D83" s="2"/>
      <c r="E83" s="25"/>
      <c r="F83" s="25"/>
      <c r="G83" s="25"/>
      <c r="H83" s="26"/>
      <c r="I83" s="26"/>
      <c r="J83" s="2"/>
      <c r="K83" s="25"/>
      <c r="L83" s="25"/>
      <c r="M83" s="25"/>
      <c r="N83" s="25"/>
      <c r="O83" s="25"/>
      <c r="P83" s="25"/>
    </row>
    <row r="84" spans="1:16" x14ac:dyDescent="0.25">
      <c r="A84">
        <v>183</v>
      </c>
      <c r="B84" s="25"/>
      <c r="C84" s="26"/>
      <c r="D84" s="2"/>
      <c r="E84" s="25"/>
      <c r="F84" s="25"/>
      <c r="G84" s="25"/>
      <c r="H84" s="26"/>
      <c r="I84" s="26"/>
      <c r="J84" s="2"/>
      <c r="K84" s="25"/>
      <c r="L84" s="25"/>
      <c r="M84" s="25"/>
      <c r="N84" s="25"/>
      <c r="O84" s="25"/>
      <c r="P84" s="25"/>
    </row>
    <row r="85" spans="1:16" x14ac:dyDescent="0.25">
      <c r="A85">
        <v>184</v>
      </c>
      <c r="B85" s="25"/>
      <c r="C85" s="26"/>
      <c r="D85" s="2"/>
      <c r="E85" s="25"/>
      <c r="F85" s="25"/>
      <c r="G85" s="25"/>
      <c r="H85" s="26"/>
      <c r="I85" s="26"/>
      <c r="J85" s="2"/>
      <c r="K85" s="25"/>
      <c r="L85" s="25"/>
      <c r="M85" s="25"/>
      <c r="N85" s="25"/>
      <c r="O85" s="25"/>
      <c r="P85" s="25"/>
    </row>
    <row r="86" spans="1:16" x14ac:dyDescent="0.25">
      <c r="A86">
        <v>185</v>
      </c>
      <c r="B86" s="25"/>
      <c r="C86" s="26"/>
      <c r="D86" s="2"/>
      <c r="E86" s="25"/>
      <c r="F86" s="25"/>
      <c r="G86" s="25"/>
      <c r="H86" s="26"/>
      <c r="I86" s="26"/>
      <c r="J86" s="2"/>
      <c r="K86" s="25"/>
      <c r="L86" s="25"/>
      <c r="M86" s="25"/>
      <c r="N86" s="25"/>
      <c r="O86" s="25"/>
      <c r="P86" s="25"/>
    </row>
    <row r="87" spans="1:16" x14ac:dyDescent="0.25">
      <c r="A87">
        <v>186</v>
      </c>
      <c r="B87" s="25"/>
      <c r="C87" s="26"/>
      <c r="D87" s="2"/>
      <c r="E87" s="25"/>
      <c r="F87" s="25"/>
      <c r="G87" s="25"/>
      <c r="H87" s="26"/>
      <c r="I87" s="26"/>
      <c r="J87" s="2"/>
      <c r="K87" s="25"/>
      <c r="L87" s="25"/>
      <c r="M87" s="25"/>
      <c r="N87" s="25"/>
      <c r="O87" s="25"/>
      <c r="P87" s="25"/>
    </row>
    <row r="88" spans="1:16" x14ac:dyDescent="0.25">
      <c r="A88">
        <v>187</v>
      </c>
      <c r="B88" s="25"/>
      <c r="C88" s="26"/>
      <c r="D88" s="2"/>
      <c r="E88" s="25"/>
      <c r="F88" s="25"/>
      <c r="G88" s="25"/>
      <c r="H88" s="26"/>
      <c r="I88" s="26"/>
      <c r="J88" s="2"/>
      <c r="K88" s="25"/>
      <c r="L88" s="25"/>
      <c r="M88" s="25"/>
      <c r="N88" s="25"/>
      <c r="O88" s="25"/>
      <c r="P88" s="25"/>
    </row>
    <row r="89" spans="1:16" x14ac:dyDescent="0.25">
      <c r="A89">
        <v>188</v>
      </c>
      <c r="B89" s="25"/>
      <c r="C89" s="26"/>
      <c r="D89" s="2"/>
      <c r="E89" s="25"/>
      <c r="F89" s="25"/>
      <c r="G89" s="25"/>
      <c r="H89" s="26"/>
      <c r="I89" s="26"/>
      <c r="J89" s="2"/>
      <c r="K89" s="25"/>
      <c r="L89" s="25"/>
      <c r="M89" s="25"/>
      <c r="N89" s="25"/>
      <c r="O89" s="25"/>
      <c r="P89" s="25"/>
    </row>
    <row r="90" spans="1:16" x14ac:dyDescent="0.25">
      <c r="A90">
        <v>189</v>
      </c>
      <c r="B90" s="25"/>
      <c r="C90" s="26"/>
      <c r="D90" s="2"/>
      <c r="E90" s="25"/>
      <c r="F90" s="25"/>
      <c r="G90" s="25"/>
      <c r="H90" s="26"/>
      <c r="I90" s="26"/>
      <c r="J90" s="2"/>
      <c r="K90" s="25"/>
      <c r="L90" s="25"/>
      <c r="M90" s="25"/>
      <c r="N90" s="25"/>
      <c r="O90" s="25"/>
      <c r="P90" s="25"/>
    </row>
    <row r="91" spans="1:16" x14ac:dyDescent="0.25">
      <c r="A91">
        <v>190</v>
      </c>
      <c r="B91" s="25"/>
      <c r="C91" s="26"/>
      <c r="D91" s="2"/>
      <c r="E91" s="25"/>
      <c r="F91" s="25"/>
      <c r="G91" s="25"/>
      <c r="H91" s="26"/>
      <c r="I91" s="26"/>
      <c r="J91" s="2"/>
      <c r="K91" s="25"/>
      <c r="L91" s="25"/>
      <c r="M91" s="25"/>
      <c r="N91" s="25"/>
      <c r="O91" s="25"/>
      <c r="P91" s="25"/>
    </row>
    <row r="92" spans="1:16" x14ac:dyDescent="0.25">
      <c r="A92">
        <v>191</v>
      </c>
      <c r="B92" s="25"/>
      <c r="C92" s="26"/>
      <c r="D92" s="2"/>
      <c r="E92" s="25"/>
      <c r="F92" s="25"/>
      <c r="G92" s="25"/>
      <c r="H92" s="26"/>
      <c r="I92" s="26"/>
      <c r="J92" s="2"/>
      <c r="K92" s="25"/>
      <c r="L92" s="25"/>
      <c r="M92" s="25"/>
      <c r="N92" s="25"/>
      <c r="O92" s="25"/>
      <c r="P92" s="25"/>
    </row>
    <row r="93" spans="1:16" x14ac:dyDescent="0.25">
      <c r="B93" s="25"/>
      <c r="C93" s="26"/>
      <c r="D93" s="2"/>
      <c r="E93" s="25"/>
      <c r="F93" s="25"/>
      <c r="G93" s="25"/>
      <c r="H93" s="26"/>
      <c r="I93" s="26"/>
      <c r="J93" s="2"/>
      <c r="K93" s="25"/>
      <c r="L93" s="25"/>
      <c r="M93" s="25"/>
      <c r="N93" s="25"/>
      <c r="O93" s="25"/>
      <c r="P93" s="25"/>
    </row>
    <row r="94" spans="1:16" x14ac:dyDescent="0.25">
      <c r="A94" t="s">
        <v>0</v>
      </c>
      <c r="B94" s="25" t="s">
        <v>1</v>
      </c>
      <c r="C94" s="26"/>
      <c r="D94" s="2"/>
      <c r="E94" s="25" t="s">
        <v>4</v>
      </c>
      <c r="F94" s="25" t="s">
        <v>5</v>
      </c>
      <c r="G94" s="25" t="s">
        <v>6</v>
      </c>
      <c r="H94" s="26"/>
      <c r="I94" s="26"/>
      <c r="J94" s="2"/>
      <c r="K94" s="25" t="s">
        <v>10</v>
      </c>
      <c r="L94" s="25" t="s">
        <v>11</v>
      </c>
      <c r="M94" s="25" t="s">
        <v>12</v>
      </c>
      <c r="N94" s="25" t="s">
        <v>13</v>
      </c>
      <c r="O94" s="25" t="s">
        <v>14</v>
      </c>
      <c r="P94" s="25" t="s">
        <v>15</v>
      </c>
    </row>
    <row r="95" spans="1:16" x14ac:dyDescent="0.25">
      <c r="A95">
        <v>201</v>
      </c>
      <c r="B95" s="25" t="s">
        <v>53</v>
      </c>
      <c r="C95" s="26">
        <v>0.4909722222222222</v>
      </c>
      <c r="D95" s="2">
        <v>45966</v>
      </c>
      <c r="E95" s="25" t="s">
        <v>17</v>
      </c>
      <c r="F95" s="25" t="s">
        <v>18</v>
      </c>
      <c r="G95" s="25" t="s">
        <v>54</v>
      </c>
      <c r="H95" s="26"/>
      <c r="I95" s="26"/>
      <c r="J95" s="2"/>
      <c r="K95" s="25"/>
      <c r="L95" s="25"/>
      <c r="M95" s="25"/>
      <c r="N95" s="25"/>
      <c r="O95" s="25"/>
      <c r="P95" s="25" t="s">
        <v>33</v>
      </c>
    </row>
    <row r="96" spans="1:16" x14ac:dyDescent="0.25">
      <c r="A96">
        <v>202</v>
      </c>
      <c r="B96" s="25" t="s">
        <v>55</v>
      </c>
      <c r="C96" s="26">
        <v>0.29166666666666669</v>
      </c>
      <c r="D96" s="2">
        <v>45966</v>
      </c>
      <c r="E96" s="25" t="s">
        <v>17</v>
      </c>
      <c r="F96" s="25" t="s">
        <v>18</v>
      </c>
      <c r="G96" s="25" t="s">
        <v>56</v>
      </c>
      <c r="H96" s="26">
        <v>0.41666666666666669</v>
      </c>
      <c r="I96" s="26">
        <v>0.4375</v>
      </c>
      <c r="J96" s="2">
        <v>45966</v>
      </c>
      <c r="K96" s="25" t="s">
        <v>20</v>
      </c>
      <c r="L96" s="25" t="s">
        <v>57</v>
      </c>
      <c r="M96" s="25" t="s">
        <v>58</v>
      </c>
      <c r="N96" s="25" t="s">
        <v>22</v>
      </c>
      <c r="O96" s="25" t="s">
        <v>59</v>
      </c>
      <c r="P96" s="25" t="s">
        <v>23</v>
      </c>
    </row>
    <row r="97" spans="1:16" x14ac:dyDescent="0.25">
      <c r="A97">
        <v>203</v>
      </c>
      <c r="B97" s="25" t="s">
        <v>55</v>
      </c>
      <c r="C97" s="26">
        <v>0.29166666666666669</v>
      </c>
      <c r="D97" s="2">
        <v>45966</v>
      </c>
      <c r="E97" s="25" t="s">
        <v>17</v>
      </c>
      <c r="F97" s="25" t="s">
        <v>18</v>
      </c>
      <c r="G97" s="25" t="s">
        <v>60</v>
      </c>
      <c r="H97" s="26"/>
      <c r="I97" s="26"/>
      <c r="J97" s="2"/>
      <c r="K97" s="25"/>
      <c r="L97" s="25"/>
      <c r="M97" s="25"/>
      <c r="N97" s="25"/>
      <c r="O97" s="25"/>
      <c r="P97" s="25" t="s">
        <v>33</v>
      </c>
    </row>
    <row r="98" spans="1:16" x14ac:dyDescent="0.25">
      <c r="A98">
        <v>204</v>
      </c>
      <c r="B98" s="25" t="s">
        <v>55</v>
      </c>
      <c r="C98" s="26">
        <v>0.29166666666666669</v>
      </c>
      <c r="D98" s="2">
        <v>45966</v>
      </c>
      <c r="E98" s="25" t="s">
        <v>17</v>
      </c>
      <c r="F98" s="25" t="s">
        <v>18</v>
      </c>
      <c r="G98" s="25" t="s">
        <v>61</v>
      </c>
      <c r="H98" s="26"/>
      <c r="I98" s="26"/>
      <c r="J98" s="2"/>
      <c r="K98" s="25"/>
      <c r="L98" s="25"/>
      <c r="M98" s="25"/>
      <c r="N98" s="25"/>
      <c r="O98" s="25"/>
      <c r="P98" s="25" t="s">
        <v>33</v>
      </c>
    </row>
    <row r="99" spans="1:16" x14ac:dyDescent="0.25">
      <c r="A99">
        <v>205</v>
      </c>
      <c r="B99" s="25" t="s">
        <v>55</v>
      </c>
      <c r="C99" s="26">
        <v>0.29166666666666669</v>
      </c>
      <c r="D99" s="2">
        <v>45966</v>
      </c>
      <c r="E99" s="25" t="s">
        <v>17</v>
      </c>
      <c r="F99" s="25" t="s">
        <v>18</v>
      </c>
      <c r="G99" s="25" t="s">
        <v>62</v>
      </c>
      <c r="H99" s="26"/>
      <c r="I99" s="26"/>
      <c r="J99" s="2"/>
      <c r="K99" s="25"/>
      <c r="L99" s="25"/>
      <c r="M99" s="25"/>
      <c r="N99" s="25"/>
      <c r="O99" s="25"/>
      <c r="P99" s="25" t="s">
        <v>33</v>
      </c>
    </row>
    <row r="100" spans="1:16" x14ac:dyDescent="0.25">
      <c r="A100">
        <v>206</v>
      </c>
      <c r="B100" s="25" t="s">
        <v>53</v>
      </c>
      <c r="C100" s="26">
        <v>0.29166666666666669</v>
      </c>
      <c r="D100" s="2">
        <v>45980</v>
      </c>
      <c r="E100" s="25" t="s">
        <v>17</v>
      </c>
      <c r="F100" s="25" t="s">
        <v>18</v>
      </c>
      <c r="G100" s="25" t="s">
        <v>63</v>
      </c>
      <c r="H100" s="26"/>
      <c r="I100" s="26"/>
      <c r="J100" s="2"/>
      <c r="K100" s="25"/>
      <c r="L100" s="25"/>
      <c r="M100" s="25"/>
      <c r="N100" s="25"/>
      <c r="O100" s="25"/>
      <c r="P100" s="25" t="s">
        <v>33</v>
      </c>
    </row>
    <row r="101" spans="1:16" x14ac:dyDescent="0.25">
      <c r="A101">
        <v>207</v>
      </c>
      <c r="B101" s="25" t="s">
        <v>55</v>
      </c>
      <c r="C101" s="26">
        <v>0.29166666666666669</v>
      </c>
      <c r="D101" s="2">
        <v>45986</v>
      </c>
      <c r="E101" s="25" t="s">
        <v>17</v>
      </c>
      <c r="F101" s="25" t="s">
        <v>18</v>
      </c>
      <c r="G101" s="25" t="s">
        <v>64</v>
      </c>
      <c r="H101" s="26">
        <v>0.29166666666666669</v>
      </c>
      <c r="I101" s="26">
        <v>0.33333333333333331</v>
      </c>
      <c r="J101" s="2">
        <v>46003</v>
      </c>
      <c r="K101" s="25" t="s">
        <v>25</v>
      </c>
      <c r="L101" s="25" t="s">
        <v>65</v>
      </c>
      <c r="M101" s="25" t="s">
        <v>22</v>
      </c>
      <c r="N101" s="25" t="s">
        <v>22</v>
      </c>
      <c r="O101" s="25" t="s">
        <v>66</v>
      </c>
      <c r="P101" s="25" t="s">
        <v>23</v>
      </c>
    </row>
    <row r="102" spans="1:16" x14ac:dyDescent="0.25">
      <c r="A102">
        <v>208</v>
      </c>
      <c r="B102" s="25" t="s">
        <v>53</v>
      </c>
      <c r="C102" s="26">
        <v>0.64583333333333337</v>
      </c>
      <c r="D102" s="2">
        <v>45983</v>
      </c>
      <c r="E102" s="25" t="s">
        <v>17</v>
      </c>
      <c r="F102" s="25" t="s">
        <v>18</v>
      </c>
      <c r="G102" s="25" t="s">
        <v>67</v>
      </c>
      <c r="H102" s="26">
        <v>0.41666666666666669</v>
      </c>
      <c r="I102" s="26">
        <v>0.5</v>
      </c>
      <c r="J102" s="2">
        <v>45984</v>
      </c>
      <c r="K102" s="25" t="s">
        <v>20</v>
      </c>
      <c r="L102" s="25" t="s">
        <v>68</v>
      </c>
      <c r="M102" s="25" t="s">
        <v>22</v>
      </c>
      <c r="N102" s="25" t="s">
        <v>22</v>
      </c>
      <c r="O102" s="25" t="s">
        <v>66</v>
      </c>
      <c r="P102" s="25" t="s">
        <v>23</v>
      </c>
    </row>
    <row r="103" spans="1:16" x14ac:dyDescent="0.25">
      <c r="A103">
        <v>209</v>
      </c>
      <c r="B103" s="25" t="s">
        <v>55</v>
      </c>
      <c r="C103" s="26">
        <v>0.29166666666666669</v>
      </c>
      <c r="D103" s="2">
        <v>45985</v>
      </c>
      <c r="E103" s="25" t="s">
        <v>91</v>
      </c>
      <c r="F103" s="25" t="s">
        <v>18</v>
      </c>
      <c r="G103" s="25" t="s">
        <v>69</v>
      </c>
      <c r="H103" s="26"/>
      <c r="I103" s="26"/>
      <c r="J103" s="2"/>
      <c r="K103" s="25"/>
      <c r="L103" s="25"/>
      <c r="M103" s="25"/>
      <c r="N103" s="25"/>
      <c r="O103" s="25"/>
      <c r="P103" s="25"/>
    </row>
    <row r="104" spans="1:16" x14ac:dyDescent="0.25">
      <c r="A104">
        <v>210</v>
      </c>
      <c r="B104" s="25" t="s">
        <v>55</v>
      </c>
      <c r="C104" s="26">
        <v>0.10416666666666667</v>
      </c>
      <c r="D104" s="2">
        <v>45978</v>
      </c>
      <c r="E104" s="25" t="s">
        <v>17</v>
      </c>
      <c r="F104" s="25" t="s">
        <v>18</v>
      </c>
      <c r="G104" s="25" t="s">
        <v>70</v>
      </c>
      <c r="H104" s="26"/>
      <c r="I104" s="26"/>
      <c r="J104" s="2"/>
      <c r="K104" s="25"/>
      <c r="L104" s="25"/>
      <c r="M104" s="25"/>
      <c r="N104" s="25"/>
      <c r="O104" s="25"/>
      <c r="P104" s="25" t="s">
        <v>33</v>
      </c>
    </row>
    <row r="105" spans="1:16" x14ac:dyDescent="0.25">
      <c r="A105">
        <v>211</v>
      </c>
      <c r="B105" s="25" t="s">
        <v>53</v>
      </c>
      <c r="C105" s="26">
        <v>0.12847222222222221</v>
      </c>
      <c r="D105" s="2">
        <v>45993</v>
      </c>
      <c r="E105" s="25" t="s">
        <v>17</v>
      </c>
      <c r="F105" s="25" t="s">
        <v>18</v>
      </c>
      <c r="G105" s="25" t="s">
        <v>71</v>
      </c>
      <c r="H105" s="26">
        <v>0.33333333333333331</v>
      </c>
      <c r="I105" s="26">
        <v>0.41666666666666669</v>
      </c>
      <c r="J105" s="2">
        <v>45994</v>
      </c>
      <c r="K105" s="25" t="s">
        <v>25</v>
      </c>
      <c r="L105" s="25" t="s">
        <v>72</v>
      </c>
      <c r="M105" s="25" t="s">
        <v>22</v>
      </c>
      <c r="N105" s="25" t="s">
        <v>22</v>
      </c>
      <c r="O105" s="25" t="s">
        <v>66</v>
      </c>
      <c r="P105" s="25" t="s">
        <v>23</v>
      </c>
    </row>
    <row r="106" spans="1:16" x14ac:dyDescent="0.25">
      <c r="A106">
        <v>212</v>
      </c>
      <c r="B106" s="25" t="s">
        <v>55</v>
      </c>
      <c r="C106" s="26">
        <v>0.25</v>
      </c>
      <c r="D106" s="2">
        <v>46002</v>
      </c>
      <c r="E106" s="25" t="s">
        <v>17</v>
      </c>
      <c r="F106" s="25" t="s">
        <v>18</v>
      </c>
      <c r="G106" s="25" t="s">
        <v>73</v>
      </c>
      <c r="H106" s="26">
        <v>0.29166666666666669</v>
      </c>
      <c r="I106" s="26">
        <v>0.375</v>
      </c>
      <c r="J106" s="2">
        <v>46002</v>
      </c>
      <c r="K106" s="25" t="s">
        <v>25</v>
      </c>
      <c r="L106" s="25" t="s">
        <v>74</v>
      </c>
      <c r="M106" s="25" t="s">
        <v>22</v>
      </c>
      <c r="N106" s="25" t="s">
        <v>22</v>
      </c>
      <c r="O106" s="25" t="s">
        <v>66</v>
      </c>
      <c r="P106" s="25" t="s">
        <v>23</v>
      </c>
    </row>
    <row r="107" spans="1:16" x14ac:dyDescent="0.25">
      <c r="A107">
        <v>213</v>
      </c>
      <c r="B107" s="25" t="s">
        <v>55</v>
      </c>
      <c r="C107" s="26"/>
      <c r="D107" s="2">
        <v>46002</v>
      </c>
      <c r="E107" s="25" t="s">
        <v>17</v>
      </c>
      <c r="F107" s="25" t="s">
        <v>18</v>
      </c>
      <c r="G107" s="25" t="s">
        <v>75</v>
      </c>
      <c r="H107" s="26"/>
      <c r="I107" s="26"/>
      <c r="J107" s="2"/>
      <c r="K107" s="25"/>
      <c r="L107" s="25"/>
      <c r="M107" s="25"/>
      <c r="N107" s="25"/>
      <c r="O107" s="25"/>
      <c r="P107" s="25" t="s">
        <v>33</v>
      </c>
    </row>
    <row r="108" spans="1:16" x14ac:dyDescent="0.25">
      <c r="A108">
        <v>214</v>
      </c>
      <c r="B108" s="25" t="s">
        <v>55</v>
      </c>
      <c r="C108" s="26"/>
      <c r="D108" s="2">
        <v>45703</v>
      </c>
      <c r="E108" s="25" t="s">
        <v>17</v>
      </c>
      <c r="F108" s="25" t="s">
        <v>18</v>
      </c>
      <c r="G108" s="25" t="s">
        <v>76</v>
      </c>
      <c r="H108" s="26"/>
      <c r="I108" s="26"/>
      <c r="J108" s="2"/>
      <c r="K108" s="25"/>
      <c r="L108" s="25"/>
      <c r="M108" s="25"/>
      <c r="N108" s="25"/>
      <c r="O108" s="25"/>
      <c r="P108" s="25" t="s">
        <v>33</v>
      </c>
    </row>
    <row r="109" spans="1:16" x14ac:dyDescent="0.25">
      <c r="A109">
        <v>215</v>
      </c>
      <c r="B109" s="25" t="s">
        <v>55</v>
      </c>
      <c r="C109" s="26"/>
      <c r="D109" s="2">
        <v>46042</v>
      </c>
      <c r="E109" s="25" t="s">
        <v>17</v>
      </c>
      <c r="F109" s="25" t="s">
        <v>18</v>
      </c>
      <c r="G109" s="25" t="s">
        <v>77</v>
      </c>
      <c r="H109" s="26"/>
      <c r="I109" s="26"/>
      <c r="J109" s="2"/>
      <c r="K109" s="25"/>
      <c r="L109" s="25"/>
      <c r="M109" s="25"/>
      <c r="N109" s="25"/>
      <c r="O109" s="25"/>
      <c r="P109" s="25" t="s">
        <v>33</v>
      </c>
    </row>
    <row r="110" spans="1:16" x14ac:dyDescent="0.25">
      <c r="A110">
        <v>216</v>
      </c>
      <c r="B110" s="25" t="s">
        <v>55</v>
      </c>
      <c r="C110" s="26"/>
      <c r="D110" s="2">
        <v>46042</v>
      </c>
      <c r="E110" s="25" t="s">
        <v>17</v>
      </c>
      <c r="F110" s="25" t="s">
        <v>18</v>
      </c>
      <c r="G110" s="25" t="s">
        <v>78</v>
      </c>
      <c r="H110" s="26"/>
      <c r="I110" s="26"/>
      <c r="J110" s="2"/>
      <c r="K110" s="25"/>
      <c r="L110" s="25"/>
      <c r="M110" s="25"/>
      <c r="N110" s="25"/>
      <c r="O110" s="25"/>
      <c r="P110" s="25" t="s">
        <v>23</v>
      </c>
    </row>
    <row r="111" spans="1:16" x14ac:dyDescent="0.25">
      <c r="A111">
        <v>217</v>
      </c>
      <c r="B111" s="25"/>
      <c r="C111" s="26"/>
      <c r="D111" s="2"/>
      <c r="E111" s="25"/>
      <c r="F111" s="25" t="s">
        <v>18</v>
      </c>
      <c r="G111" s="25"/>
      <c r="H111" s="26"/>
      <c r="I111" s="26"/>
      <c r="J111" s="2"/>
      <c r="K111" s="25"/>
      <c r="L111" s="25"/>
      <c r="M111" s="25"/>
      <c r="N111" s="25"/>
      <c r="O111" s="25"/>
      <c r="P111" s="25"/>
    </row>
    <row r="112" spans="1:16" x14ac:dyDescent="0.25">
      <c r="A112">
        <v>218</v>
      </c>
      <c r="B112" s="25" t="s">
        <v>55</v>
      </c>
      <c r="C112" s="26"/>
      <c r="D112" s="2">
        <v>46051</v>
      </c>
      <c r="E112" s="25" t="s">
        <v>17</v>
      </c>
      <c r="F112" s="25" t="s">
        <v>18</v>
      </c>
      <c r="G112" s="25" t="s">
        <v>79</v>
      </c>
      <c r="H112" s="26"/>
      <c r="I112" s="26"/>
      <c r="J112" s="2"/>
      <c r="K112" s="25"/>
      <c r="L112" s="25"/>
      <c r="M112" s="25"/>
      <c r="N112" s="25"/>
      <c r="O112" s="25"/>
      <c r="P112" s="25" t="s">
        <v>33</v>
      </c>
    </row>
    <row r="113" spans="1:16" x14ac:dyDescent="0.25">
      <c r="A113">
        <v>219</v>
      </c>
      <c r="B113" s="25" t="s">
        <v>55</v>
      </c>
      <c r="C113" s="26"/>
      <c r="D113" s="2">
        <v>46052</v>
      </c>
      <c r="E113" s="25" t="s">
        <v>17</v>
      </c>
      <c r="F113" s="25" t="s">
        <v>18</v>
      </c>
      <c r="G113" s="25" t="s">
        <v>80</v>
      </c>
      <c r="H113" s="26"/>
      <c r="I113" s="26"/>
      <c r="J113" s="2"/>
      <c r="K113" s="25"/>
      <c r="L113" s="25"/>
      <c r="M113" s="25"/>
      <c r="N113" s="25"/>
      <c r="O113" s="25"/>
      <c r="P113" s="25" t="s">
        <v>33</v>
      </c>
    </row>
    <row r="114" spans="1:16" x14ac:dyDescent="0.25">
      <c r="A114">
        <v>220</v>
      </c>
      <c r="B114" s="25" t="s">
        <v>55</v>
      </c>
      <c r="C114" s="26"/>
      <c r="D114" s="2">
        <v>46052</v>
      </c>
      <c r="E114" s="25" t="s">
        <v>17</v>
      </c>
      <c r="F114" s="25" t="s">
        <v>18</v>
      </c>
      <c r="G114" s="25" t="s">
        <v>81</v>
      </c>
      <c r="H114" s="26"/>
      <c r="I114" s="26"/>
      <c r="J114" s="2"/>
      <c r="K114" s="25"/>
      <c r="L114" s="25"/>
      <c r="M114" s="25"/>
      <c r="N114" s="25"/>
      <c r="O114" s="25"/>
      <c r="P114" s="25" t="s">
        <v>33</v>
      </c>
    </row>
    <row r="115" spans="1:16" x14ac:dyDescent="0.25">
      <c r="A115">
        <v>221</v>
      </c>
      <c r="B115" s="25" t="s">
        <v>55</v>
      </c>
      <c r="C115" s="26"/>
      <c r="D115" s="2">
        <v>46025</v>
      </c>
      <c r="E115" s="25" t="s">
        <v>17</v>
      </c>
      <c r="F115" s="25" t="s">
        <v>18</v>
      </c>
      <c r="G115" s="25" t="s">
        <v>82</v>
      </c>
      <c r="H115" s="26"/>
      <c r="I115" s="26"/>
      <c r="J115" s="2"/>
      <c r="K115" s="25"/>
      <c r="L115" s="25"/>
      <c r="M115" s="25"/>
      <c r="N115" s="25"/>
      <c r="O115" s="25"/>
      <c r="P115" s="25" t="s">
        <v>33</v>
      </c>
    </row>
    <row r="116" spans="1:16" x14ac:dyDescent="0.25">
      <c r="A116">
        <v>222</v>
      </c>
      <c r="B116" s="25" t="s">
        <v>83</v>
      </c>
      <c r="C116" s="26"/>
      <c r="D116" s="2">
        <v>46065</v>
      </c>
      <c r="E116" s="25" t="s">
        <v>17</v>
      </c>
      <c r="F116" s="25" t="s">
        <v>18</v>
      </c>
      <c r="G116" s="25" t="s">
        <v>84</v>
      </c>
      <c r="H116" s="26"/>
      <c r="I116" s="26"/>
      <c r="J116" s="2"/>
      <c r="K116" s="25"/>
      <c r="L116" s="25"/>
      <c r="M116" s="25"/>
      <c r="N116" s="25"/>
      <c r="O116" s="25"/>
      <c r="P116" s="25" t="s">
        <v>33</v>
      </c>
    </row>
    <row r="117" spans="1:16" x14ac:dyDescent="0.25">
      <c r="A117">
        <v>223</v>
      </c>
      <c r="B117" s="25" t="s">
        <v>55</v>
      </c>
      <c r="C117" s="26"/>
      <c r="D117" s="2">
        <v>46066</v>
      </c>
      <c r="E117" s="25" t="s">
        <v>91</v>
      </c>
      <c r="F117" s="25" t="s">
        <v>18</v>
      </c>
      <c r="G117" s="25" t="s">
        <v>86</v>
      </c>
      <c r="H117" s="26"/>
      <c r="I117" s="26"/>
      <c r="J117" s="2"/>
      <c r="K117" s="25"/>
      <c r="L117" s="25"/>
      <c r="M117" s="25"/>
      <c r="N117" s="25"/>
      <c r="O117" s="25"/>
      <c r="P117" s="25" t="s">
        <v>33</v>
      </c>
    </row>
    <row r="118" spans="1:16" x14ac:dyDescent="0.25">
      <c r="A118">
        <v>224</v>
      </c>
      <c r="B118" s="25" t="s">
        <v>55</v>
      </c>
      <c r="C118" s="26"/>
      <c r="D118" s="2">
        <v>46066</v>
      </c>
      <c r="E118" s="25" t="s">
        <v>87</v>
      </c>
      <c r="F118" s="25" t="s">
        <v>18</v>
      </c>
      <c r="G118" s="25" t="s">
        <v>88</v>
      </c>
      <c r="H118" s="26"/>
      <c r="I118" s="26"/>
      <c r="J118" s="2"/>
      <c r="K118" s="25"/>
      <c r="L118" s="25"/>
      <c r="M118" s="25"/>
      <c r="N118" s="25"/>
      <c r="O118" s="25"/>
      <c r="P118" s="25" t="s">
        <v>33</v>
      </c>
    </row>
    <row r="119" spans="1:16" x14ac:dyDescent="0.25">
      <c r="A119">
        <v>225</v>
      </c>
      <c r="B119" s="25" t="s">
        <v>55</v>
      </c>
      <c r="C119" s="26"/>
      <c r="D119" s="2">
        <v>46070</v>
      </c>
      <c r="E119" s="25" t="s">
        <v>17</v>
      </c>
      <c r="F119" s="25" t="s">
        <v>18</v>
      </c>
      <c r="G119" s="25" t="s">
        <v>89</v>
      </c>
      <c r="H119" s="26"/>
      <c r="I119" s="26"/>
      <c r="J119" s="2"/>
      <c r="K119" s="25"/>
      <c r="L119" s="25"/>
      <c r="M119" s="25"/>
      <c r="N119" s="25"/>
      <c r="O119" s="25"/>
      <c r="P119" s="25" t="s">
        <v>33</v>
      </c>
    </row>
    <row r="120" spans="1:16" x14ac:dyDescent="0.25">
      <c r="A120">
        <v>226</v>
      </c>
      <c r="B120" s="25" t="s">
        <v>55</v>
      </c>
      <c r="C120" s="26"/>
      <c r="D120" s="2">
        <v>46070</v>
      </c>
      <c r="E120" s="25" t="s">
        <v>17</v>
      </c>
      <c r="F120" s="25" t="s">
        <v>18</v>
      </c>
      <c r="G120" s="25" t="s">
        <v>90</v>
      </c>
      <c r="H120" s="26"/>
      <c r="I120" s="26"/>
      <c r="J120" s="2"/>
      <c r="K120" s="25"/>
      <c r="L120" s="25"/>
      <c r="M120" s="25"/>
      <c r="N120" s="25"/>
      <c r="O120" s="25"/>
      <c r="P120" s="25" t="s">
        <v>33</v>
      </c>
    </row>
    <row r="121" spans="1:16" x14ac:dyDescent="0.25">
      <c r="A121">
        <v>227</v>
      </c>
      <c r="B121" s="25" t="s">
        <v>55</v>
      </c>
      <c r="C121" s="26"/>
      <c r="D121" s="2">
        <v>46087</v>
      </c>
      <c r="E121" s="25" t="s">
        <v>91</v>
      </c>
      <c r="F121" s="25" t="s">
        <v>18</v>
      </c>
      <c r="G121" s="25" t="s">
        <v>92</v>
      </c>
      <c r="H121" s="26"/>
      <c r="I121" s="26"/>
      <c r="J121" s="2"/>
      <c r="K121" s="25"/>
      <c r="L121" s="25"/>
      <c r="M121" s="25"/>
      <c r="N121" s="25"/>
      <c r="O121" s="25"/>
      <c r="P121" s="25"/>
    </row>
    <row r="122" spans="1:16" x14ac:dyDescent="0.25">
      <c r="A122">
        <v>228</v>
      </c>
      <c r="B122" s="25"/>
      <c r="C122" s="26"/>
      <c r="D122" s="2"/>
      <c r="E122" s="25"/>
      <c r="F122" s="25"/>
      <c r="G122" s="25"/>
      <c r="H122" s="26"/>
      <c r="I122" s="26"/>
      <c r="J122" s="2"/>
      <c r="K122" s="25"/>
      <c r="L122" s="25"/>
      <c r="M122" s="25"/>
      <c r="N122" s="25"/>
      <c r="O122" s="25"/>
      <c r="P122" s="25"/>
    </row>
    <row r="123" spans="1:16" x14ac:dyDescent="0.25">
      <c r="A123">
        <v>229</v>
      </c>
      <c r="B123" s="25" t="s">
        <v>695</v>
      </c>
      <c r="C123" s="26">
        <v>0.15555555555555556</v>
      </c>
      <c r="D123" s="2">
        <v>46126</v>
      </c>
      <c r="E123" s="25" t="s">
        <v>17</v>
      </c>
      <c r="F123" s="25" t="s">
        <v>18</v>
      </c>
      <c r="G123" s="25" t="s">
        <v>1907</v>
      </c>
      <c r="H123" s="26"/>
      <c r="I123" s="26"/>
      <c r="J123" s="2"/>
      <c r="K123" s="25"/>
      <c r="L123" s="25"/>
      <c r="M123" s="25"/>
      <c r="N123" s="25"/>
      <c r="O123" s="25"/>
      <c r="P123" s="25" t="s">
        <v>33</v>
      </c>
    </row>
    <row r="124" spans="1:16" x14ac:dyDescent="0.25">
      <c r="A124">
        <v>230</v>
      </c>
      <c r="B124" s="25" t="s">
        <v>55</v>
      </c>
      <c r="C124" s="26"/>
      <c r="D124" s="2">
        <v>46136</v>
      </c>
      <c r="E124" s="25" t="s">
        <v>17</v>
      </c>
      <c r="F124" s="25" t="s">
        <v>18</v>
      </c>
      <c r="G124" s="25" t="s">
        <v>2010</v>
      </c>
      <c r="H124" s="26"/>
      <c r="I124" s="26"/>
      <c r="J124" s="2"/>
      <c r="K124" s="25"/>
      <c r="L124" s="25"/>
      <c r="M124" s="25"/>
      <c r="N124" s="25"/>
      <c r="O124" s="25"/>
      <c r="P124" s="25" t="s">
        <v>33</v>
      </c>
    </row>
    <row r="125" spans="1:16" x14ac:dyDescent="0.25">
      <c r="A125">
        <v>231</v>
      </c>
      <c r="B125" s="25"/>
      <c r="C125" s="26"/>
      <c r="D125" s="2"/>
      <c r="E125" s="25"/>
      <c r="F125" s="25"/>
      <c r="G125" s="25"/>
      <c r="H125" s="26"/>
      <c r="I125" s="26"/>
      <c r="J125" s="2"/>
      <c r="K125" s="25"/>
      <c r="L125" s="25"/>
      <c r="M125" s="25"/>
      <c r="N125" s="25"/>
      <c r="O125" s="25"/>
      <c r="P125" s="25"/>
    </row>
    <row r="126" spans="1:16" x14ac:dyDescent="0.25">
      <c r="A126">
        <v>232</v>
      </c>
      <c r="B126" s="25"/>
      <c r="C126" s="26"/>
      <c r="D126" s="2"/>
      <c r="E126" s="25"/>
      <c r="F126" s="25"/>
      <c r="G126" s="25"/>
      <c r="H126" s="26"/>
      <c r="I126" s="26"/>
      <c r="J126" s="2"/>
      <c r="K126" s="25"/>
      <c r="L126" s="25"/>
      <c r="M126" s="25"/>
      <c r="N126" s="25"/>
      <c r="O126" s="25"/>
      <c r="P126" s="25"/>
    </row>
    <row r="127" spans="1:16" x14ac:dyDescent="0.25">
      <c r="A127">
        <v>233</v>
      </c>
      <c r="B127" s="25"/>
      <c r="C127" s="26"/>
      <c r="D127" s="2"/>
      <c r="E127" s="25"/>
      <c r="F127" s="25"/>
      <c r="G127" s="25"/>
      <c r="H127" s="26"/>
      <c r="I127" s="26"/>
      <c r="J127" s="2"/>
      <c r="K127" s="25"/>
      <c r="L127" s="25"/>
      <c r="M127" s="25"/>
      <c r="N127" s="25"/>
      <c r="O127" s="25"/>
      <c r="P127" s="25"/>
    </row>
    <row r="128" spans="1:16" x14ac:dyDescent="0.25">
      <c r="A128">
        <v>234</v>
      </c>
      <c r="B128" s="25"/>
      <c r="C128" s="26"/>
      <c r="D128" s="2"/>
      <c r="E128" s="25"/>
      <c r="F128" s="25"/>
      <c r="G128" s="25"/>
      <c r="H128" s="26"/>
      <c r="I128" s="26"/>
      <c r="J128" s="2"/>
      <c r="K128" s="25"/>
      <c r="L128" s="25"/>
      <c r="M128" s="25"/>
      <c r="N128" s="25"/>
      <c r="O128" s="25"/>
      <c r="P128" s="25"/>
    </row>
    <row r="129" spans="1:16" x14ac:dyDescent="0.25">
      <c r="A129">
        <v>235</v>
      </c>
      <c r="B129" s="25"/>
      <c r="C129" s="26"/>
      <c r="D129" s="2"/>
      <c r="E129" s="25"/>
      <c r="F129" s="25"/>
      <c r="G129" s="25"/>
      <c r="H129" s="26"/>
      <c r="I129" s="26"/>
      <c r="J129" s="2"/>
      <c r="K129" s="25"/>
      <c r="L129" s="25"/>
      <c r="M129" s="25"/>
      <c r="N129" s="25"/>
      <c r="O129" s="25"/>
      <c r="P129" s="25"/>
    </row>
    <row r="130" spans="1:16" x14ac:dyDescent="0.25">
      <c r="A130">
        <v>236</v>
      </c>
      <c r="B130" s="25"/>
      <c r="C130" s="26"/>
      <c r="D130" s="2"/>
      <c r="E130" s="25"/>
      <c r="F130" s="25"/>
      <c r="G130" s="25"/>
      <c r="H130" s="26"/>
      <c r="I130" s="26"/>
      <c r="J130" s="2"/>
      <c r="K130" s="25"/>
      <c r="L130" s="25"/>
      <c r="M130" s="25"/>
      <c r="N130" s="25"/>
      <c r="O130" s="25"/>
      <c r="P130" s="25"/>
    </row>
    <row r="131" spans="1:16" x14ac:dyDescent="0.25">
      <c r="A131">
        <v>237</v>
      </c>
      <c r="B131" s="25"/>
      <c r="C131" s="26"/>
      <c r="D131" s="2"/>
      <c r="E131" s="25"/>
      <c r="F131" s="25"/>
      <c r="G131" s="25"/>
      <c r="H131" s="26"/>
      <c r="I131" s="26"/>
      <c r="J131" s="2"/>
      <c r="K131" s="25"/>
      <c r="L131" s="25"/>
      <c r="M131" s="25"/>
      <c r="N131" s="25"/>
      <c r="O131" s="25"/>
      <c r="P131" s="25"/>
    </row>
    <row r="132" spans="1:16" x14ac:dyDescent="0.25">
      <c r="A132">
        <v>238</v>
      </c>
      <c r="B132" s="25"/>
      <c r="C132" s="26"/>
      <c r="D132" s="2"/>
      <c r="E132" s="25"/>
      <c r="F132" s="25"/>
      <c r="G132" s="25"/>
      <c r="H132" s="26"/>
      <c r="I132" s="26"/>
      <c r="J132" s="2"/>
      <c r="K132" s="25"/>
      <c r="L132" s="25"/>
      <c r="M132" s="25"/>
      <c r="N132" s="25"/>
      <c r="O132" s="25"/>
      <c r="P132" s="25"/>
    </row>
    <row r="133" spans="1:16" x14ac:dyDescent="0.25">
      <c r="A133">
        <v>239</v>
      </c>
      <c r="B133" s="25"/>
      <c r="C133" s="26"/>
      <c r="D133" s="2"/>
      <c r="E133" s="25"/>
      <c r="F133" s="25"/>
      <c r="G133" s="25"/>
      <c r="H133" s="26"/>
      <c r="I133" s="26"/>
      <c r="J133" s="2"/>
      <c r="K133" s="25"/>
      <c r="L133" s="25"/>
      <c r="M133" s="25"/>
      <c r="N133" s="25"/>
      <c r="O133" s="25"/>
      <c r="P133" s="25"/>
    </row>
    <row r="134" spans="1:16" x14ac:dyDescent="0.25">
      <c r="A134">
        <v>240</v>
      </c>
      <c r="B134" s="25"/>
      <c r="C134" s="26"/>
      <c r="D134" s="2"/>
      <c r="E134" s="25"/>
      <c r="F134" s="25"/>
      <c r="G134" s="25"/>
      <c r="H134" s="26"/>
      <c r="I134" s="26"/>
      <c r="J134" s="2"/>
      <c r="K134" s="25"/>
      <c r="L134" s="25"/>
      <c r="M134" s="25"/>
      <c r="N134" s="25"/>
      <c r="O134" s="25"/>
      <c r="P134" s="25"/>
    </row>
    <row r="135" spans="1:16" x14ac:dyDescent="0.25">
      <c r="A135">
        <v>241</v>
      </c>
      <c r="B135" s="25"/>
      <c r="C135" s="26"/>
      <c r="D135" s="2"/>
      <c r="E135" s="25"/>
      <c r="F135" s="25"/>
      <c r="G135" s="25"/>
      <c r="H135" s="26"/>
      <c r="I135" s="26"/>
      <c r="J135" s="2"/>
      <c r="K135" s="25"/>
      <c r="L135" s="25"/>
      <c r="M135" s="25"/>
      <c r="N135" s="25"/>
      <c r="O135" s="25"/>
      <c r="P135" s="25"/>
    </row>
    <row r="136" spans="1:16" x14ac:dyDescent="0.25">
      <c r="A136">
        <v>242</v>
      </c>
      <c r="B136" s="25"/>
      <c r="C136" s="26"/>
      <c r="D136" s="2"/>
      <c r="E136" s="25"/>
      <c r="F136" s="25"/>
      <c r="G136" s="25"/>
      <c r="H136" s="26"/>
      <c r="I136" s="26"/>
      <c r="J136" s="2"/>
      <c r="K136" s="25"/>
      <c r="L136" s="25"/>
      <c r="M136" s="25"/>
      <c r="N136" s="25"/>
      <c r="O136" s="25"/>
      <c r="P136" s="25"/>
    </row>
    <row r="137" spans="1:16" x14ac:dyDescent="0.25">
      <c r="A137">
        <v>243</v>
      </c>
      <c r="B137" s="25"/>
      <c r="C137" s="26"/>
      <c r="D137" s="2"/>
      <c r="E137" s="25"/>
      <c r="F137" s="25"/>
      <c r="G137" s="25"/>
      <c r="H137" s="26"/>
      <c r="I137" s="26"/>
      <c r="J137" s="2"/>
      <c r="K137" s="25"/>
      <c r="L137" s="25"/>
      <c r="M137" s="25"/>
      <c r="N137" s="25"/>
      <c r="O137" s="25"/>
      <c r="P137" s="25"/>
    </row>
    <row r="138" spans="1:16" x14ac:dyDescent="0.25">
      <c r="A138">
        <v>244</v>
      </c>
      <c r="B138" s="25"/>
      <c r="C138" s="26"/>
      <c r="D138" s="2"/>
      <c r="E138" s="25"/>
      <c r="F138" s="25"/>
      <c r="G138" s="25"/>
      <c r="H138" s="26"/>
      <c r="I138" s="26"/>
      <c r="J138" s="2"/>
      <c r="K138" s="25"/>
      <c r="L138" s="25"/>
      <c r="M138" s="25"/>
      <c r="N138" s="25"/>
      <c r="O138" s="25"/>
      <c r="P138" s="25"/>
    </row>
    <row r="139" spans="1:16" x14ac:dyDescent="0.25">
      <c r="A139">
        <v>245</v>
      </c>
      <c r="B139" s="25"/>
      <c r="C139" s="26"/>
      <c r="D139" s="2"/>
      <c r="E139" s="25"/>
      <c r="F139" s="25"/>
      <c r="G139" s="25"/>
      <c r="H139" s="26"/>
      <c r="I139" s="26"/>
      <c r="J139" s="2"/>
      <c r="K139" s="25"/>
      <c r="L139" s="25"/>
      <c r="M139" s="25"/>
      <c r="N139" s="25"/>
      <c r="O139" s="25"/>
      <c r="P139" s="25"/>
    </row>
    <row r="140" spans="1:16" x14ac:dyDescent="0.25">
      <c r="A140">
        <v>246</v>
      </c>
      <c r="B140" s="25"/>
      <c r="C140" s="26"/>
      <c r="D140" s="2"/>
      <c r="E140" s="25"/>
      <c r="F140" s="25"/>
      <c r="G140" s="25"/>
      <c r="H140" s="26"/>
      <c r="I140" s="26"/>
      <c r="J140" s="2"/>
      <c r="K140" s="25"/>
      <c r="L140" s="25"/>
      <c r="M140" s="25"/>
      <c r="N140" s="25"/>
      <c r="O140" s="25"/>
      <c r="P140" s="25"/>
    </row>
    <row r="141" spans="1:16" x14ac:dyDescent="0.25">
      <c r="A141">
        <v>247</v>
      </c>
      <c r="B141" s="25"/>
      <c r="C141" s="26"/>
      <c r="D141" s="2"/>
      <c r="E141" s="25"/>
      <c r="F141" s="25"/>
      <c r="G141" s="25"/>
      <c r="H141" s="26"/>
      <c r="I141" s="26"/>
      <c r="J141" s="2"/>
      <c r="K141" s="25"/>
      <c r="L141" s="25"/>
      <c r="M141" s="25"/>
      <c r="N141" s="25"/>
      <c r="O141" s="25"/>
      <c r="P141" s="25"/>
    </row>
    <row r="142" spans="1:16" x14ac:dyDescent="0.25">
      <c r="A142">
        <v>248</v>
      </c>
      <c r="B142" s="25"/>
      <c r="C142" s="26"/>
      <c r="D142" s="2"/>
      <c r="E142" s="25"/>
      <c r="F142" s="25"/>
      <c r="G142" s="25"/>
      <c r="H142" s="26"/>
      <c r="I142" s="26"/>
      <c r="J142" s="2"/>
      <c r="K142" s="25"/>
      <c r="L142" s="25"/>
      <c r="M142" s="25"/>
      <c r="N142" s="25"/>
      <c r="O142" s="25"/>
      <c r="P142" s="25"/>
    </row>
    <row r="143" spans="1:16" x14ac:dyDescent="0.25">
      <c r="A143">
        <v>249</v>
      </c>
      <c r="B143" s="25"/>
      <c r="C143" s="26"/>
      <c r="D143" s="2"/>
      <c r="E143" s="25"/>
      <c r="F143" s="25"/>
      <c r="G143" s="25"/>
      <c r="H143" s="26"/>
      <c r="I143" s="26"/>
      <c r="J143" s="2"/>
      <c r="K143" s="25"/>
      <c r="L143" s="25"/>
      <c r="M143" s="25"/>
      <c r="N143" s="25"/>
      <c r="O143" s="25"/>
      <c r="P143" s="25"/>
    </row>
    <row r="144" spans="1:16" x14ac:dyDescent="0.25">
      <c r="A144">
        <v>250</v>
      </c>
      <c r="B144" s="25"/>
      <c r="C144" s="26"/>
      <c r="D144" s="2"/>
      <c r="E144" s="25"/>
      <c r="F144" s="25"/>
      <c r="G144" s="25"/>
      <c r="H144" s="26"/>
      <c r="I144" s="26"/>
      <c r="J144" s="2"/>
      <c r="K144" s="25"/>
      <c r="L144" s="25"/>
      <c r="M144" s="25"/>
      <c r="N144" s="25"/>
      <c r="O144" s="25"/>
      <c r="P144" s="25"/>
    </row>
    <row r="145" spans="1:16" x14ac:dyDescent="0.25">
      <c r="A145">
        <v>251</v>
      </c>
      <c r="B145" s="25"/>
      <c r="C145" s="26"/>
      <c r="D145" s="2"/>
      <c r="E145" s="25"/>
      <c r="F145" s="25"/>
      <c r="G145" s="25"/>
      <c r="H145" s="26"/>
      <c r="I145" s="26"/>
      <c r="J145" s="2"/>
      <c r="K145" s="25"/>
      <c r="L145" s="25"/>
      <c r="M145" s="25"/>
      <c r="N145" s="25"/>
      <c r="O145" s="25"/>
      <c r="P145" s="25"/>
    </row>
    <row r="146" spans="1:16" x14ac:dyDescent="0.25">
      <c r="A146">
        <v>252</v>
      </c>
      <c r="B146" s="25"/>
      <c r="C146" s="26"/>
      <c r="D146" s="2"/>
      <c r="E146" s="25"/>
      <c r="F146" s="25"/>
      <c r="G146" s="25"/>
      <c r="H146" s="26"/>
      <c r="I146" s="26"/>
      <c r="J146" s="2"/>
      <c r="K146" s="25"/>
      <c r="L146" s="25"/>
      <c r="M146" s="25"/>
      <c r="N146" s="25"/>
      <c r="O146" s="25"/>
      <c r="P146" s="25"/>
    </row>
    <row r="147" spans="1:16" x14ac:dyDescent="0.25">
      <c r="A147">
        <v>253</v>
      </c>
      <c r="B147" s="25"/>
      <c r="C147" s="26"/>
      <c r="D147" s="2"/>
      <c r="E147" s="25"/>
      <c r="F147" s="25"/>
      <c r="G147" s="25"/>
      <c r="H147" s="26"/>
      <c r="I147" s="26"/>
      <c r="J147" s="2"/>
      <c r="K147" s="25"/>
      <c r="L147" s="25"/>
      <c r="M147" s="25"/>
      <c r="N147" s="25"/>
      <c r="O147" s="25"/>
      <c r="P147" s="25"/>
    </row>
    <row r="148" spans="1:16" x14ac:dyDescent="0.25">
      <c r="A148">
        <v>254</v>
      </c>
      <c r="B148" s="25"/>
      <c r="C148" s="26"/>
      <c r="D148" s="2"/>
      <c r="E148" s="25"/>
      <c r="F148" s="25"/>
      <c r="G148" s="25"/>
      <c r="H148" s="26"/>
      <c r="I148" s="26"/>
      <c r="J148" s="2"/>
      <c r="K148" s="25"/>
      <c r="L148" s="25"/>
      <c r="M148" s="25"/>
      <c r="N148" s="25"/>
      <c r="O148" s="25"/>
      <c r="P148" s="25"/>
    </row>
    <row r="149" spans="1:16" x14ac:dyDescent="0.25">
      <c r="A149">
        <v>255</v>
      </c>
      <c r="B149" s="25"/>
      <c r="C149" s="26"/>
      <c r="D149" s="2"/>
      <c r="E149" s="25"/>
      <c r="F149" s="25"/>
      <c r="G149" s="25"/>
      <c r="H149" s="26"/>
      <c r="I149" s="26"/>
      <c r="J149" s="2"/>
      <c r="K149" s="25"/>
      <c r="L149" s="25"/>
      <c r="M149" s="25"/>
      <c r="N149" s="25"/>
      <c r="O149" s="25"/>
      <c r="P149" s="25"/>
    </row>
    <row r="150" spans="1:16" x14ac:dyDescent="0.25">
      <c r="A150">
        <v>256</v>
      </c>
      <c r="B150" s="25"/>
      <c r="C150" s="26"/>
      <c r="D150" s="2"/>
      <c r="E150" s="25"/>
      <c r="F150" s="25"/>
      <c r="G150" s="25"/>
      <c r="H150" s="26"/>
      <c r="I150" s="26"/>
      <c r="J150" s="2"/>
      <c r="K150" s="25"/>
      <c r="L150" s="25"/>
      <c r="M150" s="25"/>
      <c r="N150" s="25"/>
      <c r="O150" s="25"/>
      <c r="P150" s="25"/>
    </row>
    <row r="151" spans="1:16" x14ac:dyDescent="0.25">
      <c r="A151">
        <v>257</v>
      </c>
      <c r="B151" s="25"/>
      <c r="C151" s="26"/>
      <c r="D151" s="2"/>
      <c r="E151" s="25"/>
      <c r="F151" s="25"/>
      <c r="G151" s="25"/>
      <c r="H151" s="26"/>
      <c r="I151" s="26"/>
      <c r="J151" s="2"/>
      <c r="K151" s="25"/>
      <c r="L151" s="25"/>
      <c r="M151" s="25"/>
      <c r="N151" s="25"/>
      <c r="O151" s="25"/>
      <c r="P151" s="25"/>
    </row>
    <row r="152" spans="1:16" x14ac:dyDescent="0.25">
      <c r="A152">
        <v>258</v>
      </c>
      <c r="B152" s="25"/>
      <c r="C152" s="26"/>
      <c r="D152" s="2"/>
      <c r="E152" s="25"/>
      <c r="F152" s="25"/>
      <c r="G152" s="25"/>
      <c r="H152" s="26"/>
      <c r="I152" s="26"/>
      <c r="J152" s="2"/>
      <c r="K152" s="25"/>
      <c r="L152" s="25"/>
      <c r="M152" s="25"/>
      <c r="N152" s="25"/>
      <c r="O152" s="25"/>
      <c r="P152" s="25"/>
    </row>
    <row r="153" spans="1:16" x14ac:dyDescent="0.25">
      <c r="A153">
        <v>259</v>
      </c>
      <c r="B153" s="25"/>
      <c r="C153" s="26"/>
      <c r="D153" s="2"/>
      <c r="E153" s="25"/>
      <c r="F153" s="25"/>
      <c r="G153" s="25"/>
      <c r="H153" s="26"/>
      <c r="I153" s="26"/>
      <c r="J153" s="2"/>
      <c r="K153" s="25"/>
      <c r="L153" s="25"/>
      <c r="M153" s="25"/>
      <c r="N153" s="25"/>
      <c r="O153" s="25"/>
      <c r="P153" s="25"/>
    </row>
    <row r="154" spans="1:16" x14ac:dyDescent="0.25">
      <c r="A154">
        <v>260</v>
      </c>
      <c r="B154" s="25"/>
      <c r="C154" s="26"/>
      <c r="D154" s="2"/>
      <c r="E154" s="25"/>
      <c r="F154" s="25"/>
      <c r="G154" s="25"/>
      <c r="H154" s="26"/>
      <c r="I154" s="26"/>
      <c r="J154" s="2"/>
      <c r="K154" s="25"/>
      <c r="L154" s="25"/>
      <c r="M154" s="25"/>
      <c r="N154" s="25"/>
      <c r="O154" s="25"/>
      <c r="P154" s="25"/>
    </row>
    <row r="155" spans="1:16" x14ac:dyDescent="0.25">
      <c r="A155">
        <v>261</v>
      </c>
      <c r="B155" s="25"/>
      <c r="C155" s="26"/>
      <c r="D155" s="2"/>
      <c r="E155" s="25"/>
      <c r="F155" s="25"/>
      <c r="G155" s="25"/>
      <c r="H155" s="26"/>
      <c r="I155" s="26"/>
      <c r="J155" s="2"/>
      <c r="K155" s="25"/>
      <c r="L155" s="25"/>
      <c r="M155" s="25"/>
      <c r="N155" s="25"/>
      <c r="O155" s="25"/>
      <c r="P155" s="25"/>
    </row>
    <row r="156" spans="1:16" x14ac:dyDescent="0.25">
      <c r="A156">
        <v>262</v>
      </c>
      <c r="B156" s="25"/>
      <c r="C156" s="26"/>
      <c r="D156" s="2"/>
      <c r="E156" s="25"/>
      <c r="F156" s="25"/>
      <c r="G156" s="25"/>
      <c r="H156" s="26"/>
      <c r="I156" s="26"/>
      <c r="J156" s="2"/>
      <c r="K156" s="25"/>
      <c r="L156" s="25"/>
      <c r="M156" s="25"/>
      <c r="N156" s="25"/>
      <c r="O156" s="25"/>
      <c r="P156" s="25"/>
    </row>
    <row r="157" spans="1:16" x14ac:dyDescent="0.25">
      <c r="A157">
        <v>263</v>
      </c>
      <c r="B157" s="25"/>
      <c r="C157" s="26"/>
      <c r="D157" s="2"/>
      <c r="E157" s="25"/>
      <c r="F157" s="25"/>
      <c r="G157" s="25"/>
      <c r="H157" s="26"/>
      <c r="I157" s="26"/>
      <c r="J157" s="2"/>
      <c r="K157" s="25"/>
      <c r="L157" s="25"/>
      <c r="M157" s="25"/>
      <c r="N157" s="25"/>
      <c r="O157" s="25"/>
      <c r="P157" s="25"/>
    </row>
    <row r="158" spans="1:16" x14ac:dyDescent="0.25">
      <c r="A158">
        <v>264</v>
      </c>
      <c r="B158" s="25"/>
      <c r="C158" s="26"/>
      <c r="D158" s="2"/>
      <c r="E158" s="25"/>
      <c r="F158" s="25"/>
      <c r="G158" s="25"/>
      <c r="H158" s="26"/>
      <c r="I158" s="26"/>
      <c r="J158" s="2"/>
      <c r="K158" s="25"/>
      <c r="L158" s="25"/>
      <c r="M158" s="25"/>
      <c r="N158" s="25"/>
      <c r="O158" s="25"/>
      <c r="P158" s="25"/>
    </row>
    <row r="159" spans="1:16" x14ac:dyDescent="0.25">
      <c r="A159">
        <v>265</v>
      </c>
      <c r="B159" s="25"/>
      <c r="C159" s="26"/>
      <c r="D159" s="2"/>
      <c r="E159" s="25"/>
      <c r="F159" s="25"/>
      <c r="G159" s="25"/>
      <c r="H159" s="26"/>
      <c r="I159" s="26"/>
      <c r="J159" s="2"/>
      <c r="K159" s="25"/>
      <c r="L159" s="25"/>
      <c r="M159" s="25"/>
      <c r="N159" s="25"/>
      <c r="O159" s="25"/>
      <c r="P159" s="25"/>
    </row>
    <row r="160" spans="1:16" x14ac:dyDescent="0.25">
      <c r="A160">
        <v>266</v>
      </c>
      <c r="B160" s="25"/>
      <c r="C160" s="26"/>
      <c r="D160" s="2"/>
      <c r="E160" s="25"/>
      <c r="F160" s="25"/>
      <c r="G160" s="25"/>
      <c r="H160" s="26"/>
      <c r="I160" s="26"/>
      <c r="J160" s="2"/>
      <c r="K160" s="25"/>
      <c r="L160" s="25"/>
      <c r="M160" s="25"/>
      <c r="N160" s="25"/>
      <c r="O160" s="25"/>
      <c r="P160" s="25"/>
    </row>
    <row r="161" spans="1:16" x14ac:dyDescent="0.25">
      <c r="A161">
        <v>267</v>
      </c>
      <c r="B161" s="25"/>
      <c r="C161" s="26"/>
      <c r="D161" s="2"/>
      <c r="E161" s="25"/>
      <c r="F161" s="25"/>
      <c r="G161" s="25"/>
      <c r="H161" s="26"/>
      <c r="I161" s="26"/>
      <c r="J161" s="2"/>
      <c r="K161" s="25"/>
      <c r="L161" s="25"/>
      <c r="M161" s="25"/>
      <c r="N161" s="25"/>
      <c r="O161" s="25"/>
      <c r="P161" s="25"/>
    </row>
    <row r="162" spans="1:16" x14ac:dyDescent="0.25">
      <c r="A162">
        <v>268</v>
      </c>
      <c r="B162" s="25"/>
      <c r="C162" s="26"/>
      <c r="D162" s="2"/>
      <c r="E162" s="25"/>
      <c r="F162" s="25"/>
      <c r="G162" s="25"/>
      <c r="H162" s="26"/>
      <c r="I162" s="26"/>
      <c r="J162" s="2"/>
      <c r="K162" s="25"/>
      <c r="L162" s="25"/>
      <c r="M162" s="25"/>
      <c r="N162" s="25"/>
      <c r="O162" s="25"/>
      <c r="P162" s="25"/>
    </row>
    <row r="163" spans="1:16" x14ac:dyDescent="0.25">
      <c r="A163">
        <v>269</v>
      </c>
      <c r="B163" s="25"/>
      <c r="C163" s="26"/>
      <c r="D163" s="2"/>
      <c r="E163" s="25"/>
      <c r="F163" s="25"/>
      <c r="G163" s="25"/>
      <c r="H163" s="26"/>
      <c r="I163" s="26"/>
      <c r="J163" s="2"/>
      <c r="K163" s="25"/>
      <c r="L163" s="25"/>
      <c r="M163" s="25"/>
      <c r="N163" s="25"/>
      <c r="O163" s="25"/>
      <c r="P163" s="25"/>
    </row>
    <row r="164" spans="1:16" x14ac:dyDescent="0.25">
      <c r="A164">
        <v>270</v>
      </c>
      <c r="B164" s="25"/>
      <c r="C164" s="26"/>
      <c r="D164" s="2"/>
      <c r="E164" s="25"/>
      <c r="F164" s="25"/>
      <c r="G164" s="25"/>
      <c r="H164" s="26"/>
      <c r="I164" s="26"/>
      <c r="J164" s="2"/>
      <c r="K164" s="25"/>
      <c r="L164" s="25"/>
      <c r="M164" s="25"/>
      <c r="N164" s="25"/>
      <c r="O164" s="25"/>
      <c r="P164" s="25"/>
    </row>
    <row r="165" spans="1:16" x14ac:dyDescent="0.25">
      <c r="A165">
        <v>271</v>
      </c>
      <c r="B165" s="25"/>
      <c r="C165" s="26"/>
      <c r="D165" s="2"/>
      <c r="E165" s="25"/>
      <c r="F165" s="25"/>
      <c r="G165" s="25"/>
      <c r="H165" s="26"/>
      <c r="I165" s="26"/>
      <c r="J165" s="2"/>
      <c r="K165" s="25"/>
      <c r="L165" s="25"/>
      <c r="M165" s="25"/>
      <c r="N165" s="25"/>
      <c r="O165" s="25"/>
      <c r="P165" s="25"/>
    </row>
    <row r="166" spans="1:16" x14ac:dyDescent="0.25">
      <c r="A166">
        <v>272</v>
      </c>
      <c r="B166" s="25"/>
      <c r="C166" s="26"/>
      <c r="D166" s="2"/>
      <c r="E166" s="25"/>
      <c r="F166" s="25"/>
      <c r="G166" s="25"/>
      <c r="H166" s="26"/>
      <c r="I166" s="26"/>
      <c r="J166" s="2"/>
      <c r="K166" s="25"/>
      <c r="L166" s="25"/>
      <c r="M166" s="25"/>
      <c r="N166" s="25"/>
      <c r="O166" s="25"/>
      <c r="P166" s="25"/>
    </row>
    <row r="167" spans="1:16" x14ac:dyDescent="0.25">
      <c r="A167">
        <v>273</v>
      </c>
      <c r="B167" s="25"/>
      <c r="C167" s="26"/>
      <c r="D167" s="2"/>
      <c r="E167" s="25"/>
      <c r="F167" s="25"/>
      <c r="G167" s="25"/>
      <c r="H167" s="26"/>
      <c r="I167" s="26"/>
      <c r="J167" s="2"/>
      <c r="K167" s="25"/>
      <c r="L167" s="25"/>
      <c r="M167" s="25"/>
      <c r="N167" s="25"/>
      <c r="O167" s="25"/>
      <c r="P167" s="25"/>
    </row>
    <row r="168" spans="1:16" x14ac:dyDescent="0.25">
      <c r="A168">
        <v>274</v>
      </c>
      <c r="B168" s="25"/>
      <c r="C168" s="26"/>
      <c r="D168" s="2"/>
      <c r="E168" s="25"/>
      <c r="F168" s="25"/>
      <c r="G168" s="25"/>
      <c r="H168" s="26"/>
      <c r="I168" s="26"/>
      <c r="J168" s="2"/>
      <c r="K168" s="25"/>
      <c r="L168" s="25"/>
      <c r="M168" s="25"/>
      <c r="N168" s="25"/>
      <c r="O168" s="25"/>
      <c r="P168" s="25"/>
    </row>
    <row r="169" spans="1:16" x14ac:dyDescent="0.25">
      <c r="A169">
        <v>275</v>
      </c>
      <c r="B169" s="25"/>
      <c r="C169" s="26"/>
      <c r="D169" s="2"/>
      <c r="E169" s="25"/>
      <c r="F169" s="25"/>
      <c r="G169" s="25"/>
      <c r="H169" s="26"/>
      <c r="I169" s="26"/>
      <c r="J169" s="2"/>
      <c r="K169" s="25"/>
      <c r="L169" s="25"/>
      <c r="M169" s="25"/>
      <c r="N169" s="25"/>
      <c r="O169" s="25"/>
      <c r="P169" s="25"/>
    </row>
    <row r="170" spans="1:16" x14ac:dyDescent="0.25">
      <c r="A170">
        <v>276</v>
      </c>
      <c r="B170" s="25"/>
      <c r="C170" s="26"/>
      <c r="D170" s="2"/>
      <c r="E170" s="25"/>
      <c r="F170" s="25"/>
      <c r="G170" s="25"/>
      <c r="H170" s="26"/>
      <c r="I170" s="26"/>
      <c r="J170" s="2"/>
      <c r="K170" s="25"/>
      <c r="L170" s="25"/>
      <c r="M170" s="25"/>
      <c r="N170" s="25"/>
      <c r="O170" s="25"/>
      <c r="P170" s="25"/>
    </row>
    <row r="171" spans="1:16" x14ac:dyDescent="0.25">
      <c r="A171">
        <v>277</v>
      </c>
      <c r="B171" s="25"/>
      <c r="C171" s="26"/>
      <c r="D171" s="2"/>
      <c r="E171" s="25"/>
      <c r="F171" s="25"/>
      <c r="G171" s="25"/>
      <c r="H171" s="26"/>
      <c r="I171" s="26"/>
      <c r="J171" s="2"/>
      <c r="K171" s="25"/>
      <c r="L171" s="25"/>
      <c r="M171" s="25"/>
      <c r="N171" s="25"/>
      <c r="O171" s="25"/>
      <c r="P171" s="25"/>
    </row>
    <row r="172" spans="1:16" x14ac:dyDescent="0.25">
      <c r="A172">
        <v>278</v>
      </c>
      <c r="B172" s="25"/>
      <c r="C172" s="26"/>
      <c r="D172" s="2"/>
      <c r="E172" s="25"/>
      <c r="F172" s="25"/>
      <c r="G172" s="25"/>
      <c r="H172" s="26"/>
      <c r="I172" s="26"/>
      <c r="J172" s="2"/>
      <c r="K172" s="25"/>
      <c r="L172" s="25"/>
      <c r="M172" s="25"/>
      <c r="N172" s="25"/>
      <c r="O172" s="25"/>
      <c r="P172" s="25"/>
    </row>
    <row r="173" spans="1:16" x14ac:dyDescent="0.25">
      <c r="A173">
        <v>279</v>
      </c>
      <c r="B173" s="25"/>
      <c r="C173" s="26"/>
      <c r="D173" s="2"/>
      <c r="E173" s="25"/>
      <c r="F173" s="25"/>
      <c r="G173" s="25"/>
      <c r="H173" s="26"/>
      <c r="I173" s="26"/>
      <c r="J173" s="2"/>
      <c r="K173" s="25"/>
      <c r="L173" s="25"/>
      <c r="M173" s="25"/>
      <c r="N173" s="25"/>
      <c r="O173" s="25"/>
      <c r="P173" s="25"/>
    </row>
    <row r="174" spans="1:16" x14ac:dyDescent="0.25">
      <c r="A174">
        <v>280</v>
      </c>
      <c r="B174" s="25"/>
      <c r="C174" s="26"/>
      <c r="D174" s="2"/>
      <c r="E174" s="25"/>
      <c r="F174" s="25"/>
      <c r="G174" s="25"/>
      <c r="H174" s="26"/>
      <c r="I174" s="26"/>
      <c r="J174" s="2"/>
      <c r="K174" s="25"/>
      <c r="L174" s="25"/>
      <c r="M174" s="25"/>
      <c r="N174" s="25"/>
      <c r="O174" s="25"/>
      <c r="P174" s="25"/>
    </row>
    <row r="175" spans="1:16" x14ac:dyDescent="0.25">
      <c r="A175">
        <v>281</v>
      </c>
      <c r="B175" s="25"/>
      <c r="C175" s="26"/>
      <c r="D175" s="2"/>
      <c r="E175" s="25"/>
      <c r="F175" s="25"/>
      <c r="G175" s="25"/>
      <c r="H175" s="26"/>
      <c r="I175" s="26"/>
      <c r="J175" s="2"/>
      <c r="K175" s="25"/>
      <c r="L175" s="25"/>
      <c r="M175" s="25"/>
      <c r="N175" s="25"/>
      <c r="O175" s="25"/>
      <c r="P175" s="25"/>
    </row>
    <row r="176" spans="1:16" x14ac:dyDescent="0.25">
      <c r="A176">
        <v>282</v>
      </c>
      <c r="B176" s="25"/>
      <c r="C176" s="26"/>
      <c r="D176" s="2"/>
      <c r="E176" s="25"/>
      <c r="F176" s="25"/>
      <c r="G176" s="25"/>
      <c r="H176" s="26"/>
      <c r="I176" s="26"/>
      <c r="J176" s="2"/>
      <c r="K176" s="25"/>
      <c r="L176" s="25"/>
      <c r="M176" s="25"/>
      <c r="N176" s="25"/>
      <c r="O176" s="25"/>
      <c r="P176" s="25"/>
    </row>
    <row r="177" spans="1:16" x14ac:dyDescent="0.25">
      <c r="A177">
        <v>283</v>
      </c>
      <c r="B177" s="25"/>
      <c r="C177" s="26"/>
      <c r="D177" s="2"/>
      <c r="E177" s="25"/>
      <c r="F177" s="25"/>
      <c r="G177" s="25"/>
      <c r="H177" s="26"/>
      <c r="I177" s="26"/>
      <c r="J177" s="2"/>
      <c r="K177" s="25"/>
      <c r="L177" s="25"/>
      <c r="M177" s="25"/>
      <c r="N177" s="25"/>
      <c r="O177" s="25"/>
      <c r="P177" s="25"/>
    </row>
    <row r="178" spans="1:16" x14ac:dyDescent="0.25">
      <c r="A178">
        <v>284</v>
      </c>
      <c r="B178" s="25"/>
      <c r="C178" s="26"/>
      <c r="D178" s="2"/>
      <c r="E178" s="25"/>
      <c r="F178" s="25"/>
      <c r="G178" s="25"/>
      <c r="H178" s="26"/>
      <c r="I178" s="26"/>
      <c r="J178" s="2"/>
      <c r="K178" s="25"/>
      <c r="L178" s="25"/>
      <c r="M178" s="25"/>
      <c r="N178" s="25"/>
      <c r="O178" s="25"/>
      <c r="P178" s="25"/>
    </row>
    <row r="179" spans="1:16" x14ac:dyDescent="0.25">
      <c r="A179">
        <v>285</v>
      </c>
      <c r="B179" s="25"/>
      <c r="C179" s="26"/>
      <c r="D179" s="2"/>
      <c r="E179" s="25"/>
      <c r="F179" s="25"/>
      <c r="G179" s="25"/>
      <c r="H179" s="26"/>
      <c r="I179" s="26"/>
      <c r="J179" s="2"/>
      <c r="K179" s="25"/>
      <c r="L179" s="25"/>
      <c r="M179" s="25"/>
      <c r="N179" s="25"/>
      <c r="O179" s="25"/>
      <c r="P179" s="25"/>
    </row>
    <row r="180" spans="1:16" x14ac:dyDescent="0.25">
      <c r="A180">
        <v>286</v>
      </c>
      <c r="B180" s="25"/>
      <c r="C180" s="26"/>
      <c r="D180" s="2"/>
      <c r="E180" s="25"/>
      <c r="F180" s="25"/>
      <c r="G180" s="25"/>
      <c r="H180" s="26"/>
      <c r="I180" s="26"/>
      <c r="J180" s="2"/>
      <c r="K180" s="25"/>
      <c r="L180" s="25"/>
      <c r="M180" s="25"/>
      <c r="N180" s="25"/>
      <c r="O180" s="25"/>
      <c r="P180" s="25"/>
    </row>
    <row r="181" spans="1:16" x14ac:dyDescent="0.25">
      <c r="A181">
        <v>287</v>
      </c>
      <c r="B181" s="25"/>
      <c r="C181" s="26"/>
      <c r="D181" s="2"/>
      <c r="E181" s="25"/>
      <c r="F181" s="25"/>
      <c r="G181" s="25"/>
      <c r="H181" s="26"/>
      <c r="I181" s="26"/>
      <c r="J181" s="2"/>
      <c r="K181" s="25"/>
      <c r="L181" s="25"/>
      <c r="M181" s="25"/>
      <c r="N181" s="25"/>
      <c r="O181" s="25"/>
      <c r="P181" s="25"/>
    </row>
    <row r="182" spans="1:16" x14ac:dyDescent="0.25">
      <c r="A182">
        <v>288</v>
      </c>
      <c r="B182" s="25"/>
      <c r="C182" s="26"/>
      <c r="D182" s="2"/>
      <c r="E182" s="25"/>
      <c r="F182" s="25"/>
      <c r="G182" s="25"/>
      <c r="H182" s="26"/>
      <c r="I182" s="26"/>
      <c r="J182" s="2"/>
      <c r="K182" s="25"/>
      <c r="L182" s="25"/>
      <c r="M182" s="25"/>
      <c r="N182" s="25"/>
      <c r="O182" s="25"/>
      <c r="P182" s="25"/>
    </row>
    <row r="183" spans="1:16" x14ac:dyDescent="0.25">
      <c r="A183">
        <v>289</v>
      </c>
      <c r="B183" s="25"/>
      <c r="C183" s="26"/>
      <c r="D183" s="2"/>
      <c r="E183" s="25"/>
      <c r="F183" s="25"/>
      <c r="G183" s="25"/>
      <c r="H183" s="26"/>
      <c r="I183" s="26"/>
      <c r="J183" s="2"/>
      <c r="K183" s="25"/>
      <c r="L183" s="25"/>
      <c r="M183" s="25"/>
      <c r="N183" s="25"/>
      <c r="O183" s="25"/>
      <c r="P183" s="25"/>
    </row>
    <row r="184" spans="1:16" x14ac:dyDescent="0.25">
      <c r="A184">
        <v>290</v>
      </c>
      <c r="B184" s="25"/>
      <c r="C184" s="26"/>
      <c r="D184" s="2"/>
      <c r="E184" s="25"/>
      <c r="F184" s="25"/>
      <c r="G184" s="25"/>
      <c r="H184" s="26"/>
      <c r="I184" s="26"/>
      <c r="J184" s="2"/>
      <c r="K184" s="25"/>
      <c r="L184" s="25"/>
      <c r="M184" s="25"/>
      <c r="N184" s="25"/>
      <c r="O184" s="25"/>
      <c r="P184" s="25"/>
    </row>
    <row r="185" spans="1:16" x14ac:dyDescent="0.25">
      <c r="A185">
        <v>291</v>
      </c>
      <c r="B185" s="25"/>
      <c r="C185" s="26"/>
      <c r="D185" s="2"/>
      <c r="E185" s="25"/>
      <c r="F185" s="25"/>
      <c r="G185" s="25"/>
      <c r="H185" s="26"/>
      <c r="I185" s="26"/>
      <c r="J185" s="2"/>
      <c r="K185" s="25"/>
      <c r="L185" s="25"/>
      <c r="M185" s="25"/>
      <c r="N185" s="25"/>
      <c r="O185" s="25"/>
      <c r="P185" s="25"/>
    </row>
    <row r="186" spans="1:16" x14ac:dyDescent="0.25">
      <c r="A186">
        <v>292</v>
      </c>
      <c r="B186" s="25"/>
      <c r="C186" s="26"/>
      <c r="D186" s="2"/>
      <c r="E186" s="25"/>
      <c r="F186" s="25"/>
      <c r="G186" s="25"/>
      <c r="H186" s="26"/>
      <c r="I186" s="26"/>
      <c r="J186" s="2"/>
      <c r="K186" s="25"/>
      <c r="L186" s="25"/>
      <c r="M186" s="25"/>
      <c r="N186" s="25"/>
      <c r="O186" s="25"/>
      <c r="P186" s="25"/>
    </row>
    <row r="187" spans="1:16" x14ac:dyDescent="0.25">
      <c r="A187">
        <v>293</v>
      </c>
      <c r="B187" s="25"/>
      <c r="C187" s="26"/>
      <c r="D187" s="2"/>
      <c r="E187" s="25"/>
      <c r="F187" s="25"/>
      <c r="G187" s="25"/>
      <c r="H187" s="26"/>
      <c r="I187" s="26"/>
      <c r="J187" s="2"/>
      <c r="K187" s="25"/>
      <c r="L187" s="25"/>
      <c r="M187" s="25"/>
      <c r="N187" s="25"/>
      <c r="O187" s="25"/>
      <c r="P187" s="25"/>
    </row>
    <row r="188" spans="1:16" x14ac:dyDescent="0.25">
      <c r="A188">
        <v>294</v>
      </c>
      <c r="B188" s="25"/>
      <c r="C188" s="26"/>
      <c r="D188" s="2"/>
      <c r="E188" s="25"/>
      <c r="F188" s="25"/>
      <c r="G188" s="25"/>
      <c r="H188" s="26"/>
      <c r="I188" s="26"/>
      <c r="J188" s="2"/>
      <c r="K188" s="25"/>
      <c r="L188" s="25"/>
      <c r="M188" s="25"/>
      <c r="N188" s="25"/>
      <c r="O188" s="25"/>
      <c r="P188" s="25"/>
    </row>
    <row r="189" spans="1:16" x14ac:dyDescent="0.25">
      <c r="A189">
        <v>295</v>
      </c>
      <c r="B189" s="25"/>
      <c r="C189" s="26"/>
      <c r="D189" s="2"/>
      <c r="E189" s="25"/>
      <c r="F189" s="25"/>
      <c r="G189" s="25"/>
      <c r="H189" s="26"/>
      <c r="I189" s="26"/>
      <c r="J189" s="2"/>
      <c r="K189" s="25"/>
      <c r="L189" s="25"/>
      <c r="M189" s="25"/>
      <c r="N189" s="25"/>
      <c r="O189" s="25"/>
      <c r="P189" s="25"/>
    </row>
    <row r="190" spans="1:16" x14ac:dyDescent="0.25">
      <c r="A190">
        <v>296</v>
      </c>
      <c r="B190" s="25"/>
      <c r="C190" s="26"/>
      <c r="D190" s="2"/>
      <c r="E190" s="25"/>
      <c r="F190" s="25"/>
      <c r="G190" s="25"/>
      <c r="H190" s="26"/>
      <c r="I190" s="26"/>
      <c r="J190" s="2"/>
      <c r="K190" s="25"/>
      <c r="L190" s="25"/>
      <c r="M190" s="25"/>
      <c r="N190" s="25"/>
      <c r="O190" s="25"/>
      <c r="P190" s="25"/>
    </row>
    <row r="191" spans="1:16" x14ac:dyDescent="0.25">
      <c r="A191">
        <v>297</v>
      </c>
      <c r="B191" s="25"/>
      <c r="C191" s="26"/>
      <c r="D191" s="2"/>
      <c r="E191" s="25"/>
      <c r="F191" s="25"/>
      <c r="G191" s="25"/>
      <c r="H191" s="26"/>
      <c r="I191" s="26"/>
      <c r="J191" s="2"/>
      <c r="K191" s="25"/>
      <c r="L191" s="25"/>
      <c r="M191" s="25"/>
      <c r="N191" s="25"/>
      <c r="O191" s="25"/>
      <c r="P191" s="25"/>
    </row>
    <row r="192" spans="1:16" x14ac:dyDescent="0.25">
      <c r="A192">
        <v>298</v>
      </c>
      <c r="B192" s="25"/>
      <c r="C192" s="26"/>
      <c r="D192" s="2"/>
      <c r="E192" s="25"/>
      <c r="F192" s="25"/>
      <c r="G192" s="25"/>
      <c r="H192" s="26"/>
      <c r="I192" s="26"/>
      <c r="J192" s="2"/>
      <c r="K192" s="25"/>
      <c r="L192" s="25"/>
      <c r="M192" s="25"/>
      <c r="N192" s="25"/>
      <c r="O192" s="25"/>
      <c r="P192" s="25"/>
    </row>
    <row r="193" spans="1:16" x14ac:dyDescent="0.25">
      <c r="A193">
        <v>299</v>
      </c>
      <c r="B193" s="25"/>
      <c r="C193" s="26"/>
      <c r="D193" s="2"/>
      <c r="E193" s="25"/>
      <c r="F193" s="25"/>
      <c r="G193" s="25"/>
      <c r="H193" s="26"/>
      <c r="I193" s="26"/>
      <c r="J193" s="2"/>
      <c r="K193" s="25"/>
      <c r="L193" s="25"/>
      <c r="M193" s="25"/>
      <c r="N193" s="25"/>
      <c r="O193" s="25"/>
      <c r="P193" s="25"/>
    </row>
    <row r="194" spans="1:16" x14ac:dyDescent="0.25">
      <c r="A194">
        <v>300</v>
      </c>
      <c r="B194" s="25"/>
      <c r="C194" s="26"/>
      <c r="D194" s="2"/>
      <c r="E194" s="25"/>
      <c r="F194" s="25"/>
      <c r="G194" s="25"/>
      <c r="H194" s="26"/>
      <c r="I194" s="26"/>
      <c r="J194" s="2"/>
      <c r="K194" s="25"/>
      <c r="L194" s="25"/>
      <c r="M194" s="25"/>
      <c r="N194" s="25"/>
      <c r="O194" s="25"/>
      <c r="P194" s="25"/>
    </row>
    <row r="195" spans="1:16" x14ac:dyDescent="0.25">
      <c r="B195" s="25"/>
      <c r="C195" s="26"/>
      <c r="D195" s="2"/>
      <c r="E195" s="25"/>
      <c r="F195" s="25"/>
      <c r="G195" s="25"/>
      <c r="H195" s="26"/>
      <c r="I195" s="26"/>
      <c r="J195" s="2"/>
      <c r="K195" s="25"/>
      <c r="L195" s="25"/>
      <c r="M195" s="25"/>
      <c r="N195" s="25"/>
      <c r="O195" s="25"/>
      <c r="P195" s="25"/>
    </row>
    <row r="196" spans="1:16" x14ac:dyDescent="0.25">
      <c r="A196" t="s">
        <v>0</v>
      </c>
      <c r="B196" s="25" t="s">
        <v>1</v>
      </c>
      <c r="C196" s="26"/>
      <c r="D196" s="2"/>
      <c r="E196" s="25" t="s">
        <v>4</v>
      </c>
      <c r="F196" s="25" t="s">
        <v>5</v>
      </c>
      <c r="G196" s="25" t="s">
        <v>6</v>
      </c>
      <c r="H196" s="26"/>
      <c r="I196" s="26"/>
      <c r="J196" s="2"/>
      <c r="K196" s="25" t="s">
        <v>10</v>
      </c>
      <c r="L196" s="25" t="s">
        <v>11</v>
      </c>
      <c r="M196" s="25" t="s">
        <v>12</v>
      </c>
      <c r="N196" s="25" t="s">
        <v>13</v>
      </c>
      <c r="O196" s="25" t="s">
        <v>14</v>
      </c>
      <c r="P196" s="25" t="s">
        <v>15</v>
      </c>
    </row>
    <row r="197" spans="1:16" x14ac:dyDescent="0.25">
      <c r="A197">
        <v>1</v>
      </c>
      <c r="B197" s="25" t="s">
        <v>93</v>
      </c>
      <c r="C197" s="26">
        <v>0.28472222222222221</v>
      </c>
      <c r="D197" s="2">
        <v>45958</v>
      </c>
      <c r="E197" s="25" t="s">
        <v>94</v>
      </c>
      <c r="F197" s="25" t="s">
        <v>95</v>
      </c>
      <c r="G197" s="25" t="s">
        <v>96</v>
      </c>
      <c r="H197" s="26">
        <v>0.3125</v>
      </c>
      <c r="I197" s="26">
        <v>0.31944444444444442</v>
      </c>
      <c r="J197" s="2">
        <v>45958</v>
      </c>
      <c r="K197" s="25" t="s">
        <v>25</v>
      </c>
      <c r="L197" s="25" t="s">
        <v>97</v>
      </c>
      <c r="M197" s="25" t="s">
        <v>98</v>
      </c>
      <c r="N197" s="25" t="s">
        <v>22</v>
      </c>
      <c r="O197" s="25" t="s">
        <v>99</v>
      </c>
      <c r="P197" s="25" t="s">
        <v>23</v>
      </c>
    </row>
    <row r="198" spans="1:16" x14ac:dyDescent="0.25">
      <c r="A198">
        <v>2</v>
      </c>
      <c r="B198" s="25" t="s">
        <v>93</v>
      </c>
      <c r="C198" s="26">
        <v>0.32291666666666669</v>
      </c>
      <c r="D198" s="2">
        <v>45958</v>
      </c>
      <c r="E198" s="25" t="s">
        <v>94</v>
      </c>
      <c r="F198" s="25" t="s">
        <v>100</v>
      </c>
      <c r="G198" s="25" t="s">
        <v>101</v>
      </c>
      <c r="H198" s="26">
        <v>0.3215277777777778</v>
      </c>
      <c r="I198" s="26">
        <v>0.33263888888888887</v>
      </c>
      <c r="J198" s="2">
        <v>45958</v>
      </c>
      <c r="K198" s="25" t="s">
        <v>25</v>
      </c>
      <c r="L198" s="25" t="s">
        <v>102</v>
      </c>
      <c r="M198" s="25" t="s">
        <v>22</v>
      </c>
      <c r="N198" s="25" t="s">
        <v>22</v>
      </c>
      <c r="O198" s="25" t="s">
        <v>99</v>
      </c>
      <c r="P198" s="25" t="s">
        <v>23</v>
      </c>
    </row>
    <row r="199" spans="1:16" x14ac:dyDescent="0.25">
      <c r="A199">
        <v>3</v>
      </c>
      <c r="B199" s="25" t="s">
        <v>103</v>
      </c>
      <c r="C199" s="26">
        <v>0.63888888888888884</v>
      </c>
      <c r="D199" s="2">
        <v>45958</v>
      </c>
      <c r="E199" s="25" t="s">
        <v>104</v>
      </c>
      <c r="F199" s="25" t="s">
        <v>100</v>
      </c>
      <c r="G199" s="25" t="s">
        <v>105</v>
      </c>
      <c r="H199" s="26">
        <v>0.64583333333333337</v>
      </c>
      <c r="I199" s="26">
        <v>0.66666666666666663</v>
      </c>
      <c r="J199" s="2">
        <v>45958</v>
      </c>
      <c r="K199" s="25" t="s">
        <v>25</v>
      </c>
      <c r="L199" s="25" t="s">
        <v>106</v>
      </c>
      <c r="M199" s="25" t="s">
        <v>22</v>
      </c>
      <c r="N199" s="25" t="s">
        <v>107</v>
      </c>
      <c r="O199" s="25" t="s">
        <v>108</v>
      </c>
      <c r="P199" s="25" t="s">
        <v>23</v>
      </c>
    </row>
    <row r="200" spans="1:16" x14ac:dyDescent="0.25">
      <c r="A200">
        <v>4</v>
      </c>
      <c r="B200" s="25" t="s">
        <v>16</v>
      </c>
      <c r="C200" s="26">
        <v>0.84722222222222221</v>
      </c>
      <c r="D200" s="2">
        <v>45958</v>
      </c>
      <c r="E200" s="25" t="s">
        <v>109</v>
      </c>
      <c r="F200" s="25" t="s">
        <v>95</v>
      </c>
      <c r="G200" s="25" t="s">
        <v>110</v>
      </c>
      <c r="H200" s="26">
        <v>0.84722222222222221</v>
      </c>
      <c r="I200" s="26">
        <v>0.86111111111111116</v>
      </c>
      <c r="J200" s="2">
        <v>45958</v>
      </c>
      <c r="K200" s="25" t="s">
        <v>25</v>
      </c>
      <c r="L200" s="25" t="s">
        <v>111</v>
      </c>
      <c r="M200" s="25" t="s">
        <v>22</v>
      </c>
      <c r="N200" s="25" t="s">
        <v>22</v>
      </c>
      <c r="O200" s="25" t="s">
        <v>112</v>
      </c>
      <c r="P200" s="25" t="s">
        <v>23</v>
      </c>
    </row>
    <row r="201" spans="1:16" x14ac:dyDescent="0.25">
      <c r="A201">
        <v>5</v>
      </c>
      <c r="B201" s="25" t="s">
        <v>113</v>
      </c>
      <c r="C201" s="26">
        <v>0.16666666666666666</v>
      </c>
      <c r="D201" s="2">
        <v>45959</v>
      </c>
      <c r="E201" s="25" t="s">
        <v>85</v>
      </c>
      <c r="F201" s="25" t="s">
        <v>95</v>
      </c>
      <c r="G201" s="25" t="s">
        <v>114</v>
      </c>
      <c r="H201" s="26">
        <v>0.16666666666666666</v>
      </c>
      <c r="I201" s="26">
        <v>0.1875</v>
      </c>
      <c r="J201" s="2">
        <v>45959</v>
      </c>
      <c r="K201" s="25" t="s">
        <v>20</v>
      </c>
      <c r="L201" s="25" t="s">
        <v>115</v>
      </c>
      <c r="M201" s="25" t="s">
        <v>22</v>
      </c>
      <c r="N201" s="25" t="s">
        <v>22</v>
      </c>
      <c r="O201" s="25" t="s">
        <v>44</v>
      </c>
      <c r="P201" s="25" t="s">
        <v>23</v>
      </c>
    </row>
    <row r="202" spans="1:16" x14ac:dyDescent="0.25">
      <c r="A202">
        <v>6</v>
      </c>
      <c r="B202" s="25" t="s">
        <v>93</v>
      </c>
      <c r="C202" s="26">
        <v>0.53472222222222221</v>
      </c>
      <c r="D202" s="2">
        <v>45959</v>
      </c>
      <c r="E202" s="25" t="s">
        <v>116</v>
      </c>
      <c r="F202" s="25" t="s">
        <v>95</v>
      </c>
      <c r="G202" s="25" t="s">
        <v>117</v>
      </c>
      <c r="H202" s="26">
        <v>0.54166666666666663</v>
      </c>
      <c r="I202" s="26">
        <v>0.57152777777777775</v>
      </c>
      <c r="J202" s="2">
        <v>45959</v>
      </c>
      <c r="K202" s="25" t="s">
        <v>25</v>
      </c>
      <c r="L202" s="25" t="s">
        <v>118</v>
      </c>
      <c r="M202" s="25" t="s">
        <v>119</v>
      </c>
      <c r="N202" s="25" t="s">
        <v>22</v>
      </c>
      <c r="O202" s="25" t="s">
        <v>99</v>
      </c>
      <c r="P202" s="25" t="s">
        <v>23</v>
      </c>
    </row>
    <row r="203" spans="1:16" x14ac:dyDescent="0.25">
      <c r="A203">
        <v>7</v>
      </c>
      <c r="B203" s="25" t="s">
        <v>120</v>
      </c>
      <c r="C203" s="26">
        <v>1.7361111111111112E-2</v>
      </c>
      <c r="D203" s="2">
        <v>45960</v>
      </c>
      <c r="E203" s="25" t="s">
        <v>94</v>
      </c>
      <c r="F203" s="25" t="s">
        <v>95</v>
      </c>
      <c r="G203" s="25" t="s">
        <v>121</v>
      </c>
      <c r="H203" s="26">
        <v>1.7361111111111112E-2</v>
      </c>
      <c r="I203" s="26">
        <v>5.2083333333333336E-2</v>
      </c>
      <c r="J203" s="2">
        <v>45960</v>
      </c>
      <c r="K203" s="25" t="s">
        <v>25</v>
      </c>
      <c r="L203" s="25" t="s">
        <v>122</v>
      </c>
      <c r="M203" s="25" t="s">
        <v>123</v>
      </c>
      <c r="N203" s="25" t="s">
        <v>22</v>
      </c>
      <c r="O203" s="25" t="s">
        <v>44</v>
      </c>
      <c r="P203" s="25" t="s">
        <v>23</v>
      </c>
    </row>
    <row r="204" spans="1:16" x14ac:dyDescent="0.25">
      <c r="A204">
        <v>8</v>
      </c>
      <c r="B204" s="25" t="s">
        <v>124</v>
      </c>
      <c r="C204" s="26">
        <v>0.30902777777777779</v>
      </c>
      <c r="D204" s="2">
        <v>45960</v>
      </c>
      <c r="E204" s="25" t="s">
        <v>94</v>
      </c>
      <c r="F204" s="25" t="s">
        <v>95</v>
      </c>
      <c r="G204" s="25" t="s">
        <v>125</v>
      </c>
      <c r="H204" s="26">
        <v>0.31944444444444442</v>
      </c>
      <c r="I204" s="26">
        <v>0.3611111111111111</v>
      </c>
      <c r="J204" s="2">
        <v>45960</v>
      </c>
      <c r="K204" s="25" t="s">
        <v>25</v>
      </c>
      <c r="L204" s="25" t="s">
        <v>126</v>
      </c>
      <c r="M204" s="25" t="s">
        <v>22</v>
      </c>
      <c r="N204" s="25" t="s">
        <v>127</v>
      </c>
      <c r="O204" s="25" t="s">
        <v>108</v>
      </c>
      <c r="P204" s="25" t="s">
        <v>23</v>
      </c>
    </row>
    <row r="205" spans="1:16" x14ac:dyDescent="0.25">
      <c r="A205">
        <v>9</v>
      </c>
      <c r="B205" s="25" t="s">
        <v>124</v>
      </c>
      <c r="C205" s="26">
        <v>0.4513888888888889</v>
      </c>
      <c r="D205" s="2">
        <v>45960</v>
      </c>
      <c r="E205" s="25" t="s">
        <v>94</v>
      </c>
      <c r="F205" s="25" t="s">
        <v>95</v>
      </c>
      <c r="G205" s="25" t="s">
        <v>128</v>
      </c>
      <c r="H205" s="26">
        <v>0.4513888888888889</v>
      </c>
      <c r="I205" s="26">
        <v>0.46736111111111112</v>
      </c>
      <c r="J205" s="2">
        <v>45960</v>
      </c>
      <c r="K205" s="25" t="s">
        <v>25</v>
      </c>
      <c r="L205" s="25" t="s">
        <v>129</v>
      </c>
      <c r="M205" s="25" t="s">
        <v>22</v>
      </c>
      <c r="N205" s="25" t="s">
        <v>22</v>
      </c>
      <c r="O205" s="25" t="s">
        <v>108</v>
      </c>
      <c r="P205" s="25" t="s">
        <v>23</v>
      </c>
    </row>
    <row r="206" spans="1:16" x14ac:dyDescent="0.25">
      <c r="A206">
        <v>10</v>
      </c>
      <c r="B206" s="25"/>
      <c r="C206" s="26"/>
      <c r="D206" s="2"/>
      <c r="E206" s="25"/>
      <c r="F206" s="25"/>
      <c r="G206" s="25"/>
      <c r="H206" s="26"/>
      <c r="I206" s="26"/>
      <c r="J206" s="2"/>
      <c r="K206" s="25"/>
      <c r="L206" s="25"/>
      <c r="M206" s="25"/>
      <c r="N206" s="25"/>
      <c r="O206" s="25"/>
      <c r="P206" s="25"/>
    </row>
    <row r="207" spans="1:16" x14ac:dyDescent="0.25">
      <c r="A207">
        <v>11</v>
      </c>
      <c r="B207" s="25"/>
      <c r="C207" s="26"/>
      <c r="D207" s="2"/>
      <c r="E207" s="25"/>
      <c r="F207" s="25"/>
      <c r="G207" s="25"/>
      <c r="H207" s="26"/>
      <c r="I207" s="26"/>
      <c r="J207" s="2"/>
      <c r="K207" s="25"/>
      <c r="L207" s="25"/>
      <c r="M207" s="25"/>
      <c r="N207" s="25"/>
      <c r="O207" s="25"/>
      <c r="P207" s="25"/>
    </row>
    <row r="208" spans="1:16" x14ac:dyDescent="0.25">
      <c r="A208">
        <v>12</v>
      </c>
      <c r="B208" s="25"/>
      <c r="C208" s="26"/>
      <c r="D208" s="2"/>
      <c r="E208" s="25"/>
      <c r="F208" s="25"/>
      <c r="G208" s="25"/>
      <c r="H208" s="26"/>
      <c r="I208" s="26"/>
      <c r="J208" s="2"/>
      <c r="K208" s="25"/>
      <c r="L208" s="25"/>
      <c r="M208" s="25"/>
      <c r="N208" s="25"/>
      <c r="O208" s="25"/>
      <c r="P208" s="25"/>
    </row>
    <row r="209" spans="1:16" x14ac:dyDescent="0.25">
      <c r="A209">
        <v>13</v>
      </c>
      <c r="B209" s="25" t="s">
        <v>16</v>
      </c>
      <c r="C209" s="26">
        <v>0.74305555555555558</v>
      </c>
      <c r="D209" s="2">
        <v>45960</v>
      </c>
      <c r="E209" s="25" t="s">
        <v>116</v>
      </c>
      <c r="F209" s="25" t="s">
        <v>95</v>
      </c>
      <c r="G209" s="25" t="s">
        <v>130</v>
      </c>
      <c r="H209" s="26">
        <v>0.74305555555555558</v>
      </c>
      <c r="I209" s="26">
        <v>0.86111111111111116</v>
      </c>
      <c r="J209" s="2">
        <v>45960</v>
      </c>
      <c r="K209" s="25" t="s">
        <v>25</v>
      </c>
      <c r="L209" s="25" t="s">
        <v>131</v>
      </c>
      <c r="M209" s="25" t="s">
        <v>22</v>
      </c>
      <c r="N209" s="25" t="s">
        <v>22</v>
      </c>
      <c r="O209" s="25" t="s">
        <v>112</v>
      </c>
      <c r="P209" s="25" t="s">
        <v>23</v>
      </c>
    </row>
    <row r="210" spans="1:16" x14ac:dyDescent="0.25">
      <c r="A210">
        <v>14</v>
      </c>
      <c r="B210" s="25" t="s">
        <v>132</v>
      </c>
      <c r="C210" s="26">
        <v>0.73611111111111116</v>
      </c>
      <c r="D210" s="2">
        <v>45960</v>
      </c>
      <c r="E210" s="25" t="s">
        <v>91</v>
      </c>
      <c r="F210" s="25" t="s">
        <v>95</v>
      </c>
      <c r="G210" s="25" t="s">
        <v>133</v>
      </c>
      <c r="H210" s="26">
        <v>0.73611111111111116</v>
      </c>
      <c r="I210" s="26">
        <v>0.76388888888888884</v>
      </c>
      <c r="J210" s="2">
        <v>45960</v>
      </c>
      <c r="K210" s="25" t="s">
        <v>25</v>
      </c>
      <c r="L210" s="25" t="s">
        <v>134</v>
      </c>
      <c r="M210" s="25" t="s">
        <v>22</v>
      </c>
      <c r="N210" s="25" t="s">
        <v>22</v>
      </c>
      <c r="O210" s="25" t="s">
        <v>112</v>
      </c>
      <c r="P210" s="25" t="s">
        <v>23</v>
      </c>
    </row>
    <row r="211" spans="1:16" x14ac:dyDescent="0.25">
      <c r="A211">
        <v>15</v>
      </c>
      <c r="B211" s="25" t="s">
        <v>113</v>
      </c>
      <c r="C211" s="26">
        <v>0.79166666666666663</v>
      </c>
      <c r="D211" s="2">
        <v>45960</v>
      </c>
      <c r="E211" s="25" t="s">
        <v>85</v>
      </c>
      <c r="F211" s="25" t="s">
        <v>95</v>
      </c>
      <c r="G211" s="25" t="s">
        <v>135</v>
      </c>
      <c r="H211" s="26">
        <v>0.79166666666666663</v>
      </c>
      <c r="I211" s="26">
        <v>0.79861111111111116</v>
      </c>
      <c r="J211" s="2">
        <v>45960</v>
      </c>
      <c r="K211" s="25" t="s">
        <v>20</v>
      </c>
      <c r="L211" s="25" t="s">
        <v>136</v>
      </c>
      <c r="M211" s="25" t="s">
        <v>22</v>
      </c>
      <c r="N211" s="25" t="s">
        <v>22</v>
      </c>
      <c r="O211" s="25" t="s">
        <v>112</v>
      </c>
      <c r="P211" s="25" t="s">
        <v>23</v>
      </c>
    </row>
    <row r="212" spans="1:16" x14ac:dyDescent="0.25">
      <c r="A212">
        <v>16</v>
      </c>
      <c r="B212" s="25"/>
      <c r="C212" s="26"/>
      <c r="D212" s="2"/>
      <c r="E212" s="25"/>
      <c r="F212" s="25"/>
      <c r="G212" s="25"/>
      <c r="H212" s="26"/>
      <c r="I212" s="26"/>
      <c r="J212" s="2"/>
      <c r="K212" s="25"/>
      <c r="L212" s="25"/>
      <c r="M212" s="25"/>
      <c r="N212" s="25"/>
      <c r="O212" s="25"/>
      <c r="P212" s="25"/>
    </row>
    <row r="213" spans="1:16" x14ac:dyDescent="0.25">
      <c r="A213">
        <v>17</v>
      </c>
      <c r="B213" s="25"/>
      <c r="C213" s="26"/>
      <c r="D213" s="2"/>
      <c r="E213" s="25"/>
      <c r="F213" s="25"/>
      <c r="G213" s="25"/>
      <c r="H213" s="26"/>
      <c r="I213" s="26"/>
      <c r="J213" s="2"/>
      <c r="K213" s="25"/>
      <c r="L213" s="25"/>
      <c r="M213" s="25"/>
      <c r="N213" s="25"/>
      <c r="O213" s="25"/>
      <c r="P213" s="25"/>
    </row>
    <row r="214" spans="1:16" x14ac:dyDescent="0.25">
      <c r="A214">
        <v>18</v>
      </c>
      <c r="B214" s="25" t="s">
        <v>16</v>
      </c>
      <c r="C214" s="26">
        <v>0.72916666666666663</v>
      </c>
      <c r="D214" s="2">
        <v>45961</v>
      </c>
      <c r="E214" s="25" t="s">
        <v>94</v>
      </c>
      <c r="F214" s="25" t="s">
        <v>100</v>
      </c>
      <c r="G214" s="25" t="s">
        <v>137</v>
      </c>
      <c r="H214" s="26">
        <v>0.75</v>
      </c>
      <c r="I214" s="26">
        <v>0.89583333333333337</v>
      </c>
      <c r="J214" s="2">
        <v>45961</v>
      </c>
      <c r="K214" s="25" t="s">
        <v>25</v>
      </c>
      <c r="L214" s="25" t="s">
        <v>138</v>
      </c>
      <c r="M214" s="25" t="s">
        <v>22</v>
      </c>
      <c r="N214" s="25" t="s">
        <v>22</v>
      </c>
      <c r="O214" s="25" t="s">
        <v>112</v>
      </c>
      <c r="P214" s="25" t="s">
        <v>23</v>
      </c>
    </row>
    <row r="215" spans="1:16" x14ac:dyDescent="0.25">
      <c r="A215">
        <v>19</v>
      </c>
      <c r="B215" s="25" t="s">
        <v>139</v>
      </c>
      <c r="C215" s="26">
        <v>0.89583333333333337</v>
      </c>
      <c r="D215" s="2">
        <v>45962</v>
      </c>
      <c r="E215" s="25" t="s">
        <v>91</v>
      </c>
      <c r="F215" s="25" t="s">
        <v>95</v>
      </c>
      <c r="G215" s="25" t="s">
        <v>140</v>
      </c>
      <c r="H215" s="26">
        <v>0.89583333333333337</v>
      </c>
      <c r="I215" s="26">
        <v>0.92708333333333337</v>
      </c>
      <c r="J215" s="2">
        <v>45962</v>
      </c>
      <c r="K215" s="25" t="s">
        <v>20</v>
      </c>
      <c r="L215" s="25" t="s">
        <v>141</v>
      </c>
      <c r="M215" s="25" t="s">
        <v>22</v>
      </c>
      <c r="N215" s="25" t="s">
        <v>22</v>
      </c>
      <c r="O215" s="25" t="s">
        <v>44</v>
      </c>
      <c r="P215" s="25" t="s">
        <v>23</v>
      </c>
    </row>
    <row r="216" spans="1:16" x14ac:dyDescent="0.25">
      <c r="A216">
        <v>20</v>
      </c>
      <c r="B216" s="25" t="s">
        <v>142</v>
      </c>
      <c r="C216" s="26">
        <v>0.98958333333333337</v>
      </c>
      <c r="D216" s="2">
        <v>45964</v>
      </c>
      <c r="E216" s="25" t="s">
        <v>143</v>
      </c>
      <c r="F216" s="25" t="s">
        <v>95</v>
      </c>
      <c r="G216" s="25" t="s">
        <v>144</v>
      </c>
      <c r="H216" s="26">
        <v>0.98958333333333337</v>
      </c>
      <c r="I216" s="26">
        <v>6.9444444444444441E-3</v>
      </c>
      <c r="J216" s="2">
        <v>45964</v>
      </c>
      <c r="K216" s="25" t="s">
        <v>25</v>
      </c>
      <c r="L216" s="25" t="s">
        <v>145</v>
      </c>
      <c r="M216" s="25" t="s">
        <v>146</v>
      </c>
      <c r="N216" s="25" t="s">
        <v>22</v>
      </c>
      <c r="O216" s="25" t="s">
        <v>112</v>
      </c>
      <c r="P216" s="25" t="s">
        <v>23</v>
      </c>
    </row>
    <row r="217" spans="1:16" x14ac:dyDescent="0.25">
      <c r="A217">
        <v>21</v>
      </c>
      <c r="B217" s="25" t="s">
        <v>103</v>
      </c>
      <c r="C217" s="26">
        <v>0.54166666666666663</v>
      </c>
      <c r="D217" s="2">
        <v>45965</v>
      </c>
      <c r="E217" s="25" t="s">
        <v>147</v>
      </c>
      <c r="F217" s="25" t="s">
        <v>100</v>
      </c>
      <c r="G217" s="25" t="s">
        <v>148</v>
      </c>
      <c r="H217" s="26">
        <v>0.54166666666666663</v>
      </c>
      <c r="I217" s="26">
        <v>0.56944444444444442</v>
      </c>
      <c r="J217" s="2">
        <v>45965</v>
      </c>
      <c r="K217" s="25" t="s">
        <v>25</v>
      </c>
      <c r="L217" s="25" t="s">
        <v>149</v>
      </c>
      <c r="M217" s="25" t="s">
        <v>150</v>
      </c>
      <c r="N217" s="25" t="s">
        <v>22</v>
      </c>
      <c r="O217" s="25" t="s">
        <v>99</v>
      </c>
      <c r="P217" s="25" t="s">
        <v>23</v>
      </c>
    </row>
    <row r="218" spans="1:16" x14ac:dyDescent="0.25">
      <c r="A218">
        <v>22</v>
      </c>
      <c r="B218" s="25" t="s">
        <v>139</v>
      </c>
      <c r="C218" s="26">
        <v>0.89722222222222225</v>
      </c>
      <c r="D218" s="2">
        <v>45965</v>
      </c>
      <c r="E218" s="25" t="s">
        <v>91</v>
      </c>
      <c r="F218" s="25" t="s">
        <v>95</v>
      </c>
      <c r="G218" s="25" t="s">
        <v>151</v>
      </c>
      <c r="H218" s="26">
        <v>0.89722222222222225</v>
      </c>
      <c r="I218" s="26">
        <v>0.97916666666666663</v>
      </c>
      <c r="J218" s="2">
        <v>45965</v>
      </c>
      <c r="K218" s="25" t="s">
        <v>25</v>
      </c>
      <c r="L218" s="25" t="s">
        <v>152</v>
      </c>
      <c r="M218" s="25" t="s">
        <v>22</v>
      </c>
      <c r="N218" s="25" t="s">
        <v>22</v>
      </c>
      <c r="O218" s="25" t="s">
        <v>112</v>
      </c>
      <c r="P218" s="25" t="s">
        <v>23</v>
      </c>
    </row>
    <row r="219" spans="1:16" x14ac:dyDescent="0.25">
      <c r="A219">
        <v>23</v>
      </c>
      <c r="B219" s="25" t="s">
        <v>153</v>
      </c>
      <c r="C219" s="26">
        <v>0.3611111111111111</v>
      </c>
      <c r="D219" s="2">
        <v>45966</v>
      </c>
      <c r="E219" s="25" t="s">
        <v>154</v>
      </c>
      <c r="F219" s="25" t="s">
        <v>95</v>
      </c>
      <c r="G219" s="25" t="s">
        <v>155</v>
      </c>
      <c r="H219" s="26"/>
      <c r="I219" s="26">
        <v>0.36458333333333331</v>
      </c>
      <c r="J219" s="2">
        <v>45966</v>
      </c>
      <c r="K219" s="25" t="s">
        <v>156</v>
      </c>
      <c r="L219" s="25" t="s">
        <v>157</v>
      </c>
      <c r="M219" s="25" t="s">
        <v>22</v>
      </c>
      <c r="N219" s="25" t="s">
        <v>158</v>
      </c>
      <c r="O219" s="25" t="s">
        <v>108</v>
      </c>
      <c r="P219" s="25" t="s">
        <v>23</v>
      </c>
    </row>
    <row r="220" spans="1:16" x14ac:dyDescent="0.25">
      <c r="A220">
        <v>24</v>
      </c>
      <c r="B220" s="25"/>
      <c r="C220" s="26"/>
      <c r="D220" s="2"/>
      <c r="E220" s="25"/>
      <c r="F220" s="25"/>
      <c r="G220" s="25"/>
      <c r="H220" s="26"/>
      <c r="I220" s="26"/>
      <c r="J220" s="2"/>
      <c r="K220" s="25"/>
      <c r="L220" s="25"/>
      <c r="M220" s="25"/>
      <c r="N220" s="25"/>
      <c r="O220" s="25"/>
      <c r="P220" s="25"/>
    </row>
    <row r="221" spans="1:16" x14ac:dyDescent="0.25">
      <c r="A221">
        <v>25</v>
      </c>
      <c r="B221" s="25" t="s">
        <v>16</v>
      </c>
      <c r="C221" s="26">
        <v>1.9444444444444445E-2</v>
      </c>
      <c r="D221" s="2">
        <v>45967</v>
      </c>
      <c r="E221" s="25" t="s">
        <v>94</v>
      </c>
      <c r="F221" s="25" t="s">
        <v>95</v>
      </c>
      <c r="G221" s="25" t="s">
        <v>159</v>
      </c>
      <c r="H221" s="26">
        <v>1.2500000000000001E-2</v>
      </c>
      <c r="I221" s="26">
        <v>2.6388888888888889E-2</v>
      </c>
      <c r="J221" s="2">
        <v>45967</v>
      </c>
      <c r="K221" s="25" t="s">
        <v>25</v>
      </c>
      <c r="L221" s="25" t="s">
        <v>160</v>
      </c>
      <c r="M221" s="25" t="s">
        <v>22</v>
      </c>
      <c r="N221" s="25" t="s">
        <v>22</v>
      </c>
      <c r="O221" s="25" t="s">
        <v>112</v>
      </c>
      <c r="P221" s="25" t="s">
        <v>23</v>
      </c>
    </row>
    <row r="222" spans="1:16" x14ac:dyDescent="0.25">
      <c r="A222">
        <v>26</v>
      </c>
      <c r="B222" s="25" t="s">
        <v>161</v>
      </c>
      <c r="C222" s="26">
        <v>0.52083333333333337</v>
      </c>
      <c r="D222" s="2">
        <v>45966</v>
      </c>
      <c r="E222" s="25" t="s">
        <v>162</v>
      </c>
      <c r="F222" s="25" t="s">
        <v>100</v>
      </c>
      <c r="G222" s="25" t="s">
        <v>163</v>
      </c>
      <c r="H222" s="26"/>
      <c r="I222" s="26"/>
      <c r="J222" s="2"/>
      <c r="K222" s="25"/>
      <c r="L222" s="25"/>
      <c r="M222" s="25"/>
      <c r="N222" s="25"/>
      <c r="O222" s="25"/>
      <c r="P222" s="25" t="s">
        <v>33</v>
      </c>
    </row>
    <row r="223" spans="1:16" x14ac:dyDescent="0.25">
      <c r="A223">
        <v>27</v>
      </c>
      <c r="B223" s="25" t="s">
        <v>164</v>
      </c>
      <c r="C223" s="26">
        <v>0.75694444444444442</v>
      </c>
      <c r="D223" s="2">
        <v>45966</v>
      </c>
      <c r="E223" s="25" t="s">
        <v>143</v>
      </c>
      <c r="F223" s="25" t="s">
        <v>95</v>
      </c>
      <c r="G223" s="25" t="s">
        <v>165</v>
      </c>
      <c r="H223" s="26">
        <v>0.75694444444444442</v>
      </c>
      <c r="I223" s="26">
        <v>0.875</v>
      </c>
      <c r="J223" s="2">
        <v>45966</v>
      </c>
      <c r="K223" s="25" t="s">
        <v>25</v>
      </c>
      <c r="L223" s="25" t="s">
        <v>166</v>
      </c>
      <c r="M223" s="25" t="s">
        <v>22</v>
      </c>
      <c r="N223" s="25" t="s">
        <v>22</v>
      </c>
      <c r="O223" s="25" t="s">
        <v>99</v>
      </c>
      <c r="P223" s="25" t="s">
        <v>23</v>
      </c>
    </row>
    <row r="224" spans="1:16" x14ac:dyDescent="0.25">
      <c r="A224">
        <v>28</v>
      </c>
      <c r="B224" s="25" t="s">
        <v>167</v>
      </c>
      <c r="C224" s="26">
        <v>0.30833333333333335</v>
      </c>
      <c r="D224" s="2">
        <v>45966</v>
      </c>
      <c r="E224" s="25" t="s">
        <v>17</v>
      </c>
      <c r="F224" s="25" t="s">
        <v>95</v>
      </c>
      <c r="G224" s="25" t="s">
        <v>168</v>
      </c>
      <c r="H224" s="26">
        <v>5.2083333333333336E-2</v>
      </c>
      <c r="I224" s="26">
        <v>6.25E-2</v>
      </c>
      <c r="J224" s="2">
        <v>45967</v>
      </c>
      <c r="K224" s="25" t="s">
        <v>20</v>
      </c>
      <c r="L224" s="25" t="s">
        <v>169</v>
      </c>
      <c r="M224" s="25" t="s">
        <v>22</v>
      </c>
      <c r="N224" s="25" t="s">
        <v>22</v>
      </c>
      <c r="O224" s="25" t="s">
        <v>112</v>
      </c>
      <c r="P224" s="25" t="s">
        <v>23</v>
      </c>
    </row>
    <row r="225" spans="1:16" x14ac:dyDescent="0.25">
      <c r="A225">
        <v>29</v>
      </c>
      <c r="B225" s="25" t="s">
        <v>132</v>
      </c>
      <c r="C225" s="26">
        <v>0.58333333333333337</v>
      </c>
      <c r="D225" s="2">
        <v>45966</v>
      </c>
      <c r="E225" s="25" t="s">
        <v>91</v>
      </c>
      <c r="F225" s="25" t="s">
        <v>100</v>
      </c>
      <c r="G225" s="25" t="s">
        <v>170</v>
      </c>
      <c r="H225" s="26">
        <v>0.58333333333333337</v>
      </c>
      <c r="I225" s="26">
        <v>0.95833333333333337</v>
      </c>
      <c r="J225" s="2">
        <v>45966</v>
      </c>
      <c r="K225" s="25" t="s">
        <v>20</v>
      </c>
      <c r="L225" s="25" t="s">
        <v>171</v>
      </c>
      <c r="M225" s="25" t="s">
        <v>22</v>
      </c>
      <c r="N225" s="25" t="s">
        <v>22</v>
      </c>
      <c r="O225" s="25" t="s">
        <v>112</v>
      </c>
      <c r="P225" s="25" t="s">
        <v>23</v>
      </c>
    </row>
    <row r="226" spans="1:16" x14ac:dyDescent="0.25">
      <c r="A226">
        <v>30</v>
      </c>
      <c r="B226" s="25" t="s">
        <v>172</v>
      </c>
      <c r="C226" s="26">
        <v>0.25</v>
      </c>
      <c r="D226" s="2">
        <v>45967</v>
      </c>
      <c r="E226" s="25" t="s">
        <v>94</v>
      </c>
      <c r="F226" s="25" t="s">
        <v>95</v>
      </c>
      <c r="G226" s="25" t="s">
        <v>173</v>
      </c>
      <c r="H226" s="26">
        <v>0.26041666666666669</v>
      </c>
      <c r="I226" s="26">
        <v>0.27777777777777779</v>
      </c>
      <c r="J226" s="2">
        <v>45967</v>
      </c>
      <c r="K226" s="25" t="s">
        <v>25</v>
      </c>
      <c r="L226" s="25" t="s">
        <v>174</v>
      </c>
      <c r="M226" s="25" t="s">
        <v>175</v>
      </c>
      <c r="N226" s="25" t="s">
        <v>22</v>
      </c>
      <c r="O226" s="25" t="s">
        <v>108</v>
      </c>
      <c r="P226" s="25" t="s">
        <v>23</v>
      </c>
    </row>
    <row r="227" spans="1:16" x14ac:dyDescent="0.25">
      <c r="A227">
        <v>31</v>
      </c>
      <c r="B227" s="25" t="s">
        <v>176</v>
      </c>
      <c r="C227" s="26">
        <v>0.29166666666666669</v>
      </c>
      <c r="D227" s="2">
        <v>45967</v>
      </c>
      <c r="E227" s="25" t="s">
        <v>177</v>
      </c>
      <c r="F227" s="25" t="s">
        <v>95</v>
      </c>
      <c r="G227" s="25" t="s">
        <v>178</v>
      </c>
      <c r="H227" s="26">
        <v>0.2951388888888889</v>
      </c>
      <c r="I227" s="26">
        <v>0.32083333333333336</v>
      </c>
      <c r="J227" s="2">
        <v>45967</v>
      </c>
      <c r="K227" s="25" t="s">
        <v>20</v>
      </c>
      <c r="L227" s="25" t="s">
        <v>179</v>
      </c>
      <c r="M227" s="25" t="s">
        <v>22</v>
      </c>
      <c r="N227" s="25" t="s">
        <v>22</v>
      </c>
      <c r="O227" s="25" t="s">
        <v>108</v>
      </c>
      <c r="P227" s="25" t="s">
        <v>23</v>
      </c>
    </row>
    <row r="228" spans="1:16" x14ac:dyDescent="0.25">
      <c r="A228">
        <v>32</v>
      </c>
      <c r="B228" s="25" t="s">
        <v>180</v>
      </c>
      <c r="C228" s="26">
        <v>0.25</v>
      </c>
      <c r="D228" s="2">
        <v>45968</v>
      </c>
      <c r="E228" s="25" t="s">
        <v>17</v>
      </c>
      <c r="F228" s="25" t="s">
        <v>95</v>
      </c>
      <c r="G228" s="25" t="s">
        <v>181</v>
      </c>
      <c r="H228" s="26">
        <v>0.31944444444444442</v>
      </c>
      <c r="I228" s="26">
        <v>0.36875000000000002</v>
      </c>
      <c r="J228" s="2">
        <v>45968</v>
      </c>
      <c r="K228" s="25" t="s">
        <v>20</v>
      </c>
      <c r="L228" s="25" t="s">
        <v>182</v>
      </c>
      <c r="M228" s="25" t="s">
        <v>183</v>
      </c>
      <c r="N228" s="25" t="s">
        <v>22</v>
      </c>
      <c r="O228" s="25" t="s">
        <v>108</v>
      </c>
      <c r="P228" s="25" t="s">
        <v>23</v>
      </c>
    </row>
    <row r="229" spans="1:16" x14ac:dyDescent="0.25">
      <c r="A229">
        <v>33</v>
      </c>
      <c r="B229" s="25" t="s">
        <v>184</v>
      </c>
      <c r="C229" s="26">
        <v>0.84583333333333333</v>
      </c>
      <c r="D229" s="2">
        <v>45967</v>
      </c>
      <c r="E229" s="25" t="s">
        <v>185</v>
      </c>
      <c r="F229" s="25" t="s">
        <v>95</v>
      </c>
      <c r="G229" s="25" t="s">
        <v>186</v>
      </c>
      <c r="H229" s="26"/>
      <c r="I229" s="26"/>
      <c r="J229" s="2"/>
      <c r="K229" s="25"/>
      <c r="L229" s="25"/>
      <c r="M229" s="25"/>
      <c r="N229" s="25"/>
      <c r="O229" s="25"/>
      <c r="P229" s="25" t="s">
        <v>33</v>
      </c>
    </row>
    <row r="230" spans="1:16" x14ac:dyDescent="0.25">
      <c r="A230">
        <v>34</v>
      </c>
      <c r="B230" s="25" t="s">
        <v>187</v>
      </c>
      <c r="C230" s="26">
        <v>0.9375</v>
      </c>
      <c r="D230" s="2">
        <v>45967</v>
      </c>
      <c r="E230" s="25" t="s">
        <v>188</v>
      </c>
      <c r="F230" s="25" t="s">
        <v>95</v>
      </c>
      <c r="G230" s="25" t="s">
        <v>189</v>
      </c>
      <c r="H230" s="26"/>
      <c r="I230" s="26"/>
      <c r="J230" s="2"/>
      <c r="K230" s="25"/>
      <c r="L230" s="25"/>
      <c r="M230" s="25"/>
      <c r="N230" s="25"/>
      <c r="O230" s="25"/>
      <c r="P230" s="25" t="s">
        <v>33</v>
      </c>
    </row>
    <row r="231" spans="1:16" x14ac:dyDescent="0.25">
      <c r="A231">
        <v>35</v>
      </c>
      <c r="B231" s="25" t="s">
        <v>16</v>
      </c>
      <c r="C231" s="26">
        <v>1.8749999999999999E-2</v>
      </c>
      <c r="D231" s="2">
        <v>45968</v>
      </c>
      <c r="E231" s="25" t="s">
        <v>22</v>
      </c>
      <c r="F231" s="25" t="s">
        <v>100</v>
      </c>
      <c r="G231" s="25" t="s">
        <v>190</v>
      </c>
      <c r="H231" s="26">
        <v>1.8749999999999999E-2</v>
      </c>
      <c r="I231" s="26">
        <v>4.1666666666666664E-2</v>
      </c>
      <c r="J231" s="2">
        <v>45968</v>
      </c>
      <c r="K231" s="25" t="s">
        <v>25</v>
      </c>
      <c r="L231" s="25" t="s">
        <v>191</v>
      </c>
      <c r="M231" s="25" t="s">
        <v>22</v>
      </c>
      <c r="N231" s="25" t="s">
        <v>22</v>
      </c>
      <c r="O231" s="25" t="s">
        <v>112</v>
      </c>
      <c r="P231" s="25" t="s">
        <v>23</v>
      </c>
    </row>
    <row r="232" spans="1:16" x14ac:dyDescent="0.25">
      <c r="A232">
        <v>36</v>
      </c>
      <c r="B232" s="25" t="s">
        <v>192</v>
      </c>
      <c r="C232" s="26">
        <v>0.16666666666666666</v>
      </c>
      <c r="D232" s="2">
        <v>45968</v>
      </c>
      <c r="E232" s="25" t="s">
        <v>162</v>
      </c>
      <c r="F232" s="25" t="s">
        <v>100</v>
      </c>
      <c r="G232" s="25" t="s">
        <v>193</v>
      </c>
      <c r="H232" s="26">
        <v>0.16666666666666666</v>
      </c>
      <c r="I232" s="26">
        <v>0.19444444444444445</v>
      </c>
      <c r="J232" s="2">
        <v>45968</v>
      </c>
      <c r="K232" s="25" t="s">
        <v>25</v>
      </c>
      <c r="L232" s="25" t="s">
        <v>194</v>
      </c>
      <c r="M232" s="25" t="s">
        <v>22</v>
      </c>
      <c r="N232" s="25" t="s">
        <v>22</v>
      </c>
      <c r="O232" s="25" t="s">
        <v>112</v>
      </c>
      <c r="P232" s="25" t="s">
        <v>23</v>
      </c>
    </row>
    <row r="233" spans="1:16" x14ac:dyDescent="0.25">
      <c r="A233">
        <v>37</v>
      </c>
      <c r="B233" s="25" t="s">
        <v>195</v>
      </c>
      <c r="C233" s="26">
        <v>0.34722222222222221</v>
      </c>
      <c r="D233" s="2">
        <v>45968</v>
      </c>
      <c r="E233" s="25" t="s">
        <v>143</v>
      </c>
      <c r="F233" s="25" t="s">
        <v>95</v>
      </c>
      <c r="G233" s="25" t="s">
        <v>196</v>
      </c>
      <c r="H233" s="26">
        <v>0.35416666666666669</v>
      </c>
      <c r="I233" s="26">
        <v>0.375</v>
      </c>
      <c r="J233" s="2">
        <v>45968</v>
      </c>
      <c r="K233" s="25" t="s">
        <v>20</v>
      </c>
      <c r="L233" s="25" t="s">
        <v>197</v>
      </c>
      <c r="M233" s="25" t="s">
        <v>198</v>
      </c>
      <c r="N233" s="25" t="s">
        <v>22</v>
      </c>
      <c r="O233" s="25" t="s">
        <v>44</v>
      </c>
      <c r="P233" s="25" t="s">
        <v>23</v>
      </c>
    </row>
    <row r="234" spans="1:16" x14ac:dyDescent="0.25">
      <c r="A234">
        <v>38</v>
      </c>
      <c r="B234" s="25"/>
      <c r="C234" s="26"/>
      <c r="D234" s="2"/>
      <c r="E234" s="25"/>
      <c r="F234" s="25"/>
      <c r="G234" s="25"/>
      <c r="H234" s="26"/>
      <c r="I234" s="26"/>
      <c r="J234" s="2"/>
      <c r="K234" s="25"/>
      <c r="L234" s="25"/>
      <c r="M234" s="25"/>
      <c r="N234" s="25"/>
      <c r="O234" s="25"/>
      <c r="P234" s="25"/>
    </row>
    <row r="235" spans="1:16" x14ac:dyDescent="0.25">
      <c r="A235">
        <v>39</v>
      </c>
      <c r="B235" s="25"/>
      <c r="C235" s="26"/>
      <c r="D235" s="2"/>
      <c r="E235" s="25"/>
      <c r="F235" s="25"/>
      <c r="G235" s="25"/>
      <c r="H235" s="26"/>
      <c r="I235" s="26"/>
      <c r="J235" s="2"/>
      <c r="K235" s="25"/>
      <c r="L235" s="25"/>
      <c r="M235" s="25"/>
      <c r="N235" s="25"/>
      <c r="O235" s="25"/>
      <c r="P235" s="25"/>
    </row>
    <row r="236" spans="1:16" x14ac:dyDescent="0.25">
      <c r="A236">
        <v>40</v>
      </c>
      <c r="B236" s="25" t="s">
        <v>199</v>
      </c>
      <c r="C236" s="26">
        <v>0.70694444444444449</v>
      </c>
      <c r="D236" s="2">
        <v>45968</v>
      </c>
      <c r="E236" s="25" t="s">
        <v>91</v>
      </c>
      <c r="F236" s="25" t="s">
        <v>95</v>
      </c>
      <c r="G236" s="25" t="s">
        <v>200</v>
      </c>
      <c r="H236" s="26"/>
      <c r="I236" s="26"/>
      <c r="J236" s="2"/>
      <c r="K236" s="25"/>
      <c r="L236" s="25"/>
      <c r="M236" s="25"/>
      <c r="N236" s="25"/>
      <c r="O236" s="25"/>
      <c r="P236" s="25" t="s">
        <v>33</v>
      </c>
    </row>
    <row r="237" spans="1:16" x14ac:dyDescent="0.25">
      <c r="A237">
        <v>41</v>
      </c>
      <c r="B237" s="25" t="s">
        <v>199</v>
      </c>
      <c r="C237" s="26">
        <v>0.70347222222222228</v>
      </c>
      <c r="D237" s="2">
        <v>45968</v>
      </c>
      <c r="E237" s="25" t="s">
        <v>91</v>
      </c>
      <c r="F237" s="25" t="s">
        <v>95</v>
      </c>
      <c r="G237" s="25" t="s">
        <v>201</v>
      </c>
      <c r="H237" s="26"/>
      <c r="I237" s="26"/>
      <c r="J237" s="2"/>
      <c r="K237" s="25"/>
      <c r="L237" s="25"/>
      <c r="M237" s="25"/>
      <c r="N237" s="25"/>
      <c r="O237" s="25"/>
      <c r="P237" s="25" t="s">
        <v>33</v>
      </c>
    </row>
    <row r="238" spans="1:16" x14ac:dyDescent="0.25">
      <c r="A238">
        <v>42</v>
      </c>
      <c r="B238" s="25" t="s">
        <v>176</v>
      </c>
      <c r="C238" s="26">
        <v>0.31944444444444442</v>
      </c>
      <c r="D238" s="2">
        <v>45969</v>
      </c>
      <c r="E238" s="25" t="s">
        <v>94</v>
      </c>
      <c r="F238" s="25" t="s">
        <v>95</v>
      </c>
      <c r="G238" s="25" t="s">
        <v>202</v>
      </c>
      <c r="H238" s="26">
        <v>0.31944444444444442</v>
      </c>
      <c r="I238" s="26">
        <v>0.36805555555555558</v>
      </c>
      <c r="J238" s="2">
        <v>45969</v>
      </c>
      <c r="K238" s="25" t="s">
        <v>25</v>
      </c>
      <c r="L238" s="25" t="s">
        <v>203</v>
      </c>
      <c r="M238" s="25" t="s">
        <v>204</v>
      </c>
      <c r="N238" s="25" t="s">
        <v>205</v>
      </c>
      <c r="O238" s="25" t="s">
        <v>108</v>
      </c>
      <c r="P238" s="25" t="s">
        <v>23</v>
      </c>
    </row>
    <row r="239" spans="1:16" x14ac:dyDescent="0.25">
      <c r="A239">
        <v>43</v>
      </c>
      <c r="B239" s="25" t="s">
        <v>206</v>
      </c>
      <c r="C239" s="26">
        <v>0.58333333333333337</v>
      </c>
      <c r="D239" s="2">
        <v>45969</v>
      </c>
      <c r="E239" s="25" t="s">
        <v>207</v>
      </c>
      <c r="F239" s="25" t="s">
        <v>100</v>
      </c>
      <c r="G239" s="25" t="s">
        <v>208</v>
      </c>
      <c r="H239" s="26">
        <v>0.58333333333333337</v>
      </c>
      <c r="I239" s="26">
        <v>0.60416666666666663</v>
      </c>
      <c r="J239" s="2">
        <v>45969</v>
      </c>
      <c r="K239" s="25" t="s">
        <v>25</v>
      </c>
      <c r="L239" s="25" t="s">
        <v>209</v>
      </c>
      <c r="M239" s="25" t="s">
        <v>22</v>
      </c>
      <c r="N239" s="25" t="s">
        <v>22</v>
      </c>
      <c r="O239" s="25" t="s">
        <v>108</v>
      </c>
      <c r="P239" s="25" t="s">
        <v>23</v>
      </c>
    </row>
    <row r="240" spans="1:16" x14ac:dyDescent="0.25">
      <c r="A240">
        <v>44</v>
      </c>
      <c r="B240" s="25" t="s">
        <v>22</v>
      </c>
      <c r="C240" s="26">
        <v>1.7361111111111112E-2</v>
      </c>
      <c r="D240" s="2">
        <v>45970</v>
      </c>
      <c r="E240" s="25" t="s">
        <v>143</v>
      </c>
      <c r="F240" s="25" t="s">
        <v>95</v>
      </c>
      <c r="G240" s="25" t="s">
        <v>210</v>
      </c>
      <c r="H240" s="26">
        <v>1.7361111111111112E-2</v>
      </c>
      <c r="I240" s="26">
        <v>9.7222222222222224E-2</v>
      </c>
      <c r="J240" s="2">
        <v>45970</v>
      </c>
      <c r="K240" s="25" t="s">
        <v>25</v>
      </c>
      <c r="L240" s="25" t="s">
        <v>211</v>
      </c>
      <c r="M240" s="25" t="s">
        <v>22</v>
      </c>
      <c r="N240" s="25" t="s">
        <v>22</v>
      </c>
      <c r="O240" s="25" t="s">
        <v>99</v>
      </c>
      <c r="P240" s="25" t="s">
        <v>23</v>
      </c>
    </row>
    <row r="241" spans="1:16" x14ac:dyDescent="0.25">
      <c r="A241">
        <v>45</v>
      </c>
      <c r="B241" s="25" t="s">
        <v>103</v>
      </c>
      <c r="C241" s="26">
        <v>0.27777777777777779</v>
      </c>
      <c r="D241" s="2">
        <v>45971</v>
      </c>
      <c r="E241" s="25" t="s">
        <v>85</v>
      </c>
      <c r="F241" s="25" t="s">
        <v>95</v>
      </c>
      <c r="G241" s="25" t="s">
        <v>212</v>
      </c>
      <c r="H241" s="26">
        <v>0.27777777777777779</v>
      </c>
      <c r="I241" s="26">
        <v>0.29166666666666669</v>
      </c>
      <c r="J241" s="2">
        <v>45971</v>
      </c>
      <c r="K241" s="25" t="s">
        <v>20</v>
      </c>
      <c r="L241" s="25" t="s">
        <v>213</v>
      </c>
      <c r="M241" s="25" t="s">
        <v>22</v>
      </c>
      <c r="N241" s="25" t="s">
        <v>22</v>
      </c>
      <c r="O241" s="25" t="s">
        <v>112</v>
      </c>
      <c r="P241" s="25" t="s">
        <v>23</v>
      </c>
    </row>
    <row r="242" spans="1:16" x14ac:dyDescent="0.25">
      <c r="A242">
        <v>46</v>
      </c>
      <c r="B242" s="25" t="s">
        <v>214</v>
      </c>
      <c r="C242" s="26">
        <v>0.32291666666666669</v>
      </c>
      <c r="D242" s="2">
        <v>45971</v>
      </c>
      <c r="E242" s="25" t="s">
        <v>215</v>
      </c>
      <c r="F242" s="25" t="s">
        <v>95</v>
      </c>
      <c r="G242" s="25" t="s">
        <v>216</v>
      </c>
      <c r="H242" s="26">
        <v>0.3263888888888889</v>
      </c>
      <c r="I242" s="26">
        <v>0.3611111111111111</v>
      </c>
      <c r="J242" s="2">
        <v>45971</v>
      </c>
      <c r="K242" s="25" t="s">
        <v>25</v>
      </c>
      <c r="L242" s="25" t="s">
        <v>217</v>
      </c>
      <c r="M242" s="25" t="s">
        <v>22</v>
      </c>
      <c r="N242" s="25" t="s">
        <v>22</v>
      </c>
      <c r="O242" s="25" t="s">
        <v>112</v>
      </c>
      <c r="P242" s="25" t="s">
        <v>23</v>
      </c>
    </row>
    <row r="243" spans="1:16" x14ac:dyDescent="0.25">
      <c r="A243">
        <v>47</v>
      </c>
      <c r="B243" s="25" t="s">
        <v>214</v>
      </c>
      <c r="C243" s="26">
        <v>0.35416666666666669</v>
      </c>
      <c r="D243" s="2">
        <v>45971</v>
      </c>
      <c r="E243" s="25" t="s">
        <v>162</v>
      </c>
      <c r="F243" s="25" t="s">
        <v>100</v>
      </c>
      <c r="G243" s="25" t="s">
        <v>218</v>
      </c>
      <c r="H243" s="26">
        <v>0.36805555555555558</v>
      </c>
      <c r="I243" s="26">
        <v>0.3840277777777778</v>
      </c>
      <c r="J243" s="2">
        <v>45971</v>
      </c>
      <c r="K243" s="25" t="s">
        <v>25</v>
      </c>
      <c r="L243" s="25" t="s">
        <v>219</v>
      </c>
      <c r="M243" s="25" t="s">
        <v>22</v>
      </c>
      <c r="N243" s="25" t="s">
        <v>22</v>
      </c>
      <c r="O243" s="25" t="s">
        <v>112</v>
      </c>
      <c r="P243" s="25" t="s">
        <v>23</v>
      </c>
    </row>
    <row r="244" spans="1:16" x14ac:dyDescent="0.25">
      <c r="A244">
        <v>48</v>
      </c>
      <c r="B244" s="25" t="s">
        <v>220</v>
      </c>
      <c r="C244" s="26">
        <v>0.51388888888888884</v>
      </c>
      <c r="D244" s="2">
        <v>45971</v>
      </c>
      <c r="E244" s="25" t="s">
        <v>143</v>
      </c>
      <c r="F244" s="25" t="s">
        <v>95</v>
      </c>
      <c r="G244" s="25" t="s">
        <v>221</v>
      </c>
      <c r="H244" s="26">
        <v>0.51388888888888884</v>
      </c>
      <c r="I244" s="26">
        <v>0.52083333333333337</v>
      </c>
      <c r="J244" s="2">
        <v>45971</v>
      </c>
      <c r="K244" s="25" t="s">
        <v>25</v>
      </c>
      <c r="L244" s="25" t="s">
        <v>222</v>
      </c>
      <c r="M244" s="25" t="s">
        <v>223</v>
      </c>
      <c r="N244" s="25" t="s">
        <v>22</v>
      </c>
      <c r="O244" s="25" t="s">
        <v>112</v>
      </c>
      <c r="P244" s="25" t="s">
        <v>23</v>
      </c>
    </row>
    <row r="245" spans="1:16" x14ac:dyDescent="0.25">
      <c r="A245">
        <v>49</v>
      </c>
      <c r="B245" s="25" t="s">
        <v>113</v>
      </c>
      <c r="C245" s="26">
        <v>0.88194444444444442</v>
      </c>
      <c r="D245" s="2">
        <v>45971</v>
      </c>
      <c r="E245" s="25" t="s">
        <v>188</v>
      </c>
      <c r="F245" s="25" t="s">
        <v>95</v>
      </c>
      <c r="G245" s="25" t="s">
        <v>224</v>
      </c>
      <c r="H245" s="26">
        <v>0.88194444444444442</v>
      </c>
      <c r="I245" s="26">
        <v>0.90277777777777779</v>
      </c>
      <c r="J245" s="2">
        <v>45971</v>
      </c>
      <c r="K245" s="25" t="s">
        <v>25</v>
      </c>
      <c r="L245" s="25" t="s">
        <v>225</v>
      </c>
      <c r="M245" s="25" t="s">
        <v>22</v>
      </c>
      <c r="N245" s="25" t="s">
        <v>22</v>
      </c>
      <c r="O245" s="25" t="s">
        <v>44</v>
      </c>
      <c r="P245" s="25" t="s">
        <v>23</v>
      </c>
    </row>
    <row r="246" spans="1:16" x14ac:dyDescent="0.25">
      <c r="A246">
        <v>50</v>
      </c>
      <c r="B246" s="25" t="s">
        <v>226</v>
      </c>
      <c r="C246" s="26">
        <v>0.54166666666666663</v>
      </c>
      <c r="D246" s="2">
        <v>45972</v>
      </c>
      <c r="E246" s="25" t="s">
        <v>227</v>
      </c>
      <c r="F246" s="25" t="s">
        <v>95</v>
      </c>
      <c r="G246" s="25" t="s">
        <v>228</v>
      </c>
      <c r="H246" s="26">
        <v>0.54166666666666663</v>
      </c>
      <c r="I246" s="26">
        <v>0.625</v>
      </c>
      <c r="J246" s="2">
        <v>45972</v>
      </c>
      <c r="K246" s="25" t="s">
        <v>25</v>
      </c>
      <c r="L246" s="25" t="s">
        <v>229</v>
      </c>
      <c r="M246" s="25" t="s">
        <v>230</v>
      </c>
      <c r="N246" s="25" t="s">
        <v>22</v>
      </c>
      <c r="O246" s="25" t="s">
        <v>99</v>
      </c>
      <c r="P246" s="25" t="s">
        <v>23</v>
      </c>
    </row>
    <row r="247" spans="1:16" x14ac:dyDescent="0.25">
      <c r="A247">
        <v>51</v>
      </c>
      <c r="B247" s="25"/>
      <c r="C247" s="26"/>
      <c r="D247" s="2"/>
      <c r="E247" s="25"/>
      <c r="F247" s="25"/>
      <c r="G247" s="25"/>
      <c r="H247" s="26"/>
      <c r="I247" s="26"/>
      <c r="J247" s="2"/>
      <c r="K247" s="25"/>
      <c r="L247" s="25"/>
      <c r="M247" s="25"/>
      <c r="N247" s="25"/>
      <c r="O247" s="25"/>
      <c r="P247" s="25"/>
    </row>
    <row r="248" spans="1:16" x14ac:dyDescent="0.25">
      <c r="A248">
        <v>52</v>
      </c>
      <c r="B248" s="25" t="s">
        <v>231</v>
      </c>
      <c r="C248" s="26">
        <v>0.63888888888888884</v>
      </c>
      <c r="D248" s="2">
        <v>45972</v>
      </c>
      <c r="E248" s="25" t="s">
        <v>143</v>
      </c>
      <c r="F248" s="25" t="s">
        <v>95</v>
      </c>
      <c r="G248" s="25" t="s">
        <v>232</v>
      </c>
      <c r="H248" s="26">
        <v>0.64583333333333337</v>
      </c>
      <c r="I248" s="26">
        <v>0.72222222222222221</v>
      </c>
      <c r="J248" s="2">
        <v>45972</v>
      </c>
      <c r="K248" s="25" t="s">
        <v>20</v>
      </c>
      <c r="L248" s="25" t="s">
        <v>233</v>
      </c>
      <c r="M248" s="25" t="s">
        <v>22</v>
      </c>
      <c r="N248" s="25" t="s">
        <v>22</v>
      </c>
      <c r="O248" s="25" t="s">
        <v>44</v>
      </c>
      <c r="P248" s="25" t="s">
        <v>23</v>
      </c>
    </row>
    <row r="249" spans="1:16" x14ac:dyDescent="0.25">
      <c r="A249">
        <v>53</v>
      </c>
      <c r="B249" s="25" t="s">
        <v>187</v>
      </c>
      <c r="C249" s="26">
        <v>0.69444444444444442</v>
      </c>
      <c r="D249" s="2">
        <v>45972</v>
      </c>
      <c r="E249" s="25" t="s">
        <v>104</v>
      </c>
      <c r="F249" s="25" t="s">
        <v>95</v>
      </c>
      <c r="G249" s="25" t="s">
        <v>234</v>
      </c>
      <c r="H249" s="26">
        <v>0.74305555555555558</v>
      </c>
      <c r="I249" s="26">
        <v>0.76388888888888884</v>
      </c>
      <c r="J249" s="2">
        <v>45972</v>
      </c>
      <c r="K249" s="25" t="s">
        <v>20</v>
      </c>
      <c r="L249" s="25" t="s">
        <v>235</v>
      </c>
      <c r="M249" s="25" t="s">
        <v>22</v>
      </c>
      <c r="N249" s="25" t="s">
        <v>22</v>
      </c>
      <c r="O249" s="25" t="s">
        <v>44</v>
      </c>
      <c r="P249" s="25" t="s">
        <v>23</v>
      </c>
    </row>
    <row r="250" spans="1:16" x14ac:dyDescent="0.25">
      <c r="A250">
        <v>54</v>
      </c>
      <c r="B250" s="25" t="s">
        <v>231</v>
      </c>
      <c r="C250" s="26">
        <v>0.70833333333333337</v>
      </c>
      <c r="D250" s="2">
        <v>45972</v>
      </c>
      <c r="E250" s="25" t="s">
        <v>143</v>
      </c>
      <c r="F250" s="25" t="s">
        <v>95</v>
      </c>
      <c r="G250" s="25" t="s">
        <v>236</v>
      </c>
      <c r="H250" s="26">
        <v>0.70833333333333337</v>
      </c>
      <c r="I250" s="26">
        <v>0.72222222222222221</v>
      </c>
      <c r="J250" s="2">
        <v>45972</v>
      </c>
      <c r="K250" s="25" t="s">
        <v>25</v>
      </c>
      <c r="L250" s="25" t="s">
        <v>237</v>
      </c>
      <c r="M250" s="25" t="s">
        <v>22</v>
      </c>
      <c r="N250" s="25" t="s">
        <v>22</v>
      </c>
      <c r="O250" s="25" t="s">
        <v>44</v>
      </c>
      <c r="P250" s="25" t="s">
        <v>23</v>
      </c>
    </row>
    <row r="251" spans="1:16" x14ac:dyDescent="0.25">
      <c r="A251">
        <v>55</v>
      </c>
      <c r="B251" s="25" t="s">
        <v>238</v>
      </c>
      <c r="C251" s="26">
        <v>0.89583333333333337</v>
      </c>
      <c r="D251" s="2">
        <v>45972</v>
      </c>
      <c r="E251" s="25" t="s">
        <v>109</v>
      </c>
      <c r="F251" s="25" t="s">
        <v>95</v>
      </c>
      <c r="G251" s="25" t="s">
        <v>239</v>
      </c>
      <c r="H251" s="26">
        <v>0.89583333333333337</v>
      </c>
      <c r="I251" s="26">
        <v>0.90625</v>
      </c>
      <c r="J251" s="2">
        <v>45972</v>
      </c>
      <c r="K251" s="25" t="s">
        <v>20</v>
      </c>
      <c r="L251" s="25" t="s">
        <v>240</v>
      </c>
      <c r="M251" s="25" t="s">
        <v>22</v>
      </c>
      <c r="N251" s="25" t="s">
        <v>22</v>
      </c>
      <c r="O251" s="25" t="s">
        <v>44</v>
      </c>
      <c r="P251" s="25" t="s">
        <v>23</v>
      </c>
    </row>
    <row r="252" spans="1:16" x14ac:dyDescent="0.25">
      <c r="A252">
        <v>56</v>
      </c>
      <c r="B252" s="25" t="s">
        <v>113</v>
      </c>
      <c r="C252" s="26">
        <v>0.99305555555555558</v>
      </c>
      <c r="D252" s="2">
        <v>45972</v>
      </c>
      <c r="E252" s="25" t="s">
        <v>85</v>
      </c>
      <c r="F252" s="25" t="s">
        <v>95</v>
      </c>
      <c r="G252" s="25" t="s">
        <v>241</v>
      </c>
      <c r="H252" s="26"/>
      <c r="I252" s="26"/>
      <c r="J252" s="2"/>
      <c r="K252" s="25"/>
      <c r="L252" s="25"/>
      <c r="M252" s="25"/>
      <c r="N252" s="25"/>
      <c r="O252" s="25"/>
      <c r="P252" s="25" t="s">
        <v>33</v>
      </c>
    </row>
    <row r="253" spans="1:16" x14ac:dyDescent="0.25">
      <c r="A253">
        <v>57</v>
      </c>
      <c r="B253" s="25"/>
      <c r="C253" s="26"/>
      <c r="D253" s="2"/>
      <c r="E253" s="25"/>
      <c r="F253" s="25"/>
      <c r="G253" s="25"/>
      <c r="H253" s="26"/>
      <c r="I253" s="26"/>
      <c r="J253" s="2"/>
      <c r="K253" s="25"/>
      <c r="L253" s="25"/>
      <c r="M253" s="25"/>
      <c r="N253" s="25"/>
      <c r="O253" s="25"/>
      <c r="P253" s="25"/>
    </row>
    <row r="254" spans="1:16" x14ac:dyDescent="0.25">
      <c r="A254">
        <v>58</v>
      </c>
      <c r="B254" s="25" t="s">
        <v>242</v>
      </c>
      <c r="C254" s="26">
        <v>0.32708333333333334</v>
      </c>
      <c r="D254" s="2">
        <v>45979</v>
      </c>
      <c r="E254" s="25" t="s">
        <v>227</v>
      </c>
      <c r="F254" s="25" t="s">
        <v>95</v>
      </c>
      <c r="G254" s="25" t="s">
        <v>243</v>
      </c>
      <c r="H254" s="26">
        <v>0.32708333333333334</v>
      </c>
      <c r="I254" s="26">
        <v>0.42291666666666666</v>
      </c>
      <c r="J254" s="2">
        <v>45979</v>
      </c>
      <c r="K254" s="25" t="s">
        <v>25</v>
      </c>
      <c r="L254" s="25" t="s">
        <v>244</v>
      </c>
      <c r="M254" s="25" t="s">
        <v>245</v>
      </c>
      <c r="N254" s="25" t="s">
        <v>246</v>
      </c>
      <c r="O254" s="25" t="s">
        <v>99</v>
      </c>
      <c r="P254" s="25" t="s">
        <v>23</v>
      </c>
    </row>
    <row r="255" spans="1:16" x14ac:dyDescent="0.25">
      <c r="A255">
        <v>59</v>
      </c>
      <c r="B255" s="25" t="s">
        <v>103</v>
      </c>
      <c r="C255" s="26">
        <v>0.64583333333333337</v>
      </c>
      <c r="D255" s="2">
        <v>45973</v>
      </c>
      <c r="E255" s="25" t="s">
        <v>85</v>
      </c>
      <c r="F255" s="25" t="s">
        <v>95</v>
      </c>
      <c r="G255" s="25" t="s">
        <v>247</v>
      </c>
      <c r="H255" s="26">
        <v>0.64583333333333337</v>
      </c>
      <c r="I255" s="26">
        <v>0.75</v>
      </c>
      <c r="J255" s="2">
        <v>45973</v>
      </c>
      <c r="K255" s="25" t="s">
        <v>25</v>
      </c>
      <c r="L255" s="25" t="s">
        <v>248</v>
      </c>
      <c r="M255" s="25" t="s">
        <v>22</v>
      </c>
      <c r="N255" s="25" t="s">
        <v>22</v>
      </c>
      <c r="O255" s="25" t="s">
        <v>112</v>
      </c>
      <c r="P255" s="25" t="s">
        <v>23</v>
      </c>
    </row>
    <row r="256" spans="1:16" x14ac:dyDescent="0.25">
      <c r="A256">
        <v>60</v>
      </c>
      <c r="B256" s="25" t="s">
        <v>192</v>
      </c>
      <c r="C256" s="26">
        <v>0.75</v>
      </c>
      <c r="D256" s="2">
        <v>45973</v>
      </c>
      <c r="E256" s="25" t="s">
        <v>162</v>
      </c>
      <c r="F256" s="25" t="s">
        <v>95</v>
      </c>
      <c r="G256" s="25" t="s">
        <v>249</v>
      </c>
      <c r="H256" s="26"/>
      <c r="I256" s="26"/>
      <c r="J256" s="2"/>
      <c r="K256" s="25"/>
      <c r="L256" s="25"/>
      <c r="M256" s="25"/>
      <c r="N256" s="25"/>
      <c r="O256" s="25"/>
      <c r="P256" s="25" t="s">
        <v>33</v>
      </c>
    </row>
    <row r="257" spans="1:16" x14ac:dyDescent="0.25">
      <c r="A257">
        <v>61</v>
      </c>
      <c r="B257" s="25" t="s">
        <v>113</v>
      </c>
      <c r="C257" s="26">
        <v>0.84513888888888888</v>
      </c>
      <c r="D257" s="2">
        <v>45973</v>
      </c>
      <c r="E257" s="25" t="s">
        <v>104</v>
      </c>
      <c r="F257" s="25" t="s">
        <v>95</v>
      </c>
      <c r="G257" s="25" t="s">
        <v>250</v>
      </c>
      <c r="H257" s="26"/>
      <c r="I257" s="26"/>
      <c r="J257" s="2"/>
      <c r="K257" s="25"/>
      <c r="L257" s="25"/>
      <c r="M257" s="25"/>
      <c r="N257" s="25"/>
      <c r="O257" s="25"/>
      <c r="P257" s="25" t="s">
        <v>33</v>
      </c>
    </row>
    <row r="258" spans="1:16" x14ac:dyDescent="0.25">
      <c r="A258">
        <v>62</v>
      </c>
      <c r="B258" s="25" t="s">
        <v>199</v>
      </c>
      <c r="C258" s="26">
        <v>0.84722222222222221</v>
      </c>
      <c r="D258" s="2">
        <v>45973</v>
      </c>
      <c r="E258" s="25" t="s">
        <v>91</v>
      </c>
      <c r="F258" s="25" t="s">
        <v>95</v>
      </c>
      <c r="G258" s="25" t="s">
        <v>251</v>
      </c>
      <c r="H258" s="26">
        <v>0.88888888888888884</v>
      </c>
      <c r="I258" s="26">
        <v>0.90277777777777779</v>
      </c>
      <c r="J258" s="2">
        <v>45973</v>
      </c>
      <c r="K258" s="25" t="s">
        <v>25</v>
      </c>
      <c r="L258" s="25" t="s">
        <v>252</v>
      </c>
      <c r="M258" s="25" t="s">
        <v>22</v>
      </c>
      <c r="N258" s="25" t="s">
        <v>22</v>
      </c>
      <c r="O258" s="25" t="s">
        <v>112</v>
      </c>
      <c r="P258" s="25" t="s">
        <v>23</v>
      </c>
    </row>
    <row r="259" spans="1:16" x14ac:dyDescent="0.25">
      <c r="A259">
        <v>63</v>
      </c>
      <c r="B259" s="25" t="s">
        <v>199</v>
      </c>
      <c r="C259" s="26">
        <v>0.99305555555555558</v>
      </c>
      <c r="D259" s="2">
        <v>45973</v>
      </c>
      <c r="E259" s="25" t="s">
        <v>91</v>
      </c>
      <c r="F259" s="25" t="s">
        <v>95</v>
      </c>
      <c r="G259" s="25" t="s">
        <v>253</v>
      </c>
      <c r="H259" s="26">
        <v>0.99305555555555558</v>
      </c>
      <c r="I259" s="26">
        <v>8.3333333333333329E-2</v>
      </c>
      <c r="J259" s="2">
        <v>45973</v>
      </c>
      <c r="K259" s="25" t="s">
        <v>25</v>
      </c>
      <c r="L259" s="25" t="s">
        <v>254</v>
      </c>
      <c r="M259" s="25" t="s">
        <v>255</v>
      </c>
      <c r="N259" s="25" t="s">
        <v>22</v>
      </c>
      <c r="O259" s="25" t="s">
        <v>99</v>
      </c>
      <c r="P259" s="25" t="s">
        <v>23</v>
      </c>
    </row>
    <row r="260" spans="1:16" x14ac:dyDescent="0.25">
      <c r="A260">
        <v>64</v>
      </c>
      <c r="B260" s="25" t="s">
        <v>256</v>
      </c>
      <c r="C260" s="26">
        <v>0.29166666666666669</v>
      </c>
      <c r="D260" s="2">
        <v>45974</v>
      </c>
      <c r="E260" s="25" t="s">
        <v>162</v>
      </c>
      <c r="F260" s="25" t="s">
        <v>95</v>
      </c>
      <c r="G260" s="25" t="s">
        <v>257</v>
      </c>
      <c r="H260" s="26">
        <v>0.29166666666666669</v>
      </c>
      <c r="I260" s="26">
        <v>0.40972222222222221</v>
      </c>
      <c r="J260" s="2">
        <v>45974</v>
      </c>
      <c r="K260" s="25" t="s">
        <v>156</v>
      </c>
      <c r="L260" s="25" t="s">
        <v>258</v>
      </c>
      <c r="M260" s="25" t="s">
        <v>259</v>
      </c>
      <c r="N260" s="25" t="s">
        <v>260</v>
      </c>
      <c r="O260" s="25" t="s">
        <v>108</v>
      </c>
      <c r="P260" s="25" t="s">
        <v>23</v>
      </c>
    </row>
    <row r="261" spans="1:16" x14ac:dyDescent="0.25">
      <c r="A261">
        <v>65</v>
      </c>
      <c r="B261" s="25" t="s">
        <v>261</v>
      </c>
      <c r="C261" s="26">
        <v>0.375</v>
      </c>
      <c r="D261" s="2">
        <v>45974</v>
      </c>
      <c r="E261" s="25" t="s">
        <v>262</v>
      </c>
      <c r="F261" s="25" t="s">
        <v>95</v>
      </c>
      <c r="G261" s="25" t="s">
        <v>263</v>
      </c>
      <c r="H261" s="26">
        <v>0.375</v>
      </c>
      <c r="I261" s="26">
        <v>0.40972222222222221</v>
      </c>
      <c r="J261" s="2">
        <v>45974</v>
      </c>
      <c r="K261" s="25" t="s">
        <v>25</v>
      </c>
      <c r="L261" s="25" t="s">
        <v>264</v>
      </c>
      <c r="M261" s="25" t="s">
        <v>22</v>
      </c>
      <c r="N261" s="25" t="s">
        <v>22</v>
      </c>
      <c r="O261" s="25" t="s">
        <v>108</v>
      </c>
      <c r="P261" s="25" t="s">
        <v>23</v>
      </c>
    </row>
    <row r="262" spans="1:16" x14ac:dyDescent="0.25">
      <c r="A262">
        <v>66</v>
      </c>
      <c r="B262" s="25" t="s">
        <v>103</v>
      </c>
      <c r="C262" s="26">
        <v>0.41319444444444442</v>
      </c>
      <c r="D262" s="2">
        <v>45974</v>
      </c>
      <c r="E262" s="25" t="s">
        <v>85</v>
      </c>
      <c r="F262" s="25" t="s">
        <v>100</v>
      </c>
      <c r="G262" s="25" t="s">
        <v>265</v>
      </c>
      <c r="H262" s="26">
        <v>0.41319444444444442</v>
      </c>
      <c r="I262" s="26">
        <v>0.4548611111111111</v>
      </c>
      <c r="J262" s="2">
        <v>45974</v>
      </c>
      <c r="K262" s="25" t="s">
        <v>25</v>
      </c>
      <c r="L262" s="25" t="s">
        <v>266</v>
      </c>
      <c r="M262" s="25" t="s">
        <v>267</v>
      </c>
      <c r="N262" s="25" t="s">
        <v>22</v>
      </c>
      <c r="O262" s="25" t="s">
        <v>268</v>
      </c>
      <c r="P262" s="25" t="s">
        <v>23</v>
      </c>
    </row>
    <row r="263" spans="1:16" x14ac:dyDescent="0.25">
      <c r="A263">
        <v>67</v>
      </c>
      <c r="B263" s="25" t="s">
        <v>261</v>
      </c>
      <c r="C263" s="26">
        <v>0.64583333333333337</v>
      </c>
      <c r="D263" s="2">
        <v>45974</v>
      </c>
      <c r="E263" s="25" t="s">
        <v>91</v>
      </c>
      <c r="F263" s="25" t="s">
        <v>95</v>
      </c>
      <c r="G263" s="25" t="s">
        <v>269</v>
      </c>
      <c r="H263" s="26"/>
      <c r="I263" s="26"/>
      <c r="J263" s="2"/>
      <c r="K263" s="25"/>
      <c r="L263" s="25"/>
      <c r="M263" s="25"/>
      <c r="N263" s="25"/>
      <c r="O263" s="25"/>
      <c r="P263" s="25" t="s">
        <v>33</v>
      </c>
    </row>
    <row r="264" spans="1:16" x14ac:dyDescent="0.25">
      <c r="A264">
        <v>68</v>
      </c>
      <c r="B264" s="25"/>
      <c r="C264" s="26"/>
      <c r="D264" s="2"/>
      <c r="E264" s="25"/>
      <c r="F264" s="25"/>
      <c r="G264" s="25"/>
      <c r="H264" s="26"/>
      <c r="I264" s="26"/>
      <c r="J264" s="2"/>
      <c r="K264" s="25"/>
      <c r="L264" s="25"/>
      <c r="M264" s="25"/>
      <c r="N264" s="25"/>
      <c r="O264" s="25"/>
      <c r="P264" s="25"/>
    </row>
    <row r="265" spans="1:16" x14ac:dyDescent="0.25">
      <c r="A265">
        <v>69</v>
      </c>
      <c r="B265" s="25" t="s">
        <v>176</v>
      </c>
      <c r="C265" s="26">
        <v>0.58333333333333337</v>
      </c>
      <c r="D265" s="2">
        <v>45975</v>
      </c>
      <c r="E265" s="25" t="s">
        <v>94</v>
      </c>
      <c r="F265" s="25" t="s">
        <v>95</v>
      </c>
      <c r="G265" s="25" t="s">
        <v>270</v>
      </c>
      <c r="H265" s="26">
        <v>0.79166666666666663</v>
      </c>
      <c r="I265" s="26">
        <v>0.80555555555555558</v>
      </c>
      <c r="J265" s="2">
        <v>45975</v>
      </c>
      <c r="K265" s="25" t="s">
        <v>25</v>
      </c>
      <c r="L265" s="25" t="s">
        <v>271</v>
      </c>
      <c r="M265" s="25" t="s">
        <v>98</v>
      </c>
      <c r="N265" s="25" t="s">
        <v>22</v>
      </c>
      <c r="O265" s="25" t="s">
        <v>44</v>
      </c>
      <c r="P265" s="25" t="s">
        <v>23</v>
      </c>
    </row>
    <row r="266" spans="1:16" x14ac:dyDescent="0.25">
      <c r="A266">
        <v>70</v>
      </c>
      <c r="B266" s="25" t="s">
        <v>113</v>
      </c>
      <c r="C266" s="26">
        <v>0.83888888888888891</v>
      </c>
      <c r="D266" s="2">
        <v>45975</v>
      </c>
      <c r="E266" s="25" t="s">
        <v>104</v>
      </c>
      <c r="F266" s="25" t="s">
        <v>95</v>
      </c>
      <c r="G266" s="25" t="s">
        <v>272</v>
      </c>
      <c r="H266" s="26">
        <v>0.83888888888888891</v>
      </c>
      <c r="I266" s="26">
        <v>0.84583333333333333</v>
      </c>
      <c r="J266" s="2">
        <v>45975</v>
      </c>
      <c r="K266" s="25" t="s">
        <v>20</v>
      </c>
      <c r="L266" s="25" t="s">
        <v>273</v>
      </c>
      <c r="M266" s="25" t="s">
        <v>22</v>
      </c>
      <c r="N266" s="25" t="s">
        <v>22</v>
      </c>
      <c r="O266" s="25" t="s">
        <v>44</v>
      </c>
      <c r="P266" s="25" t="s">
        <v>23</v>
      </c>
    </row>
    <row r="267" spans="1:16" x14ac:dyDescent="0.25">
      <c r="A267">
        <v>71</v>
      </c>
      <c r="B267" s="25" t="s">
        <v>261</v>
      </c>
      <c r="C267" s="26">
        <v>0.63888888888888884</v>
      </c>
      <c r="D267" s="2">
        <v>45977</v>
      </c>
      <c r="E267" s="25" t="s">
        <v>91</v>
      </c>
      <c r="F267" s="25" t="s">
        <v>95</v>
      </c>
      <c r="G267" s="25" t="s">
        <v>274</v>
      </c>
      <c r="H267" s="26">
        <v>0.63888888888888884</v>
      </c>
      <c r="I267" s="26">
        <v>0.64583333333333337</v>
      </c>
      <c r="J267" s="2">
        <v>45977</v>
      </c>
      <c r="K267" s="25" t="s">
        <v>25</v>
      </c>
      <c r="L267" s="25" t="s">
        <v>275</v>
      </c>
      <c r="M267" s="25" t="s">
        <v>22</v>
      </c>
      <c r="N267" s="25" t="s">
        <v>22</v>
      </c>
      <c r="O267" s="25" t="s">
        <v>112</v>
      </c>
      <c r="P267" s="25" t="s">
        <v>23</v>
      </c>
    </row>
    <row r="268" spans="1:16" x14ac:dyDescent="0.25">
      <c r="A268">
        <v>72</v>
      </c>
      <c r="B268" s="25" t="s">
        <v>164</v>
      </c>
      <c r="C268" s="26">
        <v>0.94097222222222221</v>
      </c>
      <c r="D268" s="2">
        <v>45978</v>
      </c>
      <c r="E268" s="25" t="s">
        <v>143</v>
      </c>
      <c r="F268" s="25" t="s">
        <v>95</v>
      </c>
      <c r="G268" s="25" t="s">
        <v>276</v>
      </c>
      <c r="H268" s="26">
        <v>0.94097222222222221</v>
      </c>
      <c r="I268" s="26">
        <v>0</v>
      </c>
      <c r="J268" s="2"/>
      <c r="K268" s="25" t="s">
        <v>25</v>
      </c>
      <c r="L268" s="25" t="s">
        <v>277</v>
      </c>
      <c r="M268" s="25" t="s">
        <v>278</v>
      </c>
      <c r="N268" s="25" t="s">
        <v>22</v>
      </c>
      <c r="O268" s="25" t="s">
        <v>44</v>
      </c>
      <c r="P268" s="25" t="s">
        <v>23</v>
      </c>
    </row>
    <row r="269" spans="1:16" x14ac:dyDescent="0.25">
      <c r="A269">
        <v>73</v>
      </c>
      <c r="B269" s="25" t="s">
        <v>279</v>
      </c>
      <c r="C269" s="26">
        <v>0.13958333333333334</v>
      </c>
      <c r="D269" s="2">
        <v>45975</v>
      </c>
      <c r="E269" s="25" t="s">
        <v>280</v>
      </c>
      <c r="F269" s="25" t="s">
        <v>95</v>
      </c>
      <c r="G269" s="25" t="s">
        <v>281</v>
      </c>
      <c r="H269" s="26">
        <v>0.65277777777777779</v>
      </c>
      <c r="I269" s="26">
        <v>0.70833333333333337</v>
      </c>
      <c r="J269" s="2">
        <v>45975</v>
      </c>
      <c r="K269" s="25" t="s">
        <v>20</v>
      </c>
      <c r="L269" s="25" t="s">
        <v>282</v>
      </c>
      <c r="M269" s="25" t="s">
        <v>22</v>
      </c>
      <c r="N269" s="25" t="s">
        <v>22</v>
      </c>
      <c r="O269" s="25" t="s">
        <v>44</v>
      </c>
      <c r="P269" s="25" t="s">
        <v>23</v>
      </c>
    </row>
    <row r="270" spans="1:16" x14ac:dyDescent="0.25">
      <c r="A270">
        <v>74</v>
      </c>
      <c r="B270" s="25"/>
      <c r="C270" s="26"/>
      <c r="D270" s="2"/>
      <c r="E270" s="25"/>
      <c r="F270" s="25"/>
      <c r="G270" s="25"/>
      <c r="H270" s="26"/>
      <c r="I270" s="26"/>
      <c r="J270" s="2"/>
      <c r="K270" s="25"/>
      <c r="L270" s="25"/>
      <c r="M270" s="25"/>
      <c r="N270" s="25"/>
      <c r="O270" s="25"/>
      <c r="P270" s="25"/>
    </row>
    <row r="271" spans="1:16" x14ac:dyDescent="0.25">
      <c r="A271">
        <v>75</v>
      </c>
      <c r="B271" s="25" t="s">
        <v>120</v>
      </c>
      <c r="C271" s="26">
        <v>0.75694444444444442</v>
      </c>
      <c r="D271" s="2">
        <v>45979</v>
      </c>
      <c r="E271" s="25" t="s">
        <v>94</v>
      </c>
      <c r="F271" s="25" t="s">
        <v>95</v>
      </c>
      <c r="G271" s="25" t="s">
        <v>283</v>
      </c>
      <c r="H271" s="26">
        <v>0.75694444444444442</v>
      </c>
      <c r="I271" s="26">
        <v>0.77777777777777779</v>
      </c>
      <c r="J271" s="2">
        <v>45979</v>
      </c>
      <c r="K271" s="25" t="s">
        <v>25</v>
      </c>
      <c r="L271" s="25" t="s">
        <v>284</v>
      </c>
      <c r="M271" s="25" t="s">
        <v>22</v>
      </c>
      <c r="N271" s="25" t="s">
        <v>22</v>
      </c>
      <c r="O271" s="25" t="s">
        <v>112</v>
      </c>
      <c r="P271" s="25" t="s">
        <v>23</v>
      </c>
    </row>
    <row r="272" spans="1:16" x14ac:dyDescent="0.25">
      <c r="A272">
        <v>76</v>
      </c>
      <c r="B272" s="25" t="s">
        <v>164</v>
      </c>
      <c r="C272" s="26">
        <v>0.25</v>
      </c>
      <c r="D272" s="2">
        <v>45979</v>
      </c>
      <c r="E272" s="25" t="s">
        <v>22</v>
      </c>
      <c r="F272" s="25" t="s">
        <v>95</v>
      </c>
      <c r="G272" s="25" t="s">
        <v>285</v>
      </c>
      <c r="H272" s="26">
        <v>0.25</v>
      </c>
      <c r="I272" s="26">
        <v>0.26805555555555555</v>
      </c>
      <c r="J272" s="2">
        <v>45979</v>
      </c>
      <c r="K272" s="25" t="s">
        <v>25</v>
      </c>
      <c r="L272" s="25" t="s">
        <v>286</v>
      </c>
      <c r="M272" s="25" t="s">
        <v>287</v>
      </c>
      <c r="N272" s="25" t="s">
        <v>22</v>
      </c>
      <c r="O272" s="25" t="s">
        <v>99</v>
      </c>
      <c r="P272" s="25" t="s">
        <v>23</v>
      </c>
    </row>
    <row r="273" spans="1:16" x14ac:dyDescent="0.25">
      <c r="A273">
        <v>77</v>
      </c>
      <c r="B273" s="25"/>
      <c r="C273" s="26"/>
      <c r="D273" s="2"/>
      <c r="E273" s="25"/>
      <c r="F273" s="25"/>
      <c r="G273" s="25"/>
      <c r="H273" s="26"/>
      <c r="I273" s="26"/>
      <c r="J273" s="2"/>
      <c r="K273" s="25"/>
      <c r="L273" s="25"/>
      <c r="M273" s="25"/>
      <c r="N273" s="25"/>
      <c r="O273" s="25"/>
      <c r="P273" s="25"/>
    </row>
    <row r="274" spans="1:16" x14ac:dyDescent="0.25">
      <c r="A274">
        <v>78</v>
      </c>
      <c r="B274" s="25" t="s">
        <v>113</v>
      </c>
      <c r="C274" s="26">
        <v>0.85069444444444442</v>
      </c>
      <c r="D274" s="2">
        <v>45979</v>
      </c>
      <c r="E274" s="25" t="s">
        <v>91</v>
      </c>
      <c r="F274" s="25" t="s">
        <v>95</v>
      </c>
      <c r="G274" s="25" t="s">
        <v>288</v>
      </c>
      <c r="H274" s="26">
        <v>0.85069444444444442</v>
      </c>
      <c r="I274" s="26">
        <v>0.88194444444444442</v>
      </c>
      <c r="J274" s="2">
        <v>45979</v>
      </c>
      <c r="K274" s="25" t="s">
        <v>25</v>
      </c>
      <c r="L274" s="25" t="s">
        <v>289</v>
      </c>
      <c r="M274" s="25" t="s">
        <v>22</v>
      </c>
      <c r="N274" s="25" t="s">
        <v>22</v>
      </c>
      <c r="O274" s="25" t="s">
        <v>112</v>
      </c>
      <c r="P274" s="25" t="s">
        <v>23</v>
      </c>
    </row>
    <row r="275" spans="1:16" x14ac:dyDescent="0.25">
      <c r="A275">
        <v>79</v>
      </c>
      <c r="B275" s="25" t="s">
        <v>290</v>
      </c>
      <c r="C275" s="26">
        <v>0.125</v>
      </c>
      <c r="D275" s="2">
        <v>45980</v>
      </c>
      <c r="E275" s="25" t="s">
        <v>94</v>
      </c>
      <c r="F275" s="25" t="s">
        <v>95</v>
      </c>
      <c r="G275" s="25" t="s">
        <v>291</v>
      </c>
      <c r="H275" s="26">
        <v>0.125</v>
      </c>
      <c r="I275" s="26">
        <v>0.22916666666666666</v>
      </c>
      <c r="J275" s="2">
        <v>45980</v>
      </c>
      <c r="K275" s="25" t="s">
        <v>20</v>
      </c>
      <c r="L275" s="25" t="s">
        <v>292</v>
      </c>
      <c r="M275" s="25" t="s">
        <v>22</v>
      </c>
      <c r="N275" s="25" t="s">
        <v>22</v>
      </c>
      <c r="O275" s="25" t="s">
        <v>108</v>
      </c>
      <c r="P275" s="25" t="s">
        <v>23</v>
      </c>
    </row>
    <row r="276" spans="1:16" x14ac:dyDescent="0.25">
      <c r="A276">
        <v>80</v>
      </c>
      <c r="B276" s="25" t="s">
        <v>164</v>
      </c>
      <c r="C276" s="26">
        <v>0.625</v>
      </c>
      <c r="D276" s="2">
        <v>45980</v>
      </c>
      <c r="E276" s="25" t="s">
        <v>143</v>
      </c>
      <c r="F276" s="25" t="s">
        <v>95</v>
      </c>
      <c r="G276" s="25" t="s">
        <v>293</v>
      </c>
      <c r="H276" s="26">
        <v>0.625</v>
      </c>
      <c r="I276" s="26">
        <v>0.66666666666666663</v>
      </c>
      <c r="J276" s="2">
        <v>45980</v>
      </c>
      <c r="K276" s="25" t="s">
        <v>25</v>
      </c>
      <c r="L276" s="25" t="s">
        <v>294</v>
      </c>
      <c r="M276" s="25" t="s">
        <v>295</v>
      </c>
      <c r="N276" s="25" t="s">
        <v>22</v>
      </c>
      <c r="O276" s="25" t="s">
        <v>112</v>
      </c>
      <c r="P276" s="25" t="s">
        <v>23</v>
      </c>
    </row>
    <row r="277" spans="1:16" x14ac:dyDescent="0.25">
      <c r="A277">
        <v>81</v>
      </c>
      <c r="B277" s="25" t="s">
        <v>242</v>
      </c>
      <c r="C277" s="26">
        <v>0.70416666666666672</v>
      </c>
      <c r="D277" s="2">
        <v>45980</v>
      </c>
      <c r="E277" s="25" t="s">
        <v>227</v>
      </c>
      <c r="F277" s="25" t="s">
        <v>100</v>
      </c>
      <c r="G277" s="25" t="s">
        <v>296</v>
      </c>
      <c r="H277" s="26">
        <v>0.70486111111111116</v>
      </c>
      <c r="I277" s="26">
        <v>0.70833333333333337</v>
      </c>
      <c r="J277" s="2">
        <v>45980</v>
      </c>
      <c r="K277" s="25" t="s">
        <v>25</v>
      </c>
      <c r="L277" s="25" t="s">
        <v>297</v>
      </c>
      <c r="M277" s="25" t="s">
        <v>298</v>
      </c>
      <c r="N277" s="25" t="s">
        <v>22</v>
      </c>
      <c r="O277" s="25" t="s">
        <v>99</v>
      </c>
      <c r="P277" s="25" t="s">
        <v>23</v>
      </c>
    </row>
    <row r="278" spans="1:16" x14ac:dyDescent="0.25">
      <c r="A278">
        <v>82</v>
      </c>
      <c r="B278" s="25" t="s">
        <v>93</v>
      </c>
      <c r="C278" s="26">
        <v>0.47916666666666669</v>
      </c>
      <c r="D278" s="2">
        <v>45980</v>
      </c>
      <c r="E278" s="25" t="s">
        <v>185</v>
      </c>
      <c r="F278" s="25" t="s">
        <v>95</v>
      </c>
      <c r="G278" s="25" t="s">
        <v>299</v>
      </c>
      <c r="H278" s="26">
        <v>0.66666666666666663</v>
      </c>
      <c r="I278" s="26">
        <v>0.75</v>
      </c>
      <c r="J278" s="2">
        <v>45980</v>
      </c>
      <c r="K278" s="25" t="s">
        <v>20</v>
      </c>
      <c r="L278" s="25" t="s">
        <v>300</v>
      </c>
      <c r="M278" s="25" t="s">
        <v>301</v>
      </c>
      <c r="N278" s="25" t="s">
        <v>22</v>
      </c>
      <c r="O278" s="25" t="s">
        <v>112</v>
      </c>
      <c r="P278" s="25" t="s">
        <v>23</v>
      </c>
    </row>
    <row r="279" spans="1:16" x14ac:dyDescent="0.25">
      <c r="A279">
        <v>83</v>
      </c>
      <c r="B279" s="25" t="s">
        <v>103</v>
      </c>
      <c r="C279" s="26">
        <v>0.8256944444444444</v>
      </c>
      <c r="D279" s="2">
        <v>45980</v>
      </c>
      <c r="E279" s="25" t="s">
        <v>22</v>
      </c>
      <c r="F279" s="25" t="s">
        <v>95</v>
      </c>
      <c r="G279" s="25" t="s">
        <v>302</v>
      </c>
      <c r="H279" s="26">
        <v>0.82638888888888884</v>
      </c>
      <c r="I279" s="26">
        <v>0.83333333333333337</v>
      </c>
      <c r="J279" s="2">
        <v>45980</v>
      </c>
      <c r="K279" s="25" t="s">
        <v>20</v>
      </c>
      <c r="L279" s="25" t="s">
        <v>303</v>
      </c>
      <c r="M279" s="25" t="s">
        <v>22</v>
      </c>
      <c r="N279" s="25" t="s">
        <v>22</v>
      </c>
      <c r="O279" s="25" t="s">
        <v>112</v>
      </c>
      <c r="P279" s="25" t="s">
        <v>23</v>
      </c>
    </row>
    <row r="280" spans="1:16" x14ac:dyDescent="0.25">
      <c r="A280">
        <v>84</v>
      </c>
      <c r="B280" s="25"/>
      <c r="C280" s="26"/>
      <c r="D280" s="2"/>
      <c r="E280" s="25"/>
      <c r="F280" s="25"/>
      <c r="G280" s="25"/>
      <c r="H280" s="26"/>
      <c r="I280" s="26"/>
      <c r="J280" s="2"/>
      <c r="K280" s="25"/>
      <c r="L280" s="25"/>
      <c r="M280" s="25"/>
      <c r="N280" s="25"/>
      <c r="O280" s="25"/>
      <c r="P280" s="25"/>
    </row>
    <row r="281" spans="1:16" x14ac:dyDescent="0.25">
      <c r="A281">
        <v>85</v>
      </c>
      <c r="B281" s="25" t="s">
        <v>231</v>
      </c>
      <c r="C281" s="26">
        <v>1.3888888888888888E-2</v>
      </c>
      <c r="D281" s="2">
        <v>45981</v>
      </c>
      <c r="E281" s="25" t="s">
        <v>143</v>
      </c>
      <c r="F281" s="25" t="s">
        <v>95</v>
      </c>
      <c r="G281" s="25" t="s">
        <v>304</v>
      </c>
      <c r="H281" s="26">
        <v>1.3888888888888888E-2</v>
      </c>
      <c r="I281" s="26">
        <v>2.7777777777777776E-2</v>
      </c>
      <c r="J281" s="2">
        <v>45981</v>
      </c>
      <c r="K281" s="25" t="s">
        <v>25</v>
      </c>
      <c r="L281" s="25" t="s">
        <v>305</v>
      </c>
      <c r="M281" s="25" t="s">
        <v>306</v>
      </c>
      <c r="N281" s="25" t="s">
        <v>22</v>
      </c>
      <c r="O281" s="25" t="s">
        <v>44</v>
      </c>
      <c r="P281" s="25" t="s">
        <v>23</v>
      </c>
    </row>
    <row r="282" spans="1:16" x14ac:dyDescent="0.25">
      <c r="A282">
        <v>86</v>
      </c>
      <c r="B282" s="25" t="s">
        <v>187</v>
      </c>
      <c r="C282" s="26">
        <v>0.52847222222222223</v>
      </c>
      <c r="D282" s="2">
        <v>45981</v>
      </c>
      <c r="E282" s="25" t="s">
        <v>307</v>
      </c>
      <c r="F282" s="25" t="s">
        <v>95</v>
      </c>
      <c r="G282" s="25" t="s">
        <v>308</v>
      </c>
      <c r="H282" s="26">
        <v>0.55208333333333337</v>
      </c>
      <c r="I282" s="26">
        <v>0.5625</v>
      </c>
      <c r="J282" s="2">
        <v>45981</v>
      </c>
      <c r="K282" s="25" t="s">
        <v>20</v>
      </c>
      <c r="L282" s="25" t="s">
        <v>309</v>
      </c>
      <c r="M282" s="25" t="s">
        <v>310</v>
      </c>
      <c r="N282" s="25" t="s">
        <v>22</v>
      </c>
      <c r="O282" s="25" t="s">
        <v>44</v>
      </c>
      <c r="P282" s="25" t="s">
        <v>23</v>
      </c>
    </row>
    <row r="283" spans="1:16" x14ac:dyDescent="0.25">
      <c r="A283">
        <v>87</v>
      </c>
      <c r="B283" s="25" t="s">
        <v>290</v>
      </c>
      <c r="C283" s="26">
        <v>0.94791666666666663</v>
      </c>
      <c r="D283" s="2">
        <v>45981</v>
      </c>
      <c r="E283" s="25" t="s">
        <v>94</v>
      </c>
      <c r="F283" s="25" t="s">
        <v>95</v>
      </c>
      <c r="G283" s="25" t="s">
        <v>311</v>
      </c>
      <c r="H283" s="26">
        <v>0.94791666666666663</v>
      </c>
      <c r="I283" s="26">
        <v>0.98263888888888884</v>
      </c>
      <c r="J283" s="2">
        <v>45981</v>
      </c>
      <c r="K283" s="25" t="s">
        <v>156</v>
      </c>
      <c r="L283" s="25" t="s">
        <v>312</v>
      </c>
      <c r="M283" s="25" t="s">
        <v>313</v>
      </c>
      <c r="N283" s="25" t="s">
        <v>22</v>
      </c>
      <c r="O283" s="25" t="s">
        <v>44</v>
      </c>
      <c r="P283" s="25" t="s">
        <v>23</v>
      </c>
    </row>
    <row r="284" spans="1:16" x14ac:dyDescent="0.25">
      <c r="A284">
        <v>88</v>
      </c>
      <c r="B284" s="25" t="s">
        <v>290</v>
      </c>
      <c r="C284" s="26">
        <v>7.6388888888888895E-2</v>
      </c>
      <c r="D284" s="2">
        <v>45982</v>
      </c>
      <c r="E284" s="25" t="s">
        <v>94</v>
      </c>
      <c r="F284" s="25" t="s">
        <v>95</v>
      </c>
      <c r="G284" s="25" t="s">
        <v>314</v>
      </c>
      <c r="H284" s="26">
        <v>8.3333333333333329E-2</v>
      </c>
      <c r="I284" s="26">
        <v>9.375E-2</v>
      </c>
      <c r="J284" s="2">
        <v>45982</v>
      </c>
      <c r="K284" s="25" t="s">
        <v>25</v>
      </c>
      <c r="L284" s="25" t="s">
        <v>315</v>
      </c>
      <c r="M284" s="25" t="s">
        <v>316</v>
      </c>
      <c r="N284" s="25" t="s">
        <v>22</v>
      </c>
      <c r="O284" s="25" t="s">
        <v>44</v>
      </c>
      <c r="P284" s="25" t="s">
        <v>23</v>
      </c>
    </row>
    <row r="285" spans="1:16" x14ac:dyDescent="0.25">
      <c r="A285">
        <v>89</v>
      </c>
      <c r="B285" s="25" t="s">
        <v>317</v>
      </c>
      <c r="C285" s="26">
        <v>0.8125</v>
      </c>
      <c r="D285" s="2">
        <v>45981</v>
      </c>
      <c r="E285" s="25" t="s">
        <v>85</v>
      </c>
      <c r="F285" s="25" t="s">
        <v>95</v>
      </c>
      <c r="G285" s="25" t="s">
        <v>318</v>
      </c>
      <c r="H285" s="26">
        <v>0.14583333333333334</v>
      </c>
      <c r="I285" s="26">
        <v>0.1736111111111111</v>
      </c>
      <c r="J285" s="2">
        <v>45982</v>
      </c>
      <c r="K285" s="25" t="s">
        <v>20</v>
      </c>
      <c r="L285" s="25" t="s">
        <v>319</v>
      </c>
      <c r="M285" s="25" t="s">
        <v>22</v>
      </c>
      <c r="N285" s="25" t="s">
        <v>22</v>
      </c>
      <c r="O285" s="25" t="s">
        <v>44</v>
      </c>
      <c r="P285" s="25" t="s">
        <v>23</v>
      </c>
    </row>
    <row r="286" spans="1:16" x14ac:dyDescent="0.25">
      <c r="A286">
        <v>90</v>
      </c>
      <c r="B286" s="25"/>
      <c r="C286" s="26"/>
      <c r="D286" s="2"/>
      <c r="E286" s="25"/>
      <c r="F286" s="25"/>
      <c r="G286" s="25"/>
      <c r="H286" s="26"/>
      <c r="I286" s="26"/>
      <c r="J286" s="2"/>
      <c r="K286" s="25"/>
      <c r="L286" s="25"/>
      <c r="M286" s="25"/>
      <c r="N286" s="25"/>
      <c r="O286" s="25"/>
      <c r="P286" s="25"/>
    </row>
    <row r="287" spans="1:16" x14ac:dyDescent="0.25">
      <c r="A287">
        <v>91</v>
      </c>
      <c r="B287" s="25" t="s">
        <v>93</v>
      </c>
      <c r="C287" s="26">
        <v>0.36458333333333331</v>
      </c>
      <c r="D287" s="2">
        <v>45982</v>
      </c>
      <c r="E287" s="25" t="s">
        <v>116</v>
      </c>
      <c r="F287" s="25" t="s">
        <v>95</v>
      </c>
      <c r="G287" s="25" t="s">
        <v>320</v>
      </c>
      <c r="H287" s="26">
        <v>0.36458333333333331</v>
      </c>
      <c r="I287" s="26">
        <v>0.39583333333333331</v>
      </c>
      <c r="J287" s="2">
        <v>45982</v>
      </c>
      <c r="K287" s="25" t="s">
        <v>25</v>
      </c>
      <c r="L287" s="25" t="s">
        <v>321</v>
      </c>
      <c r="M287" s="25" t="s">
        <v>22</v>
      </c>
      <c r="N287" s="25" t="s">
        <v>22</v>
      </c>
      <c r="O287" s="25" t="s">
        <v>99</v>
      </c>
      <c r="P287" s="25" t="s">
        <v>23</v>
      </c>
    </row>
    <row r="288" spans="1:16" x14ac:dyDescent="0.25">
      <c r="A288">
        <v>92</v>
      </c>
      <c r="B288" s="25"/>
      <c r="C288" s="26"/>
      <c r="D288" s="2"/>
      <c r="E288" s="25"/>
      <c r="F288" s="25"/>
      <c r="G288" s="25"/>
      <c r="H288" s="26"/>
      <c r="I288" s="26"/>
      <c r="J288" s="2"/>
      <c r="K288" s="25"/>
      <c r="L288" s="25"/>
      <c r="M288" s="25"/>
      <c r="N288" s="25"/>
      <c r="O288" s="25"/>
      <c r="P288" s="25"/>
    </row>
    <row r="289" spans="1:16" x14ac:dyDescent="0.25">
      <c r="A289">
        <v>93</v>
      </c>
      <c r="B289" s="25" t="s">
        <v>322</v>
      </c>
      <c r="C289" s="26">
        <v>0.41666666666666669</v>
      </c>
      <c r="D289" s="2">
        <v>45982</v>
      </c>
      <c r="E289" s="25" t="s">
        <v>143</v>
      </c>
      <c r="F289" s="25" t="s">
        <v>95</v>
      </c>
      <c r="G289" s="25" t="s">
        <v>323</v>
      </c>
      <c r="H289" s="26">
        <v>0.41666666666666669</v>
      </c>
      <c r="I289" s="26">
        <v>0.4375</v>
      </c>
      <c r="J289" s="2">
        <v>45982</v>
      </c>
      <c r="K289" s="25" t="s">
        <v>156</v>
      </c>
      <c r="L289" s="25" t="s">
        <v>324</v>
      </c>
      <c r="M289" s="25" t="s">
        <v>22</v>
      </c>
      <c r="N289" s="25" t="s">
        <v>22</v>
      </c>
      <c r="O289" s="25" t="s">
        <v>268</v>
      </c>
      <c r="P289" s="25" t="s">
        <v>23</v>
      </c>
    </row>
    <row r="290" spans="1:16" x14ac:dyDescent="0.25">
      <c r="A290">
        <v>94</v>
      </c>
      <c r="B290" s="25" t="s">
        <v>231</v>
      </c>
      <c r="C290" s="26">
        <v>0.16666666666666666</v>
      </c>
      <c r="D290" s="2">
        <v>45986</v>
      </c>
      <c r="E290" s="25" t="s">
        <v>143</v>
      </c>
      <c r="F290" s="25" t="s">
        <v>95</v>
      </c>
      <c r="G290" s="25" t="s">
        <v>325</v>
      </c>
      <c r="H290" s="26">
        <v>0.16666666666666666</v>
      </c>
      <c r="I290" s="26">
        <v>0.18055555555555555</v>
      </c>
      <c r="J290" s="2">
        <v>45986</v>
      </c>
      <c r="K290" s="25" t="s">
        <v>25</v>
      </c>
      <c r="L290" s="25" t="s">
        <v>326</v>
      </c>
      <c r="M290" s="25" t="s">
        <v>22</v>
      </c>
      <c r="N290" s="25" t="s">
        <v>22</v>
      </c>
      <c r="O290" s="25" t="s">
        <v>112</v>
      </c>
      <c r="P290" s="25" t="s">
        <v>23</v>
      </c>
    </row>
    <row r="291" spans="1:16" x14ac:dyDescent="0.25">
      <c r="A291">
        <v>95</v>
      </c>
      <c r="B291" s="25"/>
      <c r="C291" s="26"/>
      <c r="D291" s="2"/>
      <c r="E291" s="25"/>
      <c r="F291" s="25"/>
      <c r="G291" s="25"/>
      <c r="H291" s="26"/>
      <c r="I291" s="26"/>
      <c r="J291" s="2"/>
      <c r="K291" s="25"/>
      <c r="L291" s="25"/>
      <c r="M291" s="25"/>
      <c r="N291" s="25"/>
      <c r="O291" s="25"/>
      <c r="P291" s="25"/>
    </row>
    <row r="292" spans="1:16" x14ac:dyDescent="0.25">
      <c r="A292">
        <v>96</v>
      </c>
      <c r="B292" s="25" t="s">
        <v>199</v>
      </c>
      <c r="C292" s="26">
        <v>0.38541666666666669</v>
      </c>
      <c r="D292" s="2">
        <v>45984</v>
      </c>
      <c r="E292" s="25" t="s">
        <v>91</v>
      </c>
      <c r="F292" s="25" t="s">
        <v>95</v>
      </c>
      <c r="G292" s="25" t="s">
        <v>327</v>
      </c>
      <c r="H292" s="26">
        <v>0.38541666666666669</v>
      </c>
      <c r="I292" s="26">
        <v>0.625</v>
      </c>
      <c r="J292" s="2">
        <v>45984</v>
      </c>
      <c r="K292" s="25" t="s">
        <v>25</v>
      </c>
      <c r="L292" s="25" t="s">
        <v>328</v>
      </c>
      <c r="M292" s="25" t="s">
        <v>22</v>
      </c>
      <c r="N292" s="25" t="s">
        <v>22</v>
      </c>
      <c r="O292" s="25" t="s">
        <v>99</v>
      </c>
      <c r="P292" s="25" t="s">
        <v>23</v>
      </c>
    </row>
    <row r="293" spans="1:16" x14ac:dyDescent="0.25">
      <c r="A293">
        <v>97</v>
      </c>
      <c r="B293" s="25" t="s">
        <v>199</v>
      </c>
      <c r="C293" s="26">
        <v>0.47916666666666669</v>
      </c>
      <c r="D293" s="2">
        <v>45984</v>
      </c>
      <c r="E293" s="25" t="s">
        <v>91</v>
      </c>
      <c r="F293" s="25" t="s">
        <v>95</v>
      </c>
      <c r="G293" s="25" t="s">
        <v>329</v>
      </c>
      <c r="H293" s="26">
        <v>0.47916666666666669</v>
      </c>
      <c r="I293" s="26">
        <v>0.625</v>
      </c>
      <c r="J293" s="2">
        <v>45984</v>
      </c>
      <c r="K293" s="25" t="s">
        <v>25</v>
      </c>
      <c r="L293" s="25" t="s">
        <v>330</v>
      </c>
      <c r="M293" s="25" t="s">
        <v>22</v>
      </c>
      <c r="N293" s="25" t="s">
        <v>22</v>
      </c>
      <c r="O293" s="25" t="s">
        <v>99</v>
      </c>
      <c r="P293" s="25" t="s">
        <v>23</v>
      </c>
    </row>
    <row r="294" spans="1:16" x14ac:dyDescent="0.25">
      <c r="A294">
        <v>98</v>
      </c>
      <c r="B294" s="25" t="s">
        <v>242</v>
      </c>
      <c r="C294" s="26">
        <v>0.34027777777777779</v>
      </c>
      <c r="D294" s="2">
        <v>45985</v>
      </c>
      <c r="E294" s="25" t="s">
        <v>227</v>
      </c>
      <c r="F294" s="25" t="s">
        <v>100</v>
      </c>
      <c r="G294" s="25" t="s">
        <v>331</v>
      </c>
      <c r="H294" s="26">
        <v>0.34027777777777779</v>
      </c>
      <c r="I294" s="26">
        <v>0.35416666666666669</v>
      </c>
      <c r="J294" s="2">
        <v>45985</v>
      </c>
      <c r="K294" s="25" t="s">
        <v>20</v>
      </c>
      <c r="L294" s="25" t="s">
        <v>332</v>
      </c>
      <c r="M294" s="25" t="s">
        <v>22</v>
      </c>
      <c r="N294" s="25" t="s">
        <v>22</v>
      </c>
      <c r="O294" s="25" t="s">
        <v>268</v>
      </c>
      <c r="P294" s="25" t="s">
        <v>23</v>
      </c>
    </row>
    <row r="295" spans="1:16" x14ac:dyDescent="0.25">
      <c r="A295">
        <v>99</v>
      </c>
      <c r="B295" s="25" t="s">
        <v>242</v>
      </c>
      <c r="C295" s="26">
        <v>0.47569444444444442</v>
      </c>
      <c r="D295" s="2">
        <v>45985</v>
      </c>
      <c r="E295" s="25" t="s">
        <v>227</v>
      </c>
      <c r="F295" s="25" t="s">
        <v>100</v>
      </c>
      <c r="G295" s="25" t="s">
        <v>333</v>
      </c>
      <c r="H295" s="26">
        <v>0.47916666666666669</v>
      </c>
      <c r="I295" s="26"/>
      <c r="J295" s="2">
        <v>45985</v>
      </c>
      <c r="K295" s="25" t="s">
        <v>20</v>
      </c>
      <c r="L295" s="25" t="s">
        <v>334</v>
      </c>
      <c r="M295" s="25"/>
      <c r="N295" s="25"/>
      <c r="O295" s="25"/>
      <c r="P295" s="25" t="s">
        <v>33</v>
      </c>
    </row>
    <row r="296" spans="1:16" x14ac:dyDescent="0.25">
      <c r="A296">
        <v>100</v>
      </c>
      <c r="B296" s="25" t="s">
        <v>335</v>
      </c>
      <c r="C296" s="26">
        <v>0.60763888888888884</v>
      </c>
      <c r="D296" s="2">
        <v>45985</v>
      </c>
      <c r="E296" s="25" t="s">
        <v>162</v>
      </c>
      <c r="F296" s="25" t="s">
        <v>100</v>
      </c>
      <c r="G296" s="25" t="s">
        <v>336</v>
      </c>
      <c r="H296" s="26">
        <v>0.60763888888888884</v>
      </c>
      <c r="I296" s="26">
        <v>0.62152777777777779</v>
      </c>
      <c r="J296" s="2">
        <v>45985</v>
      </c>
      <c r="K296" s="25" t="s">
        <v>156</v>
      </c>
      <c r="L296" s="25" t="s">
        <v>337</v>
      </c>
      <c r="M296" s="25" t="s">
        <v>22</v>
      </c>
      <c r="N296" s="25" t="s">
        <v>22</v>
      </c>
      <c r="O296" s="25" t="s">
        <v>44</v>
      </c>
      <c r="P296" s="25" t="s">
        <v>23</v>
      </c>
    </row>
    <row r="297" spans="1:16" x14ac:dyDescent="0.25">
      <c r="B297" s="25"/>
      <c r="C297" s="26"/>
      <c r="D297" s="2"/>
      <c r="E297" s="25"/>
      <c r="F297" s="25"/>
      <c r="G297" s="25"/>
      <c r="H297" s="26"/>
      <c r="I297" s="26"/>
      <c r="J297" s="2"/>
      <c r="K297" s="25"/>
      <c r="L297" s="25"/>
      <c r="M297" s="25"/>
      <c r="N297" s="25"/>
      <c r="O297" s="25"/>
      <c r="P297" s="25"/>
    </row>
    <row r="298" spans="1:16" x14ac:dyDescent="0.25">
      <c r="B298" s="25"/>
      <c r="C298" s="26"/>
      <c r="D298" s="2"/>
      <c r="E298" s="25"/>
      <c r="F298" s="25"/>
      <c r="G298" s="25"/>
      <c r="H298" s="26"/>
      <c r="I298" s="26"/>
      <c r="J298" s="2"/>
      <c r="K298" s="25"/>
      <c r="L298" s="25"/>
      <c r="M298" s="25"/>
      <c r="N298" s="25"/>
      <c r="O298" s="25"/>
      <c r="P298" s="25"/>
    </row>
    <row r="299" spans="1:16" x14ac:dyDescent="0.25">
      <c r="B299" s="25" t="s">
        <v>338</v>
      </c>
      <c r="C299" s="26"/>
      <c r="D299" s="2"/>
      <c r="E299" s="25"/>
      <c r="F299" s="25"/>
      <c r="G299" s="25"/>
      <c r="H299" s="26"/>
      <c r="I299" s="26"/>
      <c r="J299" s="2"/>
      <c r="K299" s="25"/>
      <c r="L299" s="25"/>
      <c r="M299" s="25"/>
      <c r="N299" s="25"/>
      <c r="O299" s="25"/>
      <c r="P299" s="25"/>
    </row>
    <row r="300" spans="1:16" x14ac:dyDescent="0.25">
      <c r="B300" s="25" t="s">
        <v>99</v>
      </c>
      <c r="C300" s="26"/>
      <c r="D300" s="2"/>
      <c r="E300" s="25"/>
      <c r="F300" s="25"/>
      <c r="G300" s="25"/>
      <c r="H300" s="26"/>
      <c r="I300" s="26"/>
      <c r="J300" s="2"/>
      <c r="K300" s="25"/>
      <c r="L300" s="25"/>
      <c r="M300" s="25"/>
      <c r="N300" s="25"/>
      <c r="O300" s="25"/>
      <c r="P300" s="25"/>
    </row>
    <row r="301" spans="1:16" x14ac:dyDescent="0.25">
      <c r="B301" s="25" t="s">
        <v>112</v>
      </c>
      <c r="C301" s="26"/>
      <c r="D301" s="2"/>
      <c r="E301" s="25"/>
      <c r="F301" s="25"/>
      <c r="G301" s="25"/>
      <c r="H301" s="26"/>
      <c r="I301" s="26"/>
      <c r="J301" s="2"/>
      <c r="K301" s="25"/>
      <c r="L301" s="25"/>
      <c r="M301" s="25"/>
      <c r="N301" s="25"/>
      <c r="O301" s="25"/>
      <c r="P301" s="25"/>
    </row>
    <row r="302" spans="1:16" x14ac:dyDescent="0.25">
      <c r="B302" s="25" t="s">
        <v>44</v>
      </c>
      <c r="C302" s="26"/>
      <c r="D302" s="2"/>
      <c r="E302" s="25"/>
      <c r="F302" s="25"/>
      <c r="G302" s="25"/>
      <c r="H302" s="26"/>
      <c r="I302" s="26"/>
      <c r="J302" s="2"/>
      <c r="K302" s="25"/>
      <c r="L302" s="25"/>
      <c r="M302" s="25"/>
      <c r="N302" s="25"/>
      <c r="O302" s="25"/>
      <c r="P302" s="25"/>
    </row>
    <row r="303" spans="1:16" x14ac:dyDescent="0.25">
      <c r="B303" s="25" t="s">
        <v>268</v>
      </c>
      <c r="C303" s="26"/>
      <c r="D303" s="2"/>
      <c r="E303" s="25"/>
      <c r="F303" s="25"/>
      <c r="G303" s="25"/>
      <c r="H303" s="26"/>
      <c r="I303" s="26"/>
      <c r="J303" s="2"/>
      <c r="K303" s="25"/>
      <c r="L303" s="25"/>
      <c r="M303" s="25"/>
      <c r="N303" s="25"/>
      <c r="O303" s="25"/>
      <c r="P303" s="25"/>
    </row>
    <row r="304" spans="1:16" x14ac:dyDescent="0.25">
      <c r="B304" s="25" t="s">
        <v>108</v>
      </c>
      <c r="C304" s="26"/>
      <c r="D304" s="2"/>
      <c r="E304" s="25"/>
      <c r="F304" s="25"/>
      <c r="G304" s="25"/>
      <c r="H304" s="26"/>
      <c r="I304" s="26"/>
      <c r="J304" s="2"/>
      <c r="K304" s="25"/>
      <c r="L304" s="25"/>
      <c r="M304" s="25"/>
      <c r="N304" s="25"/>
      <c r="O304" s="25"/>
      <c r="P304" s="25"/>
    </row>
    <row r="305" spans="1:16" x14ac:dyDescent="0.25">
      <c r="B305" s="25" t="s">
        <v>339</v>
      </c>
      <c r="C305" s="26"/>
      <c r="D305" s="2"/>
      <c r="E305" s="25"/>
      <c r="F305" s="25"/>
      <c r="G305" s="25"/>
      <c r="H305" s="26"/>
      <c r="I305" s="26"/>
      <c r="J305" s="2"/>
      <c r="K305" s="25"/>
      <c r="L305" s="25"/>
      <c r="M305" s="25"/>
      <c r="N305" s="25"/>
      <c r="O305" s="25"/>
      <c r="P305" s="25"/>
    </row>
    <row r="306" spans="1:16" x14ac:dyDescent="0.25">
      <c r="B306" s="25" t="s">
        <v>340</v>
      </c>
      <c r="C306" s="26"/>
      <c r="D306" s="2"/>
      <c r="E306" s="25"/>
      <c r="F306" s="25"/>
      <c r="G306" s="25"/>
      <c r="H306" s="26"/>
      <c r="I306" s="26"/>
      <c r="J306" s="2"/>
      <c r="K306" s="25"/>
      <c r="L306" s="25"/>
      <c r="M306" s="25"/>
      <c r="N306" s="25"/>
      <c r="O306" s="25"/>
      <c r="P306" s="25"/>
    </row>
    <row r="307" spans="1:16" x14ac:dyDescent="0.25">
      <c r="B307" s="25"/>
      <c r="C307" s="26"/>
      <c r="D307" s="2"/>
      <c r="E307" s="25"/>
      <c r="F307" s="25"/>
      <c r="G307" s="25"/>
      <c r="H307" s="26"/>
      <c r="I307" s="26"/>
      <c r="J307" s="2"/>
      <c r="K307" s="25"/>
      <c r="L307" s="25"/>
      <c r="M307" s="25"/>
      <c r="N307" s="25"/>
      <c r="O307" s="25"/>
      <c r="P307" s="25"/>
    </row>
    <row r="308" spans="1:16" x14ac:dyDescent="0.25">
      <c r="A308" t="s">
        <v>0</v>
      </c>
      <c r="B308" s="25" t="s">
        <v>1</v>
      </c>
      <c r="C308" s="26"/>
      <c r="D308" s="2"/>
      <c r="E308" s="25" t="s">
        <v>4</v>
      </c>
      <c r="F308" s="25" t="s">
        <v>5</v>
      </c>
      <c r="G308" s="25" t="s">
        <v>6</v>
      </c>
      <c r="H308" s="26"/>
      <c r="I308" s="26"/>
      <c r="J308" s="2"/>
      <c r="K308" s="25" t="s">
        <v>10</v>
      </c>
      <c r="L308" s="25" t="s">
        <v>11</v>
      </c>
      <c r="M308" s="25" t="s">
        <v>12</v>
      </c>
      <c r="N308" s="25" t="s">
        <v>13</v>
      </c>
      <c r="O308" s="25" t="s">
        <v>14</v>
      </c>
      <c r="P308" s="25" t="s">
        <v>15</v>
      </c>
    </row>
    <row r="309" spans="1:16" x14ac:dyDescent="0.25">
      <c r="A309">
        <v>301</v>
      </c>
      <c r="B309" s="25" t="s">
        <v>341</v>
      </c>
      <c r="C309" s="26">
        <v>0.71180555555555558</v>
      </c>
      <c r="D309" s="2">
        <v>45985</v>
      </c>
      <c r="E309" s="25" t="s">
        <v>143</v>
      </c>
      <c r="F309" s="25" t="s">
        <v>95</v>
      </c>
      <c r="G309" s="25" t="s">
        <v>342</v>
      </c>
      <c r="H309" s="26">
        <v>0.71180555555555558</v>
      </c>
      <c r="I309" s="26">
        <v>0.72222222222222221</v>
      </c>
      <c r="J309" s="2">
        <v>45985</v>
      </c>
      <c r="K309" s="25" t="s">
        <v>25</v>
      </c>
      <c r="L309" s="25" t="s">
        <v>343</v>
      </c>
      <c r="M309" s="25" t="s">
        <v>22</v>
      </c>
      <c r="N309" s="25" t="s">
        <v>22</v>
      </c>
      <c r="O309" s="25" t="s">
        <v>44</v>
      </c>
      <c r="P309" s="25" t="s">
        <v>23</v>
      </c>
    </row>
    <row r="310" spans="1:16" x14ac:dyDescent="0.25">
      <c r="A310">
        <v>302</v>
      </c>
      <c r="B310" s="25" t="s">
        <v>93</v>
      </c>
      <c r="C310" s="26">
        <v>0.625</v>
      </c>
      <c r="D310" s="2">
        <v>45985</v>
      </c>
      <c r="E310" s="25" t="s">
        <v>94</v>
      </c>
      <c r="F310" s="25" t="s">
        <v>95</v>
      </c>
      <c r="G310" s="25" t="s">
        <v>344</v>
      </c>
      <c r="H310" s="26">
        <v>0.625</v>
      </c>
      <c r="I310" s="26">
        <v>0.66666666666666663</v>
      </c>
      <c r="J310" s="2">
        <v>45985</v>
      </c>
      <c r="K310" s="25" t="s">
        <v>25</v>
      </c>
      <c r="L310" s="25" t="s">
        <v>345</v>
      </c>
      <c r="M310" s="25" t="s">
        <v>22</v>
      </c>
      <c r="N310" s="25" t="s">
        <v>22</v>
      </c>
      <c r="O310" s="25" t="s">
        <v>44</v>
      </c>
      <c r="P310" s="25" t="s">
        <v>23</v>
      </c>
    </row>
    <row r="311" spans="1:16" x14ac:dyDescent="0.25">
      <c r="A311">
        <v>303</v>
      </c>
      <c r="B311" s="25" t="s">
        <v>93</v>
      </c>
      <c r="C311" s="26">
        <v>0.74305555555555558</v>
      </c>
      <c r="D311" s="2">
        <v>45985</v>
      </c>
      <c r="E311" s="25" t="s">
        <v>94</v>
      </c>
      <c r="F311" s="25" t="s">
        <v>95</v>
      </c>
      <c r="G311" s="25" t="s">
        <v>346</v>
      </c>
      <c r="H311" s="26">
        <v>0.75</v>
      </c>
      <c r="I311" s="26"/>
      <c r="J311" s="2">
        <v>45985</v>
      </c>
      <c r="K311" s="25" t="s">
        <v>20</v>
      </c>
      <c r="L311" s="25" t="s">
        <v>347</v>
      </c>
      <c r="M311" s="25" t="s">
        <v>22</v>
      </c>
      <c r="N311" s="25" t="s">
        <v>22</v>
      </c>
      <c r="O311" s="25"/>
      <c r="P311" s="25" t="s">
        <v>33</v>
      </c>
    </row>
    <row r="312" spans="1:16" x14ac:dyDescent="0.25">
      <c r="A312">
        <v>304</v>
      </c>
      <c r="B312" s="25" t="s">
        <v>231</v>
      </c>
      <c r="C312" s="26">
        <v>4.8611111111111112E-2</v>
      </c>
      <c r="D312" s="2">
        <v>45986</v>
      </c>
      <c r="E312" s="25" t="s">
        <v>143</v>
      </c>
      <c r="F312" s="25" t="s">
        <v>95</v>
      </c>
      <c r="G312" s="25" t="s">
        <v>348</v>
      </c>
      <c r="H312" s="26">
        <v>5.0694444444444445E-2</v>
      </c>
      <c r="I312" s="26">
        <v>6.9444444444444448E-2</v>
      </c>
      <c r="J312" s="2">
        <v>45985</v>
      </c>
      <c r="K312" s="25" t="s">
        <v>25</v>
      </c>
      <c r="L312" s="25" t="s">
        <v>349</v>
      </c>
      <c r="M312" s="25" t="s">
        <v>350</v>
      </c>
      <c r="N312" s="25" t="s">
        <v>22</v>
      </c>
      <c r="O312" s="25" t="s">
        <v>112</v>
      </c>
      <c r="P312" s="25" t="s">
        <v>23</v>
      </c>
    </row>
    <row r="313" spans="1:16" x14ac:dyDescent="0.25">
      <c r="A313">
        <v>305</v>
      </c>
      <c r="B313" s="25"/>
      <c r="C313" s="26"/>
      <c r="D313" s="2"/>
      <c r="E313" s="25"/>
      <c r="F313" s="25"/>
      <c r="G313" s="25"/>
      <c r="H313" s="26"/>
      <c r="I313" s="26"/>
      <c r="J313" s="2"/>
      <c r="K313" s="25"/>
      <c r="L313" s="25"/>
      <c r="M313" s="25"/>
      <c r="N313" s="25"/>
      <c r="O313" s="25"/>
      <c r="P313" s="25"/>
    </row>
    <row r="314" spans="1:16" x14ac:dyDescent="0.25">
      <c r="A314">
        <v>306</v>
      </c>
      <c r="B314" s="25"/>
      <c r="C314" s="26"/>
      <c r="D314" s="2"/>
      <c r="E314" s="25"/>
      <c r="F314" s="25"/>
      <c r="G314" s="25"/>
      <c r="H314" s="26"/>
      <c r="I314" s="26"/>
      <c r="J314" s="2"/>
      <c r="K314" s="25"/>
      <c r="L314" s="25"/>
      <c r="M314" s="25"/>
      <c r="N314" s="25"/>
      <c r="O314" s="25"/>
      <c r="P314" s="25"/>
    </row>
    <row r="315" spans="1:16" x14ac:dyDescent="0.25">
      <c r="A315">
        <v>307</v>
      </c>
      <c r="B315" s="25" t="s">
        <v>341</v>
      </c>
      <c r="C315" s="26">
        <v>0.29166666666666669</v>
      </c>
      <c r="D315" s="2">
        <v>45986</v>
      </c>
      <c r="E315" s="25" t="s">
        <v>143</v>
      </c>
      <c r="F315" s="25" t="s">
        <v>95</v>
      </c>
      <c r="G315" s="25" t="s">
        <v>351</v>
      </c>
      <c r="H315" s="26"/>
      <c r="I315" s="26"/>
      <c r="J315" s="2"/>
      <c r="K315" s="25"/>
      <c r="L315" s="25"/>
      <c r="M315" s="25"/>
      <c r="N315" s="25"/>
      <c r="O315" s="25"/>
      <c r="P315" s="25" t="s">
        <v>33</v>
      </c>
    </row>
    <row r="316" spans="1:16" x14ac:dyDescent="0.25">
      <c r="A316">
        <v>308</v>
      </c>
      <c r="B316" s="25" t="s">
        <v>352</v>
      </c>
      <c r="C316" s="26">
        <v>0.29166666666666669</v>
      </c>
      <c r="D316" s="2">
        <v>45986</v>
      </c>
      <c r="E316" s="25" t="s">
        <v>353</v>
      </c>
      <c r="F316" s="25" t="s">
        <v>95</v>
      </c>
      <c r="G316" s="25" t="s">
        <v>354</v>
      </c>
      <c r="H316" s="26"/>
      <c r="I316" s="26"/>
      <c r="J316" s="2"/>
      <c r="K316" s="25"/>
      <c r="L316" s="25"/>
      <c r="M316" s="25"/>
      <c r="N316" s="25"/>
      <c r="O316" s="25"/>
      <c r="P316" s="25" t="s">
        <v>33</v>
      </c>
    </row>
    <row r="317" spans="1:16" x14ac:dyDescent="0.25">
      <c r="A317">
        <v>309</v>
      </c>
      <c r="B317" s="25" t="s">
        <v>242</v>
      </c>
      <c r="C317" s="26">
        <v>0.52083333333333337</v>
      </c>
      <c r="D317" s="2">
        <v>45986</v>
      </c>
      <c r="E317" s="25" t="s">
        <v>227</v>
      </c>
      <c r="F317" s="25" t="s">
        <v>100</v>
      </c>
      <c r="G317" s="25" t="s">
        <v>355</v>
      </c>
      <c r="H317" s="26"/>
      <c r="I317" s="26"/>
      <c r="J317" s="2"/>
      <c r="K317" s="25"/>
      <c r="L317" s="25"/>
      <c r="M317" s="25"/>
      <c r="N317" s="25"/>
      <c r="O317" s="25"/>
      <c r="P317" s="25" t="s">
        <v>33</v>
      </c>
    </row>
    <row r="318" spans="1:16" x14ac:dyDescent="0.25">
      <c r="A318">
        <v>310</v>
      </c>
      <c r="B318" s="25" t="s">
        <v>238</v>
      </c>
      <c r="C318" s="26">
        <v>0.5625</v>
      </c>
      <c r="D318" s="2">
        <v>45986</v>
      </c>
      <c r="E318" s="25" t="s">
        <v>109</v>
      </c>
      <c r="F318" s="25" t="s">
        <v>95</v>
      </c>
      <c r="G318" s="25" t="s">
        <v>356</v>
      </c>
      <c r="H318" s="26">
        <v>0.5625</v>
      </c>
      <c r="I318" s="26">
        <v>0.58333333333333337</v>
      </c>
      <c r="J318" s="2">
        <v>45986</v>
      </c>
      <c r="K318" s="25" t="s">
        <v>20</v>
      </c>
      <c r="L318" s="25" t="s">
        <v>357</v>
      </c>
      <c r="M318" s="25" t="s">
        <v>22</v>
      </c>
      <c r="N318" s="25" t="s">
        <v>22</v>
      </c>
      <c r="O318" s="25" t="s">
        <v>268</v>
      </c>
      <c r="P318" s="25" t="s">
        <v>23</v>
      </c>
    </row>
    <row r="319" spans="1:16" x14ac:dyDescent="0.25">
      <c r="A319">
        <v>311</v>
      </c>
      <c r="B319" s="25"/>
      <c r="C319" s="26"/>
      <c r="D319" s="2"/>
      <c r="E319" s="25"/>
      <c r="F319" s="25"/>
      <c r="G319" s="25"/>
      <c r="H319" s="26"/>
      <c r="I319" s="26"/>
      <c r="J319" s="2"/>
      <c r="K319" s="25"/>
      <c r="L319" s="25"/>
      <c r="M319" s="25"/>
      <c r="N319" s="25"/>
      <c r="O319" s="25"/>
      <c r="P319" s="25"/>
    </row>
    <row r="320" spans="1:16" x14ac:dyDescent="0.25">
      <c r="A320">
        <v>312</v>
      </c>
      <c r="B320" s="25" t="s">
        <v>139</v>
      </c>
      <c r="C320" s="26">
        <v>0.84722222222222221</v>
      </c>
      <c r="D320" s="2">
        <v>45986</v>
      </c>
      <c r="E320" s="25" t="s">
        <v>91</v>
      </c>
      <c r="F320" s="25" t="s">
        <v>95</v>
      </c>
      <c r="G320" s="25" t="s">
        <v>358</v>
      </c>
      <c r="H320" s="26">
        <v>0.84722222222222221</v>
      </c>
      <c r="I320" s="26">
        <v>0.90277777777777779</v>
      </c>
      <c r="J320" s="2">
        <v>45986</v>
      </c>
      <c r="K320" s="25" t="s">
        <v>20</v>
      </c>
      <c r="L320" s="25" t="s">
        <v>359</v>
      </c>
      <c r="M320" s="25" t="s">
        <v>22</v>
      </c>
      <c r="N320" s="25" t="s">
        <v>22</v>
      </c>
      <c r="O320" s="25" t="s">
        <v>112</v>
      </c>
      <c r="P320" s="25" t="s">
        <v>23</v>
      </c>
    </row>
    <row r="321" spans="1:16" x14ac:dyDescent="0.25">
      <c r="A321">
        <v>313</v>
      </c>
      <c r="B321" s="25"/>
      <c r="C321" s="26"/>
      <c r="D321" s="2"/>
      <c r="E321" s="25"/>
      <c r="F321" s="25"/>
      <c r="G321" s="25"/>
      <c r="H321" s="26"/>
      <c r="I321" s="26"/>
      <c r="J321" s="2"/>
      <c r="K321" s="25"/>
      <c r="L321" s="25"/>
      <c r="M321" s="25"/>
      <c r="N321" s="25"/>
      <c r="O321" s="25"/>
      <c r="P321" s="25"/>
    </row>
    <row r="322" spans="1:16" x14ac:dyDescent="0.25">
      <c r="A322">
        <v>314</v>
      </c>
      <c r="B322" s="25" t="s">
        <v>335</v>
      </c>
      <c r="C322" s="26">
        <v>0.25</v>
      </c>
      <c r="D322" s="2">
        <v>45987</v>
      </c>
      <c r="E322" s="25" t="s">
        <v>162</v>
      </c>
      <c r="F322" s="25" t="s">
        <v>100</v>
      </c>
      <c r="G322" s="25" t="s">
        <v>360</v>
      </c>
      <c r="H322" s="26">
        <v>0.25694444444444442</v>
      </c>
      <c r="I322" s="26">
        <v>0.27083333333333331</v>
      </c>
      <c r="J322" s="2">
        <v>45987</v>
      </c>
      <c r="K322" s="25" t="s">
        <v>361</v>
      </c>
      <c r="L322" s="25" t="s">
        <v>362</v>
      </c>
      <c r="M322" s="25" t="s">
        <v>22</v>
      </c>
      <c r="N322" s="25" t="s">
        <v>22</v>
      </c>
      <c r="O322" s="25" t="s">
        <v>44</v>
      </c>
      <c r="P322" s="25" t="s">
        <v>23</v>
      </c>
    </row>
    <row r="323" spans="1:16" x14ac:dyDescent="0.25">
      <c r="A323">
        <v>315</v>
      </c>
      <c r="B323" s="25" t="s">
        <v>341</v>
      </c>
      <c r="C323" s="26">
        <v>0.29166666666666669</v>
      </c>
      <c r="D323" s="2">
        <v>45987</v>
      </c>
      <c r="E323" s="25" t="s">
        <v>143</v>
      </c>
      <c r="F323" s="25" t="s">
        <v>95</v>
      </c>
      <c r="G323" s="25" t="s">
        <v>363</v>
      </c>
      <c r="H323" s="26">
        <v>0.2986111111111111</v>
      </c>
      <c r="I323" s="26">
        <v>0.3125</v>
      </c>
      <c r="J323" s="2">
        <v>45987</v>
      </c>
      <c r="K323" s="25" t="s">
        <v>25</v>
      </c>
      <c r="L323" s="25" t="s">
        <v>364</v>
      </c>
      <c r="M323" s="25" t="s">
        <v>365</v>
      </c>
      <c r="N323" s="25" t="s">
        <v>22</v>
      </c>
      <c r="O323" s="25" t="s">
        <v>44</v>
      </c>
      <c r="P323" s="25" t="s">
        <v>23</v>
      </c>
    </row>
    <row r="324" spans="1:16" x14ac:dyDescent="0.25">
      <c r="A324">
        <v>316</v>
      </c>
      <c r="B324" s="25"/>
      <c r="C324" s="26"/>
      <c r="D324" s="2"/>
      <c r="E324" s="25"/>
      <c r="F324" s="25"/>
      <c r="G324" s="25"/>
      <c r="H324" s="26"/>
      <c r="I324" s="26"/>
      <c r="J324" s="2"/>
      <c r="K324" s="25"/>
      <c r="L324" s="25"/>
      <c r="M324" s="25"/>
      <c r="N324" s="25"/>
      <c r="O324" s="25"/>
      <c r="P324" s="25"/>
    </row>
    <row r="325" spans="1:16" x14ac:dyDescent="0.25">
      <c r="A325">
        <v>317</v>
      </c>
      <c r="B325" s="25" t="s">
        <v>113</v>
      </c>
      <c r="C325" s="26">
        <v>0.3576388888888889</v>
      </c>
      <c r="D325" s="2">
        <v>45987</v>
      </c>
      <c r="E325" s="25" t="s">
        <v>104</v>
      </c>
      <c r="F325" s="25" t="s">
        <v>95</v>
      </c>
      <c r="G325" s="25" t="s">
        <v>366</v>
      </c>
      <c r="H325" s="26">
        <v>0.3611111111111111</v>
      </c>
      <c r="I325" s="26">
        <v>0.39583333333333331</v>
      </c>
      <c r="J325" s="2">
        <v>45987</v>
      </c>
      <c r="K325" s="25" t="s">
        <v>20</v>
      </c>
      <c r="L325" s="25" t="s">
        <v>367</v>
      </c>
      <c r="M325" s="25" t="s">
        <v>22</v>
      </c>
      <c r="N325" s="25" t="s">
        <v>22</v>
      </c>
      <c r="O325" s="25" t="s">
        <v>44</v>
      </c>
      <c r="P325" s="25" t="s">
        <v>23</v>
      </c>
    </row>
    <row r="326" spans="1:16" x14ac:dyDescent="0.25">
      <c r="A326">
        <v>318</v>
      </c>
      <c r="B326" s="25" t="s">
        <v>192</v>
      </c>
      <c r="C326" s="26">
        <v>0.77083333333333337</v>
      </c>
      <c r="D326" s="2">
        <v>45987</v>
      </c>
      <c r="E326" s="25" t="s">
        <v>162</v>
      </c>
      <c r="F326" s="25" t="s">
        <v>95</v>
      </c>
      <c r="G326" s="25" t="s">
        <v>368</v>
      </c>
      <c r="H326" s="26"/>
      <c r="I326" s="26"/>
      <c r="J326" s="2"/>
      <c r="K326" s="25"/>
      <c r="L326" s="25"/>
      <c r="M326" s="25"/>
      <c r="N326" s="25"/>
      <c r="O326" s="25"/>
      <c r="P326" s="25" t="s">
        <v>33</v>
      </c>
    </row>
    <row r="327" spans="1:16" x14ac:dyDescent="0.25">
      <c r="A327">
        <v>319</v>
      </c>
      <c r="B327" s="25" t="s">
        <v>16</v>
      </c>
      <c r="C327" s="26">
        <v>0.20833333333333334</v>
      </c>
      <c r="D327" s="2">
        <v>45988</v>
      </c>
      <c r="E327" s="25" t="s">
        <v>207</v>
      </c>
      <c r="F327" s="25" t="s">
        <v>95</v>
      </c>
      <c r="G327" s="25" t="s">
        <v>369</v>
      </c>
      <c r="H327" s="26">
        <v>0.20833333333333334</v>
      </c>
      <c r="I327" s="26">
        <v>0.22222222222222221</v>
      </c>
      <c r="J327" s="2">
        <v>45988</v>
      </c>
      <c r="K327" s="25" t="s">
        <v>20</v>
      </c>
      <c r="L327" s="25" t="s">
        <v>370</v>
      </c>
      <c r="M327" s="25" t="s">
        <v>371</v>
      </c>
      <c r="N327" s="25" t="s">
        <v>22</v>
      </c>
      <c r="O327" s="25" t="s">
        <v>108</v>
      </c>
      <c r="P327" s="25" t="s">
        <v>23</v>
      </c>
    </row>
    <row r="328" spans="1:16" x14ac:dyDescent="0.25">
      <c r="A328">
        <v>320</v>
      </c>
      <c r="B328" s="25" t="s">
        <v>16</v>
      </c>
      <c r="C328" s="26">
        <v>0.91666666666666663</v>
      </c>
      <c r="D328" s="2">
        <v>45988</v>
      </c>
      <c r="E328" s="25" t="s">
        <v>116</v>
      </c>
      <c r="F328" s="25" t="s">
        <v>95</v>
      </c>
      <c r="G328" s="25" t="s">
        <v>372</v>
      </c>
      <c r="H328" s="26">
        <v>0.91666666666666663</v>
      </c>
      <c r="I328" s="26">
        <v>0.95833333333333337</v>
      </c>
      <c r="J328" s="2">
        <v>45988</v>
      </c>
      <c r="K328" s="25" t="s">
        <v>25</v>
      </c>
      <c r="L328" s="25" t="s">
        <v>373</v>
      </c>
      <c r="M328" s="25" t="s">
        <v>22</v>
      </c>
      <c r="N328" s="25" t="s">
        <v>22</v>
      </c>
      <c r="O328" s="25" t="s">
        <v>108</v>
      </c>
      <c r="P328" s="25" t="s">
        <v>23</v>
      </c>
    </row>
    <row r="329" spans="1:16" x14ac:dyDescent="0.25">
      <c r="A329">
        <v>321</v>
      </c>
      <c r="B329" s="25" t="s">
        <v>16</v>
      </c>
      <c r="C329" s="26">
        <v>0.91666666666666663</v>
      </c>
      <c r="D329" s="2">
        <v>45988</v>
      </c>
      <c r="E329" s="25" t="s">
        <v>177</v>
      </c>
      <c r="F329" s="25" t="s">
        <v>95</v>
      </c>
      <c r="G329" s="25" t="s">
        <v>374</v>
      </c>
      <c r="H329" s="26">
        <v>0.91666666666666663</v>
      </c>
      <c r="I329" s="26">
        <v>0.95833333333333337</v>
      </c>
      <c r="J329" s="2">
        <v>45988</v>
      </c>
      <c r="K329" s="25" t="s">
        <v>25</v>
      </c>
      <c r="L329" s="25" t="s">
        <v>375</v>
      </c>
      <c r="M329" s="25" t="s">
        <v>376</v>
      </c>
      <c r="N329" s="25" t="s">
        <v>22</v>
      </c>
      <c r="O329" s="25" t="s">
        <v>112</v>
      </c>
      <c r="P329" s="25" t="s">
        <v>23</v>
      </c>
    </row>
    <row r="330" spans="1:16" x14ac:dyDescent="0.25">
      <c r="A330">
        <v>322</v>
      </c>
      <c r="B330" s="25" t="s">
        <v>192</v>
      </c>
      <c r="C330" s="26">
        <v>0.15277777777777779</v>
      </c>
      <c r="D330" s="2">
        <v>45989</v>
      </c>
      <c r="E330" s="25" t="s">
        <v>162</v>
      </c>
      <c r="F330" s="25" t="s">
        <v>100</v>
      </c>
      <c r="G330" s="25" t="s">
        <v>377</v>
      </c>
      <c r="H330" s="26">
        <v>0.16666666666666666</v>
      </c>
      <c r="I330" s="26">
        <v>0.1875</v>
      </c>
      <c r="J330" s="2">
        <v>45989</v>
      </c>
      <c r="K330" s="25" t="s">
        <v>25</v>
      </c>
      <c r="L330" s="25" t="s">
        <v>378</v>
      </c>
      <c r="M330" s="25" t="s">
        <v>22</v>
      </c>
      <c r="N330" s="25" t="s">
        <v>22</v>
      </c>
      <c r="O330" s="25" t="s">
        <v>108</v>
      </c>
      <c r="P330" s="25" t="s">
        <v>23</v>
      </c>
    </row>
    <row r="331" spans="1:16" x14ac:dyDescent="0.25">
      <c r="A331">
        <v>323</v>
      </c>
      <c r="B331" s="25" t="s">
        <v>120</v>
      </c>
      <c r="C331" s="26">
        <v>0.27777777777777779</v>
      </c>
      <c r="D331" s="2">
        <v>45989</v>
      </c>
      <c r="E331" s="25" t="s">
        <v>185</v>
      </c>
      <c r="F331" s="25" t="s">
        <v>95</v>
      </c>
      <c r="G331" s="25" t="s">
        <v>379</v>
      </c>
      <c r="H331" s="26">
        <v>0.27777777777777779</v>
      </c>
      <c r="I331" s="26">
        <v>0.30555555555555558</v>
      </c>
      <c r="J331" s="2">
        <v>45989</v>
      </c>
      <c r="K331" s="25" t="s">
        <v>25</v>
      </c>
      <c r="L331" s="25" t="s">
        <v>379</v>
      </c>
      <c r="M331" s="25" t="s">
        <v>22</v>
      </c>
      <c r="N331" s="25" t="s">
        <v>22</v>
      </c>
      <c r="O331" s="25" t="s">
        <v>44</v>
      </c>
      <c r="P331" s="25" t="s">
        <v>23</v>
      </c>
    </row>
    <row r="332" spans="1:16" x14ac:dyDescent="0.25">
      <c r="A332">
        <v>324</v>
      </c>
      <c r="B332" s="25" t="s">
        <v>335</v>
      </c>
      <c r="C332" s="26">
        <v>0.3611111111111111</v>
      </c>
      <c r="D332" s="2">
        <v>45983</v>
      </c>
      <c r="E332" s="25" t="s">
        <v>162</v>
      </c>
      <c r="F332" s="25" t="s">
        <v>100</v>
      </c>
      <c r="G332" s="25" t="s">
        <v>380</v>
      </c>
      <c r="H332" s="26">
        <v>0.3611111111111111</v>
      </c>
      <c r="I332" s="26">
        <v>0.375</v>
      </c>
      <c r="J332" s="2">
        <v>45983</v>
      </c>
      <c r="K332" s="25" t="s">
        <v>25</v>
      </c>
      <c r="L332" s="25" t="s">
        <v>381</v>
      </c>
      <c r="M332" s="25" t="s">
        <v>22</v>
      </c>
      <c r="N332" s="25" t="s">
        <v>22</v>
      </c>
      <c r="O332" s="25" t="s">
        <v>44</v>
      </c>
      <c r="P332" s="25" t="s">
        <v>23</v>
      </c>
    </row>
    <row r="333" spans="1:16" x14ac:dyDescent="0.25">
      <c r="A333">
        <v>325</v>
      </c>
      <c r="B333" s="25" t="s">
        <v>335</v>
      </c>
      <c r="C333" s="26">
        <v>0.59027777777777779</v>
      </c>
      <c r="D333" s="2">
        <v>45989</v>
      </c>
      <c r="E333" s="25" t="s">
        <v>162</v>
      </c>
      <c r="F333" s="25" t="s">
        <v>100</v>
      </c>
      <c r="G333" s="25" t="s">
        <v>382</v>
      </c>
      <c r="H333" s="26">
        <v>0.59027777777777779</v>
      </c>
      <c r="I333" s="26">
        <v>0.625</v>
      </c>
      <c r="J333" s="2">
        <v>45989</v>
      </c>
      <c r="K333" s="25" t="s">
        <v>156</v>
      </c>
      <c r="L333" s="25" t="s">
        <v>383</v>
      </c>
      <c r="M333" s="25" t="s">
        <v>384</v>
      </c>
      <c r="N333" s="25" t="s">
        <v>22</v>
      </c>
      <c r="O333" s="25" t="s">
        <v>99</v>
      </c>
      <c r="P333" s="25" t="s">
        <v>23</v>
      </c>
    </row>
    <row r="334" spans="1:16" x14ac:dyDescent="0.25">
      <c r="A334">
        <v>326</v>
      </c>
      <c r="B334" s="25" t="s">
        <v>385</v>
      </c>
      <c r="C334" s="26">
        <v>0.71875</v>
      </c>
      <c r="D334" s="2">
        <v>45989</v>
      </c>
      <c r="E334" s="25" t="s">
        <v>116</v>
      </c>
      <c r="F334" s="25" t="s">
        <v>95</v>
      </c>
      <c r="G334" s="25" t="s">
        <v>386</v>
      </c>
      <c r="H334" s="26">
        <v>0.71875</v>
      </c>
      <c r="I334" s="26">
        <v>0.75</v>
      </c>
      <c r="J334" s="2">
        <v>45989</v>
      </c>
      <c r="K334" s="25" t="s">
        <v>25</v>
      </c>
      <c r="L334" s="25" t="s">
        <v>387</v>
      </c>
      <c r="M334" s="25" t="s">
        <v>22</v>
      </c>
      <c r="N334" s="25" t="s">
        <v>22</v>
      </c>
      <c r="O334" s="25" t="s">
        <v>112</v>
      </c>
      <c r="P334" s="25" t="s">
        <v>23</v>
      </c>
    </row>
    <row r="335" spans="1:16" x14ac:dyDescent="0.25">
      <c r="A335">
        <v>327</v>
      </c>
      <c r="B335" s="25" t="s">
        <v>341</v>
      </c>
      <c r="C335" s="26">
        <v>0.79861111111111116</v>
      </c>
      <c r="D335" s="2">
        <v>45989</v>
      </c>
      <c r="E335" s="25" t="s">
        <v>143</v>
      </c>
      <c r="F335" s="25" t="s">
        <v>95</v>
      </c>
      <c r="G335" s="25" t="s">
        <v>388</v>
      </c>
      <c r="H335" s="26">
        <v>0.79861111111111116</v>
      </c>
      <c r="I335" s="26">
        <v>0.8125</v>
      </c>
      <c r="J335" s="2">
        <v>45989</v>
      </c>
      <c r="K335" s="25" t="s">
        <v>25</v>
      </c>
      <c r="L335" s="25" t="s">
        <v>389</v>
      </c>
      <c r="M335" s="25" t="s">
        <v>390</v>
      </c>
      <c r="N335" s="25" t="s">
        <v>22</v>
      </c>
      <c r="O335" s="25" t="s">
        <v>112</v>
      </c>
      <c r="P335" s="25" t="s">
        <v>23</v>
      </c>
    </row>
    <row r="336" spans="1:16" x14ac:dyDescent="0.25">
      <c r="A336">
        <v>328</v>
      </c>
      <c r="B336" s="25" t="s">
        <v>385</v>
      </c>
      <c r="C336" s="26">
        <v>0.76736111111111116</v>
      </c>
      <c r="D336" s="2">
        <v>45989</v>
      </c>
      <c r="E336" s="25" t="s">
        <v>109</v>
      </c>
      <c r="F336" s="25" t="s">
        <v>95</v>
      </c>
      <c r="G336" s="25" t="s">
        <v>391</v>
      </c>
      <c r="H336" s="26">
        <v>0.76736111111111116</v>
      </c>
      <c r="I336" s="26">
        <v>0.77777777777777779</v>
      </c>
      <c r="J336" s="2">
        <v>45989</v>
      </c>
      <c r="K336" s="25" t="s">
        <v>20</v>
      </c>
      <c r="L336" s="25" t="s">
        <v>392</v>
      </c>
      <c r="M336" s="25" t="s">
        <v>22</v>
      </c>
      <c r="N336" s="25" t="s">
        <v>22</v>
      </c>
      <c r="O336" s="25" t="s">
        <v>112</v>
      </c>
      <c r="P336" s="25" t="s">
        <v>23</v>
      </c>
    </row>
    <row r="337" spans="1:16" x14ac:dyDescent="0.25">
      <c r="A337">
        <v>329</v>
      </c>
      <c r="B337" s="25" t="s">
        <v>393</v>
      </c>
      <c r="C337" s="26">
        <v>0.73958333333333337</v>
      </c>
      <c r="D337" s="2">
        <v>45990</v>
      </c>
      <c r="E337" s="25" t="s">
        <v>143</v>
      </c>
      <c r="F337" s="25" t="s">
        <v>95</v>
      </c>
      <c r="G337" s="25" t="s">
        <v>394</v>
      </c>
      <c r="H337" s="26">
        <v>0.75</v>
      </c>
      <c r="I337" s="26">
        <v>0.76388888888888884</v>
      </c>
      <c r="J337" s="2">
        <v>45990</v>
      </c>
      <c r="K337" s="25" t="s">
        <v>25</v>
      </c>
      <c r="L337" s="25" t="s">
        <v>395</v>
      </c>
      <c r="M337" s="25" t="s">
        <v>22</v>
      </c>
      <c r="N337" s="25" t="s">
        <v>22</v>
      </c>
      <c r="O337" s="25" t="s">
        <v>112</v>
      </c>
      <c r="P337" s="25" t="s">
        <v>23</v>
      </c>
    </row>
    <row r="338" spans="1:16" x14ac:dyDescent="0.25">
      <c r="A338">
        <v>330</v>
      </c>
      <c r="B338" s="25" t="s">
        <v>113</v>
      </c>
      <c r="C338" s="26">
        <v>0.79166666666666663</v>
      </c>
      <c r="D338" s="2">
        <v>45990</v>
      </c>
      <c r="E338" s="25" t="s">
        <v>91</v>
      </c>
      <c r="F338" s="25" t="s">
        <v>95</v>
      </c>
      <c r="G338" s="25" t="s">
        <v>396</v>
      </c>
      <c r="H338" s="26">
        <v>0.79166666666666663</v>
      </c>
      <c r="I338" s="26">
        <v>0.91666666666666663</v>
      </c>
      <c r="J338" s="2">
        <v>45990</v>
      </c>
      <c r="K338" s="25" t="s">
        <v>25</v>
      </c>
      <c r="L338" s="25" t="s">
        <v>397</v>
      </c>
      <c r="M338" s="25" t="s">
        <v>398</v>
      </c>
      <c r="N338" s="25" t="s">
        <v>22</v>
      </c>
      <c r="O338" s="25" t="s">
        <v>112</v>
      </c>
      <c r="P338" s="25" t="s">
        <v>23</v>
      </c>
    </row>
    <row r="339" spans="1:16" x14ac:dyDescent="0.25">
      <c r="A339">
        <v>331</v>
      </c>
      <c r="B339" s="25" t="s">
        <v>113</v>
      </c>
      <c r="C339" s="26">
        <v>0.2013888888888889</v>
      </c>
      <c r="D339" s="2">
        <v>45991</v>
      </c>
      <c r="E339" s="25" t="s">
        <v>91</v>
      </c>
      <c r="F339" s="25" t="s">
        <v>95</v>
      </c>
      <c r="G339" s="25" t="s">
        <v>399</v>
      </c>
      <c r="H339" s="26">
        <v>0.2013888888888889</v>
      </c>
      <c r="I339" s="26">
        <v>0.21527777777777779</v>
      </c>
      <c r="J339" s="2">
        <v>45991</v>
      </c>
      <c r="K339" s="25" t="s">
        <v>156</v>
      </c>
      <c r="L339" s="25" t="s">
        <v>400</v>
      </c>
      <c r="M339" s="25" t="s">
        <v>22</v>
      </c>
      <c r="N339" s="25" t="s">
        <v>22</v>
      </c>
      <c r="O339" s="25" t="s">
        <v>112</v>
      </c>
      <c r="P339" s="25" t="s">
        <v>23</v>
      </c>
    </row>
    <row r="340" spans="1:16" x14ac:dyDescent="0.25">
      <c r="A340">
        <v>332</v>
      </c>
      <c r="B340" s="25" t="s">
        <v>120</v>
      </c>
      <c r="C340" s="26">
        <v>0.51388888888888884</v>
      </c>
      <c r="D340" s="2">
        <v>45991</v>
      </c>
      <c r="E340" s="25" t="s">
        <v>177</v>
      </c>
      <c r="F340" s="25" t="s">
        <v>95</v>
      </c>
      <c r="G340" s="25" t="s">
        <v>401</v>
      </c>
      <c r="H340" s="26"/>
      <c r="I340" s="26"/>
      <c r="J340" s="2"/>
      <c r="K340" s="25"/>
      <c r="L340" s="25"/>
      <c r="M340" s="25"/>
      <c r="N340" s="25"/>
      <c r="O340" s="25"/>
      <c r="P340" s="25" t="s">
        <v>33</v>
      </c>
    </row>
    <row r="341" spans="1:16" x14ac:dyDescent="0.25">
      <c r="A341">
        <v>333</v>
      </c>
      <c r="B341" s="25" t="s">
        <v>402</v>
      </c>
      <c r="C341" s="26">
        <v>0.38194444444444442</v>
      </c>
      <c r="D341" s="2">
        <v>45991</v>
      </c>
      <c r="E341" s="25" t="s">
        <v>143</v>
      </c>
      <c r="F341" s="25" t="s">
        <v>95</v>
      </c>
      <c r="G341" s="25" t="s">
        <v>403</v>
      </c>
      <c r="H341" s="26">
        <v>0.38194444444444442</v>
      </c>
      <c r="I341" s="26">
        <v>0.42708333333333331</v>
      </c>
      <c r="J341" s="2">
        <v>45991</v>
      </c>
      <c r="K341" s="25" t="s">
        <v>25</v>
      </c>
      <c r="L341" s="25" t="s">
        <v>404</v>
      </c>
      <c r="M341" s="25" t="s">
        <v>22</v>
      </c>
      <c r="N341" s="25" t="s">
        <v>22</v>
      </c>
      <c r="O341" s="25" t="s">
        <v>44</v>
      </c>
      <c r="P341" s="25" t="s">
        <v>23</v>
      </c>
    </row>
    <row r="342" spans="1:16" x14ac:dyDescent="0.25">
      <c r="A342">
        <v>334</v>
      </c>
      <c r="B342" s="25" t="s">
        <v>199</v>
      </c>
      <c r="C342" s="26">
        <v>0.78472222222222221</v>
      </c>
      <c r="D342" s="2">
        <v>45991</v>
      </c>
      <c r="E342" s="25" t="s">
        <v>91</v>
      </c>
      <c r="F342" s="25" t="s">
        <v>95</v>
      </c>
      <c r="G342" s="25" t="s">
        <v>405</v>
      </c>
      <c r="H342" s="26">
        <v>0.79166666666666663</v>
      </c>
      <c r="I342" s="26">
        <v>0.89583333333333337</v>
      </c>
      <c r="J342" s="2">
        <v>45991</v>
      </c>
      <c r="K342" s="25" t="s">
        <v>20</v>
      </c>
      <c r="L342" s="25" t="s">
        <v>406</v>
      </c>
      <c r="M342" s="25" t="s">
        <v>22</v>
      </c>
      <c r="N342" s="25" t="s">
        <v>22</v>
      </c>
      <c r="O342" s="25" t="s">
        <v>112</v>
      </c>
      <c r="P342" s="25" t="s">
        <v>23</v>
      </c>
    </row>
    <row r="343" spans="1:16" x14ac:dyDescent="0.25">
      <c r="A343">
        <v>335</v>
      </c>
      <c r="B343" s="25" t="s">
        <v>199</v>
      </c>
      <c r="C343" s="26">
        <v>0.78472222222222221</v>
      </c>
      <c r="D343" s="2">
        <v>45991</v>
      </c>
      <c r="E343" s="25" t="s">
        <v>91</v>
      </c>
      <c r="F343" s="25" t="s">
        <v>95</v>
      </c>
      <c r="G343" s="25" t="s">
        <v>407</v>
      </c>
      <c r="H343" s="26"/>
      <c r="I343" s="26"/>
      <c r="J343" s="2"/>
      <c r="K343" s="25"/>
      <c r="L343" s="25"/>
      <c r="M343" s="25"/>
      <c r="N343" s="25"/>
      <c r="O343" s="25"/>
      <c r="P343" s="25" t="s">
        <v>33</v>
      </c>
    </row>
    <row r="344" spans="1:16" x14ac:dyDescent="0.25">
      <c r="A344">
        <v>336</v>
      </c>
      <c r="B344" s="25" t="s">
        <v>199</v>
      </c>
      <c r="C344" s="26">
        <v>0.84722222222222221</v>
      </c>
      <c r="D344" s="2">
        <v>45991</v>
      </c>
      <c r="E344" s="25" t="s">
        <v>91</v>
      </c>
      <c r="F344" s="25" t="s">
        <v>95</v>
      </c>
      <c r="G344" s="25" t="s">
        <v>408</v>
      </c>
      <c r="H344" s="26">
        <v>0.85416666666666663</v>
      </c>
      <c r="I344" s="26">
        <v>0.83333333333333337</v>
      </c>
      <c r="J344" s="2">
        <v>45991</v>
      </c>
      <c r="K344" s="25" t="s">
        <v>25</v>
      </c>
      <c r="L344" s="25" t="s">
        <v>409</v>
      </c>
      <c r="M344" s="25" t="s">
        <v>22</v>
      </c>
      <c r="N344" s="25" t="s">
        <v>22</v>
      </c>
      <c r="O344" s="25" t="s">
        <v>112</v>
      </c>
      <c r="P344" s="25" t="s">
        <v>23</v>
      </c>
    </row>
    <row r="345" spans="1:16" x14ac:dyDescent="0.25">
      <c r="A345">
        <v>337</v>
      </c>
      <c r="B345" s="25" t="s">
        <v>187</v>
      </c>
      <c r="C345" s="26">
        <v>0.31944444444444442</v>
      </c>
      <c r="D345" s="2">
        <v>45992</v>
      </c>
      <c r="E345" s="25" t="s">
        <v>22</v>
      </c>
      <c r="F345" s="25" t="s">
        <v>22</v>
      </c>
      <c r="G345" s="25" t="s">
        <v>410</v>
      </c>
      <c r="H345" s="26">
        <v>0.31944444444444442</v>
      </c>
      <c r="I345" s="26">
        <v>0.34375</v>
      </c>
      <c r="J345" s="2">
        <v>45992</v>
      </c>
      <c r="K345" s="25" t="s">
        <v>20</v>
      </c>
      <c r="L345" s="25" t="s">
        <v>411</v>
      </c>
      <c r="M345" s="25" t="s">
        <v>412</v>
      </c>
      <c r="N345" s="25" t="s">
        <v>22</v>
      </c>
      <c r="O345" s="25" t="s">
        <v>108</v>
      </c>
      <c r="P345" s="25" t="s">
        <v>23</v>
      </c>
    </row>
    <row r="346" spans="1:16" x14ac:dyDescent="0.25">
      <c r="A346">
        <v>338</v>
      </c>
      <c r="B346" s="25" t="s">
        <v>16</v>
      </c>
      <c r="C346" s="26">
        <v>0.35069444444444442</v>
      </c>
      <c r="D346" s="2">
        <v>45992</v>
      </c>
      <c r="E346" s="25" t="s">
        <v>116</v>
      </c>
      <c r="F346" s="25" t="s">
        <v>95</v>
      </c>
      <c r="G346" s="25" t="s">
        <v>413</v>
      </c>
      <c r="H346" s="26">
        <v>0.35069444444444442</v>
      </c>
      <c r="I346" s="26">
        <v>0.3611111111111111</v>
      </c>
      <c r="J346" s="2">
        <v>45992</v>
      </c>
      <c r="K346" s="25" t="s">
        <v>20</v>
      </c>
      <c r="L346" s="25" t="s">
        <v>414</v>
      </c>
      <c r="M346" s="25" t="s">
        <v>22</v>
      </c>
      <c r="N346" s="25" t="s">
        <v>22</v>
      </c>
      <c r="O346" s="25" t="s">
        <v>268</v>
      </c>
      <c r="P346" s="25" t="s">
        <v>23</v>
      </c>
    </row>
    <row r="347" spans="1:16" x14ac:dyDescent="0.25">
      <c r="A347">
        <v>339</v>
      </c>
      <c r="B347" s="25" t="s">
        <v>187</v>
      </c>
      <c r="C347" s="26">
        <v>0.25</v>
      </c>
      <c r="D347" s="2">
        <v>45690</v>
      </c>
      <c r="E347" s="25" t="s">
        <v>85</v>
      </c>
      <c r="F347" s="25" t="s">
        <v>95</v>
      </c>
      <c r="G347" s="25" t="s">
        <v>415</v>
      </c>
      <c r="H347" s="26"/>
      <c r="I347" s="26"/>
      <c r="J347" s="2"/>
      <c r="K347" s="25"/>
      <c r="L347" s="25"/>
      <c r="M347" s="25"/>
      <c r="N347" s="25"/>
      <c r="O347" s="25"/>
      <c r="P347" s="25" t="s">
        <v>33</v>
      </c>
    </row>
    <row r="348" spans="1:16" x14ac:dyDescent="0.25">
      <c r="A348">
        <v>340</v>
      </c>
      <c r="B348" s="25" t="s">
        <v>416</v>
      </c>
      <c r="C348" s="26">
        <v>0.4375</v>
      </c>
      <c r="D348" s="2">
        <v>45992</v>
      </c>
      <c r="E348" s="25" t="s">
        <v>91</v>
      </c>
      <c r="F348" s="25" t="s">
        <v>95</v>
      </c>
      <c r="G348" s="25" t="s">
        <v>417</v>
      </c>
      <c r="H348" s="26"/>
      <c r="I348" s="26"/>
      <c r="J348" s="2"/>
      <c r="K348" s="25"/>
      <c r="L348" s="25"/>
      <c r="M348" s="25"/>
      <c r="N348" s="25"/>
      <c r="O348" s="25"/>
      <c r="P348" s="25" t="s">
        <v>33</v>
      </c>
    </row>
    <row r="349" spans="1:16" x14ac:dyDescent="0.25">
      <c r="A349">
        <v>341</v>
      </c>
      <c r="B349" s="25" t="s">
        <v>393</v>
      </c>
      <c r="C349" s="26">
        <v>0.4375</v>
      </c>
      <c r="D349" s="2">
        <v>45992</v>
      </c>
      <c r="E349" s="25" t="s">
        <v>143</v>
      </c>
      <c r="F349" s="25" t="s">
        <v>95</v>
      </c>
      <c r="G349" s="25" t="s">
        <v>418</v>
      </c>
      <c r="H349" s="26"/>
      <c r="I349" s="26"/>
      <c r="J349" s="2"/>
      <c r="K349" s="25" t="s">
        <v>20</v>
      </c>
      <c r="L349" s="25" t="s">
        <v>419</v>
      </c>
      <c r="M349" s="25"/>
      <c r="N349" s="25"/>
      <c r="O349" s="25"/>
      <c r="P349" s="25" t="s">
        <v>33</v>
      </c>
    </row>
    <row r="350" spans="1:16" x14ac:dyDescent="0.25">
      <c r="A350">
        <v>342</v>
      </c>
      <c r="B350" s="25" t="s">
        <v>113</v>
      </c>
      <c r="C350" s="26">
        <v>0.46875</v>
      </c>
      <c r="D350" s="2">
        <v>45992</v>
      </c>
      <c r="E350" s="25" t="s">
        <v>143</v>
      </c>
      <c r="F350" s="25" t="s">
        <v>95</v>
      </c>
      <c r="G350" s="25" t="s">
        <v>420</v>
      </c>
      <c r="H350" s="26">
        <v>0.47569444444444442</v>
      </c>
      <c r="I350" s="26">
        <v>0.51388888888888884</v>
      </c>
      <c r="J350" s="2">
        <v>45992</v>
      </c>
      <c r="K350" s="25" t="s">
        <v>25</v>
      </c>
      <c r="L350" s="25" t="s">
        <v>421</v>
      </c>
      <c r="M350" s="25" t="s">
        <v>422</v>
      </c>
      <c r="N350" s="25" t="s">
        <v>22</v>
      </c>
      <c r="O350" s="25" t="s">
        <v>108</v>
      </c>
      <c r="P350" s="25" t="s">
        <v>23</v>
      </c>
    </row>
    <row r="351" spans="1:16" x14ac:dyDescent="0.25">
      <c r="A351">
        <v>343</v>
      </c>
      <c r="B351" s="25" t="s">
        <v>113</v>
      </c>
      <c r="C351" s="26">
        <v>6.9444444444444448E-2</v>
      </c>
      <c r="D351" s="2">
        <v>45993</v>
      </c>
      <c r="E351" s="25" t="s">
        <v>104</v>
      </c>
      <c r="F351" s="25" t="s">
        <v>95</v>
      </c>
      <c r="G351" s="25" t="s">
        <v>423</v>
      </c>
      <c r="H351" s="26">
        <v>6.9444444444444448E-2</v>
      </c>
      <c r="I351" s="26">
        <v>0.33333333333333331</v>
      </c>
      <c r="J351" s="2">
        <v>45993</v>
      </c>
      <c r="K351" s="25" t="s">
        <v>20</v>
      </c>
      <c r="L351" s="25" t="s">
        <v>424</v>
      </c>
      <c r="M351" s="25" t="s">
        <v>22</v>
      </c>
      <c r="N351" s="25" t="s">
        <v>22</v>
      </c>
      <c r="O351" s="25" t="s">
        <v>99</v>
      </c>
      <c r="P351" s="25" t="s">
        <v>23</v>
      </c>
    </row>
    <row r="352" spans="1:16" x14ac:dyDescent="0.25">
      <c r="A352">
        <v>344</v>
      </c>
      <c r="B352" s="25" t="s">
        <v>385</v>
      </c>
      <c r="C352" s="26">
        <v>6.9444444444444447E-4</v>
      </c>
      <c r="D352" s="2">
        <v>45993</v>
      </c>
      <c r="E352" s="25" t="s">
        <v>116</v>
      </c>
      <c r="F352" s="25" t="s">
        <v>95</v>
      </c>
      <c r="G352" s="25" t="s">
        <v>425</v>
      </c>
      <c r="H352" s="26">
        <v>6.9444444444444447E-4</v>
      </c>
      <c r="I352" s="26">
        <v>8.3333333333333329E-2</v>
      </c>
      <c r="J352" s="2">
        <v>45993</v>
      </c>
      <c r="K352" s="25" t="s">
        <v>20</v>
      </c>
      <c r="L352" s="25" t="s">
        <v>426</v>
      </c>
      <c r="M352" s="25" t="s">
        <v>427</v>
      </c>
      <c r="N352" s="25" t="s">
        <v>22</v>
      </c>
      <c r="O352" s="25" t="s">
        <v>99</v>
      </c>
      <c r="P352" s="25" t="s">
        <v>23</v>
      </c>
    </row>
    <row r="353" spans="1:16" x14ac:dyDescent="0.25">
      <c r="A353">
        <v>345</v>
      </c>
      <c r="B353" s="25" t="s">
        <v>385</v>
      </c>
      <c r="C353" s="26">
        <v>0.125</v>
      </c>
      <c r="D353" s="2">
        <v>45993</v>
      </c>
      <c r="E353" s="25" t="s">
        <v>116</v>
      </c>
      <c r="F353" s="25" t="s">
        <v>100</v>
      </c>
      <c r="G353" s="25" t="s">
        <v>428</v>
      </c>
      <c r="H353" s="26">
        <v>0.125</v>
      </c>
      <c r="I353" s="26">
        <v>0.16666666666666666</v>
      </c>
      <c r="J353" s="2">
        <v>45993</v>
      </c>
      <c r="K353" s="25" t="s">
        <v>25</v>
      </c>
      <c r="L353" s="25" t="s">
        <v>429</v>
      </c>
      <c r="M353" s="25" t="s">
        <v>430</v>
      </c>
      <c r="N353" s="25" t="s">
        <v>22</v>
      </c>
      <c r="O353" s="25" t="s">
        <v>99</v>
      </c>
      <c r="P353" s="25" t="s">
        <v>23</v>
      </c>
    </row>
    <row r="354" spans="1:16" x14ac:dyDescent="0.25">
      <c r="A354">
        <v>346</v>
      </c>
      <c r="B354" s="25" t="s">
        <v>180</v>
      </c>
      <c r="C354" s="26">
        <v>0.42777777777777776</v>
      </c>
      <c r="D354" s="2">
        <v>45993</v>
      </c>
      <c r="E354" s="25" t="s">
        <v>431</v>
      </c>
      <c r="F354" s="25" t="s">
        <v>95</v>
      </c>
      <c r="G354" s="25" t="s">
        <v>432</v>
      </c>
      <c r="H354" s="26">
        <v>0.42777777777777776</v>
      </c>
      <c r="I354" s="26">
        <v>0.47361111111111109</v>
      </c>
      <c r="J354" s="2">
        <v>45993</v>
      </c>
      <c r="K354" s="25" t="s">
        <v>25</v>
      </c>
      <c r="L354" s="25" t="s">
        <v>433</v>
      </c>
      <c r="M354" s="25" t="s">
        <v>22</v>
      </c>
      <c r="N354" s="25" t="s">
        <v>22</v>
      </c>
      <c r="O354" s="25" t="s">
        <v>268</v>
      </c>
      <c r="P354" s="25" t="s">
        <v>23</v>
      </c>
    </row>
    <row r="355" spans="1:16" x14ac:dyDescent="0.25">
      <c r="A355">
        <v>347</v>
      </c>
      <c r="B355" s="25" t="s">
        <v>16</v>
      </c>
      <c r="C355" s="26">
        <v>0.45833333333333331</v>
      </c>
      <c r="D355" s="2">
        <v>45993</v>
      </c>
      <c r="E355" s="25" t="s">
        <v>185</v>
      </c>
      <c r="F355" s="25" t="s">
        <v>95</v>
      </c>
      <c r="G355" s="25" t="s">
        <v>434</v>
      </c>
      <c r="H355" s="26">
        <v>0.46875</v>
      </c>
      <c r="I355" s="26">
        <v>0.5</v>
      </c>
      <c r="J355" s="2">
        <v>45993</v>
      </c>
      <c r="K355" s="25" t="s">
        <v>20</v>
      </c>
      <c r="L355" s="25" t="s">
        <v>435</v>
      </c>
      <c r="M355" s="25" t="s">
        <v>22</v>
      </c>
      <c r="N355" s="25" t="s">
        <v>22</v>
      </c>
      <c r="O355" s="25" t="s">
        <v>112</v>
      </c>
      <c r="P355" s="25" t="s">
        <v>23</v>
      </c>
    </row>
    <row r="356" spans="1:16" x14ac:dyDescent="0.25">
      <c r="A356">
        <v>348</v>
      </c>
      <c r="B356" s="25" t="s">
        <v>16</v>
      </c>
      <c r="C356" s="26">
        <v>0.41666666666666669</v>
      </c>
      <c r="D356" s="2">
        <v>45993</v>
      </c>
      <c r="E356" s="25" t="s">
        <v>116</v>
      </c>
      <c r="F356" s="25" t="s">
        <v>95</v>
      </c>
      <c r="G356" s="25" t="s">
        <v>436</v>
      </c>
      <c r="H356" s="26">
        <v>0.41666666666666669</v>
      </c>
      <c r="I356" s="26">
        <v>0.4375</v>
      </c>
      <c r="J356" s="2">
        <v>45993</v>
      </c>
      <c r="K356" s="25" t="s">
        <v>25</v>
      </c>
      <c r="L356" s="25" t="s">
        <v>437</v>
      </c>
      <c r="M356" s="25" t="s">
        <v>438</v>
      </c>
      <c r="N356" s="25" t="s">
        <v>22</v>
      </c>
      <c r="O356" s="25" t="s">
        <v>108</v>
      </c>
      <c r="P356" s="25" t="s">
        <v>23</v>
      </c>
    </row>
    <row r="357" spans="1:16" x14ac:dyDescent="0.25">
      <c r="A357">
        <v>349</v>
      </c>
      <c r="B357" s="25" t="s">
        <v>341</v>
      </c>
      <c r="C357" s="26">
        <v>0.69444444444444442</v>
      </c>
      <c r="D357" s="2">
        <v>45993</v>
      </c>
      <c r="E357" s="25" t="s">
        <v>143</v>
      </c>
      <c r="F357" s="25" t="s">
        <v>95</v>
      </c>
      <c r="G357" s="25" t="s">
        <v>439</v>
      </c>
      <c r="H357" s="26">
        <v>0.69444444444444442</v>
      </c>
      <c r="I357" s="26">
        <v>0.70833333333333337</v>
      </c>
      <c r="J357" s="2">
        <v>45993</v>
      </c>
      <c r="K357" s="25" t="s">
        <v>25</v>
      </c>
      <c r="L357" s="25" t="s">
        <v>440</v>
      </c>
      <c r="M357" s="25" t="s">
        <v>22</v>
      </c>
      <c r="N357" s="25" t="s">
        <v>441</v>
      </c>
      <c r="O357" s="25" t="s">
        <v>44</v>
      </c>
      <c r="P357" s="25" t="s">
        <v>23</v>
      </c>
    </row>
    <row r="358" spans="1:16" x14ac:dyDescent="0.25">
      <c r="A358">
        <v>350</v>
      </c>
      <c r="B358" s="25"/>
      <c r="C358" s="26"/>
      <c r="D358" s="2"/>
      <c r="E358" s="25"/>
      <c r="F358" s="25"/>
      <c r="G358" s="25"/>
      <c r="H358" s="26"/>
      <c r="I358" s="26"/>
      <c r="J358" s="2"/>
      <c r="K358" s="25"/>
      <c r="L358" s="25"/>
      <c r="M358" s="25"/>
      <c r="N358" s="25"/>
      <c r="O358" s="25"/>
      <c r="P358" s="25"/>
    </row>
    <row r="359" spans="1:16" x14ac:dyDescent="0.25">
      <c r="A359">
        <v>351</v>
      </c>
      <c r="B359" s="25" t="s">
        <v>103</v>
      </c>
      <c r="C359" s="26">
        <v>0.89583333333333337</v>
      </c>
      <c r="D359" s="2">
        <v>45993</v>
      </c>
      <c r="E359" s="25" t="s">
        <v>147</v>
      </c>
      <c r="F359" s="25" t="s">
        <v>95</v>
      </c>
      <c r="G359" s="25" t="s">
        <v>442</v>
      </c>
      <c r="H359" s="26">
        <v>0.86111111111111116</v>
      </c>
      <c r="I359" s="26">
        <v>0.88194444444444442</v>
      </c>
      <c r="J359" s="2">
        <v>45993</v>
      </c>
      <c r="K359" s="25" t="s">
        <v>20</v>
      </c>
      <c r="L359" s="25" t="s">
        <v>443</v>
      </c>
      <c r="M359" s="25" t="s">
        <v>444</v>
      </c>
      <c r="N359" s="25" t="s">
        <v>22</v>
      </c>
      <c r="O359" s="25" t="s">
        <v>44</v>
      </c>
      <c r="P359" s="25" t="s">
        <v>23</v>
      </c>
    </row>
    <row r="360" spans="1:16" x14ac:dyDescent="0.25">
      <c r="A360">
        <v>352</v>
      </c>
      <c r="B360" s="25" t="s">
        <v>445</v>
      </c>
      <c r="C360" s="26">
        <v>7.1527777777777773E-2</v>
      </c>
      <c r="D360" s="2">
        <v>45994</v>
      </c>
      <c r="E360" s="25" t="s">
        <v>143</v>
      </c>
      <c r="F360" s="25" t="s">
        <v>95</v>
      </c>
      <c r="G360" s="25" t="s">
        <v>446</v>
      </c>
      <c r="H360" s="26">
        <v>7.1527777777777773E-2</v>
      </c>
      <c r="I360" s="26">
        <v>8.3333333333333329E-2</v>
      </c>
      <c r="J360" s="2">
        <v>45994</v>
      </c>
      <c r="K360" s="25" t="s">
        <v>25</v>
      </c>
      <c r="L360" s="25" t="s">
        <v>447</v>
      </c>
      <c r="M360" s="25" t="s">
        <v>390</v>
      </c>
      <c r="N360" s="25" t="s">
        <v>22</v>
      </c>
      <c r="O360" s="25" t="s">
        <v>99</v>
      </c>
      <c r="P360" s="25" t="s">
        <v>23</v>
      </c>
    </row>
    <row r="361" spans="1:16" x14ac:dyDescent="0.25">
      <c r="A361">
        <v>353</v>
      </c>
      <c r="B361" s="25"/>
      <c r="C361" s="26"/>
      <c r="D361" s="2"/>
      <c r="E361" s="25"/>
      <c r="F361" s="25"/>
      <c r="G361" s="25"/>
      <c r="H361" s="26"/>
      <c r="I361" s="26"/>
      <c r="J361" s="2"/>
      <c r="K361" s="25"/>
      <c r="L361" s="25"/>
      <c r="M361" s="25"/>
      <c r="N361" s="25"/>
      <c r="O361" s="25"/>
      <c r="P361" s="25"/>
    </row>
    <row r="362" spans="1:16" x14ac:dyDescent="0.25">
      <c r="A362">
        <v>354</v>
      </c>
      <c r="B362" s="25" t="s">
        <v>242</v>
      </c>
      <c r="C362" s="26">
        <v>0.51041666666666663</v>
      </c>
      <c r="D362" s="2">
        <v>45994</v>
      </c>
      <c r="E362" s="25" t="s">
        <v>227</v>
      </c>
      <c r="F362" s="25" t="s">
        <v>95</v>
      </c>
      <c r="G362" s="25" t="s">
        <v>448</v>
      </c>
      <c r="H362" s="26">
        <v>0.52083333333333337</v>
      </c>
      <c r="I362" s="26">
        <v>4.1666666666666664E-2</v>
      </c>
      <c r="J362" s="2">
        <v>45994</v>
      </c>
      <c r="K362" s="25" t="s">
        <v>25</v>
      </c>
      <c r="L362" s="25" t="s">
        <v>449</v>
      </c>
      <c r="M362" s="25" t="s">
        <v>22</v>
      </c>
      <c r="N362" s="25" t="s">
        <v>22</v>
      </c>
      <c r="O362" s="25" t="s">
        <v>108</v>
      </c>
      <c r="P362" s="25" t="s">
        <v>23</v>
      </c>
    </row>
    <row r="363" spans="1:16" x14ac:dyDescent="0.25">
      <c r="A363">
        <v>355</v>
      </c>
      <c r="B363" s="25" t="s">
        <v>139</v>
      </c>
      <c r="C363" s="26">
        <v>0.6875</v>
      </c>
      <c r="D363" s="2">
        <v>45994</v>
      </c>
      <c r="E363" s="25" t="s">
        <v>91</v>
      </c>
      <c r="F363" s="25" t="s">
        <v>95</v>
      </c>
      <c r="G363" s="25" t="s">
        <v>450</v>
      </c>
      <c r="H363" s="26">
        <v>0.72222222222222221</v>
      </c>
      <c r="I363" s="26">
        <v>0.78472222222222221</v>
      </c>
      <c r="J363" s="2">
        <v>45994</v>
      </c>
      <c r="K363" s="25" t="s">
        <v>25</v>
      </c>
      <c r="L363" s="25" t="s">
        <v>451</v>
      </c>
      <c r="M363" s="25" t="s">
        <v>452</v>
      </c>
      <c r="N363" s="25" t="s">
        <v>22</v>
      </c>
      <c r="O363" s="25" t="s">
        <v>44</v>
      </c>
      <c r="P363" s="25" t="s">
        <v>23</v>
      </c>
    </row>
    <row r="364" spans="1:16" x14ac:dyDescent="0.25">
      <c r="A364">
        <v>356</v>
      </c>
      <c r="B364" s="25" t="s">
        <v>113</v>
      </c>
      <c r="C364" s="26">
        <v>0.97916666666666663</v>
      </c>
      <c r="D364" s="2">
        <v>45994</v>
      </c>
      <c r="E364" s="25" t="s">
        <v>147</v>
      </c>
      <c r="F364" s="25" t="s">
        <v>95</v>
      </c>
      <c r="G364" s="25" t="s">
        <v>453</v>
      </c>
      <c r="H364" s="26">
        <v>0.98263888888888884</v>
      </c>
      <c r="I364" s="26">
        <v>0</v>
      </c>
      <c r="J364" s="2">
        <v>45994</v>
      </c>
      <c r="K364" s="25" t="s">
        <v>20</v>
      </c>
      <c r="L364" s="25" t="s">
        <v>454</v>
      </c>
      <c r="M364" s="25" t="s">
        <v>310</v>
      </c>
      <c r="N364" s="25" t="s">
        <v>22</v>
      </c>
      <c r="O364" s="25" t="s">
        <v>44</v>
      </c>
      <c r="P364" s="25" t="s">
        <v>23</v>
      </c>
    </row>
    <row r="365" spans="1:16" x14ac:dyDescent="0.25">
      <c r="A365">
        <v>357</v>
      </c>
      <c r="B365" s="25" t="s">
        <v>335</v>
      </c>
      <c r="C365" s="26">
        <v>0.99305555555555558</v>
      </c>
      <c r="D365" s="2">
        <v>45994</v>
      </c>
      <c r="E365" s="25" t="s">
        <v>162</v>
      </c>
      <c r="F365" s="25" t="s">
        <v>100</v>
      </c>
      <c r="G365" s="25" t="s">
        <v>380</v>
      </c>
      <c r="H365" s="26">
        <v>0</v>
      </c>
      <c r="I365" s="26">
        <v>1.3888888888888888E-2</v>
      </c>
      <c r="J365" s="2">
        <v>45994</v>
      </c>
      <c r="K365" s="25" t="s">
        <v>25</v>
      </c>
      <c r="L365" s="25" t="s">
        <v>455</v>
      </c>
      <c r="M365" s="25" t="s">
        <v>22</v>
      </c>
      <c r="N365" s="25" t="s">
        <v>22</v>
      </c>
      <c r="O365" s="25" t="s">
        <v>44</v>
      </c>
      <c r="P365" s="25" t="s">
        <v>23</v>
      </c>
    </row>
    <row r="366" spans="1:16" x14ac:dyDescent="0.25">
      <c r="A366">
        <v>358</v>
      </c>
      <c r="B366" s="25" t="s">
        <v>335</v>
      </c>
      <c r="C366" s="26">
        <v>0.1111111111111111</v>
      </c>
      <c r="D366" s="2">
        <v>45995</v>
      </c>
      <c r="E366" s="25" t="s">
        <v>162</v>
      </c>
      <c r="F366" s="25" t="s">
        <v>95</v>
      </c>
      <c r="G366" s="25" t="s">
        <v>456</v>
      </c>
      <c r="H366" s="26">
        <v>0.11458333333333333</v>
      </c>
      <c r="I366" s="26">
        <v>0.13541666666666666</v>
      </c>
      <c r="J366" s="2">
        <v>45995</v>
      </c>
      <c r="K366" s="25" t="s">
        <v>25</v>
      </c>
      <c r="L366" s="25" t="s">
        <v>457</v>
      </c>
      <c r="M366" s="25" t="s">
        <v>22</v>
      </c>
      <c r="N366" s="25" t="s">
        <v>22</v>
      </c>
      <c r="O366" s="25" t="s">
        <v>44</v>
      </c>
      <c r="P366" s="25" t="s">
        <v>23</v>
      </c>
    </row>
    <row r="367" spans="1:16" x14ac:dyDescent="0.25">
      <c r="A367">
        <v>359</v>
      </c>
      <c r="B367" s="25" t="s">
        <v>93</v>
      </c>
      <c r="C367" s="26">
        <v>0.14583333333333334</v>
      </c>
      <c r="D367" s="2">
        <v>45995</v>
      </c>
      <c r="E367" s="25" t="s">
        <v>116</v>
      </c>
      <c r="F367" s="25" t="s">
        <v>95</v>
      </c>
      <c r="G367" s="25" t="s">
        <v>458</v>
      </c>
      <c r="H367" s="26">
        <v>0.14583333333333334</v>
      </c>
      <c r="I367" s="26">
        <v>0.15972222222222221</v>
      </c>
      <c r="J367" s="2">
        <v>45995</v>
      </c>
      <c r="K367" s="25" t="s">
        <v>25</v>
      </c>
      <c r="L367" s="25" t="s">
        <v>459</v>
      </c>
      <c r="M367" s="25" t="s">
        <v>22</v>
      </c>
      <c r="N367" s="25" t="s">
        <v>22</v>
      </c>
      <c r="O367" s="25" t="s">
        <v>44</v>
      </c>
      <c r="P367" s="25" t="s">
        <v>23</v>
      </c>
    </row>
    <row r="368" spans="1:16" x14ac:dyDescent="0.25">
      <c r="A368">
        <v>360</v>
      </c>
      <c r="B368" s="25"/>
      <c r="C368" s="26"/>
      <c r="D368" s="2"/>
      <c r="E368" s="25"/>
      <c r="F368" s="25"/>
      <c r="G368" s="25"/>
      <c r="H368" s="26"/>
      <c r="I368" s="26"/>
      <c r="J368" s="2"/>
      <c r="K368" s="25"/>
      <c r="L368" s="25"/>
      <c r="M368" s="25"/>
      <c r="N368" s="25"/>
      <c r="O368" s="25"/>
      <c r="P368" s="25"/>
    </row>
    <row r="369" spans="1:16" x14ac:dyDescent="0.25">
      <c r="A369">
        <v>361</v>
      </c>
      <c r="B369" s="25" t="s">
        <v>460</v>
      </c>
      <c r="C369" s="26">
        <v>0.3576388888888889</v>
      </c>
      <c r="D369" s="2">
        <v>45995</v>
      </c>
      <c r="E369" s="25" t="s">
        <v>162</v>
      </c>
      <c r="F369" s="25" t="s">
        <v>95</v>
      </c>
      <c r="G369" s="25" t="s">
        <v>461</v>
      </c>
      <c r="H369" s="26">
        <v>0.375</v>
      </c>
      <c r="I369" s="26">
        <v>0.48680555555555555</v>
      </c>
      <c r="J369" s="2">
        <v>45995</v>
      </c>
      <c r="K369" s="25" t="s">
        <v>20</v>
      </c>
      <c r="L369" s="25" t="s">
        <v>462</v>
      </c>
      <c r="M369" s="25" t="s">
        <v>463</v>
      </c>
      <c r="N369" s="25" t="s">
        <v>22</v>
      </c>
      <c r="O369" s="25" t="s">
        <v>108</v>
      </c>
      <c r="P369" s="25" t="s">
        <v>23</v>
      </c>
    </row>
    <row r="370" spans="1:16" x14ac:dyDescent="0.25">
      <c r="A370">
        <v>362</v>
      </c>
      <c r="B370" s="25" t="s">
        <v>120</v>
      </c>
      <c r="C370" s="26">
        <v>0.60416666666666663</v>
      </c>
      <c r="D370" s="2">
        <v>45965</v>
      </c>
      <c r="E370" s="25" t="s">
        <v>116</v>
      </c>
      <c r="F370" s="25" t="s">
        <v>95</v>
      </c>
      <c r="G370" s="25" t="s">
        <v>464</v>
      </c>
      <c r="H370" s="26">
        <v>0.60416666666666663</v>
      </c>
      <c r="I370" s="26">
        <v>0.63541666666666663</v>
      </c>
      <c r="J370" s="2">
        <v>45995</v>
      </c>
      <c r="K370" s="25" t="s">
        <v>20</v>
      </c>
      <c r="L370" s="25" t="s">
        <v>465</v>
      </c>
      <c r="M370" s="25" t="s">
        <v>466</v>
      </c>
      <c r="N370" s="25" t="s">
        <v>22</v>
      </c>
      <c r="O370" s="25" t="s">
        <v>108</v>
      </c>
      <c r="P370" s="25" t="s">
        <v>23</v>
      </c>
    </row>
    <row r="371" spans="1:16" x14ac:dyDescent="0.25">
      <c r="A371">
        <v>363</v>
      </c>
      <c r="B371" s="25" t="s">
        <v>139</v>
      </c>
      <c r="C371" s="26">
        <v>0.58333333333333337</v>
      </c>
      <c r="D371" s="2">
        <v>45995</v>
      </c>
      <c r="E371" s="25" t="s">
        <v>91</v>
      </c>
      <c r="F371" s="25" t="s">
        <v>95</v>
      </c>
      <c r="G371" s="25" t="s">
        <v>467</v>
      </c>
      <c r="H371" s="26">
        <v>0.58333333333333337</v>
      </c>
      <c r="I371" s="26">
        <v>0.8125</v>
      </c>
      <c r="J371" s="2">
        <v>45995</v>
      </c>
      <c r="K371" s="25" t="s">
        <v>25</v>
      </c>
      <c r="L371" s="25" t="s">
        <v>468</v>
      </c>
      <c r="M371" s="25" t="s">
        <v>22</v>
      </c>
      <c r="N371" s="25" t="s">
        <v>22</v>
      </c>
      <c r="O371" s="25" t="s">
        <v>112</v>
      </c>
      <c r="P371" s="25" t="s">
        <v>23</v>
      </c>
    </row>
    <row r="372" spans="1:16" x14ac:dyDescent="0.25">
      <c r="A372">
        <v>364</v>
      </c>
      <c r="B372" s="25" t="s">
        <v>335</v>
      </c>
      <c r="C372" s="26">
        <v>0.75</v>
      </c>
      <c r="D372" s="2">
        <v>45995</v>
      </c>
      <c r="E372" s="25" t="s">
        <v>162</v>
      </c>
      <c r="F372" s="25" t="s">
        <v>95</v>
      </c>
      <c r="G372" s="25" t="s">
        <v>469</v>
      </c>
      <c r="H372" s="26">
        <v>0.75694444444444442</v>
      </c>
      <c r="I372" s="26">
        <v>0.76388888888888884</v>
      </c>
      <c r="J372" s="2">
        <v>45995</v>
      </c>
      <c r="K372" s="25" t="s">
        <v>25</v>
      </c>
      <c r="L372" s="25" t="s">
        <v>470</v>
      </c>
      <c r="M372" s="25" t="s">
        <v>22</v>
      </c>
      <c r="N372" s="25" t="s">
        <v>22</v>
      </c>
      <c r="O372" s="25" t="s">
        <v>112</v>
      </c>
      <c r="P372" s="25" t="s">
        <v>23</v>
      </c>
    </row>
    <row r="373" spans="1:16" x14ac:dyDescent="0.25">
      <c r="A373">
        <v>365</v>
      </c>
      <c r="B373" s="25" t="s">
        <v>335</v>
      </c>
      <c r="C373" s="26">
        <v>0.78472222222222221</v>
      </c>
      <c r="D373" s="2">
        <v>45995</v>
      </c>
      <c r="E373" s="25" t="s">
        <v>162</v>
      </c>
      <c r="F373" s="25" t="s">
        <v>100</v>
      </c>
      <c r="G373" s="25" t="s">
        <v>471</v>
      </c>
      <c r="H373" s="26">
        <v>0.79166666666666663</v>
      </c>
      <c r="I373" s="26">
        <v>0.85416666666666663</v>
      </c>
      <c r="J373" s="2">
        <v>45995</v>
      </c>
      <c r="K373" s="25" t="s">
        <v>156</v>
      </c>
      <c r="L373" s="25" t="s">
        <v>472</v>
      </c>
      <c r="M373" s="25" t="s">
        <v>473</v>
      </c>
      <c r="N373" s="25" t="s">
        <v>474</v>
      </c>
      <c r="O373" s="25" t="s">
        <v>112</v>
      </c>
      <c r="P373" s="25" t="s">
        <v>23</v>
      </c>
    </row>
    <row r="374" spans="1:16" x14ac:dyDescent="0.25">
      <c r="A374">
        <v>366</v>
      </c>
      <c r="B374" s="25" t="s">
        <v>93</v>
      </c>
      <c r="C374" s="26">
        <v>0.98611111111111116</v>
      </c>
      <c r="D374" s="2">
        <v>45995</v>
      </c>
      <c r="E374" s="25" t="s">
        <v>116</v>
      </c>
      <c r="F374" s="25" t="s">
        <v>95</v>
      </c>
      <c r="G374" s="25" t="s">
        <v>475</v>
      </c>
      <c r="H374" s="26">
        <v>0.98611111111111116</v>
      </c>
      <c r="I374" s="26">
        <v>0</v>
      </c>
      <c r="J374" s="2">
        <v>45995</v>
      </c>
      <c r="K374" s="25" t="s">
        <v>25</v>
      </c>
      <c r="L374" s="25" t="s">
        <v>476</v>
      </c>
      <c r="M374" s="25" t="s">
        <v>477</v>
      </c>
      <c r="N374" s="25" t="s">
        <v>22</v>
      </c>
      <c r="O374" s="25" t="s">
        <v>112</v>
      </c>
      <c r="P374" s="25" t="s">
        <v>23</v>
      </c>
    </row>
    <row r="375" spans="1:16" x14ac:dyDescent="0.25">
      <c r="A375">
        <v>367</v>
      </c>
      <c r="B375" s="25" t="s">
        <v>341</v>
      </c>
      <c r="C375" s="26">
        <v>0.85416666666666663</v>
      </c>
      <c r="D375" s="2">
        <v>45995</v>
      </c>
      <c r="E375" s="25" t="s">
        <v>143</v>
      </c>
      <c r="F375" s="25" t="s">
        <v>95</v>
      </c>
      <c r="G375" s="25" t="s">
        <v>478</v>
      </c>
      <c r="H375" s="26">
        <v>0.85416666666666663</v>
      </c>
      <c r="I375" s="26">
        <v>0.86458333333333337</v>
      </c>
      <c r="J375" s="2">
        <v>45995</v>
      </c>
      <c r="K375" s="25" t="s">
        <v>156</v>
      </c>
      <c r="L375" s="25" t="s">
        <v>479</v>
      </c>
      <c r="M375" s="25" t="s">
        <v>22</v>
      </c>
      <c r="N375" s="25" t="s">
        <v>22</v>
      </c>
      <c r="O375" s="25" t="s">
        <v>112</v>
      </c>
      <c r="P375" s="25" t="s">
        <v>23</v>
      </c>
    </row>
    <row r="376" spans="1:16" x14ac:dyDescent="0.25">
      <c r="A376">
        <v>368</v>
      </c>
      <c r="B376" s="25" t="s">
        <v>139</v>
      </c>
      <c r="C376" s="26">
        <v>0.99305555555555558</v>
      </c>
      <c r="D376" s="2">
        <v>45995</v>
      </c>
      <c r="E376" s="25" t="s">
        <v>91</v>
      </c>
      <c r="F376" s="25" t="s">
        <v>95</v>
      </c>
      <c r="G376" s="25" t="s">
        <v>480</v>
      </c>
      <c r="H376" s="26">
        <v>0</v>
      </c>
      <c r="I376" s="26">
        <v>2.7777777777777776E-2</v>
      </c>
      <c r="J376" s="2">
        <v>45995</v>
      </c>
      <c r="K376" s="25" t="s">
        <v>20</v>
      </c>
      <c r="L376" s="25" t="s">
        <v>481</v>
      </c>
      <c r="M376" s="25" t="s">
        <v>22</v>
      </c>
      <c r="N376" s="25" t="s">
        <v>22</v>
      </c>
      <c r="O376" s="25" t="s">
        <v>112</v>
      </c>
      <c r="P376" s="25" t="s">
        <v>23</v>
      </c>
    </row>
    <row r="377" spans="1:16" x14ac:dyDescent="0.25">
      <c r="A377">
        <v>369</v>
      </c>
      <c r="B377" s="25" t="s">
        <v>93</v>
      </c>
      <c r="C377" s="26">
        <v>0.125</v>
      </c>
      <c r="D377" s="2">
        <v>45996</v>
      </c>
      <c r="E377" s="25" t="s">
        <v>116</v>
      </c>
      <c r="F377" s="25" t="s">
        <v>95</v>
      </c>
      <c r="G377" s="25" t="s">
        <v>482</v>
      </c>
      <c r="H377" s="26">
        <v>0.125</v>
      </c>
      <c r="I377" s="26">
        <v>0.13541666666666666</v>
      </c>
      <c r="J377" s="2">
        <v>45996</v>
      </c>
      <c r="K377" s="25" t="s">
        <v>25</v>
      </c>
      <c r="L377" s="25" t="s">
        <v>483</v>
      </c>
      <c r="M377" s="25" t="s">
        <v>22</v>
      </c>
      <c r="N377" s="25" t="s">
        <v>22</v>
      </c>
      <c r="O377" s="25" t="s">
        <v>112</v>
      </c>
      <c r="P377" s="25" t="s">
        <v>23</v>
      </c>
    </row>
    <row r="378" spans="1:16" x14ac:dyDescent="0.25">
      <c r="A378">
        <v>370</v>
      </c>
      <c r="B378" s="25" t="s">
        <v>341</v>
      </c>
      <c r="C378" s="26">
        <v>0.16666666666666666</v>
      </c>
      <c r="D378" s="2">
        <v>45996</v>
      </c>
      <c r="E378" s="25" t="s">
        <v>143</v>
      </c>
      <c r="F378" s="25" t="s">
        <v>95</v>
      </c>
      <c r="G378" s="25" t="s">
        <v>484</v>
      </c>
      <c r="H378" s="26">
        <v>0.16666666666666666</v>
      </c>
      <c r="I378" s="26">
        <v>0.18055555555555555</v>
      </c>
      <c r="J378" s="2">
        <v>45996</v>
      </c>
      <c r="K378" s="25" t="s">
        <v>25</v>
      </c>
      <c r="L378" s="25" t="s">
        <v>485</v>
      </c>
      <c r="M378" s="25" t="s">
        <v>22</v>
      </c>
      <c r="N378" s="25" t="s">
        <v>22</v>
      </c>
      <c r="O378" s="25" t="s">
        <v>112</v>
      </c>
      <c r="P378" s="25" t="s">
        <v>23</v>
      </c>
    </row>
    <row r="379" spans="1:16" x14ac:dyDescent="0.25">
      <c r="A379">
        <v>371</v>
      </c>
      <c r="B379" s="25" t="s">
        <v>486</v>
      </c>
      <c r="C379" s="26">
        <v>0.33958333333333335</v>
      </c>
      <c r="D379" s="2">
        <v>45996</v>
      </c>
      <c r="E379" s="25" t="s">
        <v>307</v>
      </c>
      <c r="F379" s="25" t="s">
        <v>95</v>
      </c>
      <c r="G379" s="25" t="s">
        <v>487</v>
      </c>
      <c r="H379" s="26">
        <v>0.34722222222222221</v>
      </c>
      <c r="I379" s="26">
        <v>0.35416666666666669</v>
      </c>
      <c r="J379" s="2">
        <v>45996</v>
      </c>
      <c r="K379" s="25" t="s">
        <v>20</v>
      </c>
      <c r="L379" s="25" t="s">
        <v>488</v>
      </c>
      <c r="M379" s="25" t="s">
        <v>489</v>
      </c>
      <c r="N379" s="25" t="s">
        <v>22</v>
      </c>
      <c r="O379" s="25" t="s">
        <v>44</v>
      </c>
      <c r="P379" s="25" t="s">
        <v>23</v>
      </c>
    </row>
    <row r="380" spans="1:16" x14ac:dyDescent="0.25">
      <c r="A380">
        <v>372</v>
      </c>
      <c r="B380" s="25" t="s">
        <v>16</v>
      </c>
      <c r="C380" s="26">
        <v>0.40277777777777779</v>
      </c>
      <c r="D380" s="2">
        <v>45996</v>
      </c>
      <c r="E380" s="25" t="s">
        <v>116</v>
      </c>
      <c r="F380" s="25" t="s">
        <v>95</v>
      </c>
      <c r="G380" s="25" t="s">
        <v>490</v>
      </c>
      <c r="H380" s="26">
        <v>0.41319444444444442</v>
      </c>
      <c r="I380" s="26">
        <v>0.4201388888888889</v>
      </c>
      <c r="J380" s="2">
        <v>45996</v>
      </c>
      <c r="K380" s="25" t="s">
        <v>20</v>
      </c>
      <c r="L380" s="25" t="s">
        <v>491</v>
      </c>
      <c r="M380" s="25" t="s">
        <v>22</v>
      </c>
      <c r="N380" s="25" t="s">
        <v>22</v>
      </c>
      <c r="O380" s="25" t="s">
        <v>44</v>
      </c>
      <c r="P380" s="25" t="s">
        <v>23</v>
      </c>
    </row>
    <row r="381" spans="1:16" x14ac:dyDescent="0.25">
      <c r="A381">
        <v>373</v>
      </c>
      <c r="B381" s="25" t="s">
        <v>153</v>
      </c>
      <c r="C381" s="26">
        <v>0.6875</v>
      </c>
      <c r="D381" s="2">
        <v>45996</v>
      </c>
      <c r="E381" s="25" t="s">
        <v>154</v>
      </c>
      <c r="F381" s="25" t="s">
        <v>95</v>
      </c>
      <c r="G381" s="25" t="s">
        <v>492</v>
      </c>
      <c r="H381" s="26">
        <v>0.6875</v>
      </c>
      <c r="I381" s="26">
        <v>0.70833333333333337</v>
      </c>
      <c r="J381" s="2">
        <v>45996</v>
      </c>
      <c r="K381" s="25" t="s">
        <v>156</v>
      </c>
      <c r="L381" s="25" t="s">
        <v>493</v>
      </c>
      <c r="M381" s="25" t="s">
        <v>494</v>
      </c>
      <c r="N381" s="25" t="s">
        <v>22</v>
      </c>
      <c r="O381" s="25" t="s">
        <v>44</v>
      </c>
      <c r="P381" s="25" t="s">
        <v>23</v>
      </c>
    </row>
    <row r="382" spans="1:16" x14ac:dyDescent="0.25">
      <c r="A382">
        <v>374</v>
      </c>
      <c r="B382" s="25" t="s">
        <v>22</v>
      </c>
      <c r="C382" s="26">
        <v>0.81944444444444442</v>
      </c>
      <c r="D382" s="2">
        <v>45996</v>
      </c>
      <c r="E382" s="25" t="s">
        <v>116</v>
      </c>
      <c r="F382" s="25" t="s">
        <v>95</v>
      </c>
      <c r="G382" s="25" t="s">
        <v>495</v>
      </c>
      <c r="H382" s="26">
        <v>0.81944444444444442</v>
      </c>
      <c r="I382" s="26"/>
      <c r="J382" s="2">
        <v>45996</v>
      </c>
      <c r="K382" s="25" t="s">
        <v>25</v>
      </c>
      <c r="L382" s="25" t="s">
        <v>496</v>
      </c>
      <c r="M382" s="25" t="s">
        <v>497</v>
      </c>
      <c r="N382" s="25" t="s">
        <v>22</v>
      </c>
      <c r="O382" s="25" t="s">
        <v>22</v>
      </c>
      <c r="P382" s="25" t="s">
        <v>23</v>
      </c>
    </row>
    <row r="383" spans="1:16" x14ac:dyDescent="0.25">
      <c r="A383">
        <v>375</v>
      </c>
      <c r="B383" s="25" t="s">
        <v>16</v>
      </c>
      <c r="C383" s="26">
        <v>0.33333333333333331</v>
      </c>
      <c r="D383" s="2">
        <v>45997</v>
      </c>
      <c r="E383" s="25" t="s">
        <v>116</v>
      </c>
      <c r="F383" s="25" t="s">
        <v>100</v>
      </c>
      <c r="G383" s="25" t="s">
        <v>498</v>
      </c>
      <c r="H383" s="26">
        <v>0.33333333333333331</v>
      </c>
      <c r="I383" s="26">
        <v>0.59375</v>
      </c>
      <c r="J383" s="2">
        <v>45997</v>
      </c>
      <c r="K383" s="25" t="s">
        <v>20</v>
      </c>
      <c r="L383" s="25" t="s">
        <v>499</v>
      </c>
      <c r="M383" s="25" t="s">
        <v>22</v>
      </c>
      <c r="N383" s="25" t="s">
        <v>22</v>
      </c>
      <c r="O383" s="25" t="s">
        <v>112</v>
      </c>
      <c r="P383" s="25" t="s">
        <v>23</v>
      </c>
    </row>
    <row r="384" spans="1:16" x14ac:dyDescent="0.25">
      <c r="A384">
        <v>376</v>
      </c>
      <c r="B384" s="25" t="s">
        <v>16</v>
      </c>
      <c r="C384" s="26">
        <v>0.45833333333333331</v>
      </c>
      <c r="D384" s="2">
        <v>45997</v>
      </c>
      <c r="E384" s="25" t="s">
        <v>94</v>
      </c>
      <c r="F384" s="25" t="s">
        <v>95</v>
      </c>
      <c r="G384" s="25" t="s">
        <v>500</v>
      </c>
      <c r="H384" s="26">
        <v>0.4513888888888889</v>
      </c>
      <c r="I384" s="26">
        <v>0.45902777777777776</v>
      </c>
      <c r="J384" s="2">
        <v>45997</v>
      </c>
      <c r="K384" s="25" t="s">
        <v>25</v>
      </c>
      <c r="L384" s="25" t="s">
        <v>501</v>
      </c>
      <c r="M384" s="25" t="s">
        <v>502</v>
      </c>
      <c r="N384" s="25" t="s">
        <v>22</v>
      </c>
      <c r="O384" s="25" t="s">
        <v>112</v>
      </c>
      <c r="P384" s="25" t="s">
        <v>23</v>
      </c>
    </row>
    <row r="385" spans="1:16" x14ac:dyDescent="0.25">
      <c r="A385">
        <v>377</v>
      </c>
      <c r="B385" s="25" t="s">
        <v>503</v>
      </c>
      <c r="C385" s="26">
        <v>0.3125</v>
      </c>
      <c r="D385" s="2">
        <v>45997</v>
      </c>
      <c r="E385" s="25" t="s">
        <v>353</v>
      </c>
      <c r="F385" s="25" t="s">
        <v>95</v>
      </c>
      <c r="G385" s="25" t="s">
        <v>504</v>
      </c>
      <c r="H385" s="26">
        <v>0.3125</v>
      </c>
      <c r="I385" s="26">
        <v>0.33333333333333331</v>
      </c>
      <c r="J385" s="2">
        <v>45997</v>
      </c>
      <c r="K385" s="25" t="s">
        <v>25</v>
      </c>
      <c r="L385" s="25" t="s">
        <v>505</v>
      </c>
      <c r="M385" s="25" t="s">
        <v>506</v>
      </c>
      <c r="N385" s="25" t="s">
        <v>22</v>
      </c>
      <c r="O385" s="25" t="s">
        <v>112</v>
      </c>
      <c r="P385" s="25" t="s">
        <v>23</v>
      </c>
    </row>
    <row r="386" spans="1:16" x14ac:dyDescent="0.25">
      <c r="A386">
        <v>378</v>
      </c>
      <c r="B386" s="25" t="s">
        <v>139</v>
      </c>
      <c r="C386" s="26">
        <v>0.375</v>
      </c>
      <c r="D386" s="2">
        <v>45997</v>
      </c>
      <c r="E386" s="25" t="s">
        <v>91</v>
      </c>
      <c r="F386" s="25" t="s">
        <v>95</v>
      </c>
      <c r="G386" s="25" t="s">
        <v>507</v>
      </c>
      <c r="H386" s="26">
        <v>0.375</v>
      </c>
      <c r="I386" s="26">
        <v>0.39583333333333331</v>
      </c>
      <c r="J386" s="2">
        <v>45997</v>
      </c>
      <c r="K386" s="25" t="s">
        <v>156</v>
      </c>
      <c r="L386" s="25" t="s">
        <v>508</v>
      </c>
      <c r="M386" s="25" t="s">
        <v>509</v>
      </c>
      <c r="N386" s="25" t="s">
        <v>22</v>
      </c>
      <c r="O386" s="25" t="s">
        <v>112</v>
      </c>
      <c r="P386" s="25" t="s">
        <v>23</v>
      </c>
    </row>
    <row r="387" spans="1:16" x14ac:dyDescent="0.25">
      <c r="A387">
        <v>379</v>
      </c>
      <c r="B387" s="25" t="s">
        <v>120</v>
      </c>
      <c r="C387" s="26">
        <v>0.64583333333333337</v>
      </c>
      <c r="D387" s="2">
        <v>45997</v>
      </c>
      <c r="E387" s="25" t="s">
        <v>116</v>
      </c>
      <c r="F387" s="25" t="s">
        <v>100</v>
      </c>
      <c r="G387" s="25" t="s">
        <v>510</v>
      </c>
      <c r="H387" s="26">
        <v>0.64583333333333337</v>
      </c>
      <c r="I387" s="26">
        <v>0.66319444444444442</v>
      </c>
      <c r="J387" s="2">
        <v>45997</v>
      </c>
      <c r="K387" s="25" t="s">
        <v>25</v>
      </c>
      <c r="L387" s="25" t="s">
        <v>511</v>
      </c>
      <c r="M387" s="25" t="s">
        <v>512</v>
      </c>
      <c r="N387" s="25" t="s">
        <v>22</v>
      </c>
      <c r="O387" s="25" t="s">
        <v>112</v>
      </c>
      <c r="P387" s="25" t="s">
        <v>23</v>
      </c>
    </row>
    <row r="388" spans="1:16" x14ac:dyDescent="0.25">
      <c r="A388">
        <v>380</v>
      </c>
      <c r="B388" s="25"/>
      <c r="C388" s="26"/>
      <c r="D388" s="2"/>
      <c r="E388" s="25"/>
      <c r="F388" s="25"/>
      <c r="G388" s="25"/>
      <c r="H388" s="26"/>
      <c r="I388" s="26"/>
      <c r="J388" s="2"/>
      <c r="K388" s="25"/>
      <c r="L388" s="25"/>
      <c r="M388" s="25"/>
      <c r="N388" s="25"/>
      <c r="O388" s="25"/>
      <c r="P388" s="25"/>
    </row>
    <row r="389" spans="1:16" x14ac:dyDescent="0.25">
      <c r="A389">
        <v>381</v>
      </c>
      <c r="B389" s="25" t="s">
        <v>139</v>
      </c>
      <c r="C389" s="26">
        <v>0.19791666666666666</v>
      </c>
      <c r="D389" s="2">
        <v>45999</v>
      </c>
      <c r="E389" s="25" t="s">
        <v>91</v>
      </c>
      <c r="F389" s="25" t="s">
        <v>95</v>
      </c>
      <c r="G389" s="25" t="s">
        <v>513</v>
      </c>
      <c r="H389" s="26"/>
      <c r="I389" s="26"/>
      <c r="J389" s="2"/>
      <c r="K389" s="25"/>
      <c r="L389" s="25"/>
      <c r="M389" s="25"/>
      <c r="N389" s="25"/>
      <c r="O389" s="25"/>
      <c r="P389" s="25" t="s">
        <v>33</v>
      </c>
    </row>
    <row r="390" spans="1:16" x14ac:dyDescent="0.25">
      <c r="A390">
        <v>382</v>
      </c>
      <c r="B390" s="25" t="s">
        <v>103</v>
      </c>
      <c r="C390" s="26">
        <v>6.9444444444444441E-3</v>
      </c>
      <c r="D390" s="2">
        <v>46004</v>
      </c>
      <c r="E390" s="25" t="s">
        <v>104</v>
      </c>
      <c r="F390" s="25" t="s">
        <v>95</v>
      </c>
      <c r="G390" s="25" t="s">
        <v>514</v>
      </c>
      <c r="H390" s="26">
        <v>6.9444444444444441E-3</v>
      </c>
      <c r="I390" s="26">
        <v>2.0833333333333332E-2</v>
      </c>
      <c r="J390" s="2">
        <v>46004</v>
      </c>
      <c r="K390" s="25" t="s">
        <v>20</v>
      </c>
      <c r="L390" s="25" t="s">
        <v>515</v>
      </c>
      <c r="M390" s="25" t="s">
        <v>516</v>
      </c>
      <c r="N390" s="25" t="s">
        <v>22</v>
      </c>
      <c r="O390" s="25" t="s">
        <v>44</v>
      </c>
      <c r="P390" s="25" t="s">
        <v>23</v>
      </c>
    </row>
    <row r="391" spans="1:16" x14ac:dyDescent="0.25">
      <c r="A391">
        <v>383</v>
      </c>
      <c r="B391" s="25" t="s">
        <v>93</v>
      </c>
      <c r="C391" s="26">
        <v>0.31944444444444442</v>
      </c>
      <c r="D391" s="2">
        <v>46000</v>
      </c>
      <c r="E391" s="25" t="s">
        <v>116</v>
      </c>
      <c r="F391" s="25" t="s">
        <v>95</v>
      </c>
      <c r="G391" s="25" t="s">
        <v>517</v>
      </c>
      <c r="H391" s="26">
        <v>0.31944444444444442</v>
      </c>
      <c r="I391" s="26">
        <v>0.375</v>
      </c>
      <c r="J391" s="2">
        <v>46000</v>
      </c>
      <c r="K391" s="25" t="s">
        <v>25</v>
      </c>
      <c r="L391" s="25" t="s">
        <v>518</v>
      </c>
      <c r="M391" s="25" t="s">
        <v>519</v>
      </c>
      <c r="N391" s="25" t="s">
        <v>22</v>
      </c>
      <c r="O391" s="25" t="s">
        <v>112</v>
      </c>
      <c r="P391" s="25" t="s">
        <v>23</v>
      </c>
    </row>
    <row r="392" spans="1:16" x14ac:dyDescent="0.25">
      <c r="A392">
        <v>384</v>
      </c>
      <c r="B392" s="25"/>
      <c r="C392" s="26"/>
      <c r="D392" s="2"/>
      <c r="E392" s="25"/>
      <c r="F392" s="25"/>
      <c r="G392" s="25"/>
      <c r="H392" s="26"/>
      <c r="I392" s="26"/>
      <c r="J392" s="2"/>
      <c r="K392" s="25"/>
      <c r="L392" s="25"/>
      <c r="M392" s="25"/>
      <c r="N392" s="25"/>
      <c r="O392" s="25"/>
      <c r="P392" s="25"/>
    </row>
    <row r="393" spans="1:16" x14ac:dyDescent="0.25">
      <c r="A393">
        <v>385</v>
      </c>
      <c r="B393" s="25"/>
      <c r="C393" s="26"/>
      <c r="D393" s="2"/>
      <c r="E393" s="25"/>
      <c r="F393" s="25"/>
      <c r="G393" s="25"/>
      <c r="H393" s="26"/>
      <c r="I393" s="26"/>
      <c r="J393" s="2"/>
      <c r="K393" s="25"/>
      <c r="L393" s="25"/>
      <c r="M393" s="25"/>
      <c r="N393" s="25"/>
      <c r="O393" s="25"/>
      <c r="P393" s="25"/>
    </row>
    <row r="394" spans="1:16" x14ac:dyDescent="0.25">
      <c r="A394">
        <v>386</v>
      </c>
      <c r="B394" s="25" t="s">
        <v>93</v>
      </c>
      <c r="C394" s="26">
        <v>0.47916666666666669</v>
      </c>
      <c r="D394" s="2">
        <v>46000</v>
      </c>
      <c r="E394" s="25" t="s">
        <v>116</v>
      </c>
      <c r="F394" s="25" t="s">
        <v>95</v>
      </c>
      <c r="G394" s="25" t="s">
        <v>520</v>
      </c>
      <c r="H394" s="26">
        <v>0.47916666666666669</v>
      </c>
      <c r="I394" s="26">
        <v>0.75</v>
      </c>
      <c r="J394" s="2">
        <v>46000</v>
      </c>
      <c r="K394" s="25" t="s">
        <v>20</v>
      </c>
      <c r="L394" s="25" t="s">
        <v>521</v>
      </c>
      <c r="M394" s="25" t="s">
        <v>22</v>
      </c>
      <c r="N394" s="25" t="s">
        <v>22</v>
      </c>
      <c r="O394" s="25" t="s">
        <v>108</v>
      </c>
      <c r="P394" s="25" t="s">
        <v>23</v>
      </c>
    </row>
    <row r="395" spans="1:16" x14ac:dyDescent="0.25">
      <c r="A395">
        <v>387</v>
      </c>
      <c r="B395" s="25" t="s">
        <v>16</v>
      </c>
      <c r="C395" s="26">
        <v>0.625</v>
      </c>
      <c r="D395" s="2">
        <v>46000</v>
      </c>
      <c r="E395" s="25" t="s">
        <v>116</v>
      </c>
      <c r="F395" s="25" t="s">
        <v>95</v>
      </c>
      <c r="G395" s="25" t="s">
        <v>522</v>
      </c>
      <c r="H395" s="26">
        <v>0.625</v>
      </c>
      <c r="I395" s="26">
        <v>0.63194444444444442</v>
      </c>
      <c r="J395" s="2">
        <v>46000</v>
      </c>
      <c r="K395" s="25" t="s">
        <v>25</v>
      </c>
      <c r="L395" s="25" t="s">
        <v>523</v>
      </c>
      <c r="M395" s="25" t="s">
        <v>22</v>
      </c>
      <c r="N395" s="25" t="s">
        <v>22</v>
      </c>
      <c r="O395" s="25" t="s">
        <v>112</v>
      </c>
      <c r="P395" s="25" t="s">
        <v>23</v>
      </c>
    </row>
    <row r="396" spans="1:16" x14ac:dyDescent="0.25">
      <c r="A396">
        <v>388</v>
      </c>
      <c r="B396" s="25"/>
      <c r="C396" s="26"/>
      <c r="D396" s="2"/>
      <c r="E396" s="25"/>
      <c r="F396" s="25"/>
      <c r="G396" s="25"/>
      <c r="H396" s="26"/>
      <c r="I396" s="26"/>
      <c r="J396" s="2"/>
      <c r="K396" s="25"/>
      <c r="L396" s="25"/>
      <c r="M396" s="25"/>
      <c r="N396" s="25"/>
      <c r="O396" s="25"/>
      <c r="P396" s="25"/>
    </row>
    <row r="397" spans="1:16" x14ac:dyDescent="0.25">
      <c r="A397">
        <v>389</v>
      </c>
      <c r="B397" s="25" t="s">
        <v>199</v>
      </c>
      <c r="C397" s="26">
        <v>6.9444444444444441E-3</v>
      </c>
      <c r="D397" s="2">
        <v>46001</v>
      </c>
      <c r="E397" s="25" t="s">
        <v>91</v>
      </c>
      <c r="F397" s="25" t="s">
        <v>95</v>
      </c>
      <c r="G397" s="25" t="s">
        <v>524</v>
      </c>
      <c r="H397" s="26">
        <v>6.9444444444444441E-3</v>
      </c>
      <c r="I397" s="26">
        <v>2.0833333333333332E-2</v>
      </c>
      <c r="J397" s="2">
        <v>46001</v>
      </c>
      <c r="K397" s="25" t="s">
        <v>20</v>
      </c>
      <c r="L397" s="25" t="s">
        <v>525</v>
      </c>
      <c r="M397" s="25" t="s">
        <v>22</v>
      </c>
      <c r="N397" s="25" t="s">
        <v>22</v>
      </c>
      <c r="O397" s="25" t="s">
        <v>268</v>
      </c>
      <c r="P397" s="25" t="s">
        <v>23</v>
      </c>
    </row>
    <row r="398" spans="1:16" x14ac:dyDescent="0.25">
      <c r="A398">
        <v>390</v>
      </c>
      <c r="B398" s="25"/>
      <c r="C398" s="26"/>
      <c r="D398" s="2"/>
      <c r="E398" s="25"/>
      <c r="F398" s="25"/>
      <c r="G398" s="25"/>
      <c r="H398" s="26"/>
      <c r="I398" s="26"/>
      <c r="J398" s="2"/>
      <c r="K398" s="25"/>
      <c r="L398" s="25"/>
      <c r="M398" s="25"/>
      <c r="N398" s="25"/>
      <c r="O398" s="25"/>
      <c r="P398" s="25"/>
    </row>
    <row r="399" spans="1:16" x14ac:dyDescent="0.25">
      <c r="A399">
        <v>391</v>
      </c>
      <c r="B399" s="25" t="s">
        <v>526</v>
      </c>
      <c r="C399" s="26">
        <v>0.33333333333333331</v>
      </c>
      <c r="D399" s="2">
        <v>46001</v>
      </c>
      <c r="E399" s="25" t="s">
        <v>104</v>
      </c>
      <c r="F399" s="25" t="s">
        <v>95</v>
      </c>
      <c r="G399" s="25" t="s">
        <v>527</v>
      </c>
      <c r="H399" s="26"/>
      <c r="I399" s="26"/>
      <c r="J399" s="2"/>
      <c r="K399" s="25"/>
      <c r="L399" s="25"/>
      <c r="M399" s="25"/>
      <c r="N399" s="25"/>
      <c r="O399" s="25"/>
      <c r="P399" s="25" t="s">
        <v>33</v>
      </c>
    </row>
    <row r="400" spans="1:16" x14ac:dyDescent="0.25">
      <c r="A400">
        <v>392</v>
      </c>
      <c r="B400" s="25"/>
      <c r="C400" s="26"/>
      <c r="D400" s="2"/>
      <c r="E400" s="25"/>
      <c r="F400" s="25"/>
      <c r="G400" s="25"/>
      <c r="H400" s="26"/>
      <c r="I400" s="26"/>
      <c r="J400" s="2"/>
      <c r="K400" s="25"/>
      <c r="L400" s="25"/>
      <c r="M400" s="25"/>
      <c r="N400" s="25"/>
      <c r="O400" s="25"/>
      <c r="P400" s="25"/>
    </row>
    <row r="401" spans="1:16" x14ac:dyDescent="0.25">
      <c r="A401">
        <v>393</v>
      </c>
      <c r="B401" s="25" t="s">
        <v>113</v>
      </c>
      <c r="C401" s="26"/>
      <c r="D401" s="2">
        <v>46001</v>
      </c>
      <c r="E401" s="25" t="s">
        <v>104</v>
      </c>
      <c r="F401" s="25" t="s">
        <v>95</v>
      </c>
      <c r="G401" s="25" t="s">
        <v>528</v>
      </c>
      <c r="H401" s="26">
        <v>0.79166666666666663</v>
      </c>
      <c r="I401" s="26">
        <v>0.8125</v>
      </c>
      <c r="J401" s="2">
        <v>46001</v>
      </c>
      <c r="K401" s="25" t="s">
        <v>20</v>
      </c>
      <c r="L401" s="25" t="s">
        <v>529</v>
      </c>
      <c r="M401" s="25" t="s">
        <v>22</v>
      </c>
      <c r="N401" s="25" t="s">
        <v>22</v>
      </c>
      <c r="O401" s="25" t="s">
        <v>112</v>
      </c>
      <c r="P401" s="25" t="s">
        <v>23</v>
      </c>
    </row>
    <row r="402" spans="1:16" x14ac:dyDescent="0.25">
      <c r="A402">
        <v>394</v>
      </c>
      <c r="B402" s="25" t="s">
        <v>113</v>
      </c>
      <c r="C402" s="26">
        <v>0.9375</v>
      </c>
      <c r="D402" s="2">
        <v>46001</v>
      </c>
      <c r="E402" s="25" t="s">
        <v>147</v>
      </c>
      <c r="F402" s="25" t="s">
        <v>95</v>
      </c>
      <c r="G402" s="25" t="s">
        <v>530</v>
      </c>
      <c r="H402" s="26">
        <v>0.9375</v>
      </c>
      <c r="I402" s="26">
        <v>0.97916666666666663</v>
      </c>
      <c r="J402" s="2">
        <v>46001</v>
      </c>
      <c r="K402" s="25" t="s">
        <v>25</v>
      </c>
      <c r="L402" s="25" t="s">
        <v>531</v>
      </c>
      <c r="M402" s="25" t="s">
        <v>22</v>
      </c>
      <c r="N402" s="25" t="s">
        <v>22</v>
      </c>
      <c r="O402" s="25" t="s">
        <v>112</v>
      </c>
      <c r="P402" s="25" t="s">
        <v>23</v>
      </c>
    </row>
    <row r="403" spans="1:16" x14ac:dyDescent="0.25">
      <c r="A403">
        <v>395</v>
      </c>
      <c r="B403" s="25" t="s">
        <v>335</v>
      </c>
      <c r="C403" s="26">
        <v>0.16319444444444445</v>
      </c>
      <c r="D403" s="2">
        <v>46002</v>
      </c>
      <c r="E403" s="25" t="s">
        <v>162</v>
      </c>
      <c r="F403" s="25" t="s">
        <v>100</v>
      </c>
      <c r="G403" s="25" t="s">
        <v>532</v>
      </c>
      <c r="H403" s="26">
        <v>0.16319444444444445</v>
      </c>
      <c r="I403" s="26">
        <v>0.1736111111111111</v>
      </c>
      <c r="J403" s="2">
        <v>46002</v>
      </c>
      <c r="K403" s="25" t="s">
        <v>25</v>
      </c>
      <c r="L403" s="25" t="s">
        <v>533</v>
      </c>
      <c r="M403" s="25" t="s">
        <v>22</v>
      </c>
      <c r="N403" s="25" t="s">
        <v>22</v>
      </c>
      <c r="O403" s="25" t="s">
        <v>112</v>
      </c>
      <c r="P403" s="25" t="s">
        <v>23</v>
      </c>
    </row>
    <row r="404" spans="1:16" x14ac:dyDescent="0.25">
      <c r="A404">
        <v>396</v>
      </c>
      <c r="B404" s="25" t="s">
        <v>206</v>
      </c>
      <c r="C404" s="26">
        <v>8.3333333333333329E-2</v>
      </c>
      <c r="D404" s="2">
        <v>46002</v>
      </c>
      <c r="E404" s="25" t="s">
        <v>116</v>
      </c>
      <c r="F404" s="25" t="s">
        <v>95</v>
      </c>
      <c r="G404" s="25" t="s">
        <v>534</v>
      </c>
      <c r="H404" s="26">
        <v>8.3333333333333329E-2</v>
      </c>
      <c r="I404" s="26">
        <v>0.10416666666666667</v>
      </c>
      <c r="J404" s="2">
        <v>46002</v>
      </c>
      <c r="K404" s="25" t="s">
        <v>25</v>
      </c>
      <c r="L404" s="25" t="s">
        <v>535</v>
      </c>
      <c r="M404" s="25" t="s">
        <v>22</v>
      </c>
      <c r="N404" s="25" t="s">
        <v>22</v>
      </c>
      <c r="O404" s="25" t="s">
        <v>112</v>
      </c>
      <c r="P404" s="25" t="s">
        <v>23</v>
      </c>
    </row>
    <row r="405" spans="1:16" x14ac:dyDescent="0.25">
      <c r="A405">
        <v>397</v>
      </c>
      <c r="B405" s="25" t="s">
        <v>139</v>
      </c>
      <c r="C405" s="26">
        <v>0.875</v>
      </c>
      <c r="D405" s="2">
        <v>46001</v>
      </c>
      <c r="E405" s="25" t="s">
        <v>91</v>
      </c>
      <c r="F405" s="25" t="s">
        <v>95</v>
      </c>
      <c r="G405" s="25" t="s">
        <v>536</v>
      </c>
      <c r="H405" s="26">
        <v>0.875</v>
      </c>
      <c r="I405" s="26">
        <v>0.90277777777777779</v>
      </c>
      <c r="J405" s="2">
        <v>46001</v>
      </c>
      <c r="K405" s="25" t="s">
        <v>25</v>
      </c>
      <c r="L405" s="25" t="s">
        <v>537</v>
      </c>
      <c r="M405" s="25" t="s">
        <v>22</v>
      </c>
      <c r="N405" s="25" t="s">
        <v>22</v>
      </c>
      <c r="O405" s="25" t="s">
        <v>112</v>
      </c>
      <c r="P405" s="25" t="s">
        <v>23</v>
      </c>
    </row>
    <row r="406" spans="1:16" x14ac:dyDescent="0.25">
      <c r="A406">
        <v>398</v>
      </c>
      <c r="B406" s="25"/>
      <c r="C406" s="26"/>
      <c r="D406" s="2"/>
      <c r="E406" s="25"/>
      <c r="F406" s="25"/>
      <c r="G406" s="25"/>
      <c r="H406" s="26"/>
      <c r="I406" s="26"/>
      <c r="J406" s="2"/>
      <c r="K406" s="25"/>
      <c r="L406" s="25"/>
      <c r="M406" s="25"/>
      <c r="N406" s="25"/>
      <c r="O406" s="25"/>
      <c r="P406" s="25"/>
    </row>
    <row r="407" spans="1:16" x14ac:dyDescent="0.25">
      <c r="A407">
        <v>399</v>
      </c>
      <c r="B407" s="25" t="s">
        <v>335</v>
      </c>
      <c r="C407" s="26">
        <v>0.16666666666666666</v>
      </c>
      <c r="D407" s="2">
        <v>46003</v>
      </c>
      <c r="E407" s="25" t="s">
        <v>162</v>
      </c>
      <c r="F407" s="25" t="s">
        <v>100</v>
      </c>
      <c r="G407" s="25" t="s">
        <v>538</v>
      </c>
      <c r="H407" s="26">
        <v>0.16666666666666666</v>
      </c>
      <c r="I407" s="26">
        <v>0.1875</v>
      </c>
      <c r="J407" s="2">
        <v>46003</v>
      </c>
      <c r="K407" s="25" t="s">
        <v>25</v>
      </c>
      <c r="L407" s="25" t="s">
        <v>539</v>
      </c>
      <c r="M407" s="25" t="s">
        <v>22</v>
      </c>
      <c r="N407" s="25" t="s">
        <v>22</v>
      </c>
      <c r="O407" s="25" t="s">
        <v>108</v>
      </c>
      <c r="P407" s="25" t="s">
        <v>23</v>
      </c>
    </row>
    <row r="408" spans="1:16" x14ac:dyDescent="0.25">
      <c r="A408">
        <v>400</v>
      </c>
      <c r="B408" s="25" t="s">
        <v>231</v>
      </c>
      <c r="C408" s="26">
        <v>9.0277777777777776E-2</v>
      </c>
      <c r="D408" s="2">
        <v>46003</v>
      </c>
      <c r="E408" s="25" t="s">
        <v>143</v>
      </c>
      <c r="F408" s="25" t="s">
        <v>95</v>
      </c>
      <c r="G408" s="25" t="s">
        <v>540</v>
      </c>
      <c r="H408" s="26">
        <v>9.0277777777777776E-2</v>
      </c>
      <c r="I408" s="26">
        <v>0.10416666666666667</v>
      </c>
      <c r="J408" s="2">
        <v>46003</v>
      </c>
      <c r="K408" s="25" t="s">
        <v>25</v>
      </c>
      <c r="L408" s="25" t="s">
        <v>541</v>
      </c>
      <c r="M408" s="25" t="s">
        <v>22</v>
      </c>
      <c r="N408" s="25" t="s">
        <v>542</v>
      </c>
      <c r="O408" s="25" t="s">
        <v>108</v>
      </c>
      <c r="P408" s="25" t="s">
        <v>23</v>
      </c>
    </row>
    <row r="409" spans="1:16" x14ac:dyDescent="0.25">
      <c r="B409" s="25"/>
      <c r="C409" s="26"/>
      <c r="D409" s="2"/>
      <c r="E409" s="25"/>
      <c r="F409" s="25"/>
      <c r="G409" s="25"/>
      <c r="H409" s="26"/>
      <c r="I409" s="26"/>
      <c r="J409" s="2"/>
      <c r="K409" s="25"/>
      <c r="L409" s="25"/>
      <c r="M409" s="25"/>
      <c r="N409" s="25"/>
      <c r="O409" s="25"/>
      <c r="P409" s="25"/>
    </row>
    <row r="410" spans="1:16" x14ac:dyDescent="0.25">
      <c r="B410" s="25"/>
      <c r="C410" s="26"/>
      <c r="D410" s="2"/>
      <c r="E410" s="25"/>
      <c r="F410" s="25"/>
      <c r="G410" s="25"/>
      <c r="H410" s="26"/>
      <c r="I410" s="26"/>
      <c r="J410" s="2"/>
      <c r="K410" s="25"/>
      <c r="L410" s="25"/>
      <c r="M410" s="25"/>
      <c r="N410" s="25"/>
      <c r="O410" s="25"/>
      <c r="P410" s="25"/>
    </row>
    <row r="411" spans="1:16" x14ac:dyDescent="0.25">
      <c r="B411" s="25" t="s">
        <v>338</v>
      </c>
      <c r="C411" s="26"/>
      <c r="D411" s="2"/>
      <c r="E411" s="25"/>
      <c r="F411" s="25"/>
      <c r="G411" s="25"/>
      <c r="H411" s="26"/>
      <c r="I411" s="26"/>
      <c r="J411" s="2"/>
      <c r="K411" s="25"/>
      <c r="L411" s="25"/>
      <c r="M411" s="25"/>
      <c r="N411" s="25"/>
      <c r="O411" s="25"/>
      <c r="P411" s="25"/>
    </row>
    <row r="412" spans="1:16" x14ac:dyDescent="0.25">
      <c r="B412" s="25" t="s">
        <v>99</v>
      </c>
      <c r="C412" s="26"/>
      <c r="D412" s="2"/>
      <c r="E412" s="25"/>
      <c r="F412" s="25"/>
      <c r="G412" s="25"/>
      <c r="H412" s="26"/>
      <c r="I412" s="26"/>
      <c r="J412" s="2"/>
      <c r="K412" s="25"/>
      <c r="L412" s="25"/>
      <c r="M412" s="25"/>
      <c r="N412" s="25"/>
      <c r="O412" s="25"/>
      <c r="P412" s="25"/>
    </row>
    <row r="413" spans="1:16" x14ac:dyDescent="0.25">
      <c r="B413" s="25" t="s">
        <v>112</v>
      </c>
      <c r="C413" s="26"/>
      <c r="D413" s="2"/>
      <c r="E413" s="25"/>
      <c r="F413" s="25"/>
      <c r="G413" s="25"/>
      <c r="H413" s="26"/>
      <c r="I413" s="26"/>
      <c r="J413" s="2"/>
      <c r="K413" s="25"/>
      <c r="L413" s="25"/>
      <c r="M413" s="25"/>
      <c r="N413" s="25"/>
      <c r="O413" s="25"/>
      <c r="P413" s="25"/>
    </row>
    <row r="414" spans="1:16" x14ac:dyDescent="0.25">
      <c r="B414" s="25" t="s">
        <v>44</v>
      </c>
      <c r="C414" s="26"/>
      <c r="D414" s="2"/>
      <c r="E414" s="25"/>
      <c r="F414" s="25"/>
      <c r="G414" s="25"/>
      <c r="H414" s="26"/>
      <c r="I414" s="26"/>
      <c r="J414" s="2"/>
      <c r="K414" s="25"/>
      <c r="L414" s="25"/>
      <c r="M414" s="25"/>
      <c r="N414" s="25"/>
      <c r="O414" s="25"/>
      <c r="P414" s="25"/>
    </row>
    <row r="415" spans="1:16" x14ac:dyDescent="0.25">
      <c r="B415" s="25" t="s">
        <v>268</v>
      </c>
      <c r="C415" s="26"/>
      <c r="D415" s="2"/>
      <c r="E415" s="25"/>
      <c r="F415" s="25"/>
      <c r="G415" s="25"/>
      <c r="H415" s="26"/>
      <c r="I415" s="26"/>
      <c r="J415" s="2"/>
      <c r="K415" s="25"/>
      <c r="L415" s="25"/>
      <c r="M415" s="25"/>
      <c r="N415" s="25"/>
      <c r="O415" s="25"/>
      <c r="P415" s="25"/>
    </row>
    <row r="416" spans="1:16" x14ac:dyDescent="0.25">
      <c r="B416" s="25" t="s">
        <v>22</v>
      </c>
      <c r="C416" s="26"/>
      <c r="D416" s="2"/>
      <c r="E416" s="25"/>
      <c r="F416" s="25"/>
      <c r="G416" s="25"/>
      <c r="H416" s="26"/>
      <c r="I416" s="26"/>
      <c r="J416" s="2"/>
      <c r="K416" s="25"/>
      <c r="L416" s="25"/>
      <c r="M416" s="25"/>
      <c r="N416" s="25"/>
      <c r="O416" s="25"/>
      <c r="P416" s="25"/>
    </row>
    <row r="417" spans="1:16" x14ac:dyDescent="0.25">
      <c r="B417" s="25" t="s">
        <v>108</v>
      </c>
      <c r="C417" s="26"/>
      <c r="D417" s="2"/>
      <c r="E417" s="25"/>
      <c r="F417" s="25"/>
      <c r="G417" s="25"/>
      <c r="H417" s="26"/>
      <c r="I417" s="26"/>
      <c r="J417" s="2"/>
      <c r="K417" s="25"/>
      <c r="L417" s="25"/>
      <c r="M417" s="25"/>
      <c r="N417" s="25"/>
      <c r="O417" s="25"/>
      <c r="P417" s="25"/>
    </row>
    <row r="418" spans="1:16" x14ac:dyDescent="0.25">
      <c r="B418" s="25" t="s">
        <v>339</v>
      </c>
      <c r="C418" s="26"/>
      <c r="D418" s="2"/>
      <c r="E418" s="25"/>
      <c r="F418" s="25"/>
      <c r="G418" s="25"/>
      <c r="H418" s="26"/>
      <c r="I418" s="26"/>
      <c r="J418" s="2"/>
      <c r="K418" s="25"/>
      <c r="L418" s="25"/>
      <c r="M418" s="25"/>
      <c r="N418" s="25"/>
      <c r="O418" s="25"/>
      <c r="P418" s="25"/>
    </row>
    <row r="419" spans="1:16" x14ac:dyDescent="0.25">
      <c r="B419" s="25" t="s">
        <v>340</v>
      </c>
      <c r="C419" s="26"/>
      <c r="D419" s="2"/>
      <c r="E419" s="25"/>
      <c r="F419" s="25"/>
      <c r="G419" s="25"/>
      <c r="H419" s="26"/>
      <c r="I419" s="26"/>
      <c r="J419" s="2"/>
      <c r="K419" s="25"/>
      <c r="L419" s="25"/>
      <c r="M419" s="25"/>
      <c r="N419" s="25"/>
      <c r="O419" s="25"/>
      <c r="P419" s="25"/>
    </row>
    <row r="420" spans="1:16" x14ac:dyDescent="0.25">
      <c r="B420" s="25"/>
      <c r="C420" s="26"/>
      <c r="D420" s="2"/>
      <c r="E420" s="25"/>
      <c r="F420" s="25"/>
      <c r="G420" s="25"/>
      <c r="H420" s="26"/>
      <c r="I420" s="26"/>
      <c r="J420" s="2"/>
      <c r="K420" s="25"/>
      <c r="L420" s="25"/>
      <c r="M420" s="25"/>
      <c r="N420" s="25"/>
      <c r="O420" s="25"/>
      <c r="P420" s="25"/>
    </row>
    <row r="421" spans="1:16" x14ac:dyDescent="0.25">
      <c r="A421" t="s">
        <v>0</v>
      </c>
      <c r="B421" s="25" t="s">
        <v>1</v>
      </c>
      <c r="C421" s="26"/>
      <c r="D421" s="2"/>
      <c r="E421" s="25" t="s">
        <v>4</v>
      </c>
      <c r="F421" s="25" t="s">
        <v>5</v>
      </c>
      <c r="G421" s="25" t="s">
        <v>6</v>
      </c>
      <c r="H421" s="26"/>
      <c r="I421" s="26"/>
      <c r="J421" s="2"/>
      <c r="K421" s="25" t="s">
        <v>10</v>
      </c>
      <c r="L421" s="25" t="s">
        <v>11</v>
      </c>
      <c r="M421" s="25" t="s">
        <v>12</v>
      </c>
      <c r="N421" s="25" t="s">
        <v>13</v>
      </c>
      <c r="O421" s="25" t="s">
        <v>14</v>
      </c>
      <c r="P421" s="25" t="s">
        <v>15</v>
      </c>
    </row>
    <row r="422" spans="1:16" x14ac:dyDescent="0.25">
      <c r="A422">
        <v>401</v>
      </c>
      <c r="B422" s="25" t="s">
        <v>231</v>
      </c>
      <c r="C422" s="26">
        <v>0.25</v>
      </c>
      <c r="D422" s="2">
        <v>46004</v>
      </c>
      <c r="E422" s="25" t="s">
        <v>143</v>
      </c>
      <c r="F422" s="25" t="s">
        <v>18</v>
      </c>
      <c r="G422" s="25" t="s">
        <v>543</v>
      </c>
      <c r="H422" s="26">
        <v>0.25</v>
      </c>
      <c r="I422" s="26">
        <v>0.30208333333333331</v>
      </c>
      <c r="J422" s="2">
        <v>46004</v>
      </c>
      <c r="K422" s="25" t="s">
        <v>156</v>
      </c>
      <c r="L422" s="25" t="s">
        <v>544</v>
      </c>
      <c r="M422" s="25" t="s">
        <v>545</v>
      </c>
      <c r="N422" s="25" t="s">
        <v>22</v>
      </c>
      <c r="O422" s="25" t="s">
        <v>108</v>
      </c>
      <c r="P422" s="25" t="s">
        <v>23</v>
      </c>
    </row>
    <row r="423" spans="1:16" x14ac:dyDescent="0.25">
      <c r="A423">
        <v>402</v>
      </c>
      <c r="B423" s="25" t="s">
        <v>261</v>
      </c>
      <c r="C423" s="26">
        <v>0.65625</v>
      </c>
      <c r="D423" s="2">
        <v>46004</v>
      </c>
      <c r="E423" s="25" t="s">
        <v>104</v>
      </c>
      <c r="F423" s="25" t="s">
        <v>18</v>
      </c>
      <c r="G423" s="25" t="s">
        <v>546</v>
      </c>
      <c r="H423" s="26">
        <v>0.75</v>
      </c>
      <c r="I423" s="26">
        <v>0.85416666666666663</v>
      </c>
      <c r="J423" s="2">
        <v>46004</v>
      </c>
      <c r="K423" s="25" t="s">
        <v>20</v>
      </c>
      <c r="L423" s="25" t="s">
        <v>547</v>
      </c>
      <c r="M423" s="25" t="s">
        <v>22</v>
      </c>
      <c r="N423" s="25" t="s">
        <v>22</v>
      </c>
      <c r="O423" s="25" t="s">
        <v>112</v>
      </c>
      <c r="P423" s="25" t="s">
        <v>23</v>
      </c>
    </row>
    <row r="424" spans="1:16" x14ac:dyDescent="0.25">
      <c r="A424">
        <v>403</v>
      </c>
      <c r="B424" s="25" t="s">
        <v>231</v>
      </c>
      <c r="C424" s="26">
        <v>0.25</v>
      </c>
      <c r="D424" s="2">
        <v>46005</v>
      </c>
      <c r="E424" s="25" t="s">
        <v>143</v>
      </c>
      <c r="F424" s="25" t="s">
        <v>18</v>
      </c>
      <c r="G424" s="25" t="s">
        <v>548</v>
      </c>
      <c r="H424" s="26">
        <v>0.25694444444444442</v>
      </c>
      <c r="I424" s="26">
        <v>0.27083333333333331</v>
      </c>
      <c r="J424" s="2">
        <v>46005</v>
      </c>
      <c r="K424" s="25" t="s">
        <v>25</v>
      </c>
      <c r="L424" s="25" t="s">
        <v>549</v>
      </c>
      <c r="M424" s="25" t="s">
        <v>22</v>
      </c>
      <c r="N424" s="25" t="s">
        <v>22</v>
      </c>
      <c r="O424" s="25" t="s">
        <v>44</v>
      </c>
      <c r="P424" s="25" t="s">
        <v>23</v>
      </c>
    </row>
    <row r="425" spans="1:16" x14ac:dyDescent="0.25">
      <c r="A425">
        <v>404</v>
      </c>
      <c r="B425" s="25" t="s">
        <v>231</v>
      </c>
      <c r="C425" s="26">
        <v>0.58333333333333337</v>
      </c>
      <c r="D425" s="2">
        <v>46005</v>
      </c>
      <c r="E425" s="25" t="s">
        <v>143</v>
      </c>
      <c r="F425" s="25" t="s">
        <v>18</v>
      </c>
      <c r="G425" s="25" t="s">
        <v>550</v>
      </c>
      <c r="H425" s="26">
        <v>0.58333333333333337</v>
      </c>
      <c r="I425" s="26">
        <v>0.66666666666666663</v>
      </c>
      <c r="J425" s="2">
        <v>46005</v>
      </c>
      <c r="K425" s="25" t="s">
        <v>20</v>
      </c>
      <c r="L425" s="25" t="s">
        <v>551</v>
      </c>
      <c r="M425" s="25" t="s">
        <v>552</v>
      </c>
      <c r="N425" s="25" t="s">
        <v>22</v>
      </c>
      <c r="O425" s="25" t="s">
        <v>44</v>
      </c>
      <c r="P425" s="25" t="s">
        <v>23</v>
      </c>
    </row>
    <row r="426" spans="1:16" x14ac:dyDescent="0.25">
      <c r="A426">
        <v>405</v>
      </c>
      <c r="B426" s="25" t="s">
        <v>180</v>
      </c>
      <c r="C426" s="26">
        <v>0.97916666666666663</v>
      </c>
      <c r="D426" s="2">
        <v>46005</v>
      </c>
      <c r="E426" s="25" t="s">
        <v>17</v>
      </c>
      <c r="F426" s="25" t="s">
        <v>18</v>
      </c>
      <c r="G426" s="25" t="s">
        <v>553</v>
      </c>
      <c r="H426" s="26">
        <v>0.97916666666666663</v>
      </c>
      <c r="I426" s="26">
        <v>0.15277777777777779</v>
      </c>
      <c r="J426" s="2">
        <v>46005</v>
      </c>
      <c r="K426" s="25" t="s">
        <v>25</v>
      </c>
      <c r="L426" s="25" t="s">
        <v>554</v>
      </c>
      <c r="M426" s="25" t="s">
        <v>22</v>
      </c>
      <c r="N426" s="25" t="s">
        <v>555</v>
      </c>
      <c r="O426" s="25" t="s">
        <v>108</v>
      </c>
      <c r="P426" s="25" t="s">
        <v>23</v>
      </c>
    </row>
    <row r="427" spans="1:16" x14ac:dyDescent="0.25">
      <c r="A427">
        <v>406</v>
      </c>
      <c r="B427" s="25" t="s">
        <v>93</v>
      </c>
      <c r="C427" s="26">
        <v>0.68055555555555558</v>
      </c>
      <c r="D427" s="2">
        <v>46006</v>
      </c>
      <c r="E427" s="25" t="s">
        <v>94</v>
      </c>
      <c r="F427" s="25" t="s">
        <v>18</v>
      </c>
      <c r="G427" s="25" t="s">
        <v>556</v>
      </c>
      <c r="H427" s="26">
        <v>0.6875</v>
      </c>
      <c r="I427" s="26">
        <v>0.70833333333333337</v>
      </c>
      <c r="J427" s="2">
        <v>46006</v>
      </c>
      <c r="K427" s="25" t="s">
        <v>20</v>
      </c>
      <c r="L427" s="25" t="s">
        <v>557</v>
      </c>
      <c r="M427" s="25" t="s">
        <v>22</v>
      </c>
      <c r="N427" s="25" t="s">
        <v>22</v>
      </c>
      <c r="O427" s="25" t="s">
        <v>112</v>
      </c>
      <c r="P427" s="25" t="s">
        <v>23</v>
      </c>
    </row>
    <row r="428" spans="1:16" x14ac:dyDescent="0.25">
      <c r="A428">
        <v>407</v>
      </c>
      <c r="B428" s="25" t="s">
        <v>164</v>
      </c>
      <c r="C428" s="26">
        <v>0.70138888888888884</v>
      </c>
      <c r="D428" s="2">
        <v>46006</v>
      </c>
      <c r="E428" s="25" t="s">
        <v>143</v>
      </c>
      <c r="F428" s="25" t="s">
        <v>18</v>
      </c>
      <c r="G428" s="25" t="s">
        <v>558</v>
      </c>
      <c r="H428" s="26">
        <v>0.70138888888888884</v>
      </c>
      <c r="I428" s="26">
        <v>0.72916666666666663</v>
      </c>
      <c r="J428" s="2">
        <v>46006</v>
      </c>
      <c r="K428" s="25" t="s">
        <v>156</v>
      </c>
      <c r="L428" s="25" t="s">
        <v>559</v>
      </c>
      <c r="M428" s="25" t="s">
        <v>22</v>
      </c>
      <c r="N428" s="25" t="s">
        <v>22</v>
      </c>
      <c r="O428" s="25" t="s">
        <v>112</v>
      </c>
      <c r="P428" s="25" t="s">
        <v>23</v>
      </c>
    </row>
    <row r="429" spans="1:16" x14ac:dyDescent="0.25">
      <c r="A429">
        <v>408</v>
      </c>
      <c r="B429" s="25" t="s">
        <v>231</v>
      </c>
      <c r="C429" s="26">
        <v>0.77777777777777779</v>
      </c>
      <c r="D429" s="2">
        <v>46006</v>
      </c>
      <c r="E429" s="25" t="s">
        <v>143</v>
      </c>
      <c r="F429" s="25" t="s">
        <v>18</v>
      </c>
      <c r="G429" s="25" t="s">
        <v>560</v>
      </c>
      <c r="H429" s="26">
        <v>0.77777777777777779</v>
      </c>
      <c r="I429" s="26">
        <v>0.79236111111111107</v>
      </c>
      <c r="J429" s="2">
        <v>46006</v>
      </c>
      <c r="K429" s="25" t="s">
        <v>156</v>
      </c>
      <c r="L429" s="25" t="s">
        <v>561</v>
      </c>
      <c r="M429" s="25" t="s">
        <v>562</v>
      </c>
      <c r="N429" s="25" t="s">
        <v>22</v>
      </c>
      <c r="O429" s="25" t="s">
        <v>44</v>
      </c>
      <c r="P429" s="25" t="s">
        <v>23</v>
      </c>
    </row>
    <row r="430" spans="1:16" x14ac:dyDescent="0.25">
      <c r="A430">
        <v>409</v>
      </c>
      <c r="B430" s="25" t="s">
        <v>139</v>
      </c>
      <c r="C430" s="26"/>
      <c r="D430" s="2">
        <v>46007</v>
      </c>
      <c r="E430" s="25" t="s">
        <v>91</v>
      </c>
      <c r="F430" s="25" t="s">
        <v>18</v>
      </c>
      <c r="G430" s="25" t="s">
        <v>563</v>
      </c>
      <c r="H430" s="26"/>
      <c r="I430" s="26"/>
      <c r="J430" s="2"/>
      <c r="K430" s="25"/>
      <c r="L430" s="25"/>
      <c r="M430" s="25"/>
      <c r="N430" s="25"/>
      <c r="O430" s="25"/>
      <c r="P430" s="25" t="s">
        <v>33</v>
      </c>
    </row>
    <row r="431" spans="1:16" x14ac:dyDescent="0.25">
      <c r="A431">
        <v>410</v>
      </c>
      <c r="B431" s="25" t="s">
        <v>103</v>
      </c>
      <c r="C431" s="26">
        <v>0.3888888888888889</v>
      </c>
      <c r="D431" s="2">
        <v>46007</v>
      </c>
      <c r="E431" s="25" t="s">
        <v>188</v>
      </c>
      <c r="F431" s="25" t="s">
        <v>18</v>
      </c>
      <c r="G431" s="25" t="s">
        <v>564</v>
      </c>
      <c r="H431" s="26">
        <v>0.3888888888888889</v>
      </c>
      <c r="I431" s="26">
        <v>0.41666666666666669</v>
      </c>
      <c r="J431" s="2">
        <v>46007</v>
      </c>
      <c r="K431" s="25" t="s">
        <v>20</v>
      </c>
      <c r="L431" s="25" t="s">
        <v>565</v>
      </c>
      <c r="M431" s="25" t="s">
        <v>22</v>
      </c>
      <c r="N431" s="25" t="s">
        <v>22</v>
      </c>
      <c r="O431" s="25" t="s">
        <v>108</v>
      </c>
      <c r="P431" s="25" t="s">
        <v>23</v>
      </c>
    </row>
    <row r="432" spans="1:16" x14ac:dyDescent="0.25">
      <c r="A432">
        <v>411</v>
      </c>
      <c r="B432" s="25" t="s">
        <v>317</v>
      </c>
      <c r="C432" s="26">
        <v>0.60763888888888884</v>
      </c>
      <c r="D432" s="2">
        <v>46007</v>
      </c>
      <c r="E432" s="25" t="s">
        <v>91</v>
      </c>
      <c r="F432" s="25" t="s">
        <v>18</v>
      </c>
      <c r="G432" s="25" t="s">
        <v>566</v>
      </c>
      <c r="H432" s="26">
        <v>0.60763888888888884</v>
      </c>
      <c r="I432" s="26">
        <v>0.70833333333333337</v>
      </c>
      <c r="J432" s="2">
        <v>46006</v>
      </c>
      <c r="K432" s="25" t="s">
        <v>20</v>
      </c>
      <c r="L432" s="25" t="s">
        <v>567</v>
      </c>
      <c r="M432" s="25" t="s">
        <v>568</v>
      </c>
      <c r="N432" s="25" t="s">
        <v>22</v>
      </c>
      <c r="O432" s="25" t="s">
        <v>108</v>
      </c>
      <c r="P432" s="25" t="s">
        <v>23</v>
      </c>
    </row>
    <row r="433" spans="1:16" x14ac:dyDescent="0.25">
      <c r="A433">
        <v>412</v>
      </c>
      <c r="B433" s="25" t="s">
        <v>317</v>
      </c>
      <c r="C433" s="26">
        <v>0.60763888888888884</v>
      </c>
      <c r="D433" s="2">
        <v>46007</v>
      </c>
      <c r="E433" s="25" t="s">
        <v>91</v>
      </c>
      <c r="F433" s="25" t="s">
        <v>18</v>
      </c>
      <c r="G433" s="25" t="s">
        <v>569</v>
      </c>
      <c r="H433" s="26">
        <v>0.60763888888888884</v>
      </c>
      <c r="I433" s="26">
        <v>0.70833333333333337</v>
      </c>
      <c r="J433" s="2">
        <v>46007</v>
      </c>
      <c r="K433" s="25" t="s">
        <v>20</v>
      </c>
      <c r="L433" s="25" t="s">
        <v>570</v>
      </c>
      <c r="M433" s="25" t="s">
        <v>571</v>
      </c>
      <c r="N433" s="25" t="s">
        <v>22</v>
      </c>
      <c r="O433" s="25" t="s">
        <v>108</v>
      </c>
      <c r="P433" s="25" t="s">
        <v>23</v>
      </c>
    </row>
    <row r="434" spans="1:16" x14ac:dyDescent="0.25">
      <c r="A434">
        <v>413</v>
      </c>
      <c r="B434" s="25" t="s">
        <v>335</v>
      </c>
      <c r="C434" s="26">
        <v>0.70833333333333337</v>
      </c>
      <c r="D434" s="2">
        <v>46007</v>
      </c>
      <c r="E434" s="25" t="s">
        <v>162</v>
      </c>
      <c r="F434" s="25" t="s">
        <v>18</v>
      </c>
      <c r="G434" s="25" t="s">
        <v>572</v>
      </c>
      <c r="H434" s="26">
        <v>0.70833333333333337</v>
      </c>
      <c r="I434" s="26">
        <v>0.73611111111111116</v>
      </c>
      <c r="J434" s="2">
        <v>46007</v>
      </c>
      <c r="K434" s="25" t="s">
        <v>25</v>
      </c>
      <c r="L434" s="25" t="s">
        <v>573</v>
      </c>
      <c r="M434" s="25" t="s">
        <v>22</v>
      </c>
      <c r="N434" s="25" t="s">
        <v>22</v>
      </c>
      <c r="O434" s="25" t="s">
        <v>108</v>
      </c>
      <c r="P434" s="25" t="s">
        <v>23</v>
      </c>
    </row>
    <row r="435" spans="1:16" x14ac:dyDescent="0.25">
      <c r="A435">
        <v>414</v>
      </c>
      <c r="B435" s="25" t="s">
        <v>113</v>
      </c>
      <c r="C435" s="26">
        <v>5.9027777777777776E-2</v>
      </c>
      <c r="D435" s="2">
        <v>46007</v>
      </c>
      <c r="E435" s="25" t="s">
        <v>188</v>
      </c>
      <c r="F435" s="25" t="s">
        <v>18</v>
      </c>
      <c r="G435" s="25" t="s">
        <v>574</v>
      </c>
      <c r="H435" s="26">
        <v>5.9027777777777776E-2</v>
      </c>
      <c r="I435" s="26">
        <v>0.10069444444444445</v>
      </c>
      <c r="J435" s="2">
        <v>46007</v>
      </c>
      <c r="K435" s="25" t="s">
        <v>20</v>
      </c>
      <c r="L435" s="25" t="s">
        <v>575</v>
      </c>
      <c r="M435" s="25" t="s">
        <v>576</v>
      </c>
      <c r="N435" s="25" t="s">
        <v>22</v>
      </c>
      <c r="O435" s="25" t="s">
        <v>112</v>
      </c>
      <c r="P435" s="25" t="s">
        <v>23</v>
      </c>
    </row>
    <row r="436" spans="1:16" x14ac:dyDescent="0.25">
      <c r="A436">
        <v>415</v>
      </c>
      <c r="B436" s="25"/>
      <c r="C436" s="26"/>
      <c r="D436" s="2"/>
      <c r="E436" s="25"/>
      <c r="F436" s="25"/>
      <c r="G436" s="25"/>
      <c r="H436" s="26"/>
      <c r="I436" s="26"/>
      <c r="J436" s="2"/>
      <c r="K436" s="25"/>
      <c r="L436" s="25"/>
      <c r="M436" s="25"/>
      <c r="N436" s="25"/>
      <c r="O436" s="25"/>
      <c r="P436" s="25"/>
    </row>
    <row r="437" spans="1:16" x14ac:dyDescent="0.25">
      <c r="A437">
        <v>416</v>
      </c>
      <c r="B437" s="25" t="s">
        <v>16</v>
      </c>
      <c r="C437" s="26">
        <v>0.99722222222222223</v>
      </c>
      <c r="D437" s="2">
        <v>46007</v>
      </c>
      <c r="E437" s="25" t="s">
        <v>185</v>
      </c>
      <c r="F437" s="25" t="s">
        <v>18</v>
      </c>
      <c r="G437" s="25" t="s">
        <v>577</v>
      </c>
      <c r="H437" s="26">
        <v>0</v>
      </c>
      <c r="I437" s="26">
        <v>1.0416666666666666E-2</v>
      </c>
      <c r="J437" s="2">
        <v>46007</v>
      </c>
      <c r="K437" s="25" t="s">
        <v>20</v>
      </c>
      <c r="L437" s="25" t="s">
        <v>578</v>
      </c>
      <c r="M437" s="25" t="s">
        <v>22</v>
      </c>
      <c r="N437" s="25" t="s">
        <v>22</v>
      </c>
      <c r="O437" s="25" t="s">
        <v>112</v>
      </c>
      <c r="P437" s="25" t="s">
        <v>23</v>
      </c>
    </row>
    <row r="438" spans="1:16" x14ac:dyDescent="0.25">
      <c r="A438">
        <v>417</v>
      </c>
      <c r="B438" s="25" t="s">
        <v>176</v>
      </c>
      <c r="C438" s="26">
        <v>0.4826388888888889</v>
      </c>
      <c r="D438" s="2">
        <v>46008</v>
      </c>
      <c r="E438" s="25" t="s">
        <v>94</v>
      </c>
      <c r="F438" s="25" t="s">
        <v>18</v>
      </c>
      <c r="G438" s="25" t="s">
        <v>579</v>
      </c>
      <c r="H438" s="26">
        <v>0.4861111111111111</v>
      </c>
      <c r="I438" s="26">
        <v>0.59375</v>
      </c>
      <c r="J438" s="2">
        <v>46008</v>
      </c>
      <c r="K438" s="25" t="s">
        <v>20</v>
      </c>
      <c r="L438" s="25" t="s">
        <v>580</v>
      </c>
      <c r="M438" s="25" t="s">
        <v>22</v>
      </c>
      <c r="N438" s="25" t="s">
        <v>22</v>
      </c>
      <c r="O438" s="25" t="s">
        <v>44</v>
      </c>
      <c r="P438" s="25" t="s">
        <v>23</v>
      </c>
    </row>
    <row r="439" spans="1:16" x14ac:dyDescent="0.25">
      <c r="A439">
        <v>418</v>
      </c>
      <c r="B439" s="25" t="s">
        <v>187</v>
      </c>
      <c r="C439" s="26">
        <v>0.65972222222222221</v>
      </c>
      <c r="D439" s="2">
        <v>46008</v>
      </c>
      <c r="E439" s="25" t="s">
        <v>147</v>
      </c>
      <c r="F439" s="25" t="s">
        <v>18</v>
      </c>
      <c r="G439" s="25" t="s">
        <v>581</v>
      </c>
      <c r="H439" s="26">
        <v>0.65972222222222221</v>
      </c>
      <c r="I439" s="26">
        <v>0.68055555555555558</v>
      </c>
      <c r="J439" s="2">
        <v>46008</v>
      </c>
      <c r="K439" s="25" t="s">
        <v>156</v>
      </c>
      <c r="L439" s="25" t="s">
        <v>582</v>
      </c>
      <c r="M439" s="25" t="s">
        <v>22</v>
      </c>
      <c r="N439" s="25" t="s">
        <v>22</v>
      </c>
      <c r="O439" s="25" t="s">
        <v>44</v>
      </c>
      <c r="P439" s="25" t="s">
        <v>23</v>
      </c>
    </row>
    <row r="440" spans="1:16" x14ac:dyDescent="0.25">
      <c r="A440">
        <v>419</v>
      </c>
      <c r="B440" s="25" t="s">
        <v>261</v>
      </c>
      <c r="C440" s="26">
        <v>0.45833333333333331</v>
      </c>
      <c r="D440" s="2">
        <v>46009</v>
      </c>
      <c r="E440" s="25" t="s">
        <v>91</v>
      </c>
      <c r="F440" s="25" t="s">
        <v>18</v>
      </c>
      <c r="G440" s="25" t="s">
        <v>583</v>
      </c>
      <c r="H440" s="26">
        <v>0.45833333333333331</v>
      </c>
      <c r="I440" s="26">
        <v>0.47916666666666669</v>
      </c>
      <c r="J440" s="2">
        <v>46009</v>
      </c>
      <c r="K440" s="25" t="s">
        <v>25</v>
      </c>
      <c r="L440" s="25" t="s">
        <v>584</v>
      </c>
      <c r="M440" s="25" t="s">
        <v>22</v>
      </c>
      <c r="N440" s="25" t="s">
        <v>22</v>
      </c>
      <c r="O440" s="25" t="s">
        <v>112</v>
      </c>
      <c r="P440" s="25" t="s">
        <v>23</v>
      </c>
    </row>
    <row r="441" spans="1:16" x14ac:dyDescent="0.25">
      <c r="A441">
        <v>420</v>
      </c>
      <c r="B441" s="25"/>
      <c r="C441" s="26"/>
      <c r="D441" s="2"/>
      <c r="E441" s="25"/>
      <c r="F441" s="25"/>
      <c r="G441" s="25"/>
      <c r="H441" s="26"/>
      <c r="I441" s="26"/>
      <c r="J441" s="2"/>
      <c r="K441" s="25"/>
      <c r="L441" s="25"/>
      <c r="M441" s="25"/>
      <c r="N441" s="25"/>
      <c r="O441" s="25"/>
      <c r="P441" s="25"/>
    </row>
    <row r="442" spans="1:16" x14ac:dyDescent="0.25">
      <c r="A442">
        <v>421</v>
      </c>
      <c r="B442" s="25" t="s">
        <v>199</v>
      </c>
      <c r="C442" s="26">
        <v>0.78472222222222221</v>
      </c>
      <c r="D442" s="2">
        <v>46009</v>
      </c>
      <c r="E442" s="25" t="s">
        <v>91</v>
      </c>
      <c r="F442" s="25" t="s">
        <v>18</v>
      </c>
      <c r="G442" s="25" t="s">
        <v>585</v>
      </c>
      <c r="H442" s="26">
        <v>0.78472222222222221</v>
      </c>
      <c r="I442" s="26">
        <v>0.80555555555555558</v>
      </c>
      <c r="J442" s="2">
        <v>46009</v>
      </c>
      <c r="K442" s="25" t="s">
        <v>20</v>
      </c>
      <c r="L442" s="25" t="s">
        <v>586</v>
      </c>
      <c r="M442" s="25" t="s">
        <v>22</v>
      </c>
      <c r="N442" s="25" t="s">
        <v>22</v>
      </c>
      <c r="O442" s="25" t="s">
        <v>44</v>
      </c>
      <c r="P442" s="25" t="s">
        <v>23</v>
      </c>
    </row>
    <row r="443" spans="1:16" x14ac:dyDescent="0.25">
      <c r="A443">
        <v>422</v>
      </c>
      <c r="B443" s="25" t="s">
        <v>335</v>
      </c>
      <c r="C443" s="26">
        <v>0.85416666666666663</v>
      </c>
      <c r="D443" s="2">
        <v>46009</v>
      </c>
      <c r="E443" s="25" t="s">
        <v>162</v>
      </c>
      <c r="F443" s="25" t="s">
        <v>18</v>
      </c>
      <c r="G443" s="25" t="s">
        <v>587</v>
      </c>
      <c r="H443" s="26">
        <v>0.85763888888888884</v>
      </c>
      <c r="I443" s="26">
        <v>0.88194444444444442</v>
      </c>
      <c r="J443" s="2">
        <v>46009</v>
      </c>
      <c r="K443" s="25" t="s">
        <v>25</v>
      </c>
      <c r="L443" s="25" t="s">
        <v>588</v>
      </c>
      <c r="M443" s="25" t="s">
        <v>22</v>
      </c>
      <c r="N443" s="25" t="s">
        <v>260</v>
      </c>
      <c r="O443" s="25" t="s">
        <v>44</v>
      </c>
      <c r="P443" s="25" t="s">
        <v>23</v>
      </c>
    </row>
    <row r="444" spans="1:16" x14ac:dyDescent="0.25">
      <c r="A444">
        <v>423</v>
      </c>
      <c r="B444" s="25" t="s">
        <v>238</v>
      </c>
      <c r="C444" s="26">
        <v>0.28472222222222221</v>
      </c>
      <c r="D444" s="2">
        <v>46010</v>
      </c>
      <c r="E444" s="25" t="s">
        <v>116</v>
      </c>
      <c r="F444" s="25" t="s">
        <v>18</v>
      </c>
      <c r="G444" s="25" t="s">
        <v>589</v>
      </c>
      <c r="H444" s="26">
        <v>0.28472222222222221</v>
      </c>
      <c r="I444" s="26">
        <v>0.31944444444444442</v>
      </c>
      <c r="J444" s="2">
        <v>46010</v>
      </c>
      <c r="K444" s="25" t="s">
        <v>20</v>
      </c>
      <c r="L444" s="25" t="s">
        <v>590</v>
      </c>
      <c r="M444" s="25" t="s">
        <v>22</v>
      </c>
      <c r="N444" s="25" t="s">
        <v>22</v>
      </c>
      <c r="O444" s="25" t="s">
        <v>108</v>
      </c>
      <c r="P444" s="25" t="s">
        <v>23</v>
      </c>
    </row>
    <row r="445" spans="1:16" x14ac:dyDescent="0.25">
      <c r="A445">
        <v>424</v>
      </c>
      <c r="B445" s="25" t="s">
        <v>103</v>
      </c>
      <c r="C445" s="26">
        <v>0.36805555555555558</v>
      </c>
      <c r="D445" s="2">
        <v>46010</v>
      </c>
      <c r="E445" s="25" t="s">
        <v>147</v>
      </c>
      <c r="F445" s="25" t="s">
        <v>18</v>
      </c>
      <c r="G445" s="25" t="s">
        <v>591</v>
      </c>
      <c r="H445" s="26">
        <v>0.36805555555555558</v>
      </c>
      <c r="I445" s="26">
        <v>0.40625</v>
      </c>
      <c r="J445" s="2">
        <v>46010</v>
      </c>
      <c r="K445" s="25" t="s">
        <v>25</v>
      </c>
      <c r="L445" s="25" t="s">
        <v>592</v>
      </c>
      <c r="M445" s="25" t="s">
        <v>593</v>
      </c>
      <c r="N445" s="25" t="s">
        <v>22</v>
      </c>
      <c r="O445" s="25" t="s">
        <v>108</v>
      </c>
      <c r="P445" s="25" t="s">
        <v>23</v>
      </c>
    </row>
    <row r="446" spans="1:16" x14ac:dyDescent="0.25">
      <c r="A446">
        <v>425</v>
      </c>
      <c r="B446" s="25" t="s">
        <v>93</v>
      </c>
      <c r="C446" s="26">
        <v>0.70833333333333337</v>
      </c>
      <c r="D446" s="2">
        <v>46010</v>
      </c>
      <c r="E446" s="25" t="s">
        <v>94</v>
      </c>
      <c r="F446" s="25" t="s">
        <v>18</v>
      </c>
      <c r="G446" s="25" t="s">
        <v>594</v>
      </c>
      <c r="H446" s="26">
        <v>0.70833333333333337</v>
      </c>
      <c r="I446" s="26">
        <v>0.72916666666666663</v>
      </c>
      <c r="J446" s="2">
        <v>46010</v>
      </c>
      <c r="K446" s="25" t="s">
        <v>25</v>
      </c>
      <c r="L446" s="25" t="s">
        <v>595</v>
      </c>
      <c r="M446" s="25" t="s">
        <v>350</v>
      </c>
      <c r="N446" s="25" t="s">
        <v>22</v>
      </c>
      <c r="O446" s="25" t="s">
        <v>108</v>
      </c>
      <c r="P446" s="25"/>
    </row>
    <row r="447" spans="1:16" x14ac:dyDescent="0.25">
      <c r="A447">
        <v>426</v>
      </c>
      <c r="B447" s="25" t="s">
        <v>335</v>
      </c>
      <c r="C447" s="26">
        <v>0.93055555555555558</v>
      </c>
      <c r="D447" s="2">
        <v>46010</v>
      </c>
      <c r="E447" s="25" t="s">
        <v>162</v>
      </c>
      <c r="F447" s="25"/>
      <c r="G447" s="25" t="s">
        <v>596</v>
      </c>
      <c r="H447" s="26">
        <v>0.93055555555555558</v>
      </c>
      <c r="I447" s="26">
        <v>0.94444444444444442</v>
      </c>
      <c r="J447" s="2">
        <v>46010</v>
      </c>
      <c r="K447" s="25" t="s">
        <v>25</v>
      </c>
      <c r="L447" s="25" t="s">
        <v>597</v>
      </c>
      <c r="M447" s="25" t="s">
        <v>22</v>
      </c>
      <c r="N447" s="25" t="s">
        <v>22</v>
      </c>
      <c r="O447" s="25" t="s">
        <v>112</v>
      </c>
      <c r="P447" s="25" t="s">
        <v>23</v>
      </c>
    </row>
    <row r="448" spans="1:16" x14ac:dyDescent="0.25">
      <c r="A448">
        <v>427</v>
      </c>
      <c r="B448" s="25" t="s">
        <v>113</v>
      </c>
      <c r="C448" s="26">
        <v>1.3888888888888888E-2</v>
      </c>
      <c r="D448" s="2">
        <v>46011</v>
      </c>
      <c r="E448" s="25" t="s">
        <v>104</v>
      </c>
      <c r="F448" s="25" t="s">
        <v>18</v>
      </c>
      <c r="G448" s="25" t="s">
        <v>598</v>
      </c>
      <c r="H448" s="26">
        <v>1.3888888888888888E-2</v>
      </c>
      <c r="I448" s="26">
        <v>0.125</v>
      </c>
      <c r="J448" s="2">
        <v>46011</v>
      </c>
      <c r="K448" s="25" t="s">
        <v>25</v>
      </c>
      <c r="L448" s="25" t="s">
        <v>599</v>
      </c>
      <c r="M448" s="25" t="s">
        <v>22</v>
      </c>
      <c r="N448" s="25" t="s">
        <v>22</v>
      </c>
      <c r="O448" s="25" t="s">
        <v>112</v>
      </c>
      <c r="P448" s="25" t="s">
        <v>23</v>
      </c>
    </row>
    <row r="449" spans="1:16" x14ac:dyDescent="0.25">
      <c r="A449">
        <v>428</v>
      </c>
      <c r="B449" s="25" t="s">
        <v>16</v>
      </c>
      <c r="C449" s="26">
        <v>0.91666666666666663</v>
      </c>
      <c r="D449" s="2">
        <v>46010</v>
      </c>
      <c r="E449" s="25" t="s">
        <v>94</v>
      </c>
      <c r="F449" s="25" t="s">
        <v>18</v>
      </c>
      <c r="G449" s="25" t="s">
        <v>600</v>
      </c>
      <c r="H449" s="26">
        <v>0.91666666666666663</v>
      </c>
      <c r="I449" s="26">
        <v>0.92500000000000004</v>
      </c>
      <c r="J449" s="2">
        <v>46010</v>
      </c>
      <c r="K449" s="25" t="s">
        <v>25</v>
      </c>
      <c r="L449" s="25" t="s">
        <v>601</v>
      </c>
      <c r="M449" s="25" t="s">
        <v>602</v>
      </c>
      <c r="N449" s="25" t="s">
        <v>22</v>
      </c>
      <c r="O449" s="25" t="s">
        <v>112</v>
      </c>
      <c r="P449" s="25" t="s">
        <v>23</v>
      </c>
    </row>
    <row r="450" spans="1:16" x14ac:dyDescent="0.25">
      <c r="A450">
        <v>429</v>
      </c>
      <c r="B450" s="25" t="s">
        <v>603</v>
      </c>
      <c r="C450" s="26">
        <v>0.48958333333333331</v>
      </c>
      <c r="D450" s="2">
        <v>46021</v>
      </c>
      <c r="E450" s="25"/>
      <c r="F450" s="25" t="s">
        <v>18</v>
      </c>
      <c r="G450" s="25" t="s">
        <v>604</v>
      </c>
      <c r="H450" s="26">
        <v>0.48958333333333331</v>
      </c>
      <c r="I450" s="26">
        <v>0.50347222222222221</v>
      </c>
      <c r="J450" s="2">
        <v>46021</v>
      </c>
      <c r="K450" s="25" t="s">
        <v>20</v>
      </c>
      <c r="L450" s="25" t="s">
        <v>605</v>
      </c>
      <c r="M450" s="25" t="s">
        <v>22</v>
      </c>
      <c r="N450" s="25" t="s">
        <v>22</v>
      </c>
      <c r="O450" s="25" t="s">
        <v>112</v>
      </c>
      <c r="P450" s="25" t="s">
        <v>23</v>
      </c>
    </row>
    <row r="451" spans="1:16" x14ac:dyDescent="0.25">
      <c r="A451">
        <v>430</v>
      </c>
      <c r="B451" s="25" t="s">
        <v>335</v>
      </c>
      <c r="C451" s="26">
        <v>0.125</v>
      </c>
      <c r="D451" s="2">
        <v>46011</v>
      </c>
      <c r="E451" s="25" t="s">
        <v>162</v>
      </c>
      <c r="F451" s="25" t="s">
        <v>18</v>
      </c>
      <c r="G451" s="25" t="s">
        <v>606</v>
      </c>
      <c r="H451" s="26">
        <v>0.13541666666666666</v>
      </c>
      <c r="I451" s="26">
        <v>0.1423611111111111</v>
      </c>
      <c r="J451" s="2">
        <v>46011</v>
      </c>
      <c r="K451" s="25" t="s">
        <v>25</v>
      </c>
      <c r="L451" s="25" t="s">
        <v>607</v>
      </c>
      <c r="M451" s="25" t="s">
        <v>22</v>
      </c>
      <c r="N451" s="25" t="s">
        <v>22</v>
      </c>
      <c r="O451" s="25" t="s">
        <v>112</v>
      </c>
      <c r="P451" s="25" t="s">
        <v>23</v>
      </c>
    </row>
    <row r="452" spans="1:16" x14ac:dyDescent="0.25">
      <c r="A452">
        <v>431</v>
      </c>
      <c r="B452" s="25" t="s">
        <v>608</v>
      </c>
      <c r="C452" s="26">
        <v>0.15972222222222221</v>
      </c>
      <c r="D452" s="2">
        <v>46011</v>
      </c>
      <c r="E452" s="25" t="s">
        <v>17</v>
      </c>
      <c r="F452" s="25" t="s">
        <v>18</v>
      </c>
      <c r="G452" s="25" t="s">
        <v>609</v>
      </c>
      <c r="H452" s="26">
        <v>0.15972222222222221</v>
      </c>
      <c r="I452" s="26">
        <v>0.18055555555555555</v>
      </c>
      <c r="J452" s="2">
        <v>46011</v>
      </c>
      <c r="K452" s="25" t="s">
        <v>25</v>
      </c>
      <c r="L452" s="25" t="s">
        <v>610</v>
      </c>
      <c r="M452" s="25" t="s">
        <v>22</v>
      </c>
      <c r="N452" s="25" t="s">
        <v>22</v>
      </c>
      <c r="O452" s="25" t="s">
        <v>112</v>
      </c>
      <c r="P452" s="25" t="s">
        <v>23</v>
      </c>
    </row>
    <row r="453" spans="1:16" x14ac:dyDescent="0.25">
      <c r="A453">
        <v>432</v>
      </c>
      <c r="B453" s="25" t="s">
        <v>335</v>
      </c>
      <c r="C453" s="26">
        <v>0.59375</v>
      </c>
      <c r="D453" s="2">
        <v>46011</v>
      </c>
      <c r="E453" s="25" t="s">
        <v>162</v>
      </c>
      <c r="F453" s="25" t="s">
        <v>18</v>
      </c>
      <c r="G453" s="25" t="s">
        <v>611</v>
      </c>
      <c r="H453" s="26">
        <v>0.80208333333333337</v>
      </c>
      <c r="I453" s="26">
        <v>0.82638888888888884</v>
      </c>
      <c r="J453" s="2">
        <v>46011</v>
      </c>
      <c r="K453" s="25" t="s">
        <v>156</v>
      </c>
      <c r="L453" s="25" t="s">
        <v>612</v>
      </c>
      <c r="M453" s="25" t="s">
        <v>22</v>
      </c>
      <c r="N453" s="25" t="s">
        <v>22</v>
      </c>
      <c r="O453" s="25" t="s">
        <v>108</v>
      </c>
      <c r="P453" s="25" t="s">
        <v>23</v>
      </c>
    </row>
    <row r="454" spans="1:16" x14ac:dyDescent="0.25">
      <c r="A454">
        <v>433</v>
      </c>
      <c r="B454" s="25" t="s">
        <v>187</v>
      </c>
      <c r="C454" s="26">
        <v>0.99305555555555558</v>
      </c>
      <c r="D454" s="2">
        <v>46011</v>
      </c>
      <c r="E454" s="25" t="s">
        <v>188</v>
      </c>
      <c r="F454" s="25" t="s">
        <v>18</v>
      </c>
      <c r="G454" s="25" t="s">
        <v>613</v>
      </c>
      <c r="H454" s="26"/>
      <c r="I454" s="26"/>
      <c r="J454" s="2"/>
      <c r="K454" s="25"/>
      <c r="L454" s="25" t="s">
        <v>614</v>
      </c>
      <c r="M454" s="25" t="s">
        <v>22</v>
      </c>
      <c r="N454" s="25" t="s">
        <v>22</v>
      </c>
      <c r="O454" s="25"/>
      <c r="P454" s="25" t="s">
        <v>33</v>
      </c>
    </row>
    <row r="455" spans="1:16" x14ac:dyDescent="0.25">
      <c r="A455">
        <v>434</v>
      </c>
      <c r="B455" s="25" t="s">
        <v>615</v>
      </c>
      <c r="C455" s="26">
        <v>0.29166666666666669</v>
      </c>
      <c r="D455" s="2">
        <v>46012</v>
      </c>
      <c r="E455" s="25" t="s">
        <v>17</v>
      </c>
      <c r="F455" s="25"/>
      <c r="G455" s="25" t="s">
        <v>616</v>
      </c>
      <c r="H455" s="26">
        <v>0.29166666666666669</v>
      </c>
      <c r="I455" s="26">
        <v>0.3125</v>
      </c>
      <c r="J455" s="2">
        <v>46012</v>
      </c>
      <c r="K455" s="25" t="s">
        <v>25</v>
      </c>
      <c r="L455" s="25" t="s">
        <v>617</v>
      </c>
      <c r="M455" s="25" t="s">
        <v>22</v>
      </c>
      <c r="N455" s="25" t="s">
        <v>22</v>
      </c>
      <c r="O455" s="25" t="s">
        <v>112</v>
      </c>
      <c r="P455" s="25" t="s">
        <v>23</v>
      </c>
    </row>
    <row r="456" spans="1:16" x14ac:dyDescent="0.25">
      <c r="A456">
        <v>435</v>
      </c>
      <c r="B456" s="25" t="s">
        <v>132</v>
      </c>
      <c r="C456" s="26">
        <v>0.27083333333333331</v>
      </c>
      <c r="D456" s="2">
        <v>46012</v>
      </c>
      <c r="E456" s="25" t="s">
        <v>91</v>
      </c>
      <c r="F456" s="25"/>
      <c r="G456" s="25" t="s">
        <v>618</v>
      </c>
      <c r="H456" s="26">
        <v>0.27083333333333331</v>
      </c>
      <c r="I456" s="26">
        <v>0.29166666666666669</v>
      </c>
      <c r="J456" s="2">
        <v>46012</v>
      </c>
      <c r="K456" s="25" t="s">
        <v>619</v>
      </c>
      <c r="L456" s="25" t="s">
        <v>620</v>
      </c>
      <c r="M456" s="25"/>
      <c r="N456" s="25"/>
      <c r="O456" s="25" t="s">
        <v>112</v>
      </c>
      <c r="P456" s="25" t="s">
        <v>23</v>
      </c>
    </row>
    <row r="457" spans="1:16" x14ac:dyDescent="0.25">
      <c r="A457">
        <v>436</v>
      </c>
      <c r="B457" s="25" t="s">
        <v>16</v>
      </c>
      <c r="C457" s="26">
        <v>0.13680555555555557</v>
      </c>
      <c r="D457" s="2">
        <v>46012</v>
      </c>
      <c r="E457" s="25" t="s">
        <v>94</v>
      </c>
      <c r="F457" s="25" t="s">
        <v>18</v>
      </c>
      <c r="G457" s="25" t="s">
        <v>621</v>
      </c>
      <c r="H457" s="26">
        <v>0.13680555555555557</v>
      </c>
      <c r="I457" s="26">
        <v>0.14583333333333334</v>
      </c>
      <c r="J457" s="2">
        <v>46013</v>
      </c>
      <c r="K457" s="25" t="s">
        <v>25</v>
      </c>
      <c r="L457" s="25" t="s">
        <v>622</v>
      </c>
      <c r="M457" s="25" t="s">
        <v>22</v>
      </c>
      <c r="N457" s="25" t="s">
        <v>22</v>
      </c>
      <c r="O457" s="25" t="s">
        <v>44</v>
      </c>
      <c r="P457" s="25" t="s">
        <v>23</v>
      </c>
    </row>
    <row r="458" spans="1:16" x14ac:dyDescent="0.25">
      <c r="A458">
        <v>437</v>
      </c>
      <c r="B458" s="25" t="s">
        <v>279</v>
      </c>
      <c r="C458" s="26">
        <v>0.39583333333333331</v>
      </c>
      <c r="D458" s="2">
        <v>46012</v>
      </c>
      <c r="E458" s="25" t="s">
        <v>17</v>
      </c>
      <c r="F458" s="25"/>
      <c r="G458" s="25" t="s">
        <v>623</v>
      </c>
      <c r="H458" s="26">
        <v>0.39583333333333331</v>
      </c>
      <c r="I458" s="26">
        <v>0.41666666666666669</v>
      </c>
      <c r="J458" s="2">
        <v>46012</v>
      </c>
      <c r="K458" s="25" t="s">
        <v>20</v>
      </c>
      <c r="L458" s="25" t="s">
        <v>624</v>
      </c>
      <c r="M458" s="25" t="s">
        <v>22</v>
      </c>
      <c r="N458" s="25" t="s">
        <v>22</v>
      </c>
      <c r="O458" s="25" t="s">
        <v>112</v>
      </c>
      <c r="P458" s="25" t="s">
        <v>23</v>
      </c>
    </row>
    <row r="459" spans="1:16" x14ac:dyDescent="0.25">
      <c r="A459">
        <v>438</v>
      </c>
      <c r="B459" s="25"/>
      <c r="C459" s="26"/>
      <c r="D459" s="2"/>
      <c r="E459" s="25"/>
      <c r="F459" s="25"/>
      <c r="G459" s="25"/>
      <c r="H459" s="26"/>
      <c r="I459" s="26"/>
      <c r="J459" s="2"/>
      <c r="K459" s="25"/>
      <c r="L459" s="25"/>
      <c r="M459" s="25"/>
      <c r="N459" s="25"/>
      <c r="O459" s="25"/>
      <c r="P459" s="25"/>
    </row>
    <row r="460" spans="1:16" x14ac:dyDescent="0.25">
      <c r="A460">
        <v>439</v>
      </c>
      <c r="B460" s="25" t="s">
        <v>16</v>
      </c>
      <c r="C460" s="26">
        <v>0.1875</v>
      </c>
      <c r="D460" s="2">
        <v>46013</v>
      </c>
      <c r="E460" s="25" t="s">
        <v>116</v>
      </c>
      <c r="F460" s="25" t="s">
        <v>18</v>
      </c>
      <c r="G460" s="25" t="s">
        <v>625</v>
      </c>
      <c r="H460" s="26">
        <v>0.1875</v>
      </c>
      <c r="I460" s="26">
        <v>0.19444444444444445</v>
      </c>
      <c r="J460" s="2">
        <v>46013</v>
      </c>
      <c r="K460" s="25" t="s">
        <v>20</v>
      </c>
      <c r="L460" s="25" t="s">
        <v>626</v>
      </c>
      <c r="M460" s="25" t="s">
        <v>22</v>
      </c>
      <c r="N460" s="25" t="s">
        <v>22</v>
      </c>
      <c r="O460" s="25" t="s">
        <v>44</v>
      </c>
      <c r="P460" s="25" t="s">
        <v>23</v>
      </c>
    </row>
    <row r="461" spans="1:16" x14ac:dyDescent="0.25">
      <c r="A461">
        <v>440</v>
      </c>
      <c r="B461" s="25"/>
      <c r="C461" s="26"/>
      <c r="D461" s="2"/>
      <c r="E461" s="25"/>
      <c r="F461" s="25"/>
      <c r="G461" s="25"/>
      <c r="H461" s="26"/>
      <c r="I461" s="26"/>
      <c r="J461" s="2"/>
      <c r="K461" s="25"/>
      <c r="L461" s="25"/>
      <c r="M461" s="25"/>
      <c r="N461" s="25"/>
      <c r="O461" s="25"/>
      <c r="P461" s="25"/>
    </row>
    <row r="462" spans="1:16" x14ac:dyDescent="0.25">
      <c r="A462">
        <v>441</v>
      </c>
      <c r="B462" s="25"/>
      <c r="C462" s="26"/>
      <c r="D462" s="2"/>
      <c r="E462" s="25"/>
      <c r="F462" s="25"/>
      <c r="G462" s="25"/>
      <c r="H462" s="26"/>
      <c r="I462" s="26"/>
      <c r="J462" s="2"/>
      <c r="K462" s="25"/>
      <c r="L462" s="25"/>
      <c r="M462" s="25"/>
      <c r="N462" s="25"/>
      <c r="O462" s="25"/>
      <c r="P462" s="25"/>
    </row>
    <row r="463" spans="1:16" x14ac:dyDescent="0.25">
      <c r="A463">
        <v>442</v>
      </c>
      <c r="B463" s="25" t="s">
        <v>93</v>
      </c>
      <c r="C463" s="26">
        <v>0.77777777777777779</v>
      </c>
      <c r="D463" s="2">
        <v>46017</v>
      </c>
      <c r="E463" s="25" t="s">
        <v>94</v>
      </c>
      <c r="F463" s="25"/>
      <c r="G463" s="25" t="s">
        <v>627</v>
      </c>
      <c r="H463" s="26">
        <v>0.77777777777777779</v>
      </c>
      <c r="I463" s="26">
        <v>0.79166666666666663</v>
      </c>
      <c r="J463" s="2">
        <v>46017</v>
      </c>
      <c r="K463" s="25" t="s">
        <v>25</v>
      </c>
      <c r="L463" s="25" t="s">
        <v>628</v>
      </c>
      <c r="M463" s="25" t="s">
        <v>22</v>
      </c>
      <c r="N463" s="25" t="s">
        <v>629</v>
      </c>
      <c r="O463" s="25" t="s">
        <v>108</v>
      </c>
      <c r="P463" s="25" t="s">
        <v>23</v>
      </c>
    </row>
    <row r="464" spans="1:16" x14ac:dyDescent="0.25">
      <c r="A464">
        <v>443</v>
      </c>
      <c r="B464" s="25" t="s">
        <v>630</v>
      </c>
      <c r="C464" s="26">
        <v>0.97916666666666663</v>
      </c>
      <c r="D464" s="2"/>
      <c r="E464" s="25" t="s">
        <v>17</v>
      </c>
      <c r="F464" s="25"/>
      <c r="G464" s="25" t="s">
        <v>631</v>
      </c>
      <c r="H464" s="26"/>
      <c r="I464" s="26"/>
      <c r="J464" s="2"/>
      <c r="K464" s="25" t="s">
        <v>25</v>
      </c>
      <c r="L464" s="25" t="s">
        <v>632</v>
      </c>
      <c r="M464" s="25" t="s">
        <v>22</v>
      </c>
      <c r="N464" s="25" t="s">
        <v>22</v>
      </c>
      <c r="O464" s="25" t="s">
        <v>108</v>
      </c>
      <c r="P464" s="25" t="s">
        <v>23</v>
      </c>
    </row>
    <row r="465" spans="1:16" x14ac:dyDescent="0.25">
      <c r="A465">
        <v>444</v>
      </c>
      <c r="B465" s="25" t="s">
        <v>238</v>
      </c>
      <c r="C465" s="26">
        <v>0.12777777777777777</v>
      </c>
      <c r="D465" s="2">
        <v>46018</v>
      </c>
      <c r="E465" s="25" t="s">
        <v>109</v>
      </c>
      <c r="F465" s="25"/>
      <c r="G465" s="25" t="s">
        <v>633</v>
      </c>
      <c r="H465" s="26">
        <v>0.12777777777777777</v>
      </c>
      <c r="I465" s="26">
        <v>0.13194444444444445</v>
      </c>
      <c r="J465" s="2">
        <v>46018</v>
      </c>
      <c r="K465" s="25" t="s">
        <v>25</v>
      </c>
      <c r="L465" s="25" t="s">
        <v>634</v>
      </c>
      <c r="M465" s="25" t="s">
        <v>22</v>
      </c>
      <c r="N465" s="25" t="s">
        <v>22</v>
      </c>
      <c r="O465" s="25" t="s">
        <v>112</v>
      </c>
      <c r="P465" s="25" t="s">
        <v>23</v>
      </c>
    </row>
    <row r="466" spans="1:16" x14ac:dyDescent="0.25">
      <c r="A466">
        <v>445</v>
      </c>
      <c r="B466" s="25" t="s">
        <v>238</v>
      </c>
      <c r="C466" s="26">
        <v>0.63541666666666663</v>
      </c>
      <c r="D466" s="2">
        <v>46018</v>
      </c>
      <c r="E466" s="25" t="s">
        <v>109</v>
      </c>
      <c r="F466" s="25"/>
      <c r="G466" s="25" t="s">
        <v>635</v>
      </c>
      <c r="H466" s="26">
        <v>0.63541666666666663</v>
      </c>
      <c r="I466" s="26">
        <v>0.68055555555555558</v>
      </c>
      <c r="J466" s="2">
        <v>46018</v>
      </c>
      <c r="K466" s="25" t="s">
        <v>25</v>
      </c>
      <c r="L466" s="25" t="s">
        <v>636</v>
      </c>
      <c r="M466" s="25" t="s">
        <v>22</v>
      </c>
      <c r="N466" s="25" t="s">
        <v>22</v>
      </c>
      <c r="O466" s="25" t="s">
        <v>112</v>
      </c>
      <c r="P466" s="25" t="s">
        <v>23</v>
      </c>
    </row>
    <row r="467" spans="1:16" x14ac:dyDescent="0.25">
      <c r="A467">
        <v>446</v>
      </c>
      <c r="B467" s="25" t="s">
        <v>176</v>
      </c>
      <c r="C467" s="26">
        <v>0.68055555555555558</v>
      </c>
      <c r="D467" s="2">
        <v>46018</v>
      </c>
      <c r="E467" s="25" t="s">
        <v>94</v>
      </c>
      <c r="F467" s="25"/>
      <c r="G467" s="25" t="s">
        <v>637</v>
      </c>
      <c r="H467" s="26">
        <v>0.68055555555555558</v>
      </c>
      <c r="I467" s="26">
        <v>0.72916666666666663</v>
      </c>
      <c r="J467" s="2">
        <v>46018</v>
      </c>
      <c r="K467" s="25" t="s">
        <v>25</v>
      </c>
      <c r="L467" s="25" t="s">
        <v>638</v>
      </c>
      <c r="M467" s="25" t="s">
        <v>22</v>
      </c>
      <c r="N467" s="25" t="s">
        <v>22</v>
      </c>
      <c r="O467" s="25" t="s">
        <v>112</v>
      </c>
      <c r="P467" s="25" t="s">
        <v>23</v>
      </c>
    </row>
    <row r="468" spans="1:16" x14ac:dyDescent="0.25">
      <c r="A468">
        <v>447</v>
      </c>
      <c r="B468" s="25" t="s">
        <v>176</v>
      </c>
      <c r="C468" s="26">
        <v>0.86805555555555558</v>
      </c>
      <c r="D468" s="2">
        <v>46019</v>
      </c>
      <c r="E468" s="25" t="s">
        <v>94</v>
      </c>
      <c r="F468" s="25"/>
      <c r="G468" s="25" t="s">
        <v>639</v>
      </c>
      <c r="H468" s="26">
        <v>0.86805555555555558</v>
      </c>
      <c r="I468" s="26">
        <v>0.88194444444444442</v>
      </c>
      <c r="J468" s="2">
        <v>46019</v>
      </c>
      <c r="K468" s="25" t="s">
        <v>25</v>
      </c>
      <c r="L468" s="25" t="s">
        <v>640</v>
      </c>
      <c r="M468" s="25" t="s">
        <v>22</v>
      </c>
      <c r="N468" s="25" t="s">
        <v>641</v>
      </c>
      <c r="O468" s="25" t="s">
        <v>112</v>
      </c>
      <c r="P468" s="25" t="s">
        <v>23</v>
      </c>
    </row>
    <row r="469" spans="1:16" x14ac:dyDescent="0.25">
      <c r="A469">
        <v>448</v>
      </c>
      <c r="B469" s="25" t="s">
        <v>16</v>
      </c>
      <c r="C469" s="26">
        <v>0.25694444444444442</v>
      </c>
      <c r="D469" s="2">
        <v>46019</v>
      </c>
      <c r="E469" s="25" t="s">
        <v>116</v>
      </c>
      <c r="F469" s="25"/>
      <c r="G469" s="25" t="s">
        <v>642</v>
      </c>
      <c r="H469" s="26">
        <v>0.25694444444444442</v>
      </c>
      <c r="I469" s="26">
        <v>0.28819444444444442</v>
      </c>
      <c r="J469" s="2">
        <v>46019</v>
      </c>
      <c r="K469" s="25" t="s">
        <v>25</v>
      </c>
      <c r="L469" s="25" t="s">
        <v>643</v>
      </c>
      <c r="M469" s="25" t="s">
        <v>22</v>
      </c>
      <c r="N469" s="25" t="s">
        <v>22</v>
      </c>
      <c r="O469" s="25" t="s">
        <v>108</v>
      </c>
      <c r="P469" s="25" t="s">
        <v>23</v>
      </c>
    </row>
    <row r="470" spans="1:16" x14ac:dyDescent="0.25">
      <c r="A470">
        <v>449</v>
      </c>
      <c r="B470" s="25" t="s">
        <v>93</v>
      </c>
      <c r="C470" s="26">
        <v>7.6388888888888895E-2</v>
      </c>
      <c r="D470" s="2">
        <v>46020</v>
      </c>
      <c r="E470" s="25" t="s">
        <v>94</v>
      </c>
      <c r="F470" s="25"/>
      <c r="G470" s="25" t="s">
        <v>644</v>
      </c>
      <c r="H470" s="26">
        <v>6.25E-2</v>
      </c>
      <c r="I470" s="26">
        <v>8.6805555555555552E-2</v>
      </c>
      <c r="J470" s="2">
        <v>46020</v>
      </c>
      <c r="K470" s="25" t="s">
        <v>25</v>
      </c>
      <c r="L470" s="25" t="s">
        <v>645</v>
      </c>
      <c r="M470" s="25" t="s">
        <v>22</v>
      </c>
      <c r="N470" s="25" t="s">
        <v>22</v>
      </c>
      <c r="O470" s="25" t="s">
        <v>112</v>
      </c>
      <c r="P470" s="25" t="s">
        <v>23</v>
      </c>
    </row>
    <row r="471" spans="1:16" x14ac:dyDescent="0.25">
      <c r="A471">
        <v>450</v>
      </c>
      <c r="B471" s="25" t="s">
        <v>93</v>
      </c>
      <c r="C471" s="26">
        <v>0.13194444444444445</v>
      </c>
      <c r="D471" s="2">
        <v>46020</v>
      </c>
      <c r="E471" s="25" t="s">
        <v>116</v>
      </c>
      <c r="F471" s="25"/>
      <c r="G471" s="25" t="s">
        <v>646</v>
      </c>
      <c r="H471" s="26">
        <v>0.13194444444444445</v>
      </c>
      <c r="I471" s="26">
        <v>0.15972222222222221</v>
      </c>
      <c r="J471" s="2">
        <v>46020</v>
      </c>
      <c r="K471" s="25" t="s">
        <v>25</v>
      </c>
      <c r="L471" s="25" t="s">
        <v>647</v>
      </c>
      <c r="M471" s="25" t="s">
        <v>22</v>
      </c>
      <c r="N471" s="25" t="s">
        <v>22</v>
      </c>
      <c r="O471" s="25" t="s">
        <v>112</v>
      </c>
      <c r="P471" s="25" t="s">
        <v>23</v>
      </c>
    </row>
    <row r="472" spans="1:16" x14ac:dyDescent="0.25">
      <c r="A472">
        <v>451</v>
      </c>
      <c r="B472" s="25" t="s">
        <v>231</v>
      </c>
      <c r="C472" s="26">
        <v>0.1736111111111111</v>
      </c>
      <c r="D472" s="2">
        <v>46020</v>
      </c>
      <c r="E472" s="25" t="s">
        <v>143</v>
      </c>
      <c r="F472" s="25" t="s">
        <v>18</v>
      </c>
      <c r="G472" s="25" t="s">
        <v>648</v>
      </c>
      <c r="H472" s="26">
        <v>0.1736111111111111</v>
      </c>
      <c r="I472" s="26">
        <v>0.22916666666666666</v>
      </c>
      <c r="J472" s="2">
        <v>46020</v>
      </c>
      <c r="K472" s="25" t="s">
        <v>20</v>
      </c>
      <c r="L472" s="25" t="s">
        <v>649</v>
      </c>
      <c r="M472" s="25" t="s">
        <v>22</v>
      </c>
      <c r="N472" s="25" t="s">
        <v>22</v>
      </c>
      <c r="O472" s="25" t="s">
        <v>112</v>
      </c>
      <c r="P472" s="25" t="s">
        <v>23</v>
      </c>
    </row>
    <row r="473" spans="1:16" x14ac:dyDescent="0.25">
      <c r="A473">
        <v>452</v>
      </c>
      <c r="B473" s="25"/>
      <c r="C473" s="26"/>
      <c r="D473" s="2"/>
      <c r="E473" s="25"/>
      <c r="F473" s="25"/>
      <c r="G473" s="25"/>
      <c r="H473" s="26"/>
      <c r="I473" s="26"/>
      <c r="J473" s="2"/>
      <c r="K473" s="25"/>
      <c r="L473" s="25"/>
      <c r="M473" s="25"/>
      <c r="N473" s="25"/>
      <c r="O473" s="25"/>
      <c r="P473" s="25"/>
    </row>
    <row r="474" spans="1:16" x14ac:dyDescent="0.25">
      <c r="A474">
        <v>453</v>
      </c>
      <c r="B474" s="25" t="s">
        <v>103</v>
      </c>
      <c r="C474" s="26">
        <v>0.22569444444444445</v>
      </c>
      <c r="D474" s="2">
        <v>46020</v>
      </c>
      <c r="E474" s="25" t="s">
        <v>104</v>
      </c>
      <c r="F474" s="25" t="s">
        <v>650</v>
      </c>
      <c r="G474" s="25" t="s">
        <v>651</v>
      </c>
      <c r="H474" s="26">
        <v>0.375</v>
      </c>
      <c r="I474" s="26">
        <v>0.40625</v>
      </c>
      <c r="J474" s="2">
        <v>46021</v>
      </c>
      <c r="K474" s="25" t="s">
        <v>25</v>
      </c>
      <c r="L474" s="25" t="s">
        <v>652</v>
      </c>
      <c r="M474" s="25" t="s">
        <v>22</v>
      </c>
      <c r="N474" s="25" t="s">
        <v>22</v>
      </c>
      <c r="O474" s="25" t="s">
        <v>112</v>
      </c>
      <c r="P474" s="25" t="s">
        <v>23</v>
      </c>
    </row>
    <row r="475" spans="1:16" x14ac:dyDescent="0.25">
      <c r="A475">
        <v>454</v>
      </c>
      <c r="B475" s="25" t="s">
        <v>341</v>
      </c>
      <c r="C475" s="26">
        <v>0.66666666666666663</v>
      </c>
      <c r="D475" s="2">
        <v>46020</v>
      </c>
      <c r="E475" s="25" t="s">
        <v>143</v>
      </c>
      <c r="F475" s="25"/>
      <c r="G475" s="25" t="s">
        <v>653</v>
      </c>
      <c r="H475" s="26">
        <v>0.25</v>
      </c>
      <c r="I475" s="26">
        <v>0.34722222222222221</v>
      </c>
      <c r="J475" s="2">
        <v>46021</v>
      </c>
      <c r="K475" s="25" t="s">
        <v>20</v>
      </c>
      <c r="L475" s="25" t="s">
        <v>654</v>
      </c>
      <c r="M475" s="25" t="s">
        <v>22</v>
      </c>
      <c r="N475" s="25" t="s">
        <v>22</v>
      </c>
      <c r="O475" s="25" t="s">
        <v>112</v>
      </c>
      <c r="P475" s="25" t="s">
        <v>23</v>
      </c>
    </row>
    <row r="476" spans="1:16" x14ac:dyDescent="0.25">
      <c r="A476">
        <v>455</v>
      </c>
      <c r="B476" s="25" t="s">
        <v>261</v>
      </c>
      <c r="C476" s="26">
        <v>0.86111111111111116</v>
      </c>
      <c r="D476" s="2">
        <v>46020</v>
      </c>
      <c r="E476" s="25" t="s">
        <v>91</v>
      </c>
      <c r="F476" s="25"/>
      <c r="G476" s="25" t="s">
        <v>655</v>
      </c>
      <c r="H476" s="26">
        <v>0.86111111111111116</v>
      </c>
      <c r="I476" s="26">
        <v>0.8833333333333333</v>
      </c>
      <c r="J476" s="2">
        <v>46020</v>
      </c>
      <c r="K476" s="25" t="s">
        <v>20</v>
      </c>
      <c r="L476" s="25" t="s">
        <v>656</v>
      </c>
      <c r="M476" s="25" t="s">
        <v>22</v>
      </c>
      <c r="N476" s="25" t="s">
        <v>22</v>
      </c>
      <c r="O476" s="25" t="s">
        <v>108</v>
      </c>
      <c r="P476" s="25" t="s">
        <v>23</v>
      </c>
    </row>
    <row r="477" spans="1:16" x14ac:dyDescent="0.25">
      <c r="A477">
        <v>456</v>
      </c>
      <c r="B477" s="25" t="s">
        <v>657</v>
      </c>
      <c r="C477" s="26">
        <v>0.65625</v>
      </c>
      <c r="D477" s="2">
        <v>46027</v>
      </c>
      <c r="E477" s="25" t="s">
        <v>109</v>
      </c>
      <c r="F477" s="25" t="s">
        <v>18</v>
      </c>
      <c r="G477" s="25" t="s">
        <v>658</v>
      </c>
      <c r="H477" s="26">
        <v>0.65972222222222221</v>
      </c>
      <c r="I477" s="26">
        <v>0.66666666666666663</v>
      </c>
      <c r="J477" s="2">
        <v>45662</v>
      </c>
      <c r="K477" s="25" t="s">
        <v>20</v>
      </c>
      <c r="L477" s="25" t="s">
        <v>659</v>
      </c>
      <c r="M477" s="25" t="s">
        <v>22</v>
      </c>
      <c r="N477" s="25" t="s">
        <v>660</v>
      </c>
      <c r="O477" s="25" t="s">
        <v>661</v>
      </c>
      <c r="P477" s="25" t="s">
        <v>23</v>
      </c>
    </row>
    <row r="478" spans="1:16" x14ac:dyDescent="0.25">
      <c r="A478">
        <v>457</v>
      </c>
      <c r="B478" s="25" t="s">
        <v>103</v>
      </c>
      <c r="C478" s="26">
        <v>0.65972222222222221</v>
      </c>
      <c r="D478" s="2">
        <v>46021</v>
      </c>
      <c r="E478" s="25" t="s">
        <v>188</v>
      </c>
      <c r="F478" s="25" t="s">
        <v>650</v>
      </c>
      <c r="G478" s="25" t="s">
        <v>662</v>
      </c>
      <c r="H478" s="26"/>
      <c r="I478" s="26"/>
      <c r="J478" s="2"/>
      <c r="K478" s="25"/>
      <c r="L478" s="25"/>
      <c r="M478" s="25"/>
      <c r="N478" s="25"/>
      <c r="O478" s="25"/>
      <c r="P478" s="25" t="s">
        <v>33</v>
      </c>
    </row>
    <row r="479" spans="1:16" x14ac:dyDescent="0.25">
      <c r="A479">
        <v>458</v>
      </c>
      <c r="B479" s="25" t="s">
        <v>103</v>
      </c>
      <c r="C479" s="26">
        <v>0.25416666666666665</v>
      </c>
      <c r="D479" s="2">
        <v>46022</v>
      </c>
      <c r="E479" s="25" t="s">
        <v>188</v>
      </c>
      <c r="F479" s="25" t="s">
        <v>18</v>
      </c>
      <c r="G479" s="25" t="s">
        <v>663</v>
      </c>
      <c r="H479" s="26"/>
      <c r="I479" s="26"/>
      <c r="J479" s="2"/>
      <c r="K479" s="25" t="s">
        <v>25</v>
      </c>
      <c r="L479" s="25" t="s">
        <v>664</v>
      </c>
      <c r="M479" s="25" t="s">
        <v>22</v>
      </c>
      <c r="N479" s="25" t="s">
        <v>665</v>
      </c>
      <c r="O479" s="25" t="s">
        <v>108</v>
      </c>
      <c r="P479" s="25" t="s">
        <v>23</v>
      </c>
    </row>
    <row r="480" spans="1:16" x14ac:dyDescent="0.25">
      <c r="A480">
        <v>459</v>
      </c>
      <c r="B480" s="25" t="s">
        <v>261</v>
      </c>
      <c r="C480" s="26">
        <v>0.76388888888888884</v>
      </c>
      <c r="D480" s="2">
        <v>46021</v>
      </c>
      <c r="E480" s="25" t="s">
        <v>147</v>
      </c>
      <c r="F480" s="25"/>
      <c r="G480" s="25" t="s">
        <v>666</v>
      </c>
      <c r="H480" s="26">
        <v>0.76736111111111116</v>
      </c>
      <c r="I480" s="26">
        <v>0.79722222222222228</v>
      </c>
      <c r="J480" s="2">
        <v>46021</v>
      </c>
      <c r="K480" s="25" t="s">
        <v>20</v>
      </c>
      <c r="L480" s="25" t="s">
        <v>667</v>
      </c>
      <c r="M480" s="25" t="s">
        <v>22</v>
      </c>
      <c r="N480" s="25" t="s">
        <v>22</v>
      </c>
      <c r="O480" s="25" t="s">
        <v>661</v>
      </c>
      <c r="P480" s="25" t="s">
        <v>23</v>
      </c>
    </row>
    <row r="481" spans="1:16" x14ac:dyDescent="0.25">
      <c r="A481">
        <v>460</v>
      </c>
      <c r="B481" s="25" t="s">
        <v>261</v>
      </c>
      <c r="C481" s="26">
        <v>0.85416666666666663</v>
      </c>
      <c r="D481" s="2">
        <v>46021</v>
      </c>
      <c r="E481" s="25" t="s">
        <v>147</v>
      </c>
      <c r="F481" s="25"/>
      <c r="G481" s="25" t="s">
        <v>668</v>
      </c>
      <c r="H481" s="26">
        <v>0.90972222222222221</v>
      </c>
      <c r="I481" s="26">
        <v>0.92361111111111116</v>
      </c>
      <c r="J481" s="2">
        <v>46021</v>
      </c>
      <c r="K481" s="25" t="s">
        <v>20</v>
      </c>
      <c r="L481" s="25" t="s">
        <v>669</v>
      </c>
      <c r="M481" s="25" t="s">
        <v>670</v>
      </c>
      <c r="N481" s="25" t="s">
        <v>670</v>
      </c>
      <c r="O481" s="25" t="s">
        <v>661</v>
      </c>
      <c r="P481" s="25" t="s">
        <v>23</v>
      </c>
    </row>
    <row r="482" spans="1:16" x14ac:dyDescent="0.25">
      <c r="A482">
        <v>461</v>
      </c>
      <c r="B482" s="25" t="s">
        <v>231</v>
      </c>
      <c r="C482" s="26">
        <v>0.91666666666666663</v>
      </c>
      <c r="D482" s="2">
        <v>46021</v>
      </c>
      <c r="E482" s="25" t="s">
        <v>143</v>
      </c>
      <c r="F482" s="25"/>
      <c r="G482" s="25" t="s">
        <v>671</v>
      </c>
      <c r="H482" s="26">
        <v>0.9243055555555556</v>
      </c>
      <c r="I482" s="26">
        <v>0.9375</v>
      </c>
      <c r="J482" s="2">
        <v>46021</v>
      </c>
      <c r="K482" s="25" t="s">
        <v>25</v>
      </c>
      <c r="L482" s="25" t="s">
        <v>672</v>
      </c>
      <c r="M482" s="25" t="s">
        <v>22</v>
      </c>
      <c r="N482" s="25" t="s">
        <v>673</v>
      </c>
      <c r="O482" s="25" t="s">
        <v>661</v>
      </c>
      <c r="P482" s="25" t="s">
        <v>23</v>
      </c>
    </row>
    <row r="483" spans="1:16" x14ac:dyDescent="0.25">
      <c r="A483">
        <v>462</v>
      </c>
      <c r="B483" s="25" t="s">
        <v>231</v>
      </c>
      <c r="C483" s="26">
        <v>6.9444444444444441E-3</v>
      </c>
      <c r="D483" s="2">
        <v>46021</v>
      </c>
      <c r="E483" s="25" t="s">
        <v>143</v>
      </c>
      <c r="F483" s="25"/>
      <c r="G483" s="25" t="s">
        <v>674</v>
      </c>
      <c r="H483" s="26">
        <v>0.52083333333333337</v>
      </c>
      <c r="I483" s="26">
        <v>4.7222222222222221E-2</v>
      </c>
      <c r="J483" s="2"/>
      <c r="K483" s="25" t="s">
        <v>25</v>
      </c>
      <c r="L483" s="25" t="s">
        <v>675</v>
      </c>
      <c r="M483" s="25" t="s">
        <v>676</v>
      </c>
      <c r="N483" s="25" t="s">
        <v>676</v>
      </c>
      <c r="O483" s="25" t="s">
        <v>661</v>
      </c>
      <c r="P483" s="25" t="s">
        <v>23</v>
      </c>
    </row>
    <row r="484" spans="1:16" x14ac:dyDescent="0.25">
      <c r="A484">
        <v>463</v>
      </c>
      <c r="B484" s="25" t="s">
        <v>231</v>
      </c>
      <c r="C484" s="26">
        <v>7.8472222222222221E-2</v>
      </c>
      <c r="D484" s="2">
        <v>46022</v>
      </c>
      <c r="E484" s="25" t="s">
        <v>143</v>
      </c>
      <c r="F484" s="25"/>
      <c r="G484" s="25" t="s">
        <v>677</v>
      </c>
      <c r="H484" s="26">
        <v>9.0277777777777776E-2</v>
      </c>
      <c r="I484" s="26">
        <v>0.35416666666666669</v>
      </c>
      <c r="J484" s="2">
        <v>46024</v>
      </c>
      <c r="K484" s="25" t="s">
        <v>25</v>
      </c>
      <c r="L484" s="25" t="s">
        <v>678</v>
      </c>
      <c r="M484" s="25" t="s">
        <v>22</v>
      </c>
      <c r="N484" s="25" t="s">
        <v>22</v>
      </c>
      <c r="O484" s="25" t="s">
        <v>679</v>
      </c>
      <c r="P484" s="25" t="s">
        <v>23</v>
      </c>
    </row>
    <row r="485" spans="1:16" x14ac:dyDescent="0.25">
      <c r="A485">
        <v>464</v>
      </c>
      <c r="B485" s="25" t="s">
        <v>261</v>
      </c>
      <c r="C485" s="26">
        <v>2.0833333333333332E-2</v>
      </c>
      <c r="D485" s="2">
        <v>46022</v>
      </c>
      <c r="E485" s="25" t="s">
        <v>91</v>
      </c>
      <c r="F485" s="25"/>
      <c r="G485" s="25" t="s">
        <v>680</v>
      </c>
      <c r="H485" s="26">
        <v>2.4305555555555556E-2</v>
      </c>
      <c r="I485" s="26">
        <v>0.33333333333333331</v>
      </c>
      <c r="J485" s="2">
        <v>46024</v>
      </c>
      <c r="K485" s="25" t="s">
        <v>20</v>
      </c>
      <c r="L485" s="25" t="s">
        <v>681</v>
      </c>
      <c r="M485" s="25" t="s">
        <v>22</v>
      </c>
      <c r="N485" s="25" t="s">
        <v>22</v>
      </c>
      <c r="O485" s="25" t="s">
        <v>661</v>
      </c>
      <c r="P485" s="25" t="s">
        <v>23</v>
      </c>
    </row>
    <row r="486" spans="1:16" x14ac:dyDescent="0.25">
      <c r="A486">
        <v>465</v>
      </c>
      <c r="B486" s="25" t="s">
        <v>93</v>
      </c>
      <c r="C486" s="26">
        <v>0.2638888888888889</v>
      </c>
      <c r="D486" s="2">
        <v>46024</v>
      </c>
      <c r="E486" s="25" t="s">
        <v>116</v>
      </c>
      <c r="F486" s="25"/>
      <c r="G486" s="25" t="s">
        <v>682</v>
      </c>
      <c r="H486" s="26">
        <v>0.27083333333333331</v>
      </c>
      <c r="I486" s="26">
        <v>0.29166666666666669</v>
      </c>
      <c r="J486" s="2">
        <v>46024</v>
      </c>
      <c r="K486" s="25" t="s">
        <v>25</v>
      </c>
      <c r="L486" s="25" t="s">
        <v>683</v>
      </c>
      <c r="M486" s="25" t="s">
        <v>22</v>
      </c>
      <c r="N486" s="25" t="s">
        <v>22</v>
      </c>
      <c r="O486" s="25" t="s">
        <v>112</v>
      </c>
      <c r="P486" s="25" t="s">
        <v>23</v>
      </c>
    </row>
    <row r="487" spans="1:16" x14ac:dyDescent="0.25">
      <c r="A487">
        <v>466</v>
      </c>
      <c r="B487" s="25" t="s">
        <v>93</v>
      </c>
      <c r="C487" s="26">
        <v>0.38194444444444442</v>
      </c>
      <c r="D487" s="2">
        <v>46024</v>
      </c>
      <c r="E487" s="25" t="s">
        <v>116</v>
      </c>
      <c r="F487" s="25"/>
      <c r="G487" s="25" t="s">
        <v>684</v>
      </c>
      <c r="H487" s="26">
        <v>0.40277777777777779</v>
      </c>
      <c r="I487" s="26">
        <v>0.41319444444444442</v>
      </c>
      <c r="J487" s="2">
        <v>46024</v>
      </c>
      <c r="K487" s="25" t="s">
        <v>25</v>
      </c>
      <c r="L487" s="25" t="s">
        <v>685</v>
      </c>
      <c r="M487" s="25" t="s">
        <v>22</v>
      </c>
      <c r="N487" s="25" t="s">
        <v>22</v>
      </c>
      <c r="O487" s="25" t="s">
        <v>112</v>
      </c>
      <c r="P487" s="25" t="s">
        <v>23</v>
      </c>
    </row>
    <row r="488" spans="1:16" x14ac:dyDescent="0.25">
      <c r="A488">
        <v>467</v>
      </c>
      <c r="B488" s="25" t="s">
        <v>686</v>
      </c>
      <c r="C488" s="26">
        <v>0.42708333333333331</v>
      </c>
      <c r="D488" s="2">
        <v>46024</v>
      </c>
      <c r="E488" s="25" t="s">
        <v>17</v>
      </c>
      <c r="F488" s="25" t="s">
        <v>650</v>
      </c>
      <c r="G488" s="25" t="s">
        <v>687</v>
      </c>
      <c r="H488" s="26">
        <v>0.29166666666666669</v>
      </c>
      <c r="I488" s="26">
        <v>0.375</v>
      </c>
      <c r="J488" s="2">
        <v>46024</v>
      </c>
      <c r="K488" s="25" t="s">
        <v>25</v>
      </c>
      <c r="L488" s="25" t="s">
        <v>688</v>
      </c>
      <c r="M488" s="25" t="s">
        <v>22</v>
      </c>
      <c r="N488" s="25" t="s">
        <v>22</v>
      </c>
      <c r="O488" s="25" t="s">
        <v>108</v>
      </c>
      <c r="P488" s="25" t="s">
        <v>23</v>
      </c>
    </row>
    <row r="489" spans="1:16" x14ac:dyDescent="0.25">
      <c r="A489">
        <v>468</v>
      </c>
      <c r="B489" s="25" t="s">
        <v>686</v>
      </c>
      <c r="C489" s="26">
        <v>0.42708333333333331</v>
      </c>
      <c r="D489" s="2">
        <v>46024</v>
      </c>
      <c r="E489" s="25" t="s">
        <v>17</v>
      </c>
      <c r="F489" s="25" t="s">
        <v>650</v>
      </c>
      <c r="G489" s="25" t="s">
        <v>689</v>
      </c>
      <c r="H489" s="26"/>
      <c r="I489" s="26"/>
      <c r="J489" s="2"/>
      <c r="K489" s="25"/>
      <c r="L489" s="25"/>
      <c r="M489" s="25"/>
      <c r="N489" s="25"/>
      <c r="O489" s="25"/>
      <c r="P489" s="25"/>
    </row>
    <row r="490" spans="1:16" x14ac:dyDescent="0.25">
      <c r="A490">
        <v>469</v>
      </c>
      <c r="B490" s="25" t="s">
        <v>261</v>
      </c>
      <c r="C490" s="26">
        <v>0.35416666666666669</v>
      </c>
      <c r="D490" s="2">
        <v>46024</v>
      </c>
      <c r="E490" s="25" t="s">
        <v>91</v>
      </c>
      <c r="F490" s="25" t="s">
        <v>18</v>
      </c>
      <c r="G490" s="25" t="s">
        <v>690</v>
      </c>
      <c r="H490" s="26">
        <v>0.35416666666666669</v>
      </c>
      <c r="I490" s="26">
        <v>0.39583333333333331</v>
      </c>
      <c r="J490" s="2">
        <v>46024</v>
      </c>
      <c r="K490" s="25" t="s">
        <v>25</v>
      </c>
      <c r="L490" s="25" t="s">
        <v>1663</v>
      </c>
      <c r="M490" s="25" t="s">
        <v>22</v>
      </c>
      <c r="N490" s="25" t="s">
        <v>22</v>
      </c>
      <c r="O490" s="25" t="s">
        <v>108</v>
      </c>
      <c r="P490" s="25" t="s">
        <v>33</v>
      </c>
    </row>
    <row r="491" spans="1:16" x14ac:dyDescent="0.25">
      <c r="A491">
        <v>470</v>
      </c>
      <c r="B491" s="25" t="s">
        <v>691</v>
      </c>
      <c r="C491" s="26">
        <v>0.35416666666666669</v>
      </c>
      <c r="D491" s="2">
        <v>46024</v>
      </c>
      <c r="E491" s="25" t="s">
        <v>85</v>
      </c>
      <c r="F491" s="25"/>
      <c r="G491" s="25" t="s">
        <v>692</v>
      </c>
      <c r="H491" s="26">
        <v>0.35416666666666669</v>
      </c>
      <c r="I491" s="26">
        <v>0.38194444444444442</v>
      </c>
      <c r="J491" s="2">
        <v>46024</v>
      </c>
      <c r="K491" s="25" t="s">
        <v>25</v>
      </c>
      <c r="L491" s="25" t="s">
        <v>693</v>
      </c>
      <c r="M491" s="25" t="s">
        <v>694</v>
      </c>
      <c r="N491" s="25" t="s">
        <v>694</v>
      </c>
      <c r="O491" s="25" t="s">
        <v>112</v>
      </c>
      <c r="P491" s="25" t="s">
        <v>23</v>
      </c>
    </row>
    <row r="492" spans="1:16" x14ac:dyDescent="0.25">
      <c r="A492">
        <v>471</v>
      </c>
      <c r="B492" s="25" t="s">
        <v>695</v>
      </c>
      <c r="C492" s="26">
        <v>0.33680555555555558</v>
      </c>
      <c r="D492" s="2">
        <v>46024</v>
      </c>
      <c r="E492" s="25" t="s">
        <v>307</v>
      </c>
      <c r="F492" s="25"/>
      <c r="G492" s="25" t="s">
        <v>696</v>
      </c>
      <c r="H492" s="26">
        <v>0.33680555555555558</v>
      </c>
      <c r="I492" s="26">
        <v>0.35069444444444442</v>
      </c>
      <c r="J492" s="2">
        <v>46024</v>
      </c>
      <c r="K492" s="25" t="s">
        <v>25</v>
      </c>
      <c r="L492" s="25" t="s">
        <v>697</v>
      </c>
      <c r="M492" s="25" t="s">
        <v>22</v>
      </c>
      <c r="N492" s="25" t="s">
        <v>22</v>
      </c>
      <c r="O492" s="25" t="s">
        <v>112</v>
      </c>
      <c r="P492" s="25" t="s">
        <v>23</v>
      </c>
    </row>
    <row r="493" spans="1:16" x14ac:dyDescent="0.25">
      <c r="A493">
        <v>472</v>
      </c>
      <c r="B493" s="25" t="s">
        <v>93</v>
      </c>
      <c r="C493" s="26">
        <v>0.51388888888888884</v>
      </c>
      <c r="D493" s="2">
        <v>46024</v>
      </c>
      <c r="E493" s="25" t="s">
        <v>116</v>
      </c>
      <c r="F493" s="25"/>
      <c r="G493" s="25" t="s">
        <v>698</v>
      </c>
      <c r="H493" s="26">
        <v>0.51388888888888884</v>
      </c>
      <c r="I493" s="26">
        <v>0.52083333333333337</v>
      </c>
      <c r="J493" s="2">
        <v>46024</v>
      </c>
      <c r="K493" s="25" t="s">
        <v>699</v>
      </c>
      <c r="L493" s="25" t="s">
        <v>700</v>
      </c>
      <c r="M493" s="25" t="s">
        <v>22</v>
      </c>
      <c r="N493" s="25" t="s">
        <v>22</v>
      </c>
      <c r="O493" s="25" t="s">
        <v>661</v>
      </c>
      <c r="P493" s="25" t="s">
        <v>23</v>
      </c>
    </row>
    <row r="494" spans="1:16" x14ac:dyDescent="0.25">
      <c r="A494">
        <v>473</v>
      </c>
      <c r="B494" s="25"/>
      <c r="C494" s="26"/>
      <c r="D494" s="2"/>
      <c r="E494" s="25"/>
      <c r="F494" s="25"/>
      <c r="G494" s="25"/>
      <c r="H494" s="26"/>
      <c r="I494" s="26"/>
      <c r="J494" s="2"/>
      <c r="K494" s="25"/>
      <c r="L494" s="25"/>
      <c r="M494" s="25"/>
      <c r="N494" s="25"/>
      <c r="O494" s="25"/>
      <c r="P494" s="25"/>
    </row>
    <row r="495" spans="1:16" x14ac:dyDescent="0.25">
      <c r="A495">
        <v>474</v>
      </c>
      <c r="B495" s="25" t="s">
        <v>103</v>
      </c>
      <c r="C495" s="26"/>
      <c r="D495" s="2">
        <v>46024</v>
      </c>
      <c r="E495" s="25" t="s">
        <v>17</v>
      </c>
      <c r="F495" s="25" t="s">
        <v>18</v>
      </c>
      <c r="G495" s="25" t="s">
        <v>701</v>
      </c>
      <c r="H495" s="26"/>
      <c r="I495" s="26"/>
      <c r="J495" s="2"/>
      <c r="K495" s="25"/>
      <c r="L495" s="25"/>
      <c r="M495" s="25"/>
      <c r="N495" s="25"/>
      <c r="O495" s="25"/>
      <c r="P495" s="25" t="s">
        <v>33</v>
      </c>
    </row>
    <row r="496" spans="1:16" x14ac:dyDescent="0.25">
      <c r="A496">
        <v>475</v>
      </c>
      <c r="B496" s="25" t="s">
        <v>93</v>
      </c>
      <c r="C496" s="26">
        <v>0.27083333333333331</v>
      </c>
      <c r="D496" s="2">
        <v>46025</v>
      </c>
      <c r="E496" s="25" t="s">
        <v>116</v>
      </c>
      <c r="F496" s="25"/>
      <c r="G496" s="25" t="s">
        <v>702</v>
      </c>
      <c r="H496" s="26"/>
      <c r="I496" s="26">
        <v>0.47916666666666669</v>
      </c>
      <c r="J496" s="2">
        <v>46025</v>
      </c>
      <c r="K496" s="25" t="s">
        <v>25</v>
      </c>
      <c r="L496" s="25" t="s">
        <v>703</v>
      </c>
      <c r="M496" s="25" t="s">
        <v>22</v>
      </c>
      <c r="N496" s="25" t="s">
        <v>704</v>
      </c>
      <c r="O496" s="25" t="s">
        <v>108</v>
      </c>
      <c r="P496" s="25" t="s">
        <v>23</v>
      </c>
    </row>
    <row r="497" spans="1:16" x14ac:dyDescent="0.25">
      <c r="A497">
        <v>476</v>
      </c>
      <c r="B497" s="25" t="s">
        <v>261</v>
      </c>
      <c r="C497" s="26">
        <v>0.77083333333333337</v>
      </c>
      <c r="D497" s="2">
        <v>46025</v>
      </c>
      <c r="E497" s="25" t="s">
        <v>147</v>
      </c>
      <c r="F497" s="25"/>
      <c r="G497" s="25" t="s">
        <v>705</v>
      </c>
      <c r="H497" s="26">
        <v>0.77083333333333337</v>
      </c>
      <c r="I497" s="26">
        <v>0.8125</v>
      </c>
      <c r="J497" s="2">
        <v>46025</v>
      </c>
      <c r="K497" s="25" t="s">
        <v>20</v>
      </c>
      <c r="L497" s="25" t="s">
        <v>706</v>
      </c>
      <c r="M497" s="25"/>
      <c r="N497" s="25" t="s">
        <v>707</v>
      </c>
      <c r="O497" s="25" t="s">
        <v>108</v>
      </c>
      <c r="P497" s="25" t="s">
        <v>23</v>
      </c>
    </row>
    <row r="498" spans="1:16" x14ac:dyDescent="0.25">
      <c r="A498">
        <v>477</v>
      </c>
      <c r="B498" s="25" t="s">
        <v>242</v>
      </c>
      <c r="C498" s="26">
        <v>0.72916666666666663</v>
      </c>
      <c r="D498" s="2">
        <v>46025</v>
      </c>
      <c r="E498" s="25" t="s">
        <v>17</v>
      </c>
      <c r="F498" s="25" t="s">
        <v>650</v>
      </c>
      <c r="G498" s="25" t="s">
        <v>708</v>
      </c>
      <c r="H498" s="26">
        <v>0.83333333333333337</v>
      </c>
      <c r="I498" s="26">
        <v>0.875</v>
      </c>
      <c r="J498" s="2">
        <v>46025</v>
      </c>
      <c r="K498" s="25" t="s">
        <v>25</v>
      </c>
      <c r="L498" s="25" t="s">
        <v>709</v>
      </c>
      <c r="M498" s="25" t="s">
        <v>22</v>
      </c>
      <c r="N498" s="25" t="s">
        <v>22</v>
      </c>
      <c r="O498" s="25" t="s">
        <v>112</v>
      </c>
      <c r="P498" s="25" t="s">
        <v>23</v>
      </c>
    </row>
    <row r="499" spans="1:16" x14ac:dyDescent="0.25">
      <c r="A499">
        <v>478</v>
      </c>
      <c r="B499" s="25" t="s">
        <v>93</v>
      </c>
      <c r="C499" s="26">
        <v>0.31944444444444442</v>
      </c>
      <c r="D499" s="2">
        <v>46026</v>
      </c>
      <c r="E499" s="25" t="s">
        <v>185</v>
      </c>
      <c r="F499" s="25"/>
      <c r="G499" s="25" t="s">
        <v>710</v>
      </c>
      <c r="H499" s="26">
        <v>0.3576388888888889</v>
      </c>
      <c r="I499" s="26">
        <v>0.36458333333333331</v>
      </c>
      <c r="J499" s="2">
        <v>46026</v>
      </c>
      <c r="K499" s="25" t="s">
        <v>25</v>
      </c>
      <c r="L499" s="25" t="s">
        <v>711</v>
      </c>
      <c r="M499" s="25" t="s">
        <v>712</v>
      </c>
      <c r="N499" s="25" t="s">
        <v>22</v>
      </c>
      <c r="O499" s="25" t="s">
        <v>44</v>
      </c>
      <c r="P499" s="25" t="s">
        <v>23</v>
      </c>
    </row>
    <row r="500" spans="1:16" x14ac:dyDescent="0.25">
      <c r="A500">
        <v>479</v>
      </c>
      <c r="B500" s="25" t="s">
        <v>695</v>
      </c>
      <c r="C500" s="26">
        <v>0.3125</v>
      </c>
      <c r="D500" s="2">
        <v>46026</v>
      </c>
      <c r="E500" s="25" t="s">
        <v>17</v>
      </c>
      <c r="F500" s="25"/>
      <c r="G500" s="25" t="s">
        <v>713</v>
      </c>
      <c r="H500" s="26">
        <v>0.3125</v>
      </c>
      <c r="I500" s="26">
        <v>0.50694444444444442</v>
      </c>
      <c r="J500" s="2">
        <v>46026</v>
      </c>
      <c r="K500" s="25" t="s">
        <v>20</v>
      </c>
      <c r="L500" s="25" t="s">
        <v>714</v>
      </c>
      <c r="M500" s="25" t="s">
        <v>715</v>
      </c>
      <c r="N500" s="25" t="s">
        <v>22</v>
      </c>
      <c r="O500" s="25" t="s">
        <v>44</v>
      </c>
      <c r="P500" s="25" t="s">
        <v>23</v>
      </c>
    </row>
    <row r="501" spans="1:16" x14ac:dyDescent="0.25">
      <c r="A501">
        <v>480</v>
      </c>
      <c r="B501" s="25" t="s">
        <v>385</v>
      </c>
      <c r="C501" s="26">
        <v>0.86458333333333337</v>
      </c>
      <c r="D501" s="2">
        <v>46026</v>
      </c>
      <c r="E501" s="25" t="s">
        <v>94</v>
      </c>
      <c r="F501" s="25"/>
      <c r="G501" s="25" t="s">
        <v>716</v>
      </c>
      <c r="H501" s="26">
        <v>0.86458333333333337</v>
      </c>
      <c r="I501" s="26">
        <v>0.88541666666666663</v>
      </c>
      <c r="J501" s="2">
        <v>46026</v>
      </c>
      <c r="K501" s="25" t="s">
        <v>25</v>
      </c>
      <c r="L501" s="25" t="s">
        <v>717</v>
      </c>
      <c r="M501" s="25" t="s">
        <v>22</v>
      </c>
      <c r="N501" s="25" t="s">
        <v>22</v>
      </c>
      <c r="O501" s="25" t="s">
        <v>108</v>
      </c>
      <c r="P501" s="25" t="s">
        <v>23</v>
      </c>
    </row>
    <row r="502" spans="1:16" x14ac:dyDescent="0.25">
      <c r="A502">
        <v>481</v>
      </c>
      <c r="B502" s="25" t="s">
        <v>180</v>
      </c>
      <c r="C502" s="26"/>
      <c r="D502" s="2">
        <v>46026</v>
      </c>
      <c r="E502" s="25" t="s">
        <v>17</v>
      </c>
      <c r="F502" s="25" t="s">
        <v>18</v>
      </c>
      <c r="G502" s="25" t="s">
        <v>718</v>
      </c>
      <c r="H502" s="26"/>
      <c r="I502" s="26"/>
      <c r="J502" s="2"/>
      <c r="K502" s="25" t="s">
        <v>25</v>
      </c>
      <c r="L502" s="25" t="s">
        <v>719</v>
      </c>
      <c r="M502" s="25" t="s">
        <v>22</v>
      </c>
      <c r="N502" s="25" t="s">
        <v>22</v>
      </c>
      <c r="O502" s="25"/>
      <c r="P502" s="25" t="s">
        <v>33</v>
      </c>
    </row>
    <row r="503" spans="1:16" x14ac:dyDescent="0.25">
      <c r="A503">
        <v>482</v>
      </c>
      <c r="B503" s="25" t="s">
        <v>238</v>
      </c>
      <c r="C503" s="26">
        <v>0.29166666666666669</v>
      </c>
      <c r="D503" s="2">
        <v>46027</v>
      </c>
      <c r="E503" s="25" t="s">
        <v>109</v>
      </c>
      <c r="F503" s="25"/>
      <c r="G503" s="25" t="s">
        <v>720</v>
      </c>
      <c r="H503" s="26">
        <v>0.29166666666666669</v>
      </c>
      <c r="I503" s="26">
        <v>0.3125</v>
      </c>
      <c r="J503" s="2">
        <v>46027</v>
      </c>
      <c r="K503" s="25" t="s">
        <v>20</v>
      </c>
      <c r="L503" s="25" t="s">
        <v>721</v>
      </c>
      <c r="M503" s="25" t="s">
        <v>22</v>
      </c>
      <c r="N503" s="25" t="s">
        <v>722</v>
      </c>
      <c r="O503" s="25" t="s">
        <v>723</v>
      </c>
      <c r="P503" s="25" t="s">
        <v>23</v>
      </c>
    </row>
    <row r="504" spans="1:16" x14ac:dyDescent="0.25">
      <c r="A504">
        <v>483</v>
      </c>
      <c r="B504" s="25" t="s">
        <v>103</v>
      </c>
      <c r="C504" s="26">
        <v>0.79166666666666663</v>
      </c>
      <c r="D504" s="2">
        <v>46028</v>
      </c>
      <c r="E504" s="25" t="s">
        <v>188</v>
      </c>
      <c r="F504" s="25"/>
      <c r="G504" s="25" t="s">
        <v>724</v>
      </c>
      <c r="H504" s="26">
        <v>0.79166666666666663</v>
      </c>
      <c r="I504" s="26">
        <v>0.80555555555555558</v>
      </c>
      <c r="J504" s="2">
        <v>46028</v>
      </c>
      <c r="K504" s="25" t="s">
        <v>20</v>
      </c>
      <c r="L504" s="25" t="s">
        <v>725</v>
      </c>
      <c r="M504" s="25" t="s">
        <v>22</v>
      </c>
      <c r="N504" s="25" t="s">
        <v>22</v>
      </c>
      <c r="O504" s="25" t="s">
        <v>723</v>
      </c>
      <c r="P504" s="25" t="s">
        <v>23</v>
      </c>
    </row>
    <row r="505" spans="1:16" x14ac:dyDescent="0.25">
      <c r="A505">
        <v>484</v>
      </c>
      <c r="B505" s="25" t="s">
        <v>231</v>
      </c>
      <c r="C505" s="26">
        <v>0.3611111111111111</v>
      </c>
      <c r="D505" s="2">
        <v>46027</v>
      </c>
      <c r="E505" s="25" t="s">
        <v>143</v>
      </c>
      <c r="F505" s="25" t="s">
        <v>18</v>
      </c>
      <c r="G505" s="25" t="s">
        <v>726</v>
      </c>
      <c r="H505" s="26">
        <v>0.36805555555555558</v>
      </c>
      <c r="I505" s="26">
        <v>0.39583333333333331</v>
      </c>
      <c r="J505" s="2">
        <v>46027</v>
      </c>
      <c r="K505" s="25" t="s">
        <v>25</v>
      </c>
      <c r="L505" s="25" t="s">
        <v>727</v>
      </c>
      <c r="M505" s="25" t="s">
        <v>728</v>
      </c>
      <c r="N505" s="25" t="s">
        <v>729</v>
      </c>
      <c r="O505" s="25" t="s">
        <v>679</v>
      </c>
      <c r="P505" s="25" t="s">
        <v>23</v>
      </c>
    </row>
    <row r="506" spans="1:16" x14ac:dyDescent="0.25">
      <c r="A506">
        <v>485</v>
      </c>
      <c r="B506" s="25" t="s">
        <v>93</v>
      </c>
      <c r="C506" s="26">
        <v>0.62152777777777779</v>
      </c>
      <c r="D506" s="2">
        <v>46027</v>
      </c>
      <c r="E506" s="25" t="s">
        <v>94</v>
      </c>
      <c r="F506" s="25"/>
      <c r="G506" s="25" t="s">
        <v>730</v>
      </c>
      <c r="H506" s="26">
        <v>0.625</v>
      </c>
      <c r="I506" s="26">
        <v>0.64583333333333337</v>
      </c>
      <c r="J506" s="2">
        <v>46027</v>
      </c>
      <c r="K506" s="25" t="s">
        <v>25</v>
      </c>
      <c r="L506" s="25" t="s">
        <v>731</v>
      </c>
      <c r="M506" s="25" t="s">
        <v>732</v>
      </c>
      <c r="N506" s="25" t="s">
        <v>22</v>
      </c>
      <c r="O506" s="25" t="s">
        <v>112</v>
      </c>
      <c r="P506" s="25" t="s">
        <v>23</v>
      </c>
    </row>
    <row r="507" spans="1:16" x14ac:dyDescent="0.25">
      <c r="A507">
        <v>486</v>
      </c>
      <c r="B507" s="25"/>
      <c r="C507" s="26"/>
      <c r="D507" s="2"/>
      <c r="E507" s="25"/>
      <c r="F507" s="25"/>
      <c r="G507" s="25"/>
      <c r="H507" s="26"/>
      <c r="I507" s="26"/>
      <c r="J507" s="2"/>
      <c r="K507" s="25"/>
      <c r="L507" s="25"/>
      <c r="M507" s="25"/>
      <c r="N507" s="25"/>
      <c r="O507" s="25"/>
      <c r="P507" s="25"/>
    </row>
    <row r="508" spans="1:16" x14ac:dyDescent="0.25">
      <c r="A508">
        <v>487</v>
      </c>
      <c r="B508" s="25" t="s">
        <v>16</v>
      </c>
      <c r="C508" s="26">
        <v>4.5138888888888888E-2</v>
      </c>
      <c r="D508" s="2">
        <v>46028</v>
      </c>
      <c r="E508" s="25" t="s">
        <v>116</v>
      </c>
      <c r="F508" s="25"/>
      <c r="G508" s="25" t="s">
        <v>733</v>
      </c>
      <c r="H508" s="26">
        <v>4.5138888888888888E-2</v>
      </c>
      <c r="I508" s="26">
        <v>5.5555555555555552E-2</v>
      </c>
      <c r="J508" s="2">
        <v>46028</v>
      </c>
      <c r="K508" s="25" t="s">
        <v>20</v>
      </c>
      <c r="L508" s="25" t="s">
        <v>734</v>
      </c>
      <c r="M508" s="25" t="s">
        <v>22</v>
      </c>
      <c r="N508" s="25" t="s">
        <v>22</v>
      </c>
      <c r="O508" s="25" t="s">
        <v>44</v>
      </c>
      <c r="P508" s="25" t="s">
        <v>23</v>
      </c>
    </row>
    <row r="509" spans="1:16" x14ac:dyDescent="0.25">
      <c r="A509">
        <v>488</v>
      </c>
      <c r="B509" s="25" t="s">
        <v>231</v>
      </c>
      <c r="C509" s="26">
        <v>0.47569444444444442</v>
      </c>
      <c r="D509" s="2">
        <v>46028</v>
      </c>
      <c r="E509" s="25" t="s">
        <v>143</v>
      </c>
      <c r="F509" s="25"/>
      <c r="G509" s="25" t="s">
        <v>735</v>
      </c>
      <c r="H509" s="26">
        <v>0.47569444444444442</v>
      </c>
      <c r="I509" s="26"/>
      <c r="J509" s="2">
        <v>46028</v>
      </c>
      <c r="K509" s="25" t="s">
        <v>20</v>
      </c>
      <c r="L509" s="25" t="s">
        <v>736</v>
      </c>
      <c r="M509" s="25" t="s">
        <v>737</v>
      </c>
      <c r="N509" s="25" t="s">
        <v>22</v>
      </c>
      <c r="O509" s="25" t="s">
        <v>268</v>
      </c>
      <c r="P509" s="25" t="s">
        <v>23</v>
      </c>
    </row>
    <row r="510" spans="1:16" x14ac:dyDescent="0.25">
      <c r="A510">
        <v>489</v>
      </c>
      <c r="B510" s="25"/>
      <c r="C510" s="26"/>
      <c r="D510" s="2"/>
      <c r="E510" s="25"/>
      <c r="F510" s="25"/>
      <c r="G510" s="25"/>
      <c r="H510" s="26"/>
      <c r="I510" s="26"/>
      <c r="J510" s="2"/>
      <c r="K510" s="25"/>
      <c r="L510" s="25"/>
      <c r="M510" s="25"/>
      <c r="N510" s="25"/>
      <c r="O510" s="25"/>
      <c r="P510" s="25"/>
    </row>
    <row r="511" spans="1:16" x14ac:dyDescent="0.25">
      <c r="A511">
        <v>490</v>
      </c>
      <c r="B511" s="25" t="s">
        <v>103</v>
      </c>
      <c r="C511" s="26">
        <v>0.76388888888888884</v>
      </c>
      <c r="D511" s="2">
        <v>46028</v>
      </c>
      <c r="E511" s="25" t="s">
        <v>188</v>
      </c>
      <c r="F511" s="25"/>
      <c r="G511" s="25" t="s">
        <v>738</v>
      </c>
      <c r="H511" s="26">
        <v>0.76388888888888884</v>
      </c>
      <c r="I511" s="26">
        <v>0.83333333333333337</v>
      </c>
      <c r="J511" s="2">
        <v>46028</v>
      </c>
      <c r="K511" s="25" t="s">
        <v>25</v>
      </c>
      <c r="L511" s="25" t="s">
        <v>739</v>
      </c>
      <c r="M511" s="25" t="s">
        <v>22</v>
      </c>
      <c r="N511" s="25" t="s">
        <v>22</v>
      </c>
      <c r="O511" s="25" t="s">
        <v>112</v>
      </c>
      <c r="P511" s="25" t="s">
        <v>23</v>
      </c>
    </row>
    <row r="512" spans="1:16" x14ac:dyDescent="0.25">
      <c r="A512">
        <v>491</v>
      </c>
      <c r="B512" s="25" t="s">
        <v>526</v>
      </c>
      <c r="C512" s="26">
        <v>0.83333333333333337</v>
      </c>
      <c r="D512" s="2">
        <v>46028</v>
      </c>
      <c r="E512" s="25" t="s">
        <v>91</v>
      </c>
      <c r="F512" s="25"/>
      <c r="G512" s="25" t="s">
        <v>740</v>
      </c>
      <c r="H512" s="26">
        <v>0.85416666666666663</v>
      </c>
      <c r="I512" s="26">
        <v>0.875</v>
      </c>
      <c r="J512" s="2">
        <v>46028</v>
      </c>
      <c r="K512" s="25" t="s">
        <v>25</v>
      </c>
      <c r="L512" s="25" t="s">
        <v>741</v>
      </c>
      <c r="M512" s="25" t="s">
        <v>22</v>
      </c>
      <c r="N512" s="25" t="s">
        <v>22</v>
      </c>
      <c r="O512" s="25" t="s">
        <v>112</v>
      </c>
      <c r="P512" s="25" t="s">
        <v>23</v>
      </c>
    </row>
    <row r="513" spans="1:16" x14ac:dyDescent="0.25">
      <c r="A513">
        <v>492</v>
      </c>
      <c r="B513" s="25" t="s">
        <v>103</v>
      </c>
      <c r="C513" s="26">
        <v>0.90277777777777779</v>
      </c>
      <c r="D513" s="2">
        <v>46028</v>
      </c>
      <c r="E513" s="25" t="s">
        <v>188</v>
      </c>
      <c r="F513" s="25"/>
      <c r="G513" s="25" t="s">
        <v>742</v>
      </c>
      <c r="H513" s="26">
        <v>0.90277777777777779</v>
      </c>
      <c r="I513" s="26">
        <v>0.91666666666666663</v>
      </c>
      <c r="J513" s="2">
        <v>46028</v>
      </c>
      <c r="K513" s="25" t="s">
        <v>20</v>
      </c>
      <c r="L513" s="25" t="s">
        <v>743</v>
      </c>
      <c r="M513" s="25" t="s">
        <v>22</v>
      </c>
      <c r="N513" s="25" t="s">
        <v>22</v>
      </c>
      <c r="O513" s="25" t="s">
        <v>112</v>
      </c>
      <c r="P513" s="25" t="s">
        <v>23</v>
      </c>
    </row>
    <row r="514" spans="1:16" x14ac:dyDescent="0.25">
      <c r="A514">
        <v>493</v>
      </c>
      <c r="B514" s="25" t="s">
        <v>103</v>
      </c>
      <c r="C514" s="26">
        <v>0.20833333333333334</v>
      </c>
      <c r="D514" s="2">
        <v>46029</v>
      </c>
      <c r="E514" s="25" t="s">
        <v>188</v>
      </c>
      <c r="F514" s="25" t="s">
        <v>18</v>
      </c>
      <c r="G514" s="25" t="s">
        <v>744</v>
      </c>
      <c r="H514" s="26"/>
      <c r="I514" s="26"/>
      <c r="J514" s="2"/>
      <c r="K514" s="25"/>
      <c r="L514" s="25"/>
      <c r="M514" s="25"/>
      <c r="N514" s="25"/>
      <c r="O514" s="25"/>
      <c r="P514" s="25" t="s">
        <v>33</v>
      </c>
    </row>
    <row r="515" spans="1:16" x14ac:dyDescent="0.25">
      <c r="A515">
        <v>494</v>
      </c>
      <c r="B515" s="25" t="s">
        <v>242</v>
      </c>
      <c r="C515" s="26">
        <v>0.3888888888888889</v>
      </c>
      <c r="D515" s="2">
        <v>46029</v>
      </c>
      <c r="E515" s="25" t="s">
        <v>17</v>
      </c>
      <c r="F515" s="25" t="s">
        <v>650</v>
      </c>
      <c r="G515" s="25" t="s">
        <v>745</v>
      </c>
      <c r="H515" s="26"/>
      <c r="I515" s="26"/>
      <c r="J515" s="2"/>
      <c r="K515" s="25"/>
      <c r="L515" s="25"/>
      <c r="M515" s="25"/>
      <c r="N515" s="25"/>
      <c r="O515" s="25"/>
      <c r="P515" s="25" t="s">
        <v>33</v>
      </c>
    </row>
    <row r="516" spans="1:16" x14ac:dyDescent="0.25">
      <c r="A516">
        <v>495</v>
      </c>
      <c r="B516" s="25" t="s">
        <v>139</v>
      </c>
      <c r="C516" s="26">
        <v>0.46527777777777779</v>
      </c>
      <c r="D516" s="2">
        <v>46029</v>
      </c>
      <c r="E516" s="25" t="s">
        <v>91</v>
      </c>
      <c r="F516" s="25" t="s">
        <v>18</v>
      </c>
      <c r="G516" s="25" t="s">
        <v>746</v>
      </c>
      <c r="H516" s="26"/>
      <c r="I516" s="26"/>
      <c r="J516" s="2"/>
      <c r="K516" s="25"/>
      <c r="L516" s="25"/>
      <c r="M516" s="25"/>
      <c r="N516" s="25"/>
      <c r="O516" s="25"/>
      <c r="P516" s="25" t="s">
        <v>33</v>
      </c>
    </row>
    <row r="517" spans="1:16" x14ac:dyDescent="0.25">
      <c r="A517">
        <v>496</v>
      </c>
      <c r="B517" s="25" t="s">
        <v>93</v>
      </c>
      <c r="C517" s="26">
        <v>0.76388888888888884</v>
      </c>
      <c r="D517" s="2">
        <v>46029</v>
      </c>
      <c r="E517" s="25" t="s">
        <v>116</v>
      </c>
      <c r="F517" s="25"/>
      <c r="G517" s="25" t="s">
        <v>747</v>
      </c>
      <c r="H517" s="26">
        <v>0.76388888888888884</v>
      </c>
      <c r="I517" s="26">
        <v>0.80208333333333337</v>
      </c>
      <c r="J517" s="2">
        <v>46028</v>
      </c>
      <c r="K517" s="25" t="s">
        <v>25</v>
      </c>
      <c r="L517" s="25" t="s">
        <v>748</v>
      </c>
      <c r="M517" s="25" t="s">
        <v>749</v>
      </c>
      <c r="N517" s="25" t="s">
        <v>750</v>
      </c>
      <c r="O517" s="25" t="s">
        <v>108</v>
      </c>
      <c r="P517" s="25" t="s">
        <v>23</v>
      </c>
    </row>
    <row r="518" spans="1:16" x14ac:dyDescent="0.25">
      <c r="A518">
        <v>497</v>
      </c>
      <c r="B518" s="25" t="s">
        <v>103</v>
      </c>
      <c r="C518" s="26">
        <v>0.27777777777777779</v>
      </c>
      <c r="D518" s="2">
        <v>46030</v>
      </c>
      <c r="E518" s="25" t="s">
        <v>188</v>
      </c>
      <c r="F518" s="25" t="s">
        <v>18</v>
      </c>
      <c r="G518" s="25" t="s">
        <v>751</v>
      </c>
      <c r="H518" s="26">
        <v>0.27777777777777779</v>
      </c>
      <c r="I518" s="26">
        <v>0.35416666666666669</v>
      </c>
      <c r="J518" s="2">
        <v>46030</v>
      </c>
      <c r="K518" s="25" t="s">
        <v>20</v>
      </c>
      <c r="L518" s="25" t="s">
        <v>752</v>
      </c>
      <c r="M518" s="25" t="s">
        <v>22</v>
      </c>
      <c r="N518" s="25" t="s">
        <v>22</v>
      </c>
      <c r="O518" s="25" t="s">
        <v>112</v>
      </c>
      <c r="P518" s="25" t="s">
        <v>23</v>
      </c>
    </row>
    <row r="519" spans="1:16" x14ac:dyDescent="0.25">
      <c r="A519">
        <v>498</v>
      </c>
      <c r="B519" s="25" t="s">
        <v>261</v>
      </c>
      <c r="C519" s="26">
        <v>0.35416666666666669</v>
      </c>
      <c r="D519" s="2">
        <v>46030</v>
      </c>
      <c r="E519" s="25" t="s">
        <v>91</v>
      </c>
      <c r="F519" s="25" t="s">
        <v>18</v>
      </c>
      <c r="G519" s="25" t="s">
        <v>753</v>
      </c>
      <c r="H519" s="26">
        <v>0.3611111111111111</v>
      </c>
      <c r="I519" s="26">
        <v>0.375</v>
      </c>
      <c r="J519" s="2">
        <v>46030</v>
      </c>
      <c r="K519" s="25" t="s">
        <v>20</v>
      </c>
      <c r="L519" s="25" t="s">
        <v>754</v>
      </c>
      <c r="M519" s="25" t="s">
        <v>22</v>
      </c>
      <c r="N519" s="25" t="s">
        <v>22</v>
      </c>
      <c r="O519" s="25" t="s">
        <v>112</v>
      </c>
      <c r="P519" s="25" t="s">
        <v>23</v>
      </c>
    </row>
    <row r="520" spans="1:16" x14ac:dyDescent="0.25">
      <c r="A520">
        <v>499</v>
      </c>
      <c r="B520" s="25" t="s">
        <v>238</v>
      </c>
      <c r="C520" s="26">
        <v>0.47569444444444442</v>
      </c>
      <c r="D520" s="2">
        <v>46030</v>
      </c>
      <c r="E520" s="25" t="s">
        <v>94</v>
      </c>
      <c r="F520" s="25" t="s">
        <v>18</v>
      </c>
      <c r="G520" s="25" t="s">
        <v>755</v>
      </c>
      <c r="H520" s="26">
        <v>0.47569444444444442</v>
      </c>
      <c r="I520" s="26">
        <v>0.48958333333333331</v>
      </c>
      <c r="J520" s="2">
        <v>46030</v>
      </c>
      <c r="K520" s="25" t="s">
        <v>25</v>
      </c>
      <c r="L520" s="25" t="s">
        <v>756</v>
      </c>
      <c r="M520" s="25" t="s">
        <v>757</v>
      </c>
      <c r="N520" s="25" t="s">
        <v>22</v>
      </c>
      <c r="O520" s="25" t="s">
        <v>112</v>
      </c>
      <c r="P520" s="25" t="s">
        <v>23</v>
      </c>
    </row>
    <row r="521" spans="1:16" x14ac:dyDescent="0.25">
      <c r="A521">
        <v>500</v>
      </c>
      <c r="B521" s="25" t="s">
        <v>16</v>
      </c>
      <c r="C521" s="26">
        <v>0.98611111111111116</v>
      </c>
      <c r="D521" s="2">
        <v>46030</v>
      </c>
      <c r="E521" s="25" t="s">
        <v>116</v>
      </c>
      <c r="F521" s="25" t="s">
        <v>18</v>
      </c>
      <c r="G521" s="25" t="s">
        <v>758</v>
      </c>
      <c r="H521" s="26">
        <v>0.99305555555555558</v>
      </c>
      <c r="I521" s="26">
        <v>6.9444444444444441E-3</v>
      </c>
      <c r="J521" s="2">
        <v>46031</v>
      </c>
      <c r="K521" s="25" t="s">
        <v>20</v>
      </c>
      <c r="L521" s="25" t="s">
        <v>759</v>
      </c>
      <c r="M521" s="25" t="s">
        <v>22</v>
      </c>
      <c r="N521" s="25" t="s">
        <v>722</v>
      </c>
      <c r="O521" s="25" t="s">
        <v>661</v>
      </c>
      <c r="P521" s="25" t="s">
        <v>23</v>
      </c>
    </row>
    <row r="522" spans="1:16" x14ac:dyDescent="0.25">
      <c r="B522" s="25"/>
      <c r="C522" s="26"/>
      <c r="D522" s="2"/>
      <c r="E522" s="25"/>
      <c r="F522" s="25"/>
      <c r="G522" s="25"/>
      <c r="H522" s="26"/>
      <c r="I522" s="26"/>
      <c r="J522" s="2"/>
      <c r="K522" s="25"/>
      <c r="L522" s="25"/>
      <c r="M522" s="25"/>
      <c r="N522" s="25"/>
      <c r="O522" s="25"/>
      <c r="P522" s="25"/>
    </row>
    <row r="523" spans="1:16" x14ac:dyDescent="0.25">
      <c r="A523" t="s">
        <v>0</v>
      </c>
      <c r="B523" s="25" t="s">
        <v>1</v>
      </c>
      <c r="C523" s="26"/>
      <c r="D523" s="2"/>
      <c r="E523" s="25" t="s">
        <v>4</v>
      </c>
      <c r="F523" s="25" t="s">
        <v>5</v>
      </c>
      <c r="G523" s="25" t="s">
        <v>6</v>
      </c>
      <c r="H523" s="26"/>
      <c r="I523" s="26"/>
      <c r="J523" s="2"/>
      <c r="K523" s="25" t="s">
        <v>10</v>
      </c>
      <c r="L523" s="25" t="s">
        <v>11</v>
      </c>
      <c r="M523" s="25" t="s">
        <v>12</v>
      </c>
      <c r="N523" s="25" t="s">
        <v>13</v>
      </c>
      <c r="O523" s="25" t="s">
        <v>14</v>
      </c>
      <c r="P523" s="25" t="s">
        <v>15</v>
      </c>
    </row>
    <row r="524" spans="1:16" x14ac:dyDescent="0.25">
      <c r="A524">
        <v>501</v>
      </c>
      <c r="B524" s="25" t="s">
        <v>103</v>
      </c>
      <c r="C524" s="26">
        <v>0.70833333333333337</v>
      </c>
      <c r="D524" s="2">
        <v>46030</v>
      </c>
      <c r="E524" s="25" t="s">
        <v>188</v>
      </c>
      <c r="F524" s="25" t="s">
        <v>18</v>
      </c>
      <c r="G524" s="25" t="s">
        <v>760</v>
      </c>
      <c r="H524" s="26">
        <v>0.70833333333333337</v>
      </c>
      <c r="I524" s="26">
        <v>0.74305555555555558</v>
      </c>
      <c r="J524" s="2">
        <v>46030</v>
      </c>
      <c r="K524" s="25" t="s">
        <v>20</v>
      </c>
      <c r="L524" s="25" t="s">
        <v>761</v>
      </c>
      <c r="M524" s="25" t="s">
        <v>22</v>
      </c>
      <c r="N524" s="25" t="s">
        <v>22</v>
      </c>
      <c r="O524" s="25" t="s">
        <v>108</v>
      </c>
      <c r="P524" s="25" t="s">
        <v>23</v>
      </c>
    </row>
    <row r="525" spans="1:16" x14ac:dyDescent="0.25">
      <c r="A525">
        <v>502</v>
      </c>
      <c r="B525" s="25" t="s">
        <v>46</v>
      </c>
      <c r="C525" s="26">
        <v>0.91111111111111109</v>
      </c>
      <c r="D525" s="2">
        <v>46030</v>
      </c>
      <c r="E525" s="25" t="s">
        <v>143</v>
      </c>
      <c r="F525" s="25"/>
      <c r="G525" s="25" t="s">
        <v>762</v>
      </c>
      <c r="H525" s="26">
        <v>0.91180555555555554</v>
      </c>
      <c r="I525" s="26">
        <v>0.91597222222222219</v>
      </c>
      <c r="J525" s="2">
        <v>46030</v>
      </c>
      <c r="K525" s="25" t="s">
        <v>25</v>
      </c>
      <c r="L525" s="25" t="s">
        <v>763</v>
      </c>
      <c r="M525" s="25" t="s">
        <v>22</v>
      </c>
      <c r="N525" s="25" t="s">
        <v>22</v>
      </c>
      <c r="O525" s="25" t="s">
        <v>661</v>
      </c>
      <c r="P525" s="25" t="s">
        <v>23</v>
      </c>
    </row>
    <row r="526" spans="1:16" x14ac:dyDescent="0.25">
      <c r="A526">
        <v>503</v>
      </c>
      <c r="B526" s="25" t="s">
        <v>630</v>
      </c>
      <c r="C526" s="26">
        <v>0.9375</v>
      </c>
      <c r="D526" s="2">
        <v>46029</v>
      </c>
      <c r="E526" s="25" t="s">
        <v>17</v>
      </c>
      <c r="F526" s="25"/>
      <c r="G526" s="25" t="s">
        <v>764</v>
      </c>
      <c r="H526" s="26">
        <v>0.9375</v>
      </c>
      <c r="I526" s="26">
        <v>0.97916666666666663</v>
      </c>
      <c r="J526" s="2">
        <v>46023</v>
      </c>
      <c r="K526" s="25" t="s">
        <v>25</v>
      </c>
      <c r="L526" s="25" t="s">
        <v>765</v>
      </c>
      <c r="M526" s="25" t="s">
        <v>22</v>
      </c>
      <c r="N526" s="25" t="s">
        <v>22</v>
      </c>
      <c r="O526" s="25" t="s">
        <v>661</v>
      </c>
      <c r="P526" s="25" t="s">
        <v>23</v>
      </c>
    </row>
    <row r="527" spans="1:16" x14ac:dyDescent="0.25">
      <c r="A527">
        <v>504</v>
      </c>
      <c r="B527" s="25" t="s">
        <v>139</v>
      </c>
      <c r="C527" s="26">
        <v>6.9444444444444441E-3</v>
      </c>
      <c r="D527" s="2">
        <v>46031</v>
      </c>
      <c r="E527" s="25" t="s">
        <v>91</v>
      </c>
      <c r="F527" s="25"/>
      <c r="G527" s="25" t="s">
        <v>766</v>
      </c>
      <c r="H527" s="26">
        <v>7.6388888888888886E-3</v>
      </c>
      <c r="I527" s="26">
        <v>1.0416666666666666E-2</v>
      </c>
      <c r="J527" s="2">
        <v>46031</v>
      </c>
      <c r="K527" s="25" t="s">
        <v>25</v>
      </c>
      <c r="L527" s="25" t="s">
        <v>767</v>
      </c>
      <c r="M527" s="25" t="s">
        <v>22</v>
      </c>
      <c r="N527" s="25" t="s">
        <v>768</v>
      </c>
      <c r="O527" s="25" t="s">
        <v>661</v>
      </c>
      <c r="P527" s="25" t="s">
        <v>23</v>
      </c>
    </row>
    <row r="528" spans="1:16" x14ac:dyDescent="0.25">
      <c r="A528">
        <v>505</v>
      </c>
      <c r="B528" s="25"/>
      <c r="C528" s="26">
        <v>0.13333333333333333</v>
      </c>
      <c r="D528" s="2">
        <v>46031</v>
      </c>
      <c r="E528" s="25" t="s">
        <v>143</v>
      </c>
      <c r="F528" s="25"/>
      <c r="G528" s="25" t="s">
        <v>769</v>
      </c>
      <c r="H528" s="26">
        <v>0.13541666666666666</v>
      </c>
      <c r="I528" s="26">
        <v>0.14583333333333334</v>
      </c>
      <c r="J528" s="2">
        <v>46031</v>
      </c>
      <c r="K528" s="25" t="s">
        <v>25</v>
      </c>
      <c r="L528" s="25" t="s">
        <v>770</v>
      </c>
      <c r="M528" s="25" t="s">
        <v>22</v>
      </c>
      <c r="N528" s="25" t="s">
        <v>22</v>
      </c>
      <c r="O528" s="25" t="s">
        <v>661</v>
      </c>
      <c r="P528" s="25" t="s">
        <v>23</v>
      </c>
    </row>
    <row r="529" spans="1:16" x14ac:dyDescent="0.25">
      <c r="A529">
        <v>506</v>
      </c>
      <c r="B529" s="25" t="s">
        <v>231</v>
      </c>
      <c r="C529" s="26">
        <v>0.18055555555555555</v>
      </c>
      <c r="D529" s="2">
        <v>46031</v>
      </c>
      <c r="E529" s="25" t="s">
        <v>143</v>
      </c>
      <c r="F529" s="25"/>
      <c r="G529" s="25" t="s">
        <v>771</v>
      </c>
      <c r="H529" s="26">
        <v>0.18055555555555555</v>
      </c>
      <c r="I529" s="26">
        <v>0.2013888888888889</v>
      </c>
      <c r="J529" s="2">
        <v>46031</v>
      </c>
      <c r="K529" s="25" t="s">
        <v>25</v>
      </c>
      <c r="L529" s="25" t="s">
        <v>772</v>
      </c>
      <c r="M529" s="25" t="s">
        <v>773</v>
      </c>
      <c r="N529" s="25" t="s">
        <v>22</v>
      </c>
      <c r="O529" s="25"/>
      <c r="P529" s="25" t="s">
        <v>23</v>
      </c>
    </row>
    <row r="530" spans="1:16" x14ac:dyDescent="0.25">
      <c r="A530">
        <v>507</v>
      </c>
      <c r="B530" s="25" t="s">
        <v>206</v>
      </c>
      <c r="C530" s="26">
        <v>0.27777777777777779</v>
      </c>
      <c r="D530" s="2">
        <v>46031</v>
      </c>
      <c r="E530" s="25" t="s">
        <v>185</v>
      </c>
      <c r="F530" s="25"/>
      <c r="G530" s="25" t="s">
        <v>774</v>
      </c>
      <c r="H530" s="26">
        <v>0.27777777777777779</v>
      </c>
      <c r="I530" s="26">
        <v>0.3611111111111111</v>
      </c>
      <c r="J530" s="2">
        <v>46031</v>
      </c>
      <c r="K530" s="25" t="s">
        <v>775</v>
      </c>
      <c r="L530" s="25" t="s">
        <v>776</v>
      </c>
      <c r="M530" s="25" t="s">
        <v>722</v>
      </c>
      <c r="N530" s="25" t="s">
        <v>22</v>
      </c>
      <c r="O530" s="25" t="s">
        <v>44</v>
      </c>
      <c r="P530" s="25" t="s">
        <v>23</v>
      </c>
    </row>
    <row r="531" spans="1:16" x14ac:dyDescent="0.25">
      <c r="A531">
        <v>508</v>
      </c>
      <c r="B531" s="25" t="s">
        <v>206</v>
      </c>
      <c r="C531" s="26">
        <v>0.46527777777777779</v>
      </c>
      <c r="D531" s="2">
        <v>46031</v>
      </c>
      <c r="E531" s="25" t="s">
        <v>116</v>
      </c>
      <c r="F531" s="25"/>
      <c r="G531" s="25" t="s">
        <v>777</v>
      </c>
      <c r="H531" s="26">
        <v>0.46527777777777779</v>
      </c>
      <c r="I531" s="26">
        <v>0.4861111111111111</v>
      </c>
      <c r="J531" s="2">
        <v>46031</v>
      </c>
      <c r="K531" s="25" t="s">
        <v>25</v>
      </c>
      <c r="L531" s="25" t="s">
        <v>778</v>
      </c>
      <c r="M531" s="25" t="s">
        <v>779</v>
      </c>
      <c r="N531" s="25" t="s">
        <v>22</v>
      </c>
      <c r="O531" s="25" t="s">
        <v>44</v>
      </c>
      <c r="P531" s="25" t="s">
        <v>23</v>
      </c>
    </row>
    <row r="532" spans="1:16" x14ac:dyDescent="0.25">
      <c r="A532">
        <v>509</v>
      </c>
      <c r="B532" s="25" t="s">
        <v>341</v>
      </c>
      <c r="C532" s="26">
        <v>0.31597222222222221</v>
      </c>
      <c r="D532" s="2">
        <v>46031</v>
      </c>
      <c r="E532" s="25" t="s">
        <v>143</v>
      </c>
      <c r="F532" s="25" t="s">
        <v>18</v>
      </c>
      <c r="G532" s="25" t="s">
        <v>1717</v>
      </c>
      <c r="H532" s="26">
        <v>0.31597222222222221</v>
      </c>
      <c r="I532" s="26">
        <v>0.3576388888888889</v>
      </c>
      <c r="J532" s="2">
        <v>46108</v>
      </c>
      <c r="K532" s="25" t="s">
        <v>25</v>
      </c>
      <c r="L532" s="25" t="s">
        <v>1718</v>
      </c>
      <c r="M532" s="25" t="s">
        <v>1719</v>
      </c>
      <c r="N532" s="25" t="s">
        <v>22</v>
      </c>
      <c r="O532" s="25" t="s">
        <v>661</v>
      </c>
      <c r="P532" s="25" t="s">
        <v>23</v>
      </c>
    </row>
    <row r="533" spans="1:16" x14ac:dyDescent="0.25">
      <c r="A533">
        <v>510</v>
      </c>
      <c r="B533" s="25"/>
      <c r="C533" s="26"/>
      <c r="D533" s="2"/>
      <c r="E533" s="25"/>
      <c r="F533" s="25"/>
      <c r="G533" s="25"/>
      <c r="H533" s="26"/>
      <c r="I533" s="26"/>
      <c r="J533" s="2"/>
      <c r="K533" s="25"/>
      <c r="L533" s="25"/>
      <c r="M533" s="25"/>
      <c r="N533" s="25"/>
      <c r="O533" s="25"/>
      <c r="P533" s="25"/>
    </row>
    <row r="534" spans="1:16" x14ac:dyDescent="0.25">
      <c r="A534">
        <v>511</v>
      </c>
      <c r="B534" s="25"/>
      <c r="C534" s="26"/>
      <c r="D534" s="2"/>
      <c r="E534" s="25"/>
      <c r="F534" s="25"/>
      <c r="G534" s="25"/>
      <c r="H534" s="26"/>
      <c r="I534" s="26"/>
      <c r="J534" s="2"/>
      <c r="K534" s="25"/>
      <c r="L534" s="25"/>
      <c r="M534" s="25"/>
      <c r="N534" s="25"/>
      <c r="O534" s="25"/>
      <c r="P534" s="25"/>
    </row>
    <row r="535" spans="1:16" x14ac:dyDescent="0.25">
      <c r="A535">
        <v>512</v>
      </c>
      <c r="B535" s="25" t="s">
        <v>93</v>
      </c>
      <c r="C535" s="26">
        <v>0.79861111111111116</v>
      </c>
      <c r="D535" s="2">
        <v>46031</v>
      </c>
      <c r="E535" s="25" t="s">
        <v>94</v>
      </c>
      <c r="F535" s="25"/>
      <c r="G535" s="25" t="s">
        <v>780</v>
      </c>
      <c r="H535" s="26">
        <v>0.79861111111111116</v>
      </c>
      <c r="I535" s="26">
        <v>0.80902777777777779</v>
      </c>
      <c r="J535" s="2">
        <v>46031</v>
      </c>
      <c r="K535" s="25" t="s">
        <v>25</v>
      </c>
      <c r="L535" s="25" t="s">
        <v>781</v>
      </c>
      <c r="M535" s="25" t="s">
        <v>22</v>
      </c>
      <c r="N535" s="25" t="s">
        <v>22</v>
      </c>
      <c r="O535" s="25" t="s">
        <v>108</v>
      </c>
      <c r="P535" s="25" t="s">
        <v>23</v>
      </c>
    </row>
    <row r="536" spans="1:16" x14ac:dyDescent="0.25">
      <c r="A536">
        <v>513</v>
      </c>
      <c r="B536" s="25" t="s">
        <v>256</v>
      </c>
      <c r="C536" s="26">
        <v>0.8125</v>
      </c>
      <c r="D536" s="2">
        <v>46031</v>
      </c>
      <c r="E536" s="25" t="s">
        <v>782</v>
      </c>
      <c r="F536" s="25"/>
      <c r="G536" s="25" t="s">
        <v>783</v>
      </c>
      <c r="H536" s="26">
        <v>0.81944444444444442</v>
      </c>
      <c r="I536" s="26">
        <v>4.8611111111111112E-2</v>
      </c>
      <c r="J536" s="2">
        <v>46032</v>
      </c>
      <c r="K536" s="25" t="s">
        <v>25</v>
      </c>
      <c r="L536" s="25" t="s">
        <v>784</v>
      </c>
      <c r="M536" s="25" t="s">
        <v>785</v>
      </c>
      <c r="N536" s="25" t="s">
        <v>22</v>
      </c>
      <c r="O536" s="25" t="s">
        <v>661</v>
      </c>
      <c r="P536" s="25" t="s">
        <v>23</v>
      </c>
    </row>
    <row r="537" spans="1:16" x14ac:dyDescent="0.25">
      <c r="A537">
        <v>514</v>
      </c>
      <c r="B537" s="25" t="s">
        <v>231</v>
      </c>
      <c r="C537" s="26">
        <v>0.85763888888888884</v>
      </c>
      <c r="D537" s="2">
        <v>46031</v>
      </c>
      <c r="E537" s="25" t="s">
        <v>143</v>
      </c>
      <c r="F537" s="25" t="s">
        <v>18</v>
      </c>
      <c r="G537" s="25" t="s">
        <v>786</v>
      </c>
      <c r="H537" s="26">
        <v>0.85763888888888884</v>
      </c>
      <c r="I537" s="26">
        <v>0.8930555555555556</v>
      </c>
      <c r="J537" s="2">
        <v>46032</v>
      </c>
      <c r="K537" s="25" t="s">
        <v>25</v>
      </c>
      <c r="L537" s="25" t="s">
        <v>787</v>
      </c>
      <c r="M537" s="25" t="s">
        <v>788</v>
      </c>
      <c r="N537" s="25" t="s">
        <v>22</v>
      </c>
      <c r="O537" s="25" t="s">
        <v>108</v>
      </c>
      <c r="P537" s="25" t="s">
        <v>23</v>
      </c>
    </row>
    <row r="538" spans="1:16" x14ac:dyDescent="0.25">
      <c r="A538">
        <v>515</v>
      </c>
      <c r="B538" s="25" t="s">
        <v>16</v>
      </c>
      <c r="C538" s="26">
        <v>0.91874999999999996</v>
      </c>
      <c r="D538" s="2">
        <v>46031</v>
      </c>
      <c r="E538" s="25" t="s">
        <v>94</v>
      </c>
      <c r="F538" s="25"/>
      <c r="G538" s="25" t="s">
        <v>789</v>
      </c>
      <c r="H538" s="26">
        <v>0.92361111111111116</v>
      </c>
      <c r="I538" s="26">
        <v>0.93055555555555558</v>
      </c>
      <c r="J538" s="2">
        <v>46031</v>
      </c>
      <c r="K538" s="25" t="s">
        <v>25</v>
      </c>
      <c r="L538" s="25" t="s">
        <v>790</v>
      </c>
      <c r="M538" s="25" t="s">
        <v>791</v>
      </c>
      <c r="N538" s="25" t="s">
        <v>22</v>
      </c>
      <c r="O538" s="25" t="s">
        <v>661</v>
      </c>
      <c r="P538" s="25" t="s">
        <v>23</v>
      </c>
    </row>
    <row r="539" spans="1:16" x14ac:dyDescent="0.25">
      <c r="A539">
        <v>516</v>
      </c>
      <c r="B539" s="25" t="s">
        <v>16</v>
      </c>
      <c r="C539" s="26">
        <v>0.13541666666666666</v>
      </c>
      <c r="D539" s="2">
        <v>46032</v>
      </c>
      <c r="E539" s="25" t="s">
        <v>94</v>
      </c>
      <c r="F539" s="25"/>
      <c r="G539" s="25" t="s">
        <v>792</v>
      </c>
      <c r="H539" s="26">
        <v>0.1388888888888889</v>
      </c>
      <c r="I539" s="26">
        <v>0.21319444444444444</v>
      </c>
      <c r="J539" s="2">
        <v>46032</v>
      </c>
      <c r="K539" s="25" t="s">
        <v>775</v>
      </c>
      <c r="L539" s="25" t="s">
        <v>793</v>
      </c>
      <c r="M539" s="25" t="s">
        <v>22</v>
      </c>
      <c r="N539" s="25" t="s">
        <v>22</v>
      </c>
      <c r="O539" s="25" t="s">
        <v>661</v>
      </c>
      <c r="P539" s="25" t="s">
        <v>23</v>
      </c>
    </row>
    <row r="540" spans="1:16" x14ac:dyDescent="0.25">
      <c r="A540">
        <v>517</v>
      </c>
      <c r="B540" s="25" t="s">
        <v>231</v>
      </c>
      <c r="C540" s="26">
        <v>0.19166666666666668</v>
      </c>
      <c r="D540" s="2">
        <v>46032</v>
      </c>
      <c r="E540" s="25" t="s">
        <v>143</v>
      </c>
      <c r="F540" s="25"/>
      <c r="G540" s="25" t="s">
        <v>794</v>
      </c>
      <c r="H540" s="26">
        <v>0.19583333333333333</v>
      </c>
      <c r="I540" s="26">
        <v>0.21875</v>
      </c>
      <c r="J540" s="2">
        <v>46032</v>
      </c>
      <c r="K540" s="25" t="s">
        <v>25</v>
      </c>
      <c r="L540" s="25" t="s">
        <v>795</v>
      </c>
      <c r="M540" s="25" t="s">
        <v>22</v>
      </c>
      <c r="N540" s="25" t="s">
        <v>22</v>
      </c>
      <c r="O540" s="25" t="s">
        <v>661</v>
      </c>
      <c r="P540" s="25" t="s">
        <v>23</v>
      </c>
    </row>
    <row r="541" spans="1:16" x14ac:dyDescent="0.25">
      <c r="A541">
        <v>518</v>
      </c>
      <c r="B541" s="25"/>
      <c r="C541" s="26"/>
      <c r="D541" s="2"/>
      <c r="E541" s="25"/>
      <c r="F541" s="25"/>
      <c r="G541" s="25"/>
      <c r="H541" s="26"/>
      <c r="I541" s="26"/>
      <c r="J541" s="2"/>
      <c r="K541" s="25"/>
      <c r="L541" s="25"/>
      <c r="M541" s="25"/>
      <c r="N541" s="25"/>
      <c r="O541" s="25"/>
      <c r="P541" s="25"/>
    </row>
    <row r="542" spans="1:16" x14ac:dyDescent="0.25">
      <c r="A542">
        <v>519</v>
      </c>
      <c r="B542" s="25" t="s">
        <v>335</v>
      </c>
      <c r="C542" s="26">
        <v>0.34722222222222221</v>
      </c>
      <c r="D542" s="2">
        <v>46032</v>
      </c>
      <c r="E542" s="25" t="s">
        <v>162</v>
      </c>
      <c r="F542" s="25"/>
      <c r="G542" s="25" t="s">
        <v>796</v>
      </c>
      <c r="H542" s="26">
        <v>0.34722222222222221</v>
      </c>
      <c r="I542" s="26">
        <v>0.35416666666666669</v>
      </c>
      <c r="J542" s="2">
        <v>46032</v>
      </c>
      <c r="K542" s="25" t="s">
        <v>25</v>
      </c>
      <c r="L542" s="25" t="s">
        <v>797</v>
      </c>
      <c r="M542" s="25" t="s">
        <v>22</v>
      </c>
      <c r="N542" s="25" t="s">
        <v>22</v>
      </c>
      <c r="O542" s="25" t="s">
        <v>112</v>
      </c>
      <c r="P542" s="25" t="s">
        <v>23</v>
      </c>
    </row>
    <row r="543" spans="1:16" x14ac:dyDescent="0.25">
      <c r="A543">
        <v>520</v>
      </c>
      <c r="B543" s="25" t="s">
        <v>341</v>
      </c>
      <c r="C543" s="26">
        <v>0.36458333333333331</v>
      </c>
      <c r="D543" s="2">
        <v>46032</v>
      </c>
      <c r="E543" s="25" t="s">
        <v>143</v>
      </c>
      <c r="F543" s="25"/>
      <c r="G543" s="25" t="s">
        <v>798</v>
      </c>
      <c r="H543" s="26">
        <v>0.36458333333333331</v>
      </c>
      <c r="I543" s="26">
        <v>0.38541666666666669</v>
      </c>
      <c r="J543" s="2">
        <v>46032</v>
      </c>
      <c r="K543" s="25" t="s">
        <v>25</v>
      </c>
      <c r="L543" s="25" t="s">
        <v>799</v>
      </c>
      <c r="M543" s="25" t="s">
        <v>800</v>
      </c>
      <c r="N543" s="25" t="s">
        <v>22</v>
      </c>
      <c r="O543" s="25" t="s">
        <v>112</v>
      </c>
      <c r="P543" s="25" t="s">
        <v>23</v>
      </c>
    </row>
    <row r="544" spans="1:16" x14ac:dyDescent="0.25">
      <c r="A544">
        <v>521</v>
      </c>
      <c r="B544" s="25" t="s">
        <v>231</v>
      </c>
      <c r="C544" s="26">
        <v>0.89930555555555558</v>
      </c>
      <c r="D544" s="2">
        <v>46032</v>
      </c>
      <c r="E544" s="25" t="s">
        <v>143</v>
      </c>
      <c r="F544" s="25"/>
      <c r="G544" s="25" t="s">
        <v>801</v>
      </c>
      <c r="H544" s="26">
        <v>0.92708333333333337</v>
      </c>
      <c r="I544" s="26">
        <v>0.9375</v>
      </c>
      <c r="J544" s="2">
        <v>46032</v>
      </c>
      <c r="K544" s="25" t="s">
        <v>48</v>
      </c>
      <c r="L544" s="25" t="s">
        <v>802</v>
      </c>
      <c r="M544" s="25" t="s">
        <v>22</v>
      </c>
      <c r="N544" s="25" t="s">
        <v>22</v>
      </c>
      <c r="O544" s="25" t="s">
        <v>44</v>
      </c>
      <c r="P544" s="25" t="s">
        <v>23</v>
      </c>
    </row>
    <row r="545" spans="1:16" x14ac:dyDescent="0.25">
      <c r="A545">
        <v>522</v>
      </c>
      <c r="B545" s="25" t="s">
        <v>231</v>
      </c>
      <c r="C545" s="26">
        <v>0.12222222222222222</v>
      </c>
      <c r="D545" s="2">
        <v>46033</v>
      </c>
      <c r="E545" s="25" t="s">
        <v>143</v>
      </c>
      <c r="F545" s="25" t="s">
        <v>18</v>
      </c>
      <c r="G545" s="25" t="s">
        <v>803</v>
      </c>
      <c r="H545" s="26">
        <v>0.12222222222222222</v>
      </c>
      <c r="I545" s="26">
        <v>0.13194444444444445</v>
      </c>
      <c r="J545" s="2">
        <v>46033</v>
      </c>
      <c r="K545" s="25" t="s">
        <v>25</v>
      </c>
      <c r="L545" s="25" t="s">
        <v>804</v>
      </c>
      <c r="M545" s="25" t="s">
        <v>805</v>
      </c>
      <c r="N545" s="25" t="s">
        <v>22</v>
      </c>
      <c r="O545" s="25" t="s">
        <v>44</v>
      </c>
      <c r="P545" s="25" t="s">
        <v>23</v>
      </c>
    </row>
    <row r="546" spans="1:16" x14ac:dyDescent="0.25">
      <c r="A546">
        <v>523</v>
      </c>
      <c r="B546" s="25" t="s">
        <v>103</v>
      </c>
      <c r="C546" s="26">
        <v>0.35</v>
      </c>
      <c r="D546" s="2">
        <v>46033</v>
      </c>
      <c r="E546" s="25" t="s">
        <v>188</v>
      </c>
      <c r="F546" s="25" t="s">
        <v>650</v>
      </c>
      <c r="G546" s="25" t="s">
        <v>806</v>
      </c>
      <c r="H546" s="26">
        <v>0.375</v>
      </c>
      <c r="I546" s="26">
        <v>0.39097222222222222</v>
      </c>
      <c r="J546" s="2">
        <v>46033</v>
      </c>
      <c r="K546" s="25" t="s">
        <v>25</v>
      </c>
      <c r="L546" s="25" t="s">
        <v>807</v>
      </c>
      <c r="M546" s="25" t="s">
        <v>808</v>
      </c>
      <c r="N546" s="25" t="s">
        <v>22</v>
      </c>
      <c r="O546" s="25" t="s">
        <v>661</v>
      </c>
      <c r="P546" s="25" t="s">
        <v>23</v>
      </c>
    </row>
    <row r="547" spans="1:16" x14ac:dyDescent="0.25">
      <c r="A547">
        <v>524</v>
      </c>
      <c r="B547" s="25" t="s">
        <v>103</v>
      </c>
      <c r="C547" s="26">
        <v>0.48958333333333331</v>
      </c>
      <c r="D547" s="2">
        <v>46033</v>
      </c>
      <c r="E547" s="25" t="s">
        <v>188</v>
      </c>
      <c r="F547" s="25" t="s">
        <v>18</v>
      </c>
      <c r="G547" s="25" t="s">
        <v>809</v>
      </c>
      <c r="H547" s="26"/>
      <c r="I547" s="26"/>
      <c r="J547" s="2"/>
      <c r="K547" s="25"/>
      <c r="L547" s="25"/>
      <c r="M547" s="25"/>
      <c r="N547" s="25"/>
      <c r="O547" s="25"/>
      <c r="P547" s="25" t="s">
        <v>33</v>
      </c>
    </row>
    <row r="548" spans="1:16" x14ac:dyDescent="0.25">
      <c r="A548">
        <v>525</v>
      </c>
      <c r="B548" s="25" t="s">
        <v>256</v>
      </c>
      <c r="C548" s="26">
        <v>0.53125</v>
      </c>
      <c r="D548" s="2">
        <v>46033</v>
      </c>
      <c r="E548" s="25" t="s">
        <v>162</v>
      </c>
      <c r="F548" s="25"/>
      <c r="G548" s="25" t="s">
        <v>810</v>
      </c>
      <c r="H548" s="26">
        <v>0.53402777777777777</v>
      </c>
      <c r="I548" s="26">
        <v>0.57291666666666663</v>
      </c>
      <c r="J548" s="2">
        <v>46033</v>
      </c>
      <c r="K548" s="25" t="s">
        <v>20</v>
      </c>
      <c r="L548" s="25" t="s">
        <v>811</v>
      </c>
      <c r="M548" s="25" t="s">
        <v>22</v>
      </c>
      <c r="N548" s="25" t="s">
        <v>22</v>
      </c>
      <c r="O548" s="25" t="s">
        <v>661</v>
      </c>
      <c r="P548" s="25" t="s">
        <v>23</v>
      </c>
    </row>
    <row r="549" spans="1:16" x14ac:dyDescent="0.25">
      <c r="A549">
        <v>526</v>
      </c>
      <c r="B549" s="25" t="s">
        <v>103</v>
      </c>
      <c r="C549" s="26">
        <v>0.52777777777777779</v>
      </c>
      <c r="D549" s="2">
        <v>46033</v>
      </c>
      <c r="E549" s="25" t="s">
        <v>188</v>
      </c>
      <c r="F549" s="25" t="s">
        <v>18</v>
      </c>
      <c r="G549" s="25" t="s">
        <v>812</v>
      </c>
      <c r="H549" s="26">
        <v>0.60416666666666663</v>
      </c>
      <c r="I549" s="26">
        <v>0.625</v>
      </c>
      <c r="J549" s="2">
        <v>46033</v>
      </c>
      <c r="K549" s="25" t="s">
        <v>20</v>
      </c>
      <c r="L549" s="25" t="s">
        <v>813</v>
      </c>
      <c r="M549" s="25" t="s">
        <v>814</v>
      </c>
      <c r="N549" s="25" t="s">
        <v>22</v>
      </c>
      <c r="O549" s="25" t="s">
        <v>112</v>
      </c>
      <c r="P549" s="25" t="s">
        <v>23</v>
      </c>
    </row>
    <row r="550" spans="1:16" x14ac:dyDescent="0.25">
      <c r="A550">
        <v>527</v>
      </c>
      <c r="B550" s="25" t="s">
        <v>103</v>
      </c>
      <c r="C550" s="26">
        <v>0.64930555555555558</v>
      </c>
      <c r="D550" s="2">
        <v>46033</v>
      </c>
      <c r="E550" s="25" t="s">
        <v>188</v>
      </c>
      <c r="F550" s="25" t="s">
        <v>18</v>
      </c>
      <c r="G550" s="25" t="s">
        <v>815</v>
      </c>
      <c r="H550" s="26">
        <v>0.65486111111111112</v>
      </c>
      <c r="I550" s="26">
        <v>0.66666666666666663</v>
      </c>
      <c r="J550" s="2">
        <v>46033</v>
      </c>
      <c r="K550" s="25" t="s">
        <v>20</v>
      </c>
      <c r="L550" s="25" t="s">
        <v>816</v>
      </c>
      <c r="M550" s="25" t="s">
        <v>22</v>
      </c>
      <c r="N550" s="25" t="s">
        <v>22</v>
      </c>
      <c r="O550" s="25" t="s">
        <v>112</v>
      </c>
      <c r="P550" s="25" t="s">
        <v>23</v>
      </c>
    </row>
    <row r="551" spans="1:16" x14ac:dyDescent="0.25">
      <c r="A551">
        <v>528</v>
      </c>
      <c r="B551" s="25" t="s">
        <v>341</v>
      </c>
      <c r="C551" s="26">
        <v>0.64583333333333337</v>
      </c>
      <c r="D551" s="2">
        <v>46033</v>
      </c>
      <c r="E551" s="25" t="s">
        <v>143</v>
      </c>
      <c r="F551" s="25"/>
      <c r="G551" s="25" t="s">
        <v>817</v>
      </c>
      <c r="H551" s="26">
        <v>0.64583333333333337</v>
      </c>
      <c r="I551" s="26">
        <v>0.66666666666666663</v>
      </c>
      <c r="J551" s="2">
        <v>46033</v>
      </c>
      <c r="K551" s="25" t="s">
        <v>20</v>
      </c>
      <c r="L551" s="25" t="s">
        <v>818</v>
      </c>
      <c r="M551" s="25" t="s">
        <v>22</v>
      </c>
      <c r="N551" s="25" t="s">
        <v>22</v>
      </c>
      <c r="O551" s="25" t="s">
        <v>112</v>
      </c>
      <c r="P551" s="25" t="s">
        <v>23</v>
      </c>
    </row>
    <row r="552" spans="1:16" x14ac:dyDescent="0.25">
      <c r="A552">
        <v>529</v>
      </c>
      <c r="B552" s="25" t="s">
        <v>139</v>
      </c>
      <c r="C552" s="26">
        <v>0.125</v>
      </c>
      <c r="D552" s="2">
        <v>46034</v>
      </c>
      <c r="E552" s="25" t="s">
        <v>91</v>
      </c>
      <c r="F552" s="25" t="s">
        <v>18</v>
      </c>
      <c r="G552" s="25" t="s">
        <v>819</v>
      </c>
      <c r="H552" s="26">
        <v>0.125</v>
      </c>
      <c r="I552" s="26">
        <v>0.14583333333333334</v>
      </c>
      <c r="J552" s="2">
        <v>46034</v>
      </c>
      <c r="K552" s="25" t="s">
        <v>25</v>
      </c>
      <c r="L552" s="25" t="s">
        <v>820</v>
      </c>
      <c r="M552" s="25" t="s">
        <v>821</v>
      </c>
      <c r="N552" s="25" t="s">
        <v>22</v>
      </c>
      <c r="O552" s="25" t="s">
        <v>44</v>
      </c>
      <c r="P552" s="25" t="s">
        <v>23</v>
      </c>
    </row>
    <row r="553" spans="1:16" x14ac:dyDescent="0.25">
      <c r="A553">
        <v>530</v>
      </c>
      <c r="B553" s="25" t="s">
        <v>261</v>
      </c>
      <c r="C553" s="26">
        <v>0.4375</v>
      </c>
      <c r="D553" s="2">
        <v>46034</v>
      </c>
      <c r="E553" s="25" t="s">
        <v>91</v>
      </c>
      <c r="F553" s="25"/>
      <c r="G553" s="25" t="s">
        <v>564</v>
      </c>
      <c r="H553" s="26">
        <v>0.4375</v>
      </c>
      <c r="I553" s="26">
        <v>0.4375</v>
      </c>
      <c r="J553" s="2">
        <v>46034</v>
      </c>
      <c r="K553" s="25" t="s">
        <v>20</v>
      </c>
      <c r="L553" s="25" t="s">
        <v>822</v>
      </c>
      <c r="M553" s="25" t="s">
        <v>22</v>
      </c>
      <c r="N553" s="25" t="s">
        <v>22</v>
      </c>
      <c r="O553" s="25" t="s">
        <v>112</v>
      </c>
      <c r="P553" s="25" t="s">
        <v>23</v>
      </c>
    </row>
    <row r="554" spans="1:16" x14ac:dyDescent="0.25">
      <c r="A554">
        <v>531</v>
      </c>
      <c r="B554" s="25" t="s">
        <v>261</v>
      </c>
      <c r="C554" s="26">
        <v>0.375</v>
      </c>
      <c r="D554" s="2">
        <v>46034</v>
      </c>
      <c r="E554" s="25" t="s">
        <v>91</v>
      </c>
      <c r="F554" s="25" t="s">
        <v>18</v>
      </c>
      <c r="G554" s="25" t="s">
        <v>823</v>
      </c>
      <c r="H554" s="26"/>
      <c r="I554" s="26"/>
      <c r="J554" s="2"/>
      <c r="K554" s="25"/>
      <c r="L554" s="25"/>
      <c r="M554" s="25"/>
      <c r="N554" s="25"/>
      <c r="O554" s="25"/>
      <c r="P554" s="25"/>
    </row>
    <row r="555" spans="1:16" x14ac:dyDescent="0.25">
      <c r="A555">
        <v>532</v>
      </c>
      <c r="B555" s="25" t="s">
        <v>231</v>
      </c>
      <c r="C555" s="26">
        <v>3.4722222222222224E-2</v>
      </c>
      <c r="D555" s="2">
        <v>46035</v>
      </c>
      <c r="E555" s="25" t="s">
        <v>143</v>
      </c>
      <c r="F555" s="25" t="s">
        <v>18</v>
      </c>
      <c r="G555" s="25" t="s">
        <v>824</v>
      </c>
      <c r="H555" s="26">
        <v>0.30555555555555558</v>
      </c>
      <c r="I555" s="26">
        <v>0.49305555555555558</v>
      </c>
      <c r="J555" s="2">
        <v>46035</v>
      </c>
      <c r="K555" s="25" t="s">
        <v>775</v>
      </c>
      <c r="L555" s="25" t="s">
        <v>825</v>
      </c>
      <c r="M555" s="25" t="s">
        <v>826</v>
      </c>
      <c r="N555" s="25" t="s">
        <v>22</v>
      </c>
      <c r="O555" s="25" t="s">
        <v>44</v>
      </c>
      <c r="P555" s="25" t="s">
        <v>23</v>
      </c>
    </row>
    <row r="556" spans="1:16" x14ac:dyDescent="0.25">
      <c r="A556">
        <v>533</v>
      </c>
      <c r="B556" s="25" t="s">
        <v>526</v>
      </c>
      <c r="C556" s="26">
        <v>0.29166666666666669</v>
      </c>
      <c r="D556" s="2">
        <v>46035</v>
      </c>
      <c r="E556" s="25" t="s">
        <v>91</v>
      </c>
      <c r="F556" s="25" t="s">
        <v>18</v>
      </c>
      <c r="G556" s="25" t="s">
        <v>827</v>
      </c>
      <c r="H556" s="26">
        <v>0.29166666666666669</v>
      </c>
      <c r="I556" s="26">
        <v>0.36805555555555558</v>
      </c>
      <c r="J556" s="2">
        <v>46035</v>
      </c>
      <c r="K556" s="25" t="s">
        <v>25</v>
      </c>
      <c r="L556" s="25" t="s">
        <v>828</v>
      </c>
      <c r="M556" s="25" t="s">
        <v>22</v>
      </c>
      <c r="N556" s="25" t="s">
        <v>205</v>
      </c>
      <c r="O556" s="25" t="s">
        <v>44</v>
      </c>
      <c r="P556" s="25" t="s">
        <v>23</v>
      </c>
    </row>
    <row r="557" spans="1:16" x14ac:dyDescent="0.25">
      <c r="A557">
        <v>534</v>
      </c>
      <c r="B557" s="25" t="s">
        <v>93</v>
      </c>
      <c r="C557" s="26">
        <v>0.47916666666666669</v>
      </c>
      <c r="D557" s="2">
        <v>46035</v>
      </c>
      <c r="E557" s="25" t="s">
        <v>116</v>
      </c>
      <c r="F557" s="25"/>
      <c r="G557" s="25" t="s">
        <v>829</v>
      </c>
      <c r="H557" s="26">
        <v>0.49305555555555558</v>
      </c>
      <c r="I557" s="26">
        <v>0.52083333333333337</v>
      </c>
      <c r="J557" s="2">
        <v>46035</v>
      </c>
      <c r="K557" s="25" t="s">
        <v>48</v>
      </c>
      <c r="L557" s="25" t="s">
        <v>830</v>
      </c>
      <c r="M557" s="25" t="s">
        <v>831</v>
      </c>
      <c r="N557" s="25" t="s">
        <v>22</v>
      </c>
      <c r="O557" s="25" t="s">
        <v>44</v>
      </c>
      <c r="P557" s="25" t="s">
        <v>23</v>
      </c>
    </row>
    <row r="558" spans="1:16" x14ac:dyDescent="0.25">
      <c r="A558">
        <v>535</v>
      </c>
      <c r="B558" s="25" t="s">
        <v>206</v>
      </c>
      <c r="C558" s="26">
        <v>0.3263888888888889</v>
      </c>
      <c r="D558" s="2">
        <v>46035</v>
      </c>
      <c r="E558" s="25" t="s">
        <v>116</v>
      </c>
      <c r="F558" s="25"/>
      <c r="G558" s="25" t="s">
        <v>832</v>
      </c>
      <c r="H558" s="26">
        <v>0.8125</v>
      </c>
      <c r="I558" s="26">
        <v>0.85416666666666663</v>
      </c>
      <c r="J558" s="2">
        <v>46035</v>
      </c>
      <c r="K558" s="25" t="s">
        <v>20</v>
      </c>
      <c r="L558" s="25" t="s">
        <v>833</v>
      </c>
      <c r="M558" s="25" t="s">
        <v>22</v>
      </c>
      <c r="N558" s="25" t="s">
        <v>22</v>
      </c>
      <c r="O558" s="25" t="s">
        <v>112</v>
      </c>
      <c r="P558" s="25" t="s">
        <v>23</v>
      </c>
    </row>
    <row r="559" spans="1:16" x14ac:dyDescent="0.25">
      <c r="A559">
        <v>536</v>
      </c>
      <c r="B559" s="25" t="s">
        <v>206</v>
      </c>
      <c r="C559" s="26">
        <v>0.28472222222222221</v>
      </c>
      <c r="D559" s="2">
        <v>46035</v>
      </c>
      <c r="E559" s="25" t="s">
        <v>185</v>
      </c>
      <c r="F559" s="25"/>
      <c r="G559" s="25" t="s">
        <v>834</v>
      </c>
      <c r="H559" s="26">
        <v>0.78472222222222221</v>
      </c>
      <c r="I559" s="26">
        <v>0.79166666666666663</v>
      </c>
      <c r="J559" s="2">
        <v>46035</v>
      </c>
      <c r="K559" s="25" t="s">
        <v>25</v>
      </c>
      <c r="L559" s="25" t="s">
        <v>835</v>
      </c>
      <c r="M559" s="25" t="s">
        <v>22</v>
      </c>
      <c r="N559" s="25" t="s">
        <v>22</v>
      </c>
      <c r="O559" s="25" t="s">
        <v>112</v>
      </c>
      <c r="P559" s="25" t="s">
        <v>23</v>
      </c>
    </row>
    <row r="560" spans="1:16" x14ac:dyDescent="0.25">
      <c r="A560">
        <v>537</v>
      </c>
      <c r="B560" s="25" t="s">
        <v>187</v>
      </c>
      <c r="C560" s="26">
        <v>0.79166666666666663</v>
      </c>
      <c r="D560" s="2">
        <v>46035</v>
      </c>
      <c r="E560" s="25" t="s">
        <v>188</v>
      </c>
      <c r="F560" s="25"/>
      <c r="G560" s="25" t="s">
        <v>836</v>
      </c>
      <c r="H560" s="26">
        <v>0.79166666666666663</v>
      </c>
      <c r="I560" s="26">
        <v>0.82638888888888884</v>
      </c>
      <c r="J560" s="2">
        <v>46035</v>
      </c>
      <c r="K560" s="25" t="s">
        <v>25</v>
      </c>
      <c r="L560" s="25" t="s">
        <v>837</v>
      </c>
      <c r="M560" s="25" t="s">
        <v>22</v>
      </c>
      <c r="N560" s="25" t="s">
        <v>22</v>
      </c>
      <c r="O560" s="25" t="s">
        <v>112</v>
      </c>
      <c r="P560" s="25" t="s">
        <v>23</v>
      </c>
    </row>
    <row r="561" spans="1:16" x14ac:dyDescent="0.25">
      <c r="A561">
        <v>538</v>
      </c>
      <c r="B561" s="25" t="s">
        <v>93</v>
      </c>
      <c r="C561" s="26">
        <v>0.26041666666666669</v>
      </c>
      <c r="D561" s="2">
        <v>46036</v>
      </c>
      <c r="E561" s="25"/>
      <c r="F561" s="25"/>
      <c r="G561" s="25" t="s">
        <v>838</v>
      </c>
      <c r="H561" s="26">
        <v>0.26041666666666669</v>
      </c>
      <c r="I561" s="26">
        <v>0.28125</v>
      </c>
      <c r="J561" s="2">
        <v>46036</v>
      </c>
      <c r="K561" s="25" t="s">
        <v>20</v>
      </c>
      <c r="L561" s="25" t="s">
        <v>839</v>
      </c>
      <c r="M561" s="25" t="s">
        <v>840</v>
      </c>
      <c r="N561" s="25" t="s">
        <v>22</v>
      </c>
      <c r="O561" s="25" t="s">
        <v>44</v>
      </c>
      <c r="P561" s="25" t="s">
        <v>23</v>
      </c>
    </row>
    <row r="562" spans="1:16" x14ac:dyDescent="0.25">
      <c r="A562">
        <v>539</v>
      </c>
      <c r="B562" s="25"/>
      <c r="C562" s="26"/>
      <c r="D562" s="2"/>
      <c r="E562" s="25"/>
      <c r="F562" s="25"/>
      <c r="G562" s="25"/>
      <c r="H562" s="26"/>
      <c r="I562" s="26"/>
      <c r="J562" s="2"/>
      <c r="K562" s="25"/>
      <c r="L562" s="25"/>
      <c r="M562" s="25"/>
      <c r="N562" s="25"/>
      <c r="O562" s="25"/>
      <c r="P562" s="25"/>
    </row>
    <row r="563" spans="1:16" x14ac:dyDescent="0.25">
      <c r="A563">
        <v>540</v>
      </c>
      <c r="B563" s="25" t="s">
        <v>103</v>
      </c>
      <c r="C563" s="26">
        <v>0.67777777777777781</v>
      </c>
      <c r="D563" s="2">
        <v>46036</v>
      </c>
      <c r="E563" s="25" t="s">
        <v>147</v>
      </c>
      <c r="F563" s="25" t="s">
        <v>650</v>
      </c>
      <c r="G563" s="25" t="s">
        <v>841</v>
      </c>
      <c r="H563" s="26">
        <v>0.70833333333333337</v>
      </c>
      <c r="I563" s="26">
        <v>0.73611111111111116</v>
      </c>
      <c r="J563" s="2">
        <v>46036</v>
      </c>
      <c r="K563" s="25" t="s">
        <v>25</v>
      </c>
      <c r="L563" s="25" t="s">
        <v>842</v>
      </c>
      <c r="M563" s="25" t="s">
        <v>843</v>
      </c>
      <c r="N563" s="25" t="s">
        <v>22</v>
      </c>
      <c r="O563" s="25" t="s">
        <v>112</v>
      </c>
      <c r="P563" s="25" t="s">
        <v>23</v>
      </c>
    </row>
    <row r="564" spans="1:16" x14ac:dyDescent="0.25">
      <c r="A564">
        <v>541</v>
      </c>
      <c r="B564" s="25" t="s">
        <v>187</v>
      </c>
      <c r="C564" s="26">
        <v>0.82291666666666663</v>
      </c>
      <c r="D564" s="2">
        <v>46036</v>
      </c>
      <c r="E564" s="25" t="s">
        <v>147</v>
      </c>
      <c r="F564" s="25"/>
      <c r="G564" s="25" t="s">
        <v>844</v>
      </c>
      <c r="H564" s="26">
        <v>0.82291666666666663</v>
      </c>
      <c r="I564" s="26">
        <v>0.85416666666666663</v>
      </c>
      <c r="J564" s="2">
        <v>46036</v>
      </c>
      <c r="K564" s="25" t="s">
        <v>775</v>
      </c>
      <c r="L564" s="25" t="s">
        <v>845</v>
      </c>
      <c r="M564" s="25" t="s">
        <v>22</v>
      </c>
      <c r="N564" s="25" t="s">
        <v>22</v>
      </c>
      <c r="O564" s="25" t="s">
        <v>112</v>
      </c>
      <c r="P564" s="25" t="s">
        <v>23</v>
      </c>
    </row>
    <row r="565" spans="1:16" x14ac:dyDescent="0.25">
      <c r="A565">
        <v>542</v>
      </c>
      <c r="B565" s="25" t="s">
        <v>231</v>
      </c>
      <c r="C565" s="26">
        <v>0.16666666666666666</v>
      </c>
      <c r="D565" s="2">
        <v>46036</v>
      </c>
      <c r="E565" s="25" t="s">
        <v>143</v>
      </c>
      <c r="F565" s="25" t="s">
        <v>18</v>
      </c>
      <c r="G565" s="25" t="s">
        <v>846</v>
      </c>
      <c r="H565" s="26">
        <v>0.1736111111111111</v>
      </c>
      <c r="I565" s="26">
        <v>0.19444444444444445</v>
      </c>
      <c r="J565" s="2">
        <v>46036</v>
      </c>
      <c r="K565" s="25" t="s">
        <v>25</v>
      </c>
      <c r="L565" s="25" t="s">
        <v>847</v>
      </c>
      <c r="M565" s="25" t="s">
        <v>22</v>
      </c>
      <c r="N565" s="25" t="s">
        <v>22</v>
      </c>
      <c r="O565" s="25" t="s">
        <v>661</v>
      </c>
      <c r="P565" s="25" t="s">
        <v>23</v>
      </c>
    </row>
    <row r="566" spans="1:16" x14ac:dyDescent="0.25">
      <c r="A566">
        <v>543</v>
      </c>
      <c r="B566" s="25" t="s">
        <v>93</v>
      </c>
      <c r="C566" s="26">
        <v>0.34722222222222221</v>
      </c>
      <c r="D566" s="2">
        <v>46037</v>
      </c>
      <c r="E566" s="25" t="s">
        <v>91</v>
      </c>
      <c r="F566" s="25"/>
      <c r="G566" s="25" t="s">
        <v>848</v>
      </c>
      <c r="H566" s="26">
        <v>0.38194444444444442</v>
      </c>
      <c r="I566" s="26">
        <v>0.40625</v>
      </c>
      <c r="J566" s="2">
        <v>46037</v>
      </c>
      <c r="K566" s="25" t="s">
        <v>25</v>
      </c>
      <c r="L566" s="25" t="s">
        <v>849</v>
      </c>
      <c r="M566" s="25" t="s">
        <v>850</v>
      </c>
      <c r="N566" s="25" t="s">
        <v>22</v>
      </c>
      <c r="O566" s="25" t="s">
        <v>44</v>
      </c>
      <c r="P566" s="25" t="s">
        <v>23</v>
      </c>
    </row>
    <row r="567" spans="1:16" x14ac:dyDescent="0.25">
      <c r="A567">
        <v>544</v>
      </c>
      <c r="B567" s="25" t="s">
        <v>93</v>
      </c>
      <c r="C567" s="26">
        <v>0.4375</v>
      </c>
      <c r="D567" s="2">
        <v>46037</v>
      </c>
      <c r="E567" s="25" t="s">
        <v>116</v>
      </c>
      <c r="F567" s="25"/>
      <c r="G567" s="25" t="s">
        <v>851</v>
      </c>
      <c r="H567" s="26">
        <v>0.4375</v>
      </c>
      <c r="I567" s="26">
        <v>0.53125</v>
      </c>
      <c r="J567" s="2">
        <v>46037</v>
      </c>
      <c r="K567" s="25" t="s">
        <v>25</v>
      </c>
      <c r="L567" s="25" t="s">
        <v>852</v>
      </c>
      <c r="M567" s="25" t="s">
        <v>22</v>
      </c>
      <c r="N567" s="25" t="s">
        <v>22</v>
      </c>
      <c r="O567" s="25" t="s">
        <v>44</v>
      </c>
      <c r="P567" s="25" t="s">
        <v>23</v>
      </c>
    </row>
    <row r="568" spans="1:16" x14ac:dyDescent="0.25">
      <c r="A568">
        <v>545</v>
      </c>
      <c r="B568" s="25" t="s">
        <v>199</v>
      </c>
      <c r="C568" s="26">
        <v>0.375</v>
      </c>
      <c r="D568" s="2">
        <v>46037</v>
      </c>
      <c r="E568" s="25" t="s">
        <v>91</v>
      </c>
      <c r="F568" s="25" t="s">
        <v>18</v>
      </c>
      <c r="G568" s="25" t="s">
        <v>853</v>
      </c>
      <c r="H568" s="26"/>
      <c r="I568" s="26"/>
      <c r="J568" s="2"/>
      <c r="K568" s="25"/>
      <c r="L568" s="25" t="s">
        <v>854</v>
      </c>
      <c r="M568" s="25"/>
      <c r="N568" s="25"/>
      <c r="O568" s="25"/>
      <c r="P568" s="25" t="s">
        <v>33</v>
      </c>
    </row>
    <row r="569" spans="1:16" x14ac:dyDescent="0.25">
      <c r="A569">
        <v>546</v>
      </c>
      <c r="B569" s="25" t="s">
        <v>199</v>
      </c>
      <c r="C569" s="26">
        <v>0.20833333333333334</v>
      </c>
      <c r="D569" s="2">
        <v>46037</v>
      </c>
      <c r="E569" s="25" t="s">
        <v>91</v>
      </c>
      <c r="F569" s="25"/>
      <c r="G569" s="25" t="s">
        <v>855</v>
      </c>
      <c r="H569" s="26">
        <v>0.33333333333333331</v>
      </c>
      <c r="I569" s="26">
        <v>0.3888888888888889</v>
      </c>
      <c r="J569" s="2">
        <v>46037</v>
      </c>
      <c r="K569" s="25" t="s">
        <v>25</v>
      </c>
      <c r="L569" s="25" t="s">
        <v>856</v>
      </c>
      <c r="M569" s="25" t="s">
        <v>22</v>
      </c>
      <c r="N569" s="25" t="s">
        <v>22</v>
      </c>
      <c r="O569" s="25" t="s">
        <v>857</v>
      </c>
      <c r="P569" s="25" t="s">
        <v>23</v>
      </c>
    </row>
    <row r="570" spans="1:16" x14ac:dyDescent="0.25">
      <c r="A570">
        <v>547</v>
      </c>
      <c r="B570" s="25" t="s">
        <v>93</v>
      </c>
      <c r="C570" s="26">
        <v>0.53125</v>
      </c>
      <c r="D570" s="2">
        <v>46037</v>
      </c>
      <c r="E570" s="25" t="s">
        <v>116</v>
      </c>
      <c r="F570" s="25"/>
      <c r="G570" s="25" t="s">
        <v>858</v>
      </c>
      <c r="H570" s="26">
        <v>0.54166666666666663</v>
      </c>
      <c r="I570" s="26">
        <v>0.62708333333333333</v>
      </c>
      <c r="J570" s="2">
        <v>46037</v>
      </c>
      <c r="K570" s="25" t="s">
        <v>25</v>
      </c>
      <c r="L570" s="25" t="s">
        <v>859</v>
      </c>
      <c r="M570" s="25" t="s">
        <v>860</v>
      </c>
      <c r="N570" s="25" t="s">
        <v>22</v>
      </c>
      <c r="O570" s="25" t="s">
        <v>661</v>
      </c>
      <c r="P570" s="25" t="s">
        <v>23</v>
      </c>
    </row>
    <row r="571" spans="1:16" x14ac:dyDescent="0.25">
      <c r="A571">
        <v>548</v>
      </c>
      <c r="B571" s="25" t="s">
        <v>164</v>
      </c>
      <c r="C571" s="26">
        <v>0.64236111111111116</v>
      </c>
      <c r="D571" s="2">
        <v>46037</v>
      </c>
      <c r="E571" s="25" t="s">
        <v>143</v>
      </c>
      <c r="F571" s="25" t="s">
        <v>18</v>
      </c>
      <c r="G571" s="25" t="s">
        <v>861</v>
      </c>
      <c r="H571" s="26"/>
      <c r="I571" s="26"/>
      <c r="J571" s="2"/>
      <c r="K571" s="25"/>
      <c r="L571" s="25"/>
      <c r="M571" s="25"/>
      <c r="N571" s="25"/>
      <c r="O571" s="25"/>
      <c r="P571" s="25" t="s">
        <v>33</v>
      </c>
    </row>
    <row r="572" spans="1:16" x14ac:dyDescent="0.25">
      <c r="A572">
        <v>549</v>
      </c>
      <c r="B572" s="25" t="s">
        <v>103</v>
      </c>
      <c r="C572" s="26">
        <v>0.5</v>
      </c>
      <c r="D572" s="2">
        <v>46037</v>
      </c>
      <c r="E572" s="25" t="s">
        <v>147</v>
      </c>
      <c r="F572" s="25" t="s">
        <v>18</v>
      </c>
      <c r="G572" s="25" t="s">
        <v>862</v>
      </c>
      <c r="H572" s="26">
        <v>0.77083333333333337</v>
      </c>
      <c r="I572" s="26">
        <v>0.7895833333333333</v>
      </c>
      <c r="J572" s="2">
        <v>46037</v>
      </c>
      <c r="K572" s="25" t="s">
        <v>25</v>
      </c>
      <c r="L572" s="25" t="s">
        <v>863</v>
      </c>
      <c r="M572" s="25" t="s">
        <v>22</v>
      </c>
      <c r="N572" s="25" t="s">
        <v>22</v>
      </c>
      <c r="O572" s="25" t="s">
        <v>661</v>
      </c>
      <c r="P572" s="25" t="s">
        <v>23</v>
      </c>
    </row>
    <row r="573" spans="1:16" x14ac:dyDescent="0.25">
      <c r="A573">
        <v>550</v>
      </c>
      <c r="B573" s="25" t="s">
        <v>206</v>
      </c>
      <c r="C573" s="26">
        <v>0.77777777777777779</v>
      </c>
      <c r="D573" s="2">
        <v>46037</v>
      </c>
      <c r="E573" s="25" t="s">
        <v>116</v>
      </c>
      <c r="F573" s="25"/>
      <c r="G573" s="25" t="s">
        <v>864</v>
      </c>
      <c r="H573" s="26">
        <v>0.79097222222222219</v>
      </c>
      <c r="I573" s="26">
        <v>0.87152777777777779</v>
      </c>
      <c r="J573" s="2">
        <v>46037</v>
      </c>
      <c r="K573" s="25" t="s">
        <v>20</v>
      </c>
      <c r="L573" s="25" t="s">
        <v>865</v>
      </c>
      <c r="M573" s="25" t="s">
        <v>722</v>
      </c>
      <c r="N573" s="25" t="s">
        <v>22</v>
      </c>
      <c r="O573" s="25" t="s">
        <v>661</v>
      </c>
      <c r="P573" s="25" t="s">
        <v>23</v>
      </c>
    </row>
    <row r="574" spans="1:16" x14ac:dyDescent="0.25">
      <c r="A574">
        <v>551</v>
      </c>
      <c r="B574" s="25" t="s">
        <v>206</v>
      </c>
      <c r="C574" s="26">
        <v>0.68402777777777779</v>
      </c>
      <c r="D574" s="2">
        <v>46037</v>
      </c>
      <c r="E574" s="25" t="s">
        <v>116</v>
      </c>
      <c r="F574" s="25"/>
      <c r="G574" s="25" t="s">
        <v>866</v>
      </c>
      <c r="H574" s="26">
        <v>0.69444444444444442</v>
      </c>
      <c r="I574" s="26">
        <v>0.75694444444444442</v>
      </c>
      <c r="J574" s="2">
        <v>46037</v>
      </c>
      <c r="K574" s="25" t="s">
        <v>775</v>
      </c>
      <c r="L574" s="25" t="s">
        <v>867</v>
      </c>
      <c r="M574" s="25" t="s">
        <v>868</v>
      </c>
      <c r="N574" s="25" t="s">
        <v>22</v>
      </c>
      <c r="O574" s="25" t="s">
        <v>661</v>
      </c>
      <c r="P574" s="25" t="s">
        <v>23</v>
      </c>
    </row>
    <row r="575" spans="1:16" x14ac:dyDescent="0.25">
      <c r="A575">
        <v>552</v>
      </c>
      <c r="B575" s="25"/>
      <c r="C575" s="26"/>
      <c r="D575" s="2"/>
      <c r="E575" s="25"/>
      <c r="F575" s="25"/>
      <c r="G575" s="25"/>
      <c r="H575" s="26"/>
      <c r="I575" s="26"/>
      <c r="J575" s="2"/>
      <c r="K575" s="25"/>
      <c r="L575" s="25"/>
      <c r="M575" s="25"/>
      <c r="N575" s="25"/>
      <c r="O575" s="25"/>
      <c r="P575" s="25"/>
    </row>
    <row r="576" spans="1:16" x14ac:dyDescent="0.25">
      <c r="A576">
        <v>553</v>
      </c>
      <c r="B576" s="25" t="s">
        <v>93</v>
      </c>
      <c r="C576" s="26">
        <v>0.29166666666666669</v>
      </c>
      <c r="D576" s="2">
        <v>46038</v>
      </c>
      <c r="E576" s="25" t="s">
        <v>94</v>
      </c>
      <c r="F576" s="25"/>
      <c r="G576" s="25" t="s">
        <v>869</v>
      </c>
      <c r="H576" s="26">
        <v>0.29166666666666669</v>
      </c>
      <c r="I576" s="26">
        <v>0.3125</v>
      </c>
      <c r="J576" s="2">
        <v>46038</v>
      </c>
      <c r="K576" s="25" t="s">
        <v>870</v>
      </c>
      <c r="L576" s="25" t="s">
        <v>871</v>
      </c>
      <c r="M576" s="25" t="s">
        <v>22</v>
      </c>
      <c r="N576" s="25" t="s">
        <v>22</v>
      </c>
      <c r="O576" s="25" t="s">
        <v>44</v>
      </c>
      <c r="P576" s="25" t="s">
        <v>23</v>
      </c>
    </row>
    <row r="577" spans="1:16" x14ac:dyDescent="0.25">
      <c r="A577">
        <v>554</v>
      </c>
      <c r="B577" s="25" t="s">
        <v>93</v>
      </c>
      <c r="C577" s="26">
        <v>0.375</v>
      </c>
      <c r="D577" s="2">
        <v>46038</v>
      </c>
      <c r="E577" s="25" t="s">
        <v>143</v>
      </c>
      <c r="F577" s="25"/>
      <c r="G577" s="25" t="s">
        <v>872</v>
      </c>
      <c r="H577" s="26">
        <v>0.38194444444444442</v>
      </c>
      <c r="I577" s="26">
        <v>0.39583333333333331</v>
      </c>
      <c r="J577" s="2">
        <v>46038</v>
      </c>
      <c r="K577" s="25" t="s">
        <v>20</v>
      </c>
      <c r="L577" s="25" t="s">
        <v>873</v>
      </c>
      <c r="M577" s="25" t="s">
        <v>22</v>
      </c>
      <c r="N577" s="25" t="s">
        <v>22</v>
      </c>
      <c r="O577" s="25" t="s">
        <v>44</v>
      </c>
      <c r="P577" s="25" t="s">
        <v>23</v>
      </c>
    </row>
    <row r="578" spans="1:16" x14ac:dyDescent="0.25">
      <c r="A578">
        <v>555</v>
      </c>
      <c r="B578" s="25" t="s">
        <v>231</v>
      </c>
      <c r="C578" s="26">
        <v>0.46736111111111112</v>
      </c>
      <c r="D578" s="2">
        <v>46038</v>
      </c>
      <c r="E578" s="25" t="s">
        <v>143</v>
      </c>
      <c r="F578" s="25" t="s">
        <v>18</v>
      </c>
      <c r="G578" s="25" t="s">
        <v>874</v>
      </c>
      <c r="H578" s="26">
        <v>0.46875</v>
      </c>
      <c r="I578" s="26">
        <v>0.47916666666666669</v>
      </c>
      <c r="J578" s="2">
        <v>46038</v>
      </c>
      <c r="K578" s="25" t="s">
        <v>25</v>
      </c>
      <c r="L578" s="25" t="s">
        <v>875</v>
      </c>
      <c r="M578" s="25" t="s">
        <v>22</v>
      </c>
      <c r="N578" s="25" t="s">
        <v>673</v>
      </c>
      <c r="O578" s="25" t="s">
        <v>44</v>
      </c>
      <c r="P578" s="25" t="s">
        <v>23</v>
      </c>
    </row>
    <row r="579" spans="1:16" x14ac:dyDescent="0.25">
      <c r="A579">
        <v>556</v>
      </c>
      <c r="B579" s="25" t="s">
        <v>93</v>
      </c>
      <c r="C579" s="26">
        <v>0.52430555555555558</v>
      </c>
      <c r="D579" s="2">
        <v>46038</v>
      </c>
      <c r="E579" s="25" t="s">
        <v>116</v>
      </c>
      <c r="F579" s="25"/>
      <c r="G579" s="25" t="s">
        <v>876</v>
      </c>
      <c r="H579" s="26">
        <v>0.52430555555555558</v>
      </c>
      <c r="I579" s="26">
        <v>0.54166666666666663</v>
      </c>
      <c r="J579" s="2">
        <v>46038</v>
      </c>
      <c r="K579" s="25" t="s">
        <v>25</v>
      </c>
      <c r="L579" s="25" t="s">
        <v>877</v>
      </c>
      <c r="M579" s="25" t="s">
        <v>22</v>
      </c>
      <c r="N579" s="25" t="s">
        <v>22</v>
      </c>
      <c r="O579" s="25" t="s">
        <v>44</v>
      </c>
      <c r="P579" s="25" t="s">
        <v>23</v>
      </c>
    </row>
    <row r="580" spans="1:16" x14ac:dyDescent="0.25">
      <c r="A580">
        <v>557</v>
      </c>
      <c r="B580" s="25" t="s">
        <v>176</v>
      </c>
      <c r="C580" s="26">
        <v>0.58333333333333337</v>
      </c>
      <c r="D580" s="2">
        <v>46038</v>
      </c>
      <c r="E580" s="25" t="s">
        <v>185</v>
      </c>
      <c r="F580" s="25"/>
      <c r="G580" s="25" t="s">
        <v>878</v>
      </c>
      <c r="H580" s="26">
        <v>0.58402777777777781</v>
      </c>
      <c r="I580" s="26">
        <v>0.59722222222222221</v>
      </c>
      <c r="J580" s="2">
        <v>46038</v>
      </c>
      <c r="K580" s="25" t="s">
        <v>25</v>
      </c>
      <c r="L580" s="25" t="s">
        <v>879</v>
      </c>
      <c r="M580" s="25" t="s">
        <v>22</v>
      </c>
      <c r="N580" s="25" t="s">
        <v>22</v>
      </c>
      <c r="O580" s="25" t="s">
        <v>661</v>
      </c>
      <c r="P580" s="25" t="s">
        <v>23</v>
      </c>
    </row>
    <row r="581" spans="1:16" x14ac:dyDescent="0.25">
      <c r="A581">
        <v>558</v>
      </c>
      <c r="B581" s="25" t="s">
        <v>206</v>
      </c>
      <c r="C581" s="26">
        <v>0.68055555555555558</v>
      </c>
      <c r="D581" s="2">
        <v>46038</v>
      </c>
      <c r="E581" s="25" t="s">
        <v>94</v>
      </c>
      <c r="F581" s="25"/>
      <c r="G581" s="25" t="s">
        <v>880</v>
      </c>
      <c r="H581" s="26">
        <v>0.68194444444444446</v>
      </c>
      <c r="I581" s="26">
        <v>0.71180555555555558</v>
      </c>
      <c r="J581" s="2">
        <v>46038</v>
      </c>
      <c r="K581" s="25" t="s">
        <v>25</v>
      </c>
      <c r="L581" s="25" t="s">
        <v>881</v>
      </c>
      <c r="M581" s="25" t="s">
        <v>22</v>
      </c>
      <c r="N581" s="25" t="s">
        <v>22</v>
      </c>
      <c r="O581" s="25" t="s">
        <v>661</v>
      </c>
      <c r="P581" s="25" t="s">
        <v>23</v>
      </c>
    </row>
    <row r="582" spans="1:16" x14ac:dyDescent="0.25">
      <c r="A582">
        <v>559</v>
      </c>
      <c r="B582" s="25"/>
      <c r="C582" s="26"/>
      <c r="D582" s="2"/>
      <c r="E582" s="25"/>
      <c r="F582" s="25"/>
      <c r="G582" s="25"/>
      <c r="H582" s="26"/>
      <c r="I582" s="26"/>
      <c r="J582" s="2"/>
      <c r="K582" s="25"/>
      <c r="L582" s="25"/>
      <c r="M582" s="25"/>
      <c r="N582" s="25"/>
      <c r="O582" s="25"/>
      <c r="P582" s="25"/>
    </row>
    <row r="583" spans="1:16" x14ac:dyDescent="0.25">
      <c r="A583">
        <v>560</v>
      </c>
      <c r="B583" s="25" t="s">
        <v>164</v>
      </c>
      <c r="C583" s="26">
        <v>0.85416666666666663</v>
      </c>
      <c r="D583" s="2">
        <v>46038</v>
      </c>
      <c r="E583" s="25" t="s">
        <v>143</v>
      </c>
      <c r="F583" s="25"/>
      <c r="G583" s="25" t="s">
        <v>882</v>
      </c>
      <c r="H583" s="26">
        <v>0.85763888888888884</v>
      </c>
      <c r="I583" s="26">
        <v>0.86805555555555558</v>
      </c>
      <c r="J583" s="2">
        <v>46038</v>
      </c>
      <c r="K583" s="25" t="s">
        <v>25</v>
      </c>
      <c r="L583" s="25" t="s">
        <v>883</v>
      </c>
      <c r="M583" s="25" t="s">
        <v>22</v>
      </c>
      <c r="N583" s="25" t="s">
        <v>22</v>
      </c>
      <c r="O583" s="25" t="s">
        <v>661</v>
      </c>
      <c r="P583" s="25" t="s">
        <v>23</v>
      </c>
    </row>
    <row r="584" spans="1:16" x14ac:dyDescent="0.25">
      <c r="A584">
        <v>561</v>
      </c>
      <c r="B584" s="25" t="s">
        <v>206</v>
      </c>
      <c r="C584" s="26">
        <v>0.86805555555555558</v>
      </c>
      <c r="D584" s="2">
        <v>46038</v>
      </c>
      <c r="E584" s="25" t="s">
        <v>94</v>
      </c>
      <c r="F584" s="25"/>
      <c r="G584" s="25" t="s">
        <v>864</v>
      </c>
      <c r="H584" s="26">
        <v>0.87152777777777779</v>
      </c>
      <c r="I584" s="26">
        <v>0.89583333333333337</v>
      </c>
      <c r="J584" s="2">
        <v>46038</v>
      </c>
      <c r="K584" s="25" t="s">
        <v>20</v>
      </c>
      <c r="L584" s="25" t="s">
        <v>884</v>
      </c>
      <c r="M584" s="25" t="s">
        <v>722</v>
      </c>
      <c r="N584" s="25" t="s">
        <v>22</v>
      </c>
      <c r="O584" s="25" t="s">
        <v>661</v>
      </c>
      <c r="P584" s="25" t="s">
        <v>23</v>
      </c>
    </row>
    <row r="585" spans="1:16" x14ac:dyDescent="0.25">
      <c r="A585">
        <v>562</v>
      </c>
      <c r="B585" s="25" t="s">
        <v>103</v>
      </c>
      <c r="C585" s="26">
        <v>0.24305555555555555</v>
      </c>
      <c r="D585" s="2">
        <v>46039</v>
      </c>
      <c r="E585" s="25" t="s">
        <v>147</v>
      </c>
      <c r="F585" s="25" t="s">
        <v>18</v>
      </c>
      <c r="G585" s="25" t="s">
        <v>885</v>
      </c>
      <c r="H585" s="26">
        <v>0.58333333333333337</v>
      </c>
      <c r="I585" s="26">
        <v>0.60416666666666663</v>
      </c>
      <c r="J585" s="2">
        <v>46039</v>
      </c>
      <c r="K585" s="25" t="s">
        <v>20</v>
      </c>
      <c r="L585" s="25" t="s">
        <v>886</v>
      </c>
      <c r="M585" s="25" t="s">
        <v>814</v>
      </c>
      <c r="N585" s="25" t="s">
        <v>22</v>
      </c>
      <c r="O585" s="25" t="s">
        <v>112</v>
      </c>
      <c r="P585" s="25" t="s">
        <v>23</v>
      </c>
    </row>
    <row r="586" spans="1:16" x14ac:dyDescent="0.25">
      <c r="A586">
        <v>563</v>
      </c>
      <c r="B586" s="25" t="s">
        <v>164</v>
      </c>
      <c r="C586" s="26">
        <v>0.22569444444444445</v>
      </c>
      <c r="D586" s="2">
        <v>46039</v>
      </c>
      <c r="E586" s="25" t="s">
        <v>143</v>
      </c>
      <c r="F586" s="25" t="s">
        <v>18</v>
      </c>
      <c r="G586" s="25" t="s">
        <v>887</v>
      </c>
      <c r="H586" s="26">
        <v>0.25</v>
      </c>
      <c r="I586" s="26">
        <v>0.3125</v>
      </c>
      <c r="J586" s="2">
        <v>46039</v>
      </c>
      <c r="K586" s="25" t="s">
        <v>20</v>
      </c>
      <c r="L586" s="25" t="s">
        <v>888</v>
      </c>
      <c r="M586" s="25" t="s">
        <v>22</v>
      </c>
      <c r="N586" s="25" t="s">
        <v>22</v>
      </c>
      <c r="O586" s="25" t="s">
        <v>112</v>
      </c>
      <c r="P586" s="25" t="s">
        <v>33</v>
      </c>
    </row>
    <row r="587" spans="1:16" x14ac:dyDescent="0.25">
      <c r="A587">
        <v>564</v>
      </c>
      <c r="B587" s="25" t="s">
        <v>93</v>
      </c>
      <c r="C587" s="26">
        <v>0.2638888888888889</v>
      </c>
      <c r="D587" s="2">
        <v>46039</v>
      </c>
      <c r="E587" s="25" t="s">
        <v>109</v>
      </c>
      <c r="F587" s="25"/>
      <c r="G587" s="25" t="s">
        <v>889</v>
      </c>
      <c r="H587" s="26">
        <v>0.3611111111111111</v>
      </c>
      <c r="I587" s="26">
        <v>0.39583333333333331</v>
      </c>
      <c r="J587" s="2">
        <v>46039</v>
      </c>
      <c r="K587" s="25" t="s">
        <v>25</v>
      </c>
      <c r="L587" s="25" t="s">
        <v>890</v>
      </c>
      <c r="M587" s="25" t="s">
        <v>22</v>
      </c>
      <c r="N587" s="25" t="s">
        <v>22</v>
      </c>
      <c r="O587" s="25" t="s">
        <v>112</v>
      </c>
      <c r="P587" s="25" t="s">
        <v>23</v>
      </c>
    </row>
    <row r="588" spans="1:16" x14ac:dyDescent="0.25">
      <c r="A588">
        <v>565</v>
      </c>
      <c r="B588" s="25" t="s">
        <v>132</v>
      </c>
      <c r="C588" s="26">
        <v>0.54166666666666663</v>
      </c>
      <c r="D588" s="2">
        <v>46093</v>
      </c>
      <c r="E588" s="25" t="s">
        <v>91</v>
      </c>
      <c r="F588" s="25" t="s">
        <v>18</v>
      </c>
      <c r="G588" s="25" t="s">
        <v>1573</v>
      </c>
      <c r="H588" s="26">
        <v>0.54166666666666663</v>
      </c>
      <c r="I588" s="26">
        <v>0.27430555555555558</v>
      </c>
      <c r="J588" s="2">
        <v>46094</v>
      </c>
      <c r="K588" s="25" t="s">
        <v>25</v>
      </c>
      <c r="L588" s="25" t="s">
        <v>1574</v>
      </c>
      <c r="M588" s="25" t="s">
        <v>22</v>
      </c>
      <c r="N588" s="25" t="s">
        <v>205</v>
      </c>
      <c r="O588" s="25" t="s">
        <v>112</v>
      </c>
      <c r="P588" s="25" t="s">
        <v>23</v>
      </c>
    </row>
    <row r="589" spans="1:16" x14ac:dyDescent="0.25">
      <c r="A589">
        <v>566</v>
      </c>
      <c r="B589" s="25" t="s">
        <v>93</v>
      </c>
      <c r="C589" s="26">
        <v>0.52777777777777779</v>
      </c>
      <c r="D589" s="2">
        <v>46039</v>
      </c>
      <c r="E589" s="25" t="s">
        <v>116</v>
      </c>
      <c r="F589" s="25"/>
      <c r="G589" s="25" t="s">
        <v>891</v>
      </c>
      <c r="H589" s="26">
        <v>0.52777777777777779</v>
      </c>
      <c r="I589" s="26">
        <v>0.54861111111111116</v>
      </c>
      <c r="J589" s="2">
        <v>46039</v>
      </c>
      <c r="K589" s="25" t="s">
        <v>25</v>
      </c>
      <c r="L589" s="25" t="s">
        <v>892</v>
      </c>
      <c r="M589" s="25" t="s">
        <v>22</v>
      </c>
      <c r="N589" s="25" t="s">
        <v>22</v>
      </c>
      <c r="O589" s="25" t="s">
        <v>112</v>
      </c>
      <c r="P589" s="25" t="s">
        <v>23</v>
      </c>
    </row>
    <row r="590" spans="1:16" x14ac:dyDescent="0.25">
      <c r="A590">
        <v>567</v>
      </c>
      <c r="B590" s="25" t="s">
        <v>93</v>
      </c>
      <c r="C590" s="26">
        <v>0.51388888888888884</v>
      </c>
      <c r="D590" s="2">
        <v>46039</v>
      </c>
      <c r="E590" s="25" t="s">
        <v>94</v>
      </c>
      <c r="F590" s="25"/>
      <c r="G590" s="25" t="s">
        <v>520</v>
      </c>
      <c r="H590" s="26">
        <v>0.51388888888888884</v>
      </c>
      <c r="I590" s="26">
        <v>0.52777777777777779</v>
      </c>
      <c r="J590" s="2">
        <v>46039</v>
      </c>
      <c r="K590" s="25" t="s">
        <v>20</v>
      </c>
      <c r="L590" s="25" t="s">
        <v>893</v>
      </c>
      <c r="M590" s="25" t="s">
        <v>22</v>
      </c>
      <c r="N590" s="25" t="s">
        <v>22</v>
      </c>
      <c r="O590" s="25" t="s">
        <v>112</v>
      </c>
      <c r="P590" s="25" t="s">
        <v>23</v>
      </c>
    </row>
    <row r="591" spans="1:16" x14ac:dyDescent="0.25">
      <c r="A591">
        <v>568</v>
      </c>
      <c r="B591" s="25" t="s">
        <v>199</v>
      </c>
      <c r="C591" s="26">
        <v>0.63194444444444442</v>
      </c>
      <c r="D591" s="2">
        <v>46039</v>
      </c>
      <c r="E591" s="25" t="s">
        <v>91</v>
      </c>
      <c r="F591" s="25"/>
      <c r="G591" s="25" t="s">
        <v>894</v>
      </c>
      <c r="H591" s="26">
        <v>0.63194444444444442</v>
      </c>
      <c r="I591" s="26">
        <v>0.70833333333333337</v>
      </c>
      <c r="J591" s="2">
        <v>46039</v>
      </c>
      <c r="K591" s="25" t="s">
        <v>25</v>
      </c>
      <c r="L591" s="25" t="s">
        <v>895</v>
      </c>
      <c r="M591" s="25" t="s">
        <v>22</v>
      </c>
      <c r="N591" s="25" t="s">
        <v>22</v>
      </c>
      <c r="O591" s="25" t="s">
        <v>112</v>
      </c>
      <c r="P591" s="25" t="s">
        <v>23</v>
      </c>
    </row>
    <row r="592" spans="1:16" x14ac:dyDescent="0.25">
      <c r="A592">
        <v>569</v>
      </c>
      <c r="B592" s="25" t="s">
        <v>139</v>
      </c>
      <c r="C592" s="26">
        <v>0.3125</v>
      </c>
      <c r="D592" s="2">
        <v>46039</v>
      </c>
      <c r="E592" s="25" t="s">
        <v>104</v>
      </c>
      <c r="F592" s="25"/>
      <c r="G592" s="25" t="s">
        <v>564</v>
      </c>
      <c r="H592" s="26">
        <v>0.31944444444444442</v>
      </c>
      <c r="I592" s="26">
        <v>0.34722222222222221</v>
      </c>
      <c r="J592" s="2">
        <v>46039</v>
      </c>
      <c r="K592" s="25" t="s">
        <v>20</v>
      </c>
      <c r="L592" s="25" t="s">
        <v>896</v>
      </c>
      <c r="M592" s="25" t="s">
        <v>22</v>
      </c>
      <c r="N592" s="25" t="s">
        <v>22</v>
      </c>
      <c r="O592" s="25" t="s">
        <v>112</v>
      </c>
      <c r="P592" s="25" t="s">
        <v>23</v>
      </c>
    </row>
    <row r="593" spans="1:16" x14ac:dyDescent="0.25">
      <c r="A593">
        <v>570</v>
      </c>
      <c r="B593" s="25" t="s">
        <v>206</v>
      </c>
      <c r="C593" s="26">
        <v>0.58333333333333337</v>
      </c>
      <c r="D593" s="2">
        <v>46039</v>
      </c>
      <c r="E593" s="25" t="s">
        <v>185</v>
      </c>
      <c r="F593" s="25" t="s">
        <v>650</v>
      </c>
      <c r="G593" s="25" t="s">
        <v>897</v>
      </c>
      <c r="H593" s="26">
        <v>0.625</v>
      </c>
      <c r="I593" s="26">
        <v>0.63888888888888884</v>
      </c>
      <c r="J593" s="2">
        <v>46039</v>
      </c>
      <c r="K593" s="25" t="s">
        <v>25</v>
      </c>
      <c r="L593" s="25" t="s">
        <v>898</v>
      </c>
      <c r="M593" s="25" t="s">
        <v>22</v>
      </c>
      <c r="N593" s="25" t="s">
        <v>22</v>
      </c>
      <c r="O593" s="25" t="s">
        <v>112</v>
      </c>
      <c r="P593" s="25" t="s">
        <v>23</v>
      </c>
    </row>
    <row r="594" spans="1:16" x14ac:dyDescent="0.25">
      <c r="A594">
        <v>571</v>
      </c>
      <c r="B594" s="25" t="s">
        <v>341</v>
      </c>
      <c r="C594" s="26">
        <v>0.41666666666666669</v>
      </c>
      <c r="D594" s="2">
        <v>46039</v>
      </c>
      <c r="E594" s="25" t="s">
        <v>143</v>
      </c>
      <c r="F594" s="25"/>
      <c r="G594" s="25" t="s">
        <v>899</v>
      </c>
      <c r="H594" s="26">
        <v>0.41666666666666669</v>
      </c>
      <c r="I594" s="26">
        <v>0.43055555555555558</v>
      </c>
      <c r="J594" s="2">
        <v>46039</v>
      </c>
      <c r="K594" s="25" t="s">
        <v>20</v>
      </c>
      <c r="L594" s="25" t="s">
        <v>900</v>
      </c>
      <c r="M594" s="25" t="s">
        <v>22</v>
      </c>
      <c r="N594" s="25" t="s">
        <v>22</v>
      </c>
      <c r="O594" s="25" t="s">
        <v>112</v>
      </c>
      <c r="P594" s="25" t="s">
        <v>23</v>
      </c>
    </row>
    <row r="595" spans="1:16" x14ac:dyDescent="0.25">
      <c r="A595">
        <v>572</v>
      </c>
      <c r="B595" s="25" t="s">
        <v>176</v>
      </c>
      <c r="C595" s="26">
        <v>0.72222222222222221</v>
      </c>
      <c r="D595" s="2">
        <v>46039</v>
      </c>
      <c r="E595" s="25" t="s">
        <v>116</v>
      </c>
      <c r="F595" s="25"/>
      <c r="G595" s="25" t="s">
        <v>901</v>
      </c>
      <c r="H595" s="26">
        <v>0.72222222222222221</v>
      </c>
      <c r="I595" s="26">
        <v>0.74305555555555558</v>
      </c>
      <c r="J595" s="2">
        <v>46039</v>
      </c>
      <c r="K595" s="25" t="s">
        <v>25</v>
      </c>
      <c r="L595" s="25" t="s">
        <v>902</v>
      </c>
      <c r="M595" s="25" t="s">
        <v>22</v>
      </c>
      <c r="N595" s="25" t="s">
        <v>22</v>
      </c>
      <c r="O595" s="25" t="s">
        <v>112</v>
      </c>
      <c r="P595" s="25" t="s">
        <v>23</v>
      </c>
    </row>
    <row r="596" spans="1:16" x14ac:dyDescent="0.25">
      <c r="A596">
        <v>573</v>
      </c>
      <c r="B596" s="25" t="s">
        <v>231</v>
      </c>
      <c r="C596" s="26">
        <v>0.77777777777777779</v>
      </c>
      <c r="D596" s="2">
        <v>46039</v>
      </c>
      <c r="E596" s="25" t="s">
        <v>143</v>
      </c>
      <c r="F596" s="25"/>
      <c r="G596" s="25" t="s">
        <v>903</v>
      </c>
      <c r="H596" s="26">
        <v>0.77777777777777779</v>
      </c>
      <c r="I596" s="26">
        <v>0.80208333333333337</v>
      </c>
      <c r="J596" s="2">
        <v>46039</v>
      </c>
      <c r="K596" s="25" t="s">
        <v>25</v>
      </c>
      <c r="L596" s="25" t="s">
        <v>904</v>
      </c>
      <c r="M596" s="25" t="s">
        <v>22</v>
      </c>
      <c r="N596" s="25" t="s">
        <v>673</v>
      </c>
      <c r="O596" s="25" t="s">
        <v>44</v>
      </c>
      <c r="P596" s="25" t="s">
        <v>23</v>
      </c>
    </row>
    <row r="597" spans="1:16" x14ac:dyDescent="0.25">
      <c r="A597">
        <v>574</v>
      </c>
      <c r="B597" s="25" t="s">
        <v>206</v>
      </c>
      <c r="C597" s="26">
        <v>0.27777777777777779</v>
      </c>
      <c r="D597" s="2">
        <v>46039</v>
      </c>
      <c r="E597" s="25" t="s">
        <v>185</v>
      </c>
      <c r="F597" s="25" t="s">
        <v>650</v>
      </c>
      <c r="G597" s="25" t="s">
        <v>905</v>
      </c>
      <c r="H597" s="26">
        <v>0</v>
      </c>
      <c r="I597" s="26">
        <v>0.125</v>
      </c>
      <c r="J597" s="2">
        <v>46039</v>
      </c>
      <c r="K597" s="25" t="s">
        <v>25</v>
      </c>
      <c r="L597" s="25" t="s">
        <v>906</v>
      </c>
      <c r="M597" s="25" t="s">
        <v>22</v>
      </c>
      <c r="N597" s="25" t="s">
        <v>22</v>
      </c>
      <c r="O597" s="25" t="s">
        <v>44</v>
      </c>
      <c r="P597" s="25" t="s">
        <v>23</v>
      </c>
    </row>
    <row r="598" spans="1:16" x14ac:dyDescent="0.25">
      <c r="A598">
        <v>575</v>
      </c>
      <c r="B598" s="25"/>
      <c r="C598" s="26"/>
      <c r="D598" s="2"/>
      <c r="E598" s="25"/>
      <c r="F598" s="25"/>
      <c r="G598" s="25"/>
      <c r="H598" s="26"/>
      <c r="I598" s="26"/>
      <c r="J598" s="2"/>
      <c r="K598" s="25"/>
      <c r="L598" s="25"/>
      <c r="M598" s="25"/>
      <c r="N598" s="25"/>
      <c r="O598" s="25"/>
      <c r="P598" s="25"/>
    </row>
    <row r="599" spans="1:16" x14ac:dyDescent="0.25">
      <c r="A599">
        <v>576</v>
      </c>
      <c r="B599" s="25" t="s">
        <v>907</v>
      </c>
      <c r="C599" s="26">
        <v>0.47013888888888888</v>
      </c>
      <c r="D599" s="2">
        <v>46040</v>
      </c>
      <c r="E599" s="25" t="s">
        <v>17</v>
      </c>
      <c r="F599" s="25"/>
      <c r="G599" s="25" t="s">
        <v>908</v>
      </c>
      <c r="H599" s="26">
        <v>0.47222222222222221</v>
      </c>
      <c r="I599" s="26">
        <v>5.4166666666666669E-2</v>
      </c>
      <c r="J599" s="2">
        <v>46040</v>
      </c>
      <c r="K599" s="25" t="s">
        <v>25</v>
      </c>
      <c r="L599" s="25" t="s">
        <v>909</v>
      </c>
      <c r="M599" s="25" t="s">
        <v>22</v>
      </c>
      <c r="N599" s="25" t="s">
        <v>910</v>
      </c>
      <c r="O599" s="25" t="s">
        <v>661</v>
      </c>
      <c r="P599" s="25" t="s">
        <v>23</v>
      </c>
    </row>
    <row r="600" spans="1:16" x14ac:dyDescent="0.25">
      <c r="A600">
        <v>577</v>
      </c>
      <c r="B600" s="25" t="s">
        <v>231</v>
      </c>
      <c r="C600" s="26">
        <v>8.8888888888888892E-2</v>
      </c>
      <c r="D600" s="2">
        <v>46041</v>
      </c>
      <c r="E600" s="25" t="s">
        <v>143</v>
      </c>
      <c r="F600" s="25"/>
      <c r="G600" s="25" t="s">
        <v>911</v>
      </c>
      <c r="H600" s="26">
        <v>9.375E-2</v>
      </c>
      <c r="I600" s="26">
        <v>0.11458333333333333</v>
      </c>
      <c r="J600" s="2">
        <v>46041</v>
      </c>
      <c r="K600" s="25" t="s">
        <v>25</v>
      </c>
      <c r="L600" s="25" t="s">
        <v>912</v>
      </c>
      <c r="M600" s="25" t="s">
        <v>22</v>
      </c>
      <c r="N600" s="25" t="s">
        <v>22</v>
      </c>
      <c r="O600" s="25" t="s">
        <v>661</v>
      </c>
      <c r="P600" s="25" t="s">
        <v>23</v>
      </c>
    </row>
    <row r="601" spans="1:16" x14ac:dyDescent="0.25">
      <c r="A601">
        <v>578</v>
      </c>
      <c r="B601" s="25" t="s">
        <v>199</v>
      </c>
      <c r="C601" s="26">
        <v>0.25694444444444442</v>
      </c>
      <c r="D601" s="2">
        <v>46041</v>
      </c>
      <c r="E601" s="25" t="s">
        <v>91</v>
      </c>
      <c r="F601" s="25" t="s">
        <v>18</v>
      </c>
      <c r="G601" s="25" t="s">
        <v>913</v>
      </c>
      <c r="H601" s="26">
        <v>0.29166666666666669</v>
      </c>
      <c r="I601" s="26">
        <v>0.35416666666666669</v>
      </c>
      <c r="J601" s="2">
        <v>46041</v>
      </c>
      <c r="K601" s="25" t="s">
        <v>25</v>
      </c>
      <c r="L601" s="25" t="s">
        <v>914</v>
      </c>
      <c r="M601" s="25" t="s">
        <v>22</v>
      </c>
      <c r="N601" s="25" t="s">
        <v>22</v>
      </c>
      <c r="O601" s="25" t="s">
        <v>915</v>
      </c>
      <c r="P601" s="25" t="s">
        <v>23</v>
      </c>
    </row>
    <row r="602" spans="1:16" x14ac:dyDescent="0.25">
      <c r="A602">
        <v>579</v>
      </c>
      <c r="B602" s="25" t="s">
        <v>199</v>
      </c>
      <c r="C602" s="26">
        <v>0.33333333333333331</v>
      </c>
      <c r="D602" s="2">
        <v>46041</v>
      </c>
      <c r="E602" s="25" t="s">
        <v>91</v>
      </c>
      <c r="F602" s="25" t="s">
        <v>18</v>
      </c>
      <c r="G602" s="25" t="s">
        <v>916</v>
      </c>
      <c r="H602" s="26"/>
      <c r="I602" s="26"/>
      <c r="J602" s="2"/>
      <c r="K602" s="25"/>
      <c r="L602" s="25"/>
      <c r="M602" s="25"/>
      <c r="N602" s="25"/>
      <c r="O602" s="25"/>
      <c r="P602" s="25" t="s">
        <v>33</v>
      </c>
    </row>
    <row r="603" spans="1:16" x14ac:dyDescent="0.25">
      <c r="A603">
        <v>580</v>
      </c>
      <c r="B603" s="25"/>
      <c r="C603" s="26"/>
      <c r="D603" s="2"/>
      <c r="E603" s="25"/>
      <c r="F603" s="25"/>
      <c r="G603" s="25"/>
      <c r="H603" s="26"/>
      <c r="I603" s="26"/>
      <c r="J603" s="2"/>
      <c r="K603" s="25"/>
      <c r="L603" s="25"/>
      <c r="M603" s="25"/>
      <c r="N603" s="25"/>
      <c r="O603" s="25"/>
      <c r="P603" s="25"/>
    </row>
    <row r="604" spans="1:16" x14ac:dyDescent="0.25">
      <c r="A604">
        <v>581</v>
      </c>
      <c r="B604" s="25"/>
      <c r="C604" s="26"/>
      <c r="D604" s="2"/>
      <c r="E604" s="25"/>
      <c r="F604" s="25"/>
      <c r="G604" s="25"/>
      <c r="H604" s="26"/>
      <c r="I604" s="26"/>
      <c r="J604" s="2"/>
      <c r="K604" s="25"/>
      <c r="L604" s="25"/>
      <c r="M604" s="25"/>
      <c r="N604" s="25"/>
      <c r="O604" s="25"/>
      <c r="P604" s="25"/>
    </row>
    <row r="605" spans="1:16" x14ac:dyDescent="0.25">
      <c r="A605">
        <v>582</v>
      </c>
      <c r="B605" s="25" t="s">
        <v>103</v>
      </c>
      <c r="C605" s="26">
        <v>0.38194444444444442</v>
      </c>
      <c r="D605" s="2">
        <v>46041</v>
      </c>
      <c r="E605" s="25" t="s">
        <v>147</v>
      </c>
      <c r="F605" s="25" t="s">
        <v>18</v>
      </c>
      <c r="G605" s="25" t="s">
        <v>917</v>
      </c>
      <c r="H605" s="26">
        <v>0.38541666666666669</v>
      </c>
      <c r="I605" s="26">
        <v>0.39444444444444443</v>
      </c>
      <c r="J605" s="2">
        <v>46041</v>
      </c>
      <c r="K605" s="25" t="s">
        <v>25</v>
      </c>
      <c r="L605" s="25" t="s">
        <v>918</v>
      </c>
      <c r="M605" s="25" t="s">
        <v>22</v>
      </c>
      <c r="N605" s="25" t="s">
        <v>22</v>
      </c>
      <c r="O605" s="25" t="s">
        <v>661</v>
      </c>
      <c r="P605" s="25" t="s">
        <v>23</v>
      </c>
    </row>
    <row r="606" spans="1:16" x14ac:dyDescent="0.25">
      <c r="A606">
        <v>583</v>
      </c>
      <c r="B606" s="25" t="s">
        <v>206</v>
      </c>
      <c r="C606" s="26">
        <v>0.25555555555555554</v>
      </c>
      <c r="D606" s="2">
        <v>46042</v>
      </c>
      <c r="E606" s="25" t="s">
        <v>185</v>
      </c>
      <c r="F606" s="25" t="s">
        <v>650</v>
      </c>
      <c r="G606" s="25" t="s">
        <v>919</v>
      </c>
      <c r="H606" s="26">
        <v>0.26041666666666669</v>
      </c>
      <c r="I606" s="26">
        <v>0.39583333333333331</v>
      </c>
      <c r="J606" s="2">
        <v>46042</v>
      </c>
      <c r="K606" s="25" t="s">
        <v>25</v>
      </c>
      <c r="L606" s="25" t="s">
        <v>920</v>
      </c>
      <c r="M606" s="25" t="s">
        <v>22</v>
      </c>
      <c r="N606" s="25" t="s">
        <v>22</v>
      </c>
      <c r="O606" s="25" t="s">
        <v>44</v>
      </c>
      <c r="P606" s="25" t="s">
        <v>23</v>
      </c>
    </row>
    <row r="607" spans="1:16" x14ac:dyDescent="0.25">
      <c r="A607">
        <v>584</v>
      </c>
      <c r="B607" s="25" t="s">
        <v>921</v>
      </c>
      <c r="C607" s="26">
        <v>0.34375</v>
      </c>
      <c r="D607" s="2">
        <v>46042</v>
      </c>
      <c r="E607" s="25" t="s">
        <v>17</v>
      </c>
      <c r="F607" s="25"/>
      <c r="G607" s="25" t="s">
        <v>922</v>
      </c>
      <c r="H607" s="26">
        <v>0.34375</v>
      </c>
      <c r="I607" s="26">
        <v>0.35069444444444442</v>
      </c>
      <c r="J607" s="2">
        <v>46042</v>
      </c>
      <c r="K607" s="25" t="s">
        <v>25</v>
      </c>
      <c r="L607" s="25" t="s">
        <v>923</v>
      </c>
      <c r="M607" s="25" t="s">
        <v>22</v>
      </c>
      <c r="N607" s="25" t="s">
        <v>22</v>
      </c>
      <c r="O607" s="25" t="s">
        <v>44</v>
      </c>
      <c r="P607" s="25" t="s">
        <v>23</v>
      </c>
    </row>
    <row r="608" spans="1:16" x14ac:dyDescent="0.25">
      <c r="A608">
        <v>585</v>
      </c>
      <c r="B608" s="25" t="s">
        <v>206</v>
      </c>
      <c r="C608" s="26">
        <v>0.54861111111111116</v>
      </c>
      <c r="D608" s="2">
        <v>46042</v>
      </c>
      <c r="E608" s="25" t="s">
        <v>185</v>
      </c>
      <c r="F608" s="25"/>
      <c r="G608" s="25" t="s">
        <v>924</v>
      </c>
      <c r="H608" s="26">
        <v>0.54861111111111116</v>
      </c>
      <c r="I608" s="26">
        <v>0.55555555555555558</v>
      </c>
      <c r="J608" s="2">
        <v>46042</v>
      </c>
      <c r="K608" s="25" t="s">
        <v>20</v>
      </c>
      <c r="L608" s="25" t="s">
        <v>925</v>
      </c>
      <c r="M608" s="25" t="s">
        <v>22</v>
      </c>
      <c r="N608" s="25" t="s">
        <v>22</v>
      </c>
      <c r="O608" s="25" t="s">
        <v>44</v>
      </c>
      <c r="P608" s="25" t="s">
        <v>23</v>
      </c>
    </row>
    <row r="609" spans="1:16" x14ac:dyDescent="0.25">
      <c r="A609">
        <v>586</v>
      </c>
      <c r="B609" s="25" t="s">
        <v>93</v>
      </c>
      <c r="C609" s="26">
        <v>0.60416666666666663</v>
      </c>
      <c r="D609" s="2">
        <v>46042</v>
      </c>
      <c r="E609" s="25" t="s">
        <v>185</v>
      </c>
      <c r="F609" s="25"/>
      <c r="G609" s="25" t="s">
        <v>926</v>
      </c>
      <c r="H609" s="26">
        <v>0.625</v>
      </c>
      <c r="I609" s="26"/>
      <c r="J609" s="2">
        <v>46042</v>
      </c>
      <c r="K609" s="25"/>
      <c r="L609" s="25" t="s">
        <v>927</v>
      </c>
      <c r="M609" s="25" t="s">
        <v>22</v>
      </c>
      <c r="N609" s="25" t="s">
        <v>22</v>
      </c>
      <c r="O609" s="25" t="s">
        <v>112</v>
      </c>
      <c r="P609" s="25"/>
    </row>
    <row r="610" spans="1:16" x14ac:dyDescent="0.25">
      <c r="A610">
        <v>587</v>
      </c>
      <c r="B610" s="25" t="s">
        <v>93</v>
      </c>
      <c r="C610" s="26">
        <v>0.66666666666666663</v>
      </c>
      <c r="D610" s="2">
        <v>46042</v>
      </c>
      <c r="E610" s="25" t="s">
        <v>116</v>
      </c>
      <c r="F610" s="25"/>
      <c r="G610" s="25" t="s">
        <v>928</v>
      </c>
      <c r="H610" s="26">
        <v>0.66666666666666663</v>
      </c>
      <c r="I610" s="26">
        <v>0.68055555555555558</v>
      </c>
      <c r="J610" s="2">
        <v>46042</v>
      </c>
      <c r="K610" s="25" t="s">
        <v>20</v>
      </c>
      <c r="L610" s="25" t="s">
        <v>929</v>
      </c>
      <c r="M610" s="25" t="s">
        <v>22</v>
      </c>
      <c r="N610" s="25" t="s">
        <v>768</v>
      </c>
      <c r="O610" s="25" t="s">
        <v>112</v>
      </c>
      <c r="P610" s="25" t="s">
        <v>23</v>
      </c>
    </row>
    <row r="611" spans="1:16" x14ac:dyDescent="0.25">
      <c r="A611">
        <v>588</v>
      </c>
      <c r="B611" s="25" t="s">
        <v>93</v>
      </c>
      <c r="C611" s="26">
        <v>0.67361111111111116</v>
      </c>
      <c r="D611" s="2">
        <v>46042</v>
      </c>
      <c r="E611" s="25" t="s">
        <v>94</v>
      </c>
      <c r="F611" s="25" t="s">
        <v>650</v>
      </c>
      <c r="G611" s="25" t="s">
        <v>930</v>
      </c>
      <c r="H611" s="26">
        <v>0.70833333333333337</v>
      </c>
      <c r="I611" s="26">
        <v>0.72916666666666663</v>
      </c>
      <c r="J611" s="2">
        <v>46042</v>
      </c>
      <c r="K611" s="25" t="s">
        <v>25</v>
      </c>
      <c r="L611" s="25" t="s">
        <v>931</v>
      </c>
      <c r="M611" s="25" t="s">
        <v>22</v>
      </c>
      <c r="N611" s="25" t="s">
        <v>22</v>
      </c>
      <c r="O611" s="25" t="s">
        <v>112</v>
      </c>
      <c r="P611" s="25" t="s">
        <v>23</v>
      </c>
    </row>
    <row r="612" spans="1:16" x14ac:dyDescent="0.25">
      <c r="A612">
        <v>589</v>
      </c>
      <c r="B612" s="25" t="s">
        <v>93</v>
      </c>
      <c r="C612" s="26">
        <v>0.72222222222222221</v>
      </c>
      <c r="D612" s="2">
        <v>46042</v>
      </c>
      <c r="E612" s="25" t="s">
        <v>116</v>
      </c>
      <c r="F612" s="25"/>
      <c r="G612" s="25" t="s">
        <v>594</v>
      </c>
      <c r="H612" s="26">
        <v>0.72916666666666663</v>
      </c>
      <c r="I612" s="26">
        <v>0.73958333333333337</v>
      </c>
      <c r="J612" s="2">
        <v>46042</v>
      </c>
      <c r="K612" s="25" t="s">
        <v>25</v>
      </c>
      <c r="L612" s="25" t="s">
        <v>932</v>
      </c>
      <c r="M612" s="25" t="s">
        <v>933</v>
      </c>
      <c r="N612" s="25" t="s">
        <v>22</v>
      </c>
      <c r="O612" s="25" t="s">
        <v>112</v>
      </c>
      <c r="P612" s="25" t="s">
        <v>23</v>
      </c>
    </row>
    <row r="613" spans="1:16" x14ac:dyDescent="0.25">
      <c r="A613">
        <v>590</v>
      </c>
      <c r="B613" s="25" t="s">
        <v>93</v>
      </c>
      <c r="C613" s="26">
        <v>0.84722222222222221</v>
      </c>
      <c r="D613" s="2">
        <v>46042</v>
      </c>
      <c r="E613" s="25" t="s">
        <v>94</v>
      </c>
      <c r="F613" s="25"/>
      <c r="G613" s="25" t="s">
        <v>934</v>
      </c>
      <c r="H613" s="26">
        <v>0.85416666666666663</v>
      </c>
      <c r="I613" s="26">
        <v>0.875</v>
      </c>
      <c r="J613" s="2">
        <v>46042</v>
      </c>
      <c r="K613" s="25" t="s">
        <v>20</v>
      </c>
      <c r="L613" s="25" t="s">
        <v>935</v>
      </c>
      <c r="M613" s="25" t="s">
        <v>22</v>
      </c>
      <c r="N613" s="25" t="s">
        <v>22</v>
      </c>
      <c r="O613" s="25" t="s">
        <v>112</v>
      </c>
      <c r="P613" s="25" t="s">
        <v>23</v>
      </c>
    </row>
    <row r="614" spans="1:16" x14ac:dyDescent="0.25">
      <c r="A614">
        <v>591</v>
      </c>
      <c r="B614" s="25" t="s">
        <v>936</v>
      </c>
      <c r="C614" s="26">
        <v>0.97916666666666663</v>
      </c>
      <c r="D614" s="2">
        <v>46042</v>
      </c>
      <c r="E614" s="25" t="s">
        <v>143</v>
      </c>
      <c r="F614" s="25"/>
      <c r="G614" s="25" t="s">
        <v>937</v>
      </c>
      <c r="H614" s="26">
        <v>0.97916666666666663</v>
      </c>
      <c r="I614" s="26">
        <v>0.99375000000000002</v>
      </c>
      <c r="J614" s="2">
        <v>46042</v>
      </c>
      <c r="K614" s="25"/>
      <c r="L614" s="25" t="s">
        <v>938</v>
      </c>
      <c r="M614" s="25" t="s">
        <v>939</v>
      </c>
      <c r="N614" s="25" t="s">
        <v>22</v>
      </c>
      <c r="O614" s="25" t="s">
        <v>108</v>
      </c>
      <c r="P614" s="25" t="s">
        <v>23</v>
      </c>
    </row>
    <row r="615" spans="1:16" x14ac:dyDescent="0.25">
      <c r="A615">
        <v>592</v>
      </c>
      <c r="B615" s="25" t="s">
        <v>139</v>
      </c>
      <c r="C615" s="26">
        <v>0.91666666666666663</v>
      </c>
      <c r="D615" s="2">
        <v>46042</v>
      </c>
      <c r="E615" s="25"/>
      <c r="F615" s="25"/>
      <c r="G615" s="25" t="s">
        <v>940</v>
      </c>
      <c r="H615" s="26">
        <v>0.91666666666666663</v>
      </c>
      <c r="I615" s="26">
        <v>0.90277777777777779</v>
      </c>
      <c r="J615" s="2">
        <v>46042</v>
      </c>
      <c r="K615" s="25" t="s">
        <v>25</v>
      </c>
      <c r="L615" s="25" t="s">
        <v>941</v>
      </c>
      <c r="M615" s="25" t="s">
        <v>942</v>
      </c>
      <c r="N615" s="25" t="s">
        <v>22</v>
      </c>
      <c r="O615" s="25" t="s">
        <v>108</v>
      </c>
      <c r="P615" s="25" t="s">
        <v>23</v>
      </c>
    </row>
    <row r="616" spans="1:16" x14ac:dyDescent="0.25">
      <c r="A616">
        <v>593</v>
      </c>
      <c r="B616" s="25" t="s">
        <v>608</v>
      </c>
      <c r="C616" s="26">
        <v>0.11805555555555555</v>
      </c>
      <c r="D616" s="2">
        <v>46043</v>
      </c>
      <c r="E616" s="25" t="s">
        <v>188</v>
      </c>
      <c r="F616" s="25"/>
      <c r="G616" s="25" t="s">
        <v>943</v>
      </c>
      <c r="H616" s="26">
        <v>0.11805555555555555</v>
      </c>
      <c r="I616" s="26">
        <v>0.125</v>
      </c>
      <c r="J616" s="2">
        <v>46043</v>
      </c>
      <c r="K616" s="25" t="s">
        <v>25</v>
      </c>
      <c r="L616" s="25" t="s">
        <v>944</v>
      </c>
      <c r="M616" s="25" t="s">
        <v>22</v>
      </c>
      <c r="N616" s="25" t="s">
        <v>22</v>
      </c>
      <c r="O616" s="25" t="s">
        <v>108</v>
      </c>
      <c r="P616" s="25" t="s">
        <v>23</v>
      </c>
    </row>
    <row r="617" spans="1:16" x14ac:dyDescent="0.25">
      <c r="A617">
        <v>594</v>
      </c>
      <c r="B617" s="25" t="s">
        <v>139</v>
      </c>
      <c r="C617" s="26">
        <v>0.13194444444444445</v>
      </c>
      <c r="D617" s="2">
        <v>46043</v>
      </c>
      <c r="E617" s="25" t="s">
        <v>188</v>
      </c>
      <c r="F617" s="25" t="s">
        <v>18</v>
      </c>
      <c r="G617" s="25" t="s">
        <v>945</v>
      </c>
      <c r="H617" s="26">
        <v>0.13194444444444445</v>
      </c>
      <c r="I617" s="26">
        <v>0.14583333333333334</v>
      </c>
      <c r="J617" s="2">
        <v>46043</v>
      </c>
      <c r="K617" s="25" t="s">
        <v>20</v>
      </c>
      <c r="L617" s="25" t="s">
        <v>946</v>
      </c>
      <c r="M617" s="25" t="s">
        <v>22</v>
      </c>
      <c r="N617" s="25" t="s">
        <v>22</v>
      </c>
      <c r="O617" s="25" t="s">
        <v>108</v>
      </c>
      <c r="P617" s="25" t="s">
        <v>23</v>
      </c>
    </row>
    <row r="618" spans="1:16" x14ac:dyDescent="0.25">
      <c r="A618">
        <v>595</v>
      </c>
      <c r="B618" s="25" t="s">
        <v>256</v>
      </c>
      <c r="C618" s="26">
        <v>0.125</v>
      </c>
      <c r="D618" s="2">
        <v>46043</v>
      </c>
      <c r="E618" s="25" t="s">
        <v>154</v>
      </c>
      <c r="F618" s="25"/>
      <c r="G618" s="25" t="s">
        <v>947</v>
      </c>
      <c r="H618" s="26">
        <v>0.125</v>
      </c>
      <c r="I618" s="26">
        <v>0.13541666666666666</v>
      </c>
      <c r="J618" s="2">
        <v>46043</v>
      </c>
      <c r="K618" s="25"/>
      <c r="L618" s="25" t="s">
        <v>948</v>
      </c>
      <c r="M618" s="25" t="s">
        <v>949</v>
      </c>
      <c r="N618" s="25" t="s">
        <v>22</v>
      </c>
      <c r="O618" s="25" t="s">
        <v>108</v>
      </c>
      <c r="P618" s="25" t="s">
        <v>23</v>
      </c>
    </row>
    <row r="619" spans="1:16" x14ac:dyDescent="0.25">
      <c r="A619">
        <v>596</v>
      </c>
      <c r="B619" s="25" t="s">
        <v>16</v>
      </c>
      <c r="C619" s="26">
        <v>0.27083333333333331</v>
      </c>
      <c r="D619" s="2">
        <v>46043</v>
      </c>
      <c r="E619" s="25" t="s">
        <v>94</v>
      </c>
      <c r="F619" s="25" t="s">
        <v>18</v>
      </c>
      <c r="G619" s="25" t="s">
        <v>950</v>
      </c>
      <c r="H619" s="26">
        <v>0.27430555555555558</v>
      </c>
      <c r="I619" s="26">
        <v>0.29166666666666669</v>
      </c>
      <c r="J619" s="2">
        <v>46043</v>
      </c>
      <c r="K619" s="25" t="s">
        <v>20</v>
      </c>
      <c r="L619" s="25" t="s">
        <v>951</v>
      </c>
      <c r="M619" s="25" t="s">
        <v>22</v>
      </c>
      <c r="N619" s="25" t="s">
        <v>22</v>
      </c>
      <c r="O619" s="25" t="s">
        <v>44</v>
      </c>
      <c r="P619" s="25" t="s">
        <v>23</v>
      </c>
    </row>
    <row r="620" spans="1:16" x14ac:dyDescent="0.25">
      <c r="A620">
        <v>597</v>
      </c>
      <c r="B620" s="25" t="s">
        <v>16</v>
      </c>
      <c r="C620" s="26">
        <v>0.29166666666666669</v>
      </c>
      <c r="D620" s="2">
        <v>46043</v>
      </c>
      <c r="E620" s="25"/>
      <c r="F620" s="25" t="s">
        <v>18</v>
      </c>
      <c r="G620" s="25" t="s">
        <v>208</v>
      </c>
      <c r="H620" s="26">
        <v>0.29166666666666669</v>
      </c>
      <c r="I620" s="26">
        <v>0.30208333333333331</v>
      </c>
      <c r="J620" s="2">
        <v>46043</v>
      </c>
      <c r="K620" s="25" t="s">
        <v>25</v>
      </c>
      <c r="L620" s="25" t="s">
        <v>952</v>
      </c>
      <c r="M620" s="25" t="s">
        <v>22</v>
      </c>
      <c r="N620" s="25" t="s">
        <v>22</v>
      </c>
      <c r="O620" s="25" t="s">
        <v>44</v>
      </c>
      <c r="P620" s="25" t="s">
        <v>23</v>
      </c>
    </row>
    <row r="621" spans="1:16" x14ac:dyDescent="0.25">
      <c r="A621">
        <v>598</v>
      </c>
      <c r="B621" s="25" t="s">
        <v>16</v>
      </c>
      <c r="C621" s="26">
        <v>0.34375</v>
      </c>
      <c r="D621" s="2">
        <v>46043</v>
      </c>
      <c r="E621" s="25" t="s">
        <v>116</v>
      </c>
      <c r="F621" s="25" t="s">
        <v>18</v>
      </c>
      <c r="G621" s="25" t="s">
        <v>953</v>
      </c>
      <c r="H621" s="26">
        <v>0.34375</v>
      </c>
      <c r="I621" s="26">
        <v>0.35416666666666669</v>
      </c>
      <c r="J621" s="2">
        <v>46043</v>
      </c>
      <c r="K621" s="25" t="s">
        <v>25</v>
      </c>
      <c r="L621" s="25" t="s">
        <v>954</v>
      </c>
      <c r="M621" s="25" t="s">
        <v>955</v>
      </c>
      <c r="N621" s="25" t="s">
        <v>22</v>
      </c>
      <c r="O621" s="25" t="s">
        <v>44</v>
      </c>
      <c r="P621" s="25" t="s">
        <v>23</v>
      </c>
    </row>
    <row r="622" spans="1:16" x14ac:dyDescent="0.25">
      <c r="A622">
        <v>599</v>
      </c>
      <c r="B622" s="25" t="s">
        <v>16</v>
      </c>
      <c r="C622" s="26">
        <v>0.2638888888888889</v>
      </c>
      <c r="D622" s="2">
        <v>46043</v>
      </c>
      <c r="E622" s="25" t="s">
        <v>185</v>
      </c>
      <c r="F622" s="25"/>
      <c r="G622" s="25" t="s">
        <v>956</v>
      </c>
      <c r="H622" s="26">
        <v>0.2638888888888889</v>
      </c>
      <c r="I622" s="26">
        <v>0.37847222222222221</v>
      </c>
      <c r="J622" s="2">
        <v>46043</v>
      </c>
      <c r="K622" s="25" t="s">
        <v>775</v>
      </c>
      <c r="L622" s="25" t="s">
        <v>957</v>
      </c>
      <c r="M622" s="25" t="s">
        <v>22</v>
      </c>
      <c r="N622" s="25" t="s">
        <v>22</v>
      </c>
      <c r="O622" s="25" t="s">
        <v>44</v>
      </c>
      <c r="P622" s="25" t="s">
        <v>23</v>
      </c>
    </row>
    <row r="623" spans="1:16" x14ac:dyDescent="0.25">
      <c r="A623">
        <v>600</v>
      </c>
      <c r="B623" s="25" t="s">
        <v>16</v>
      </c>
      <c r="C623" s="26">
        <v>0.43055555555555558</v>
      </c>
      <c r="D623" s="2">
        <v>46043</v>
      </c>
      <c r="E623" s="25"/>
      <c r="F623" s="25"/>
      <c r="G623" s="25" t="s">
        <v>958</v>
      </c>
      <c r="H623" s="26">
        <v>0.43055555555555558</v>
      </c>
      <c r="I623" s="26">
        <v>0.4513888888888889</v>
      </c>
      <c r="J623" s="2">
        <v>46043</v>
      </c>
      <c r="K623" s="25" t="s">
        <v>20</v>
      </c>
      <c r="L623" s="25" t="s">
        <v>959</v>
      </c>
      <c r="M623" s="25" t="s">
        <v>22</v>
      </c>
      <c r="N623" s="25" t="s">
        <v>22</v>
      </c>
      <c r="O623" s="25" t="s">
        <v>44</v>
      </c>
      <c r="P623" s="25" t="s">
        <v>23</v>
      </c>
    </row>
    <row r="624" spans="1:16" x14ac:dyDescent="0.25">
      <c r="B624" s="25"/>
      <c r="C624" s="26"/>
      <c r="D624" s="2"/>
      <c r="E624" s="25"/>
      <c r="F624" s="25"/>
      <c r="G624" s="25"/>
      <c r="H624" s="26"/>
      <c r="I624" s="26"/>
      <c r="J624" s="2"/>
      <c r="K624" s="25"/>
      <c r="L624" s="25"/>
      <c r="M624" s="25"/>
      <c r="N624" s="25"/>
      <c r="O624" s="25"/>
      <c r="P624" s="25"/>
    </row>
    <row r="625" spans="1:16" x14ac:dyDescent="0.25">
      <c r="A625" t="s">
        <v>0</v>
      </c>
      <c r="B625" s="25" t="s">
        <v>1</v>
      </c>
      <c r="C625" s="26"/>
      <c r="D625" s="2"/>
      <c r="E625" s="25" t="s">
        <v>4</v>
      </c>
      <c r="F625" s="25" t="s">
        <v>5</v>
      </c>
      <c r="G625" s="25" t="s">
        <v>6</v>
      </c>
      <c r="H625" s="26"/>
      <c r="I625" s="26"/>
      <c r="J625" s="2"/>
      <c r="K625" s="25" t="s">
        <v>10</v>
      </c>
      <c r="L625" s="25" t="s">
        <v>11</v>
      </c>
      <c r="M625" s="25" t="s">
        <v>12</v>
      </c>
      <c r="N625" s="25" t="s">
        <v>13</v>
      </c>
      <c r="O625" s="25" t="s">
        <v>14</v>
      </c>
      <c r="P625" s="25" t="s">
        <v>15</v>
      </c>
    </row>
    <row r="626" spans="1:16" x14ac:dyDescent="0.25">
      <c r="A626">
        <v>601</v>
      </c>
      <c r="B626" s="25" t="s">
        <v>261</v>
      </c>
      <c r="C626" s="26">
        <v>0.41666666666666669</v>
      </c>
      <c r="D626" s="2">
        <v>46043</v>
      </c>
      <c r="E626" s="25" t="s">
        <v>91</v>
      </c>
      <c r="F626" s="25"/>
      <c r="G626" s="25" t="s">
        <v>960</v>
      </c>
      <c r="H626" s="26">
        <v>0.41666666666666669</v>
      </c>
      <c r="I626" s="26">
        <v>0.4201388888888889</v>
      </c>
      <c r="J626" s="2">
        <v>46043</v>
      </c>
      <c r="K626" s="25" t="s">
        <v>20</v>
      </c>
      <c r="L626" s="25" t="s">
        <v>961</v>
      </c>
      <c r="M626" s="25" t="s">
        <v>22</v>
      </c>
      <c r="N626" s="25" t="s">
        <v>22</v>
      </c>
      <c r="O626" s="25" t="s">
        <v>268</v>
      </c>
      <c r="P626" s="25" t="s">
        <v>23</v>
      </c>
    </row>
    <row r="627" spans="1:16" x14ac:dyDescent="0.25">
      <c r="A627">
        <v>602</v>
      </c>
      <c r="B627" s="25" t="s">
        <v>261</v>
      </c>
      <c r="C627" s="26">
        <v>0.59027777777777779</v>
      </c>
      <c r="D627" s="2">
        <v>46043</v>
      </c>
      <c r="E627" s="25" t="s">
        <v>91</v>
      </c>
      <c r="F627" s="25"/>
      <c r="G627" s="25" t="s">
        <v>962</v>
      </c>
      <c r="H627" s="26">
        <v>0.59027777777777779</v>
      </c>
      <c r="I627" s="26">
        <v>0.63888888888888884</v>
      </c>
      <c r="J627" s="2">
        <v>46043</v>
      </c>
      <c r="K627" s="25" t="s">
        <v>775</v>
      </c>
      <c r="L627" s="25" t="s">
        <v>963</v>
      </c>
      <c r="M627" s="25" t="s">
        <v>22</v>
      </c>
      <c r="N627" s="25" t="s">
        <v>22</v>
      </c>
      <c r="O627" s="25" t="s">
        <v>112</v>
      </c>
      <c r="P627" s="25" t="s">
        <v>23</v>
      </c>
    </row>
    <row r="628" spans="1:16" x14ac:dyDescent="0.25">
      <c r="A628">
        <v>603</v>
      </c>
      <c r="B628" s="25" t="s">
        <v>113</v>
      </c>
      <c r="C628" s="26">
        <v>0.77083333333333337</v>
      </c>
      <c r="D628" s="2">
        <v>46043</v>
      </c>
      <c r="E628" s="25" t="s">
        <v>782</v>
      </c>
      <c r="F628" s="25"/>
      <c r="G628" s="25" t="s">
        <v>964</v>
      </c>
      <c r="H628" s="26">
        <v>0.77083333333333337</v>
      </c>
      <c r="I628" s="26">
        <v>0.79166666666666663</v>
      </c>
      <c r="J628" s="2">
        <v>46043</v>
      </c>
      <c r="K628" s="25" t="s">
        <v>25</v>
      </c>
      <c r="L628" s="25" t="s">
        <v>965</v>
      </c>
      <c r="M628" s="25" t="s">
        <v>22</v>
      </c>
      <c r="N628" s="25" t="s">
        <v>22</v>
      </c>
      <c r="O628" s="25" t="s">
        <v>112</v>
      </c>
      <c r="P628" s="25" t="s">
        <v>23</v>
      </c>
    </row>
    <row r="629" spans="1:16" x14ac:dyDescent="0.25">
      <c r="A629">
        <v>604</v>
      </c>
      <c r="B629" s="25" t="s">
        <v>192</v>
      </c>
      <c r="C629" s="26">
        <v>9.7222222222222224E-2</v>
      </c>
      <c r="D629" s="2">
        <v>46044</v>
      </c>
      <c r="E629" s="25" t="s">
        <v>162</v>
      </c>
      <c r="F629" s="25" t="s">
        <v>18</v>
      </c>
      <c r="G629" s="25" t="s">
        <v>966</v>
      </c>
      <c r="H629" s="26">
        <v>9.7222222222222224E-2</v>
      </c>
      <c r="I629" s="26">
        <v>0.14583333333333334</v>
      </c>
      <c r="J629" s="2">
        <v>46043</v>
      </c>
      <c r="K629" s="25" t="s">
        <v>25</v>
      </c>
      <c r="L629" s="25" t="s">
        <v>967</v>
      </c>
      <c r="M629" s="25" t="s">
        <v>22</v>
      </c>
      <c r="N629" s="25" t="s">
        <v>22</v>
      </c>
      <c r="O629" s="25" t="s">
        <v>108</v>
      </c>
      <c r="P629" s="25" t="s">
        <v>23</v>
      </c>
    </row>
    <row r="630" spans="1:16" x14ac:dyDescent="0.25">
      <c r="A630">
        <v>605</v>
      </c>
      <c r="B630" s="25" t="s">
        <v>256</v>
      </c>
      <c r="C630" s="26"/>
      <c r="D630" s="2">
        <v>46044</v>
      </c>
      <c r="E630" s="25" t="s">
        <v>17</v>
      </c>
      <c r="F630" s="25" t="s">
        <v>650</v>
      </c>
      <c r="G630" s="25" t="s">
        <v>968</v>
      </c>
      <c r="H630" s="26"/>
      <c r="I630" s="26">
        <v>0.10069444444444445</v>
      </c>
      <c r="J630" s="2">
        <v>46044</v>
      </c>
      <c r="K630" s="25" t="s">
        <v>25</v>
      </c>
      <c r="L630" s="25" t="s">
        <v>969</v>
      </c>
      <c r="M630" s="25" t="s">
        <v>970</v>
      </c>
      <c r="N630" s="25" t="s">
        <v>22</v>
      </c>
      <c r="O630" s="25" t="s">
        <v>108</v>
      </c>
      <c r="P630" s="25" t="s">
        <v>23</v>
      </c>
    </row>
    <row r="631" spans="1:16" x14ac:dyDescent="0.25">
      <c r="A631">
        <v>606</v>
      </c>
      <c r="B631" s="25" t="s">
        <v>16</v>
      </c>
      <c r="C631" s="26">
        <v>0.29166666666666669</v>
      </c>
      <c r="D631" s="2">
        <v>46044</v>
      </c>
      <c r="E631" s="25" t="s">
        <v>116</v>
      </c>
      <c r="F631" s="25" t="s">
        <v>18</v>
      </c>
      <c r="G631" s="25" t="s">
        <v>971</v>
      </c>
      <c r="H631" s="26"/>
      <c r="I631" s="26"/>
      <c r="J631" s="2"/>
      <c r="K631" s="25"/>
      <c r="L631" s="25"/>
      <c r="M631" s="25"/>
      <c r="N631" s="25"/>
      <c r="O631" s="25"/>
      <c r="P631" s="25" t="s">
        <v>33</v>
      </c>
    </row>
    <row r="632" spans="1:16" x14ac:dyDescent="0.25">
      <c r="A632">
        <v>607</v>
      </c>
      <c r="B632" s="25" t="s">
        <v>16</v>
      </c>
      <c r="C632" s="26">
        <v>0.29166666666666669</v>
      </c>
      <c r="D632" s="2">
        <v>46044</v>
      </c>
      <c r="E632" s="25" t="s">
        <v>116</v>
      </c>
      <c r="F632" s="25" t="s">
        <v>18</v>
      </c>
      <c r="G632" s="25" t="s">
        <v>972</v>
      </c>
      <c r="H632" s="26"/>
      <c r="I632" s="26"/>
      <c r="J632" s="2"/>
      <c r="K632" s="25"/>
      <c r="L632" s="25"/>
      <c r="M632" s="25"/>
      <c r="N632" s="25"/>
      <c r="O632" s="25"/>
      <c r="P632" s="25" t="s">
        <v>33</v>
      </c>
    </row>
    <row r="633" spans="1:16" x14ac:dyDescent="0.25">
      <c r="A633">
        <v>608</v>
      </c>
      <c r="B633" s="25" t="s">
        <v>16</v>
      </c>
      <c r="C633" s="26">
        <v>0.47569444444444442</v>
      </c>
      <c r="D633" s="2">
        <v>46044</v>
      </c>
      <c r="E633" s="25" t="s">
        <v>116</v>
      </c>
      <c r="F633" s="25"/>
      <c r="G633" s="25" t="s">
        <v>973</v>
      </c>
      <c r="H633" s="26">
        <v>0.47916666666666669</v>
      </c>
      <c r="I633" s="26">
        <v>0.50694444444444442</v>
      </c>
      <c r="J633" s="2">
        <v>46044</v>
      </c>
      <c r="K633" s="25" t="s">
        <v>20</v>
      </c>
      <c r="L633" s="25" t="s">
        <v>974</v>
      </c>
      <c r="M633" s="25" t="s">
        <v>722</v>
      </c>
      <c r="N633" s="25" t="s">
        <v>22</v>
      </c>
      <c r="O633" s="25" t="s">
        <v>661</v>
      </c>
      <c r="P633" s="25" t="s">
        <v>23</v>
      </c>
    </row>
    <row r="634" spans="1:16" x14ac:dyDescent="0.25">
      <c r="A634">
        <v>609</v>
      </c>
      <c r="B634" s="25" t="s">
        <v>16</v>
      </c>
      <c r="C634" s="26">
        <v>0.52083333333333337</v>
      </c>
      <c r="D634" s="2">
        <v>46044</v>
      </c>
      <c r="E634" s="25" t="s">
        <v>185</v>
      </c>
      <c r="F634" s="25"/>
      <c r="G634" s="25" t="s">
        <v>975</v>
      </c>
      <c r="H634" s="26">
        <v>0.52222222222222225</v>
      </c>
      <c r="I634" s="26">
        <v>0.55208333333333337</v>
      </c>
      <c r="J634" s="2">
        <v>46044</v>
      </c>
      <c r="K634" s="25" t="s">
        <v>20</v>
      </c>
      <c r="L634" s="25" t="s">
        <v>976</v>
      </c>
      <c r="M634" s="25" t="s">
        <v>22</v>
      </c>
      <c r="N634" s="25" t="s">
        <v>22</v>
      </c>
      <c r="O634" s="25" t="s">
        <v>661</v>
      </c>
      <c r="P634" s="25" t="s">
        <v>23</v>
      </c>
    </row>
    <row r="635" spans="1:16" x14ac:dyDescent="0.25">
      <c r="A635">
        <v>610</v>
      </c>
      <c r="B635" s="25" t="s">
        <v>93</v>
      </c>
      <c r="C635" s="26">
        <v>0.58333333333333337</v>
      </c>
      <c r="D635" s="2">
        <v>46044</v>
      </c>
      <c r="E635" s="25" t="s">
        <v>185</v>
      </c>
      <c r="F635" s="25"/>
      <c r="G635" s="25" t="s">
        <v>977</v>
      </c>
      <c r="H635" s="26">
        <v>0.59375</v>
      </c>
      <c r="I635" s="26">
        <v>0.61458333333333337</v>
      </c>
      <c r="J635" s="2">
        <v>46044</v>
      </c>
      <c r="K635" s="25" t="s">
        <v>25</v>
      </c>
      <c r="L635" s="25" t="s">
        <v>978</v>
      </c>
      <c r="M635" s="25" t="s">
        <v>22</v>
      </c>
      <c r="N635" s="25" t="s">
        <v>22</v>
      </c>
      <c r="O635" s="25" t="s">
        <v>44</v>
      </c>
      <c r="P635" s="25" t="s">
        <v>23</v>
      </c>
    </row>
    <row r="636" spans="1:16" x14ac:dyDescent="0.25">
      <c r="A636">
        <v>611</v>
      </c>
      <c r="B636" s="25" t="s">
        <v>164</v>
      </c>
      <c r="C636" s="26">
        <v>0.15277777777777779</v>
      </c>
      <c r="D636" s="2">
        <v>46045</v>
      </c>
      <c r="E636" s="25" t="s">
        <v>143</v>
      </c>
      <c r="F636" s="25"/>
      <c r="G636" s="25" t="s">
        <v>979</v>
      </c>
      <c r="H636" s="26">
        <v>0.15277777777777779</v>
      </c>
      <c r="I636" s="26">
        <v>0.16666666666666666</v>
      </c>
      <c r="J636" s="2">
        <v>46045</v>
      </c>
      <c r="K636" s="25" t="s">
        <v>980</v>
      </c>
      <c r="L636" s="25" t="s">
        <v>981</v>
      </c>
      <c r="M636" s="25" t="s">
        <v>22</v>
      </c>
      <c r="N636" s="25" t="s">
        <v>22</v>
      </c>
      <c r="O636" s="25" t="s">
        <v>112</v>
      </c>
      <c r="P636" s="25" t="s">
        <v>23</v>
      </c>
    </row>
    <row r="637" spans="1:16" x14ac:dyDescent="0.25">
      <c r="A637">
        <v>612</v>
      </c>
      <c r="B637" s="25" t="s">
        <v>630</v>
      </c>
      <c r="C637" s="26">
        <v>0.16666666666666666</v>
      </c>
      <c r="D637" s="2">
        <v>46045</v>
      </c>
      <c r="E637" s="25"/>
      <c r="F637" s="25"/>
      <c r="G637" s="25" t="s">
        <v>982</v>
      </c>
      <c r="H637" s="26">
        <v>0.16666666666666666</v>
      </c>
      <c r="I637" s="26">
        <v>0.1875</v>
      </c>
      <c r="J637" s="2">
        <v>46045</v>
      </c>
      <c r="K637" s="25" t="s">
        <v>25</v>
      </c>
      <c r="L637" s="25" t="s">
        <v>983</v>
      </c>
      <c r="M637" s="25" t="s">
        <v>984</v>
      </c>
      <c r="N637" s="25" t="s">
        <v>205</v>
      </c>
      <c r="O637" s="25" t="s">
        <v>112</v>
      </c>
      <c r="P637" s="25" t="s">
        <v>23</v>
      </c>
    </row>
    <row r="638" spans="1:16" x14ac:dyDescent="0.25">
      <c r="A638">
        <v>613</v>
      </c>
      <c r="B638" s="25" t="s">
        <v>113</v>
      </c>
      <c r="C638" s="26">
        <v>0.28125</v>
      </c>
      <c r="D638" s="2">
        <v>46045</v>
      </c>
      <c r="E638" s="25" t="s">
        <v>147</v>
      </c>
      <c r="F638" s="25" t="s">
        <v>18</v>
      </c>
      <c r="G638" s="25" t="s">
        <v>985</v>
      </c>
      <c r="H638" s="26">
        <v>0.29166666666666669</v>
      </c>
      <c r="I638" s="26">
        <v>0.34027777777777779</v>
      </c>
      <c r="J638" s="2">
        <v>46045</v>
      </c>
      <c r="K638" s="25" t="s">
        <v>25</v>
      </c>
      <c r="L638" s="25" t="s">
        <v>986</v>
      </c>
      <c r="M638" s="25" t="s">
        <v>987</v>
      </c>
      <c r="N638" s="25" t="s">
        <v>22</v>
      </c>
      <c r="O638" s="25" t="s">
        <v>661</v>
      </c>
      <c r="P638" s="25" t="s">
        <v>23</v>
      </c>
    </row>
    <row r="639" spans="1:16" x14ac:dyDescent="0.25">
      <c r="A639">
        <v>614</v>
      </c>
      <c r="B639" s="25"/>
      <c r="C639" s="26"/>
      <c r="D639" s="2"/>
      <c r="E639" s="25"/>
      <c r="F639" s="25"/>
      <c r="G639" s="25"/>
      <c r="H639" s="26"/>
      <c r="I639" s="26"/>
      <c r="J639" s="2"/>
      <c r="K639" s="25"/>
      <c r="L639" s="25"/>
      <c r="M639" s="25"/>
      <c r="N639" s="25"/>
      <c r="O639" s="25"/>
      <c r="P639" s="25"/>
    </row>
    <row r="640" spans="1:16" x14ac:dyDescent="0.25">
      <c r="A640">
        <v>615</v>
      </c>
      <c r="B640" s="25" t="s">
        <v>192</v>
      </c>
      <c r="C640" s="26">
        <v>2.0833333333333332E-2</v>
      </c>
      <c r="D640" s="2">
        <v>46046</v>
      </c>
      <c r="E640" s="25" t="s">
        <v>162</v>
      </c>
      <c r="F640" s="25"/>
      <c r="G640" s="25" t="s">
        <v>988</v>
      </c>
      <c r="H640" s="26">
        <v>2.0833333333333332E-2</v>
      </c>
      <c r="I640" s="26">
        <v>4.1666666666666664E-2</v>
      </c>
      <c r="J640" s="2">
        <v>46046</v>
      </c>
      <c r="K640" s="25" t="s">
        <v>25</v>
      </c>
      <c r="L640" s="25" t="s">
        <v>989</v>
      </c>
      <c r="M640" s="25" t="s">
        <v>22</v>
      </c>
      <c r="N640" s="25" t="s">
        <v>22</v>
      </c>
      <c r="O640" s="25" t="s">
        <v>112</v>
      </c>
      <c r="P640" s="25" t="s">
        <v>23</v>
      </c>
    </row>
    <row r="641" spans="1:16" x14ac:dyDescent="0.25">
      <c r="A641">
        <v>616</v>
      </c>
      <c r="B641" s="25" t="s">
        <v>103</v>
      </c>
      <c r="C641" s="26">
        <v>0.74305555555555558</v>
      </c>
      <c r="D641" s="2">
        <v>46046</v>
      </c>
      <c r="E641" s="25" t="s">
        <v>188</v>
      </c>
      <c r="F641" s="25" t="s">
        <v>650</v>
      </c>
      <c r="G641" s="25" t="s">
        <v>990</v>
      </c>
      <c r="H641" s="26">
        <v>0.74305555555555558</v>
      </c>
      <c r="I641" s="26">
        <v>0.75</v>
      </c>
      <c r="J641" s="2">
        <v>46046</v>
      </c>
      <c r="K641" s="25" t="s">
        <v>20</v>
      </c>
      <c r="L641" s="25" t="s">
        <v>991</v>
      </c>
      <c r="M641" s="25" t="s">
        <v>22</v>
      </c>
      <c r="N641" s="25" t="s">
        <v>22</v>
      </c>
      <c r="O641" s="25" t="s">
        <v>108</v>
      </c>
      <c r="P641" s="25" t="s">
        <v>23</v>
      </c>
    </row>
    <row r="642" spans="1:16" x14ac:dyDescent="0.25">
      <c r="A642">
        <v>617</v>
      </c>
      <c r="B642" s="25"/>
      <c r="C642" s="26"/>
      <c r="D642" s="2"/>
      <c r="E642" s="25"/>
      <c r="F642" s="25"/>
      <c r="G642" s="25"/>
      <c r="H642" s="26"/>
      <c r="I642" s="26"/>
      <c r="J642" s="2"/>
      <c r="K642" s="25"/>
      <c r="L642" s="25"/>
      <c r="M642" s="25"/>
      <c r="N642" s="25"/>
      <c r="O642" s="25"/>
      <c r="P642" s="25"/>
    </row>
    <row r="643" spans="1:16" x14ac:dyDescent="0.25">
      <c r="A643">
        <v>618</v>
      </c>
      <c r="B643" s="25" t="s">
        <v>261</v>
      </c>
      <c r="C643" s="26">
        <v>0.60416666666666663</v>
      </c>
      <c r="D643" s="2">
        <v>46046</v>
      </c>
      <c r="E643" s="25" t="s">
        <v>91</v>
      </c>
      <c r="F643" s="25"/>
      <c r="G643" s="25" t="s">
        <v>992</v>
      </c>
      <c r="H643" s="26">
        <v>0.60416666666666663</v>
      </c>
      <c r="I643" s="26">
        <v>0.70138888888888884</v>
      </c>
      <c r="J643" s="2">
        <v>46046</v>
      </c>
      <c r="K643" s="25" t="s">
        <v>20</v>
      </c>
      <c r="L643" s="25" t="s">
        <v>993</v>
      </c>
      <c r="M643" s="25" t="s">
        <v>22</v>
      </c>
      <c r="N643" s="25" t="s">
        <v>22</v>
      </c>
      <c r="O643" s="25" t="s">
        <v>108</v>
      </c>
      <c r="P643" s="25" t="s">
        <v>23</v>
      </c>
    </row>
    <row r="644" spans="1:16" x14ac:dyDescent="0.25">
      <c r="A644">
        <v>619</v>
      </c>
      <c r="B644" s="25" t="s">
        <v>103</v>
      </c>
      <c r="C644" s="26">
        <v>0.6875</v>
      </c>
      <c r="D644" s="2">
        <v>46046</v>
      </c>
      <c r="E644" s="25" t="s">
        <v>85</v>
      </c>
      <c r="F644" s="25"/>
      <c r="G644" s="25" t="s">
        <v>994</v>
      </c>
      <c r="H644" s="26">
        <v>0.6875</v>
      </c>
      <c r="I644" s="26">
        <v>0.71875</v>
      </c>
      <c r="J644" s="2">
        <v>46046</v>
      </c>
      <c r="K644" s="25" t="s">
        <v>20</v>
      </c>
      <c r="L644" s="25" t="s">
        <v>995</v>
      </c>
      <c r="M644" s="25" t="s">
        <v>22</v>
      </c>
      <c r="N644" s="25" t="s">
        <v>22</v>
      </c>
      <c r="O644" s="25" t="s">
        <v>108</v>
      </c>
      <c r="P644" s="25" t="s">
        <v>23</v>
      </c>
    </row>
    <row r="645" spans="1:16" x14ac:dyDescent="0.25">
      <c r="A645">
        <v>620</v>
      </c>
      <c r="B645" s="25" t="s">
        <v>261</v>
      </c>
      <c r="C645" s="26">
        <v>0.72222222222222221</v>
      </c>
      <c r="D645" s="2">
        <v>46046</v>
      </c>
      <c r="E645" s="25"/>
      <c r="F645" s="25"/>
      <c r="G645" s="25" t="s">
        <v>996</v>
      </c>
      <c r="H645" s="26">
        <v>0.72222222222222221</v>
      </c>
      <c r="I645" s="26">
        <v>0.73611111111111116</v>
      </c>
      <c r="J645" s="2">
        <v>46046</v>
      </c>
      <c r="K645" s="25" t="s">
        <v>48</v>
      </c>
      <c r="L645" s="25" t="s">
        <v>997</v>
      </c>
      <c r="M645" s="25" t="s">
        <v>22</v>
      </c>
      <c r="N645" s="25" t="s">
        <v>22</v>
      </c>
      <c r="O645" s="25" t="s">
        <v>108</v>
      </c>
      <c r="P645" s="25" t="s">
        <v>23</v>
      </c>
    </row>
    <row r="646" spans="1:16" x14ac:dyDescent="0.25">
      <c r="A646">
        <v>621</v>
      </c>
      <c r="B646" s="25"/>
      <c r="C646" s="26"/>
      <c r="D646" s="2"/>
      <c r="E646" s="25"/>
      <c r="F646" s="25"/>
      <c r="G646" s="25" t="s">
        <v>998</v>
      </c>
      <c r="H646" s="26"/>
      <c r="I646" s="26"/>
      <c r="J646" s="2"/>
      <c r="K646" s="25"/>
      <c r="L646" s="25"/>
      <c r="M646" s="25"/>
      <c r="N646" s="25"/>
      <c r="O646" s="25"/>
      <c r="P646" s="25"/>
    </row>
    <row r="647" spans="1:16" x14ac:dyDescent="0.25">
      <c r="A647">
        <v>622</v>
      </c>
      <c r="B647" s="25"/>
      <c r="C647" s="26"/>
      <c r="D647" s="2"/>
      <c r="E647" s="25"/>
      <c r="F647" s="25"/>
      <c r="G647" s="25"/>
      <c r="H647" s="26"/>
      <c r="I647" s="26"/>
      <c r="J647" s="2"/>
      <c r="K647" s="25"/>
      <c r="L647" s="25"/>
      <c r="M647" s="25"/>
      <c r="N647" s="25"/>
      <c r="O647" s="25"/>
      <c r="P647" s="25"/>
    </row>
    <row r="648" spans="1:16" x14ac:dyDescent="0.25">
      <c r="A648">
        <v>623</v>
      </c>
      <c r="B648" s="25" t="s">
        <v>139</v>
      </c>
      <c r="C648" s="26">
        <v>0.22916666666666666</v>
      </c>
      <c r="D648" s="2">
        <v>46047</v>
      </c>
      <c r="E648" s="25" t="s">
        <v>188</v>
      </c>
      <c r="F648" s="25"/>
      <c r="G648" s="25" t="s">
        <v>999</v>
      </c>
      <c r="H648" s="26">
        <v>0.22916666666666666</v>
      </c>
      <c r="I648" s="26">
        <v>0.2361111111111111</v>
      </c>
      <c r="J648" s="2">
        <v>46047</v>
      </c>
      <c r="K648" s="25" t="s">
        <v>20</v>
      </c>
      <c r="L648" s="25" t="s">
        <v>1000</v>
      </c>
      <c r="M648" s="25" t="s">
        <v>22</v>
      </c>
      <c r="N648" s="25" t="s">
        <v>22</v>
      </c>
      <c r="O648" s="25" t="s">
        <v>44</v>
      </c>
      <c r="P648" s="25" t="s">
        <v>23</v>
      </c>
    </row>
    <row r="649" spans="1:16" x14ac:dyDescent="0.25">
      <c r="A649">
        <v>624</v>
      </c>
      <c r="B649" s="25" t="s">
        <v>113</v>
      </c>
      <c r="C649" s="26">
        <v>0.24166666666666667</v>
      </c>
      <c r="D649" s="2">
        <v>46047</v>
      </c>
      <c r="E649" s="25" t="s">
        <v>188</v>
      </c>
      <c r="F649" s="25"/>
      <c r="G649" s="25" t="s">
        <v>1001</v>
      </c>
      <c r="H649" s="26">
        <v>0.25</v>
      </c>
      <c r="I649" s="26">
        <v>0.28472222222222221</v>
      </c>
      <c r="J649" s="2">
        <v>46047</v>
      </c>
      <c r="K649" s="25" t="s">
        <v>20</v>
      </c>
      <c r="L649" s="25" t="s">
        <v>1002</v>
      </c>
      <c r="M649" s="25" t="s">
        <v>22</v>
      </c>
      <c r="N649" s="25" t="s">
        <v>22</v>
      </c>
      <c r="O649" s="25" t="s">
        <v>112</v>
      </c>
      <c r="P649" s="25" t="s">
        <v>23</v>
      </c>
    </row>
    <row r="650" spans="1:16" x14ac:dyDescent="0.25">
      <c r="A650">
        <v>625</v>
      </c>
      <c r="B650" s="25" t="s">
        <v>1003</v>
      </c>
      <c r="C650" s="26">
        <v>0.78819444444444442</v>
      </c>
      <c r="D650" s="2">
        <v>46047</v>
      </c>
      <c r="E650" s="25" t="s">
        <v>17</v>
      </c>
      <c r="F650" s="25"/>
      <c r="G650" s="25" t="s">
        <v>1004</v>
      </c>
      <c r="H650" s="26">
        <v>0.78819444444444442</v>
      </c>
      <c r="I650" s="26">
        <v>0.8125</v>
      </c>
      <c r="J650" s="2">
        <v>46047</v>
      </c>
      <c r="K650" s="25" t="s">
        <v>25</v>
      </c>
      <c r="L650" s="25" t="s">
        <v>1005</v>
      </c>
      <c r="M650" s="25" t="s">
        <v>1006</v>
      </c>
      <c r="N650" s="25" t="s">
        <v>22</v>
      </c>
      <c r="O650" s="25" t="s">
        <v>108</v>
      </c>
      <c r="P650" s="25" t="s">
        <v>23</v>
      </c>
    </row>
    <row r="651" spans="1:16" x14ac:dyDescent="0.25">
      <c r="A651">
        <v>626</v>
      </c>
      <c r="B651" s="25" t="s">
        <v>103</v>
      </c>
      <c r="C651" s="26"/>
      <c r="D651" s="2">
        <v>46047</v>
      </c>
      <c r="E651" s="25" t="s">
        <v>147</v>
      </c>
      <c r="F651" s="25" t="s">
        <v>650</v>
      </c>
      <c r="G651" s="25" t="s">
        <v>1007</v>
      </c>
      <c r="H651" s="26"/>
      <c r="I651" s="26"/>
      <c r="J651" s="2">
        <v>46047</v>
      </c>
      <c r="K651" s="25" t="s">
        <v>20</v>
      </c>
      <c r="L651" s="25" t="s">
        <v>1008</v>
      </c>
      <c r="M651" s="25" t="s">
        <v>22</v>
      </c>
      <c r="N651" s="25" t="s">
        <v>22</v>
      </c>
      <c r="O651" s="25" t="s">
        <v>108</v>
      </c>
      <c r="P651" s="25" t="s">
        <v>23</v>
      </c>
    </row>
    <row r="652" spans="1:16" x14ac:dyDescent="0.25">
      <c r="A652">
        <v>627</v>
      </c>
      <c r="B652" s="25" t="s">
        <v>1003</v>
      </c>
      <c r="C652" s="26">
        <v>0.83333333333333337</v>
      </c>
      <c r="D652" s="2">
        <v>46047</v>
      </c>
      <c r="E652" s="25" t="s">
        <v>17</v>
      </c>
      <c r="F652" s="25"/>
      <c r="G652" s="25" t="s">
        <v>1009</v>
      </c>
      <c r="H652" s="26">
        <v>0.83333333333333337</v>
      </c>
      <c r="I652" s="26"/>
      <c r="J652" s="2">
        <v>46047</v>
      </c>
      <c r="K652" s="25" t="s">
        <v>25</v>
      </c>
      <c r="L652" s="25" t="s">
        <v>1010</v>
      </c>
      <c r="M652" s="25" t="s">
        <v>1011</v>
      </c>
      <c r="N652" s="25" t="s">
        <v>205</v>
      </c>
      <c r="O652" s="25" t="s">
        <v>108</v>
      </c>
      <c r="P652" s="25" t="s">
        <v>23</v>
      </c>
    </row>
    <row r="653" spans="1:16" x14ac:dyDescent="0.25">
      <c r="A653">
        <v>628</v>
      </c>
      <c r="B653" s="25" t="s">
        <v>103</v>
      </c>
      <c r="C653" s="26">
        <v>4.1666666666666664E-2</v>
      </c>
      <c r="D653" s="2">
        <v>46048</v>
      </c>
      <c r="E653" s="25" t="s">
        <v>147</v>
      </c>
      <c r="F653" s="25" t="s">
        <v>650</v>
      </c>
      <c r="G653" s="25" t="s">
        <v>1012</v>
      </c>
      <c r="H653" s="26">
        <v>4.1666666666666664E-2</v>
      </c>
      <c r="I653" s="26">
        <v>5.9027777777777776E-2</v>
      </c>
      <c r="J653" s="2">
        <v>46048</v>
      </c>
      <c r="K653" s="25" t="s">
        <v>25</v>
      </c>
      <c r="L653" s="25" t="s">
        <v>1013</v>
      </c>
      <c r="M653" s="25" t="s">
        <v>987</v>
      </c>
      <c r="N653" s="25" t="s">
        <v>22</v>
      </c>
      <c r="O653" s="25" t="s">
        <v>108</v>
      </c>
      <c r="P653" s="25" t="s">
        <v>23</v>
      </c>
    </row>
    <row r="654" spans="1:16" x14ac:dyDescent="0.25">
      <c r="A654">
        <v>629</v>
      </c>
      <c r="B654" s="25" t="s">
        <v>1014</v>
      </c>
      <c r="C654" s="26">
        <v>0.45833333333333331</v>
      </c>
      <c r="D654" s="2">
        <v>46045</v>
      </c>
      <c r="E654" s="25"/>
      <c r="F654" s="25"/>
      <c r="G654" s="25" t="s">
        <v>1015</v>
      </c>
      <c r="H654" s="26">
        <v>0.45833333333333331</v>
      </c>
      <c r="I654" s="26">
        <v>0.4861111111111111</v>
      </c>
      <c r="J654" s="2">
        <v>46048</v>
      </c>
      <c r="K654" s="25" t="s">
        <v>25</v>
      </c>
      <c r="L654" s="25" t="s">
        <v>1016</v>
      </c>
      <c r="M654" s="25" t="s">
        <v>22</v>
      </c>
      <c r="N654" s="25" t="s">
        <v>1017</v>
      </c>
      <c r="O654" s="25" t="s">
        <v>112</v>
      </c>
      <c r="P654" s="25" t="s">
        <v>23</v>
      </c>
    </row>
    <row r="655" spans="1:16" x14ac:dyDescent="0.25">
      <c r="A655">
        <v>630</v>
      </c>
      <c r="B655" s="25" t="s">
        <v>46</v>
      </c>
      <c r="C655" s="26">
        <v>0.67708333333333337</v>
      </c>
      <c r="D655" s="2">
        <v>46048</v>
      </c>
      <c r="E655" s="25" t="s">
        <v>143</v>
      </c>
      <c r="F655" s="25"/>
      <c r="G655" s="25" t="s">
        <v>1018</v>
      </c>
      <c r="H655" s="26">
        <v>0.6875</v>
      </c>
      <c r="I655" s="26">
        <v>0.70138888888888884</v>
      </c>
      <c r="J655" s="2">
        <v>46048</v>
      </c>
      <c r="K655" s="25" t="s">
        <v>48</v>
      </c>
      <c r="L655" s="25" t="s">
        <v>1019</v>
      </c>
      <c r="M655" s="25" t="s">
        <v>22</v>
      </c>
      <c r="N655" s="25" t="s">
        <v>22</v>
      </c>
      <c r="O655" s="25" t="s">
        <v>108</v>
      </c>
      <c r="P655" s="25" t="s">
        <v>23</v>
      </c>
    </row>
    <row r="656" spans="1:16" x14ac:dyDescent="0.25">
      <c r="A656">
        <v>631</v>
      </c>
      <c r="B656" s="25" t="s">
        <v>231</v>
      </c>
      <c r="C656" s="26">
        <v>0.72569444444444442</v>
      </c>
      <c r="D656" s="2">
        <v>46048</v>
      </c>
      <c r="E656" s="25" t="s">
        <v>143</v>
      </c>
      <c r="F656" s="25" t="s">
        <v>650</v>
      </c>
      <c r="G656" s="25" t="s">
        <v>1020</v>
      </c>
      <c r="H656" s="26">
        <v>0.72569444444444442</v>
      </c>
      <c r="I656" s="26">
        <v>0.75</v>
      </c>
      <c r="J656" s="2">
        <v>46048</v>
      </c>
      <c r="K656" s="25" t="s">
        <v>20</v>
      </c>
      <c r="L656" s="25" t="s">
        <v>1021</v>
      </c>
      <c r="M656" s="25" t="s">
        <v>22</v>
      </c>
      <c r="N656" s="25" t="s">
        <v>22</v>
      </c>
      <c r="O656" s="25" t="s">
        <v>108</v>
      </c>
      <c r="P656" s="25" t="s">
        <v>23</v>
      </c>
    </row>
    <row r="657" spans="1:16" x14ac:dyDescent="0.25">
      <c r="A657">
        <v>632</v>
      </c>
      <c r="B657" s="25" t="s">
        <v>164</v>
      </c>
      <c r="C657" s="26">
        <v>0.81874999999999998</v>
      </c>
      <c r="D657" s="2">
        <v>46048</v>
      </c>
      <c r="E657" s="25" t="s">
        <v>143</v>
      </c>
      <c r="F657" s="25" t="s">
        <v>650</v>
      </c>
      <c r="G657" s="25" t="s">
        <v>1022</v>
      </c>
      <c r="H657" s="26">
        <v>0.81874999999999998</v>
      </c>
      <c r="I657" s="26">
        <v>0.83333333333333337</v>
      </c>
      <c r="J657" s="2">
        <v>46048</v>
      </c>
      <c r="K657" s="25" t="s">
        <v>48</v>
      </c>
      <c r="L657" s="25" t="s">
        <v>1023</v>
      </c>
      <c r="M657" s="25" t="s">
        <v>22</v>
      </c>
      <c r="N657" s="25" t="s">
        <v>22</v>
      </c>
      <c r="O657" s="25" t="s">
        <v>108</v>
      </c>
      <c r="P657" s="25" t="s">
        <v>23</v>
      </c>
    </row>
    <row r="658" spans="1:16" x14ac:dyDescent="0.25">
      <c r="A658">
        <v>633</v>
      </c>
      <c r="B658" s="25" t="s">
        <v>341</v>
      </c>
      <c r="C658" s="26">
        <v>0.28819444444444442</v>
      </c>
      <c r="D658" s="2">
        <v>46049</v>
      </c>
      <c r="E658" s="25" t="s">
        <v>143</v>
      </c>
      <c r="F658" s="25" t="s">
        <v>650</v>
      </c>
      <c r="G658" s="25" t="s">
        <v>1024</v>
      </c>
      <c r="H658" s="26">
        <v>0.28819444444444442</v>
      </c>
      <c r="I658" s="26">
        <v>0.37847222222222221</v>
      </c>
      <c r="J658" s="2">
        <v>46049</v>
      </c>
      <c r="K658" s="25" t="s">
        <v>48</v>
      </c>
      <c r="L658" s="25" t="s">
        <v>1025</v>
      </c>
      <c r="M658" s="25" t="s">
        <v>1026</v>
      </c>
      <c r="N658" s="25" t="s">
        <v>22</v>
      </c>
      <c r="O658" s="25" t="s">
        <v>44</v>
      </c>
      <c r="P658" s="25" t="s">
        <v>23</v>
      </c>
    </row>
    <row r="659" spans="1:16" x14ac:dyDescent="0.25">
      <c r="A659">
        <v>634</v>
      </c>
      <c r="B659" s="25" t="s">
        <v>1027</v>
      </c>
      <c r="C659" s="26">
        <v>0.38541666666666669</v>
      </c>
      <c r="D659" s="2">
        <v>46049</v>
      </c>
      <c r="E659" s="25" t="s">
        <v>17</v>
      </c>
      <c r="F659" s="25" t="s">
        <v>18</v>
      </c>
      <c r="G659" s="25" t="s">
        <v>1028</v>
      </c>
      <c r="H659" s="26">
        <v>0.38541666666666669</v>
      </c>
      <c r="I659" s="26">
        <v>0.43055555555555558</v>
      </c>
      <c r="J659" s="2">
        <v>46049</v>
      </c>
      <c r="K659" s="25" t="s">
        <v>20</v>
      </c>
      <c r="L659" s="25" t="s">
        <v>1029</v>
      </c>
      <c r="M659" s="25" t="s">
        <v>22</v>
      </c>
      <c r="N659" s="25" t="s">
        <v>22</v>
      </c>
      <c r="O659" s="25" t="s">
        <v>268</v>
      </c>
      <c r="P659" s="25" t="s">
        <v>23</v>
      </c>
    </row>
    <row r="660" spans="1:16" x14ac:dyDescent="0.25">
      <c r="A660">
        <v>635</v>
      </c>
      <c r="B660" s="25" t="s">
        <v>103</v>
      </c>
      <c r="C660" s="26">
        <v>0.46666666666666667</v>
      </c>
      <c r="D660" s="2">
        <v>46049</v>
      </c>
      <c r="E660" s="25" t="s">
        <v>188</v>
      </c>
      <c r="F660" s="25" t="s">
        <v>18</v>
      </c>
      <c r="G660" s="25" t="s">
        <v>1030</v>
      </c>
      <c r="H660" s="26"/>
      <c r="I660" s="26">
        <v>0.84375</v>
      </c>
      <c r="J660" s="2">
        <v>46054</v>
      </c>
      <c r="K660" s="25" t="s">
        <v>20</v>
      </c>
      <c r="L660" s="25" t="s">
        <v>1031</v>
      </c>
      <c r="M660" s="25" t="s">
        <v>22</v>
      </c>
      <c r="N660" s="25" t="s">
        <v>22</v>
      </c>
      <c r="O660" s="25" t="s">
        <v>108</v>
      </c>
      <c r="P660" s="25" t="s">
        <v>23</v>
      </c>
    </row>
    <row r="661" spans="1:16" x14ac:dyDescent="0.25">
      <c r="A661">
        <v>636</v>
      </c>
      <c r="B661" s="25" t="s">
        <v>199</v>
      </c>
      <c r="C661" s="26">
        <v>0.58333333333333337</v>
      </c>
      <c r="D661" s="2">
        <v>46049</v>
      </c>
      <c r="E661" s="25" t="s">
        <v>91</v>
      </c>
      <c r="F661" s="25" t="s">
        <v>18</v>
      </c>
      <c r="G661" s="25" t="s">
        <v>1032</v>
      </c>
      <c r="H661" s="26"/>
      <c r="I661" s="26"/>
      <c r="J661" s="2"/>
      <c r="K661" s="25"/>
      <c r="L661" s="25"/>
      <c r="M661" s="25"/>
      <c r="N661" s="25"/>
      <c r="O661" s="25"/>
      <c r="P661" s="25" t="s">
        <v>33</v>
      </c>
    </row>
    <row r="662" spans="1:16" x14ac:dyDescent="0.25">
      <c r="A662">
        <v>637</v>
      </c>
      <c r="B662" s="25" t="s">
        <v>103</v>
      </c>
      <c r="C662" s="26">
        <v>0.65972222222222221</v>
      </c>
      <c r="D662" s="2">
        <v>46080</v>
      </c>
      <c r="E662" s="25" t="s">
        <v>188</v>
      </c>
      <c r="F662" s="25" t="s">
        <v>650</v>
      </c>
      <c r="G662" s="25" t="s">
        <v>1033</v>
      </c>
      <c r="H662" s="26"/>
      <c r="I662" s="26"/>
      <c r="J662" s="2"/>
      <c r="K662" s="25"/>
      <c r="L662" s="25"/>
      <c r="M662" s="25"/>
      <c r="N662" s="25"/>
      <c r="O662" s="25"/>
      <c r="P662" s="25" t="s">
        <v>33</v>
      </c>
    </row>
    <row r="663" spans="1:16" x14ac:dyDescent="0.25">
      <c r="A663">
        <v>638</v>
      </c>
      <c r="B663" s="25" t="s">
        <v>242</v>
      </c>
      <c r="C663" s="26">
        <v>0.70833333333333337</v>
      </c>
      <c r="D663" s="2">
        <v>46049</v>
      </c>
      <c r="E663" s="25" t="s">
        <v>17</v>
      </c>
      <c r="F663" s="25" t="s">
        <v>18</v>
      </c>
      <c r="G663" s="25" t="s">
        <v>1034</v>
      </c>
      <c r="H663" s="26">
        <v>0.70833333333333337</v>
      </c>
      <c r="I663" s="26">
        <v>0.72013888888888888</v>
      </c>
      <c r="J663" s="2">
        <v>46049</v>
      </c>
      <c r="K663" s="25" t="s">
        <v>25</v>
      </c>
      <c r="L663" s="25" t="s">
        <v>1035</v>
      </c>
      <c r="M663" s="25" t="s">
        <v>1036</v>
      </c>
      <c r="N663" s="25" t="s">
        <v>22</v>
      </c>
      <c r="O663" s="25" t="s">
        <v>108</v>
      </c>
      <c r="P663" s="25" t="s">
        <v>23</v>
      </c>
    </row>
    <row r="664" spans="1:16" x14ac:dyDescent="0.25">
      <c r="A664">
        <v>639</v>
      </c>
      <c r="B664" s="25" t="s">
        <v>16</v>
      </c>
      <c r="C664" s="26">
        <v>0.60416666666666663</v>
      </c>
      <c r="D664" s="2">
        <v>46049</v>
      </c>
      <c r="E664" s="25" t="s">
        <v>116</v>
      </c>
      <c r="F664" s="25"/>
      <c r="G664" s="25" t="s">
        <v>1037</v>
      </c>
      <c r="H664" s="26">
        <v>0.60416666666666663</v>
      </c>
      <c r="I664" s="26">
        <v>0.70833333333333337</v>
      </c>
      <c r="J664" s="2">
        <v>46049</v>
      </c>
      <c r="K664" s="25" t="s">
        <v>20</v>
      </c>
      <c r="L664" s="25" t="s">
        <v>1038</v>
      </c>
      <c r="M664" s="25" t="s">
        <v>22</v>
      </c>
      <c r="N664" s="25" t="s">
        <v>22</v>
      </c>
      <c r="O664" s="25" t="s">
        <v>108</v>
      </c>
      <c r="P664" s="25" t="s">
        <v>23</v>
      </c>
    </row>
    <row r="665" spans="1:16" x14ac:dyDescent="0.25">
      <c r="A665">
        <v>640</v>
      </c>
      <c r="B665" s="25" t="s">
        <v>103</v>
      </c>
      <c r="C665" s="26">
        <v>0.74305555555555558</v>
      </c>
      <c r="D665" s="2">
        <v>46049</v>
      </c>
      <c r="E665" s="25" t="s">
        <v>188</v>
      </c>
      <c r="F665" s="25" t="s">
        <v>18</v>
      </c>
      <c r="G665" s="25" t="s">
        <v>1039</v>
      </c>
      <c r="H665" s="26"/>
      <c r="I665" s="26"/>
      <c r="J665" s="2"/>
      <c r="K665" s="25"/>
      <c r="L665" s="25"/>
      <c r="M665" s="25"/>
      <c r="N665" s="25"/>
      <c r="O665" s="25"/>
      <c r="P665" s="25" t="s">
        <v>33</v>
      </c>
    </row>
    <row r="666" spans="1:16" x14ac:dyDescent="0.25">
      <c r="A666">
        <v>641</v>
      </c>
      <c r="B666" s="25" t="s">
        <v>16</v>
      </c>
      <c r="C666" s="26">
        <v>0.875</v>
      </c>
      <c r="D666" s="2">
        <v>46049</v>
      </c>
      <c r="E666" s="25" t="s">
        <v>116</v>
      </c>
      <c r="F666" s="25" t="s">
        <v>650</v>
      </c>
      <c r="G666" s="25" t="s">
        <v>1040</v>
      </c>
      <c r="H666" s="26">
        <v>0.875</v>
      </c>
      <c r="I666" s="26">
        <v>0.88541666666666663</v>
      </c>
      <c r="J666" s="2">
        <v>46049</v>
      </c>
      <c r="K666" s="25" t="s">
        <v>20</v>
      </c>
      <c r="L666" s="25" t="s">
        <v>1041</v>
      </c>
      <c r="M666" s="25" t="s">
        <v>1042</v>
      </c>
      <c r="N666" s="25" t="s">
        <v>22</v>
      </c>
      <c r="O666" s="25" t="s">
        <v>108</v>
      </c>
      <c r="P666" s="25" t="s">
        <v>23</v>
      </c>
    </row>
    <row r="667" spans="1:16" x14ac:dyDescent="0.25">
      <c r="A667">
        <v>642</v>
      </c>
      <c r="B667" s="25" t="s">
        <v>187</v>
      </c>
      <c r="C667" s="26">
        <v>0.27083333333333331</v>
      </c>
      <c r="D667" s="2">
        <v>46050</v>
      </c>
      <c r="E667" s="25" t="s">
        <v>17</v>
      </c>
      <c r="F667" s="25" t="s">
        <v>18</v>
      </c>
      <c r="G667" s="25" t="s">
        <v>1043</v>
      </c>
      <c r="H667" s="26">
        <v>0.27083333333333331</v>
      </c>
      <c r="I667" s="26">
        <v>0.30555555555555558</v>
      </c>
      <c r="J667" s="2">
        <v>46049</v>
      </c>
      <c r="K667" s="25" t="s">
        <v>25</v>
      </c>
      <c r="L667" s="25" t="s">
        <v>1044</v>
      </c>
      <c r="M667" s="25" t="s">
        <v>1045</v>
      </c>
      <c r="N667" s="25" t="s">
        <v>22</v>
      </c>
      <c r="O667" s="25" t="s">
        <v>44</v>
      </c>
      <c r="P667" s="25" t="s">
        <v>23</v>
      </c>
    </row>
    <row r="668" spans="1:16" x14ac:dyDescent="0.25">
      <c r="A668">
        <v>643</v>
      </c>
      <c r="B668" s="25" t="s">
        <v>341</v>
      </c>
      <c r="C668" s="26">
        <v>0.625</v>
      </c>
      <c r="D668" s="2">
        <v>46050</v>
      </c>
      <c r="E668" s="25" t="s">
        <v>143</v>
      </c>
      <c r="F668" s="25" t="s">
        <v>650</v>
      </c>
      <c r="G668" s="25" t="s">
        <v>1046</v>
      </c>
      <c r="H668" s="26">
        <v>0.625</v>
      </c>
      <c r="I668" s="26">
        <v>0.6381944444444444</v>
      </c>
      <c r="J668" s="2">
        <v>46050</v>
      </c>
      <c r="K668" s="25" t="s">
        <v>48</v>
      </c>
      <c r="L668" s="25" t="s">
        <v>1047</v>
      </c>
      <c r="M668" s="25" t="s">
        <v>22</v>
      </c>
      <c r="N668" s="25" t="s">
        <v>22</v>
      </c>
      <c r="O668" s="25" t="s">
        <v>268</v>
      </c>
      <c r="P668" s="25" t="s">
        <v>23</v>
      </c>
    </row>
    <row r="669" spans="1:16" x14ac:dyDescent="0.25">
      <c r="A669">
        <v>644</v>
      </c>
      <c r="B669" s="25" t="s">
        <v>907</v>
      </c>
      <c r="C669" s="26">
        <v>0.60416666666666663</v>
      </c>
      <c r="D669" s="2">
        <v>46050</v>
      </c>
      <c r="E669" s="25" t="s">
        <v>17</v>
      </c>
      <c r="F669" s="25" t="s">
        <v>18</v>
      </c>
      <c r="G669" s="25" t="s">
        <v>1048</v>
      </c>
      <c r="H669" s="26">
        <v>0.61111111111111116</v>
      </c>
      <c r="I669" s="26">
        <v>0.76388888888888884</v>
      </c>
      <c r="J669" s="2">
        <v>46050</v>
      </c>
      <c r="K669" s="25" t="s">
        <v>20</v>
      </c>
      <c r="L669" s="25" t="s">
        <v>1049</v>
      </c>
      <c r="M669" s="25" t="s">
        <v>1050</v>
      </c>
      <c r="N669" s="25" t="s">
        <v>22</v>
      </c>
      <c r="O669" s="25" t="s">
        <v>661</v>
      </c>
      <c r="P669" s="25" t="s">
        <v>23</v>
      </c>
    </row>
    <row r="670" spans="1:16" x14ac:dyDescent="0.25">
      <c r="A670">
        <v>645</v>
      </c>
      <c r="B670" s="25" t="s">
        <v>199</v>
      </c>
      <c r="C670" s="26">
        <v>0.78819444444444442</v>
      </c>
      <c r="D670" s="2">
        <v>46050</v>
      </c>
      <c r="E670" s="25" t="s">
        <v>91</v>
      </c>
      <c r="F670" s="25" t="s">
        <v>18</v>
      </c>
      <c r="G670" s="25" t="s">
        <v>1051</v>
      </c>
      <c r="H670" s="26">
        <v>0.7895833333333333</v>
      </c>
      <c r="I670" s="26">
        <v>0.80555555555555558</v>
      </c>
      <c r="J670" s="2">
        <v>46050</v>
      </c>
      <c r="K670" s="25" t="s">
        <v>20</v>
      </c>
      <c r="L670" s="25" t="s">
        <v>1052</v>
      </c>
      <c r="M670" s="25" t="s">
        <v>22</v>
      </c>
      <c r="N670" s="25" t="s">
        <v>22</v>
      </c>
      <c r="O670" s="25" t="s">
        <v>661</v>
      </c>
      <c r="P670" s="25" t="s">
        <v>23</v>
      </c>
    </row>
    <row r="671" spans="1:16" x14ac:dyDescent="0.25">
      <c r="A671">
        <v>646</v>
      </c>
      <c r="B671" s="25" t="s">
        <v>199</v>
      </c>
      <c r="C671" s="26">
        <v>0.86805555555555558</v>
      </c>
      <c r="D671" s="2">
        <v>46050</v>
      </c>
      <c r="E671" s="25" t="s">
        <v>91</v>
      </c>
      <c r="F671" s="25" t="s">
        <v>18</v>
      </c>
      <c r="G671" s="25" t="s">
        <v>1053</v>
      </c>
      <c r="H671" s="26">
        <v>0.87152777777777779</v>
      </c>
      <c r="I671" s="26">
        <v>0.89583333333333337</v>
      </c>
      <c r="J671" s="2">
        <v>46050</v>
      </c>
      <c r="K671" s="25" t="s">
        <v>20</v>
      </c>
      <c r="L671" s="25" t="s">
        <v>1054</v>
      </c>
      <c r="M671" s="25" t="s">
        <v>22</v>
      </c>
      <c r="N671" s="25" t="s">
        <v>22</v>
      </c>
      <c r="O671" s="25" t="s">
        <v>661</v>
      </c>
      <c r="P671" s="25" t="s">
        <v>23</v>
      </c>
    </row>
    <row r="672" spans="1:16" x14ac:dyDescent="0.25">
      <c r="A672">
        <v>647</v>
      </c>
      <c r="B672" s="25" t="s">
        <v>103</v>
      </c>
      <c r="C672" s="26">
        <v>0.1875</v>
      </c>
      <c r="D672" s="2">
        <v>46051</v>
      </c>
      <c r="E672" s="25" t="s">
        <v>147</v>
      </c>
      <c r="F672" s="25" t="s">
        <v>18</v>
      </c>
      <c r="G672" s="25" t="s">
        <v>1055</v>
      </c>
      <c r="H672" s="26">
        <v>0.1875</v>
      </c>
      <c r="I672" s="26">
        <v>0.22222222222222221</v>
      </c>
      <c r="J672" s="2">
        <v>46051</v>
      </c>
      <c r="K672" s="25" t="s">
        <v>25</v>
      </c>
      <c r="L672" s="25" t="s">
        <v>1056</v>
      </c>
      <c r="M672" s="25" t="s">
        <v>1057</v>
      </c>
      <c r="N672" s="25" t="s">
        <v>22</v>
      </c>
      <c r="O672" s="25" t="s">
        <v>108</v>
      </c>
      <c r="P672" s="25" t="s">
        <v>23</v>
      </c>
    </row>
    <row r="673" spans="1:16" x14ac:dyDescent="0.25">
      <c r="A673">
        <v>648</v>
      </c>
      <c r="B673" s="25" t="s">
        <v>103</v>
      </c>
      <c r="C673" s="26">
        <v>0.18958333333333333</v>
      </c>
      <c r="D673" s="2">
        <v>46051</v>
      </c>
      <c r="E673" s="25" t="s">
        <v>147</v>
      </c>
      <c r="F673" s="25" t="s">
        <v>650</v>
      </c>
      <c r="G673" s="25" t="s">
        <v>1007</v>
      </c>
      <c r="H673" s="26">
        <v>0.18958333333333333</v>
      </c>
      <c r="I673" s="26">
        <v>0.22222222222222221</v>
      </c>
      <c r="J673" s="2">
        <v>46051</v>
      </c>
      <c r="K673" s="25" t="s">
        <v>20</v>
      </c>
      <c r="L673" s="25" t="s">
        <v>1058</v>
      </c>
      <c r="M673" s="25"/>
      <c r="N673" s="25"/>
      <c r="O673" s="25" t="s">
        <v>108</v>
      </c>
      <c r="P673" s="25" t="s">
        <v>33</v>
      </c>
    </row>
    <row r="674" spans="1:16" x14ac:dyDescent="0.25">
      <c r="A674">
        <v>649</v>
      </c>
      <c r="B674" s="25" t="s">
        <v>103</v>
      </c>
      <c r="C674" s="26">
        <v>0.19097222222222221</v>
      </c>
      <c r="D674" s="2">
        <v>46051</v>
      </c>
      <c r="E674" s="25" t="s">
        <v>188</v>
      </c>
      <c r="F674" s="25" t="s">
        <v>650</v>
      </c>
      <c r="G674" s="25" t="s">
        <v>1059</v>
      </c>
      <c r="H674" s="26">
        <v>0.19097222222222221</v>
      </c>
      <c r="I674" s="26">
        <v>0.2361111111111111</v>
      </c>
      <c r="J674" s="2">
        <v>46051</v>
      </c>
      <c r="K674" s="25" t="s">
        <v>20</v>
      </c>
      <c r="L674" s="25" t="s">
        <v>1060</v>
      </c>
      <c r="M674" s="25"/>
      <c r="N674" s="25"/>
      <c r="O674" s="25"/>
      <c r="P674" s="25" t="s">
        <v>33</v>
      </c>
    </row>
    <row r="675" spans="1:16" x14ac:dyDescent="0.25">
      <c r="A675">
        <v>650</v>
      </c>
      <c r="B675" s="25" t="s">
        <v>526</v>
      </c>
      <c r="C675" s="26"/>
      <c r="D675" s="2">
        <v>46051</v>
      </c>
      <c r="E675" s="25" t="s">
        <v>104</v>
      </c>
      <c r="F675" s="25" t="s">
        <v>18</v>
      </c>
      <c r="G675" s="25" t="s">
        <v>1061</v>
      </c>
      <c r="H675" s="26"/>
      <c r="I675" s="26"/>
      <c r="J675" s="2"/>
      <c r="K675" s="25"/>
      <c r="L675" s="25"/>
      <c r="M675" s="25"/>
      <c r="N675" s="25"/>
      <c r="O675" s="25"/>
      <c r="P675" s="25" t="s">
        <v>33</v>
      </c>
    </row>
    <row r="676" spans="1:16" x14ac:dyDescent="0.25">
      <c r="A676">
        <v>651</v>
      </c>
      <c r="B676" s="25" t="s">
        <v>93</v>
      </c>
      <c r="C676" s="26">
        <v>0.43055555555555558</v>
      </c>
      <c r="D676" s="2">
        <v>46051</v>
      </c>
      <c r="E676" s="25" t="s">
        <v>17</v>
      </c>
      <c r="F676" s="25" t="s">
        <v>18</v>
      </c>
      <c r="G676" s="25" t="s">
        <v>1062</v>
      </c>
      <c r="H676" s="26">
        <v>0.43055555555555558</v>
      </c>
      <c r="I676" s="26">
        <v>0.44444444444444442</v>
      </c>
      <c r="J676" s="2">
        <v>46051</v>
      </c>
      <c r="K676" s="25" t="s">
        <v>20</v>
      </c>
      <c r="L676" s="25" t="s">
        <v>1063</v>
      </c>
      <c r="M676" s="25" t="s">
        <v>22</v>
      </c>
      <c r="N676" s="25" t="s">
        <v>1064</v>
      </c>
      <c r="O676" s="25" t="s">
        <v>112</v>
      </c>
      <c r="P676" s="25" t="s">
        <v>23</v>
      </c>
    </row>
    <row r="677" spans="1:16" x14ac:dyDescent="0.25">
      <c r="A677">
        <v>652</v>
      </c>
      <c r="B677" s="25" t="s">
        <v>93</v>
      </c>
      <c r="C677" s="26">
        <v>0.39583333333333331</v>
      </c>
      <c r="D677" s="2">
        <v>46051</v>
      </c>
      <c r="E677" s="25" t="s">
        <v>94</v>
      </c>
      <c r="F677" s="25"/>
      <c r="G677" s="25" t="s">
        <v>1065</v>
      </c>
      <c r="H677" s="26">
        <v>0.39583333333333331</v>
      </c>
      <c r="I677" s="26">
        <v>0.41666666666666669</v>
      </c>
      <c r="J677" s="2">
        <v>46051</v>
      </c>
      <c r="K677" s="25" t="s">
        <v>20</v>
      </c>
      <c r="L677" s="25" t="s">
        <v>1066</v>
      </c>
      <c r="M677" s="25" t="s">
        <v>22</v>
      </c>
      <c r="N677" s="25" t="s">
        <v>22</v>
      </c>
      <c r="O677" s="25" t="s">
        <v>112</v>
      </c>
      <c r="P677" s="25" t="s">
        <v>23</v>
      </c>
    </row>
    <row r="678" spans="1:16" x14ac:dyDescent="0.25">
      <c r="A678">
        <v>653</v>
      </c>
      <c r="B678" s="25"/>
      <c r="C678" s="26"/>
      <c r="D678" s="2"/>
      <c r="E678" s="25"/>
      <c r="F678" s="25"/>
      <c r="G678" s="25"/>
      <c r="H678" s="26"/>
      <c r="I678" s="26"/>
      <c r="J678" s="2"/>
      <c r="K678" s="25"/>
      <c r="L678" s="25"/>
      <c r="M678" s="25"/>
      <c r="N678" s="25"/>
      <c r="O678" s="25"/>
      <c r="P678" s="25"/>
    </row>
    <row r="679" spans="1:16" x14ac:dyDescent="0.25">
      <c r="A679">
        <v>654</v>
      </c>
      <c r="B679" s="25" t="s">
        <v>16</v>
      </c>
      <c r="C679" s="26">
        <v>0.6875</v>
      </c>
      <c r="D679" s="2">
        <v>46051</v>
      </c>
      <c r="E679" s="25" t="s">
        <v>116</v>
      </c>
      <c r="F679" s="25" t="s">
        <v>650</v>
      </c>
      <c r="G679" s="25" t="s">
        <v>1067</v>
      </c>
      <c r="H679" s="26">
        <v>0.68888888888888888</v>
      </c>
      <c r="I679" s="26">
        <v>0.70138888888888884</v>
      </c>
      <c r="J679" s="2">
        <v>46051</v>
      </c>
      <c r="K679" s="25" t="s">
        <v>25</v>
      </c>
      <c r="L679" s="25" t="s">
        <v>1068</v>
      </c>
      <c r="M679" s="25" t="s">
        <v>22</v>
      </c>
      <c r="N679" s="25" t="s">
        <v>22</v>
      </c>
      <c r="O679" s="25" t="s">
        <v>661</v>
      </c>
      <c r="P679" s="25" t="s">
        <v>23</v>
      </c>
    </row>
    <row r="680" spans="1:16" x14ac:dyDescent="0.25">
      <c r="A680">
        <v>655</v>
      </c>
      <c r="B680" s="25" t="s">
        <v>16</v>
      </c>
      <c r="C680" s="26">
        <v>0.86805555555555558</v>
      </c>
      <c r="D680" s="2">
        <v>46051</v>
      </c>
      <c r="E680" s="25" t="s">
        <v>185</v>
      </c>
      <c r="F680" s="25"/>
      <c r="G680" s="25" t="s">
        <v>1069</v>
      </c>
      <c r="H680" s="26">
        <v>0.91319444444444442</v>
      </c>
      <c r="I680" s="26">
        <v>0.30208333333333331</v>
      </c>
      <c r="J680" s="2">
        <v>46052</v>
      </c>
      <c r="K680" s="25" t="s">
        <v>25</v>
      </c>
      <c r="L680" s="25" t="s">
        <v>1070</v>
      </c>
      <c r="M680" s="25" t="s">
        <v>1071</v>
      </c>
      <c r="N680" s="25" t="s">
        <v>22</v>
      </c>
      <c r="O680" s="25" t="s">
        <v>661</v>
      </c>
      <c r="P680" s="25" t="s">
        <v>23</v>
      </c>
    </row>
    <row r="681" spans="1:16" x14ac:dyDescent="0.25">
      <c r="A681">
        <v>656</v>
      </c>
      <c r="B681" s="25" t="s">
        <v>279</v>
      </c>
      <c r="C681" s="26">
        <v>0.89236111111111116</v>
      </c>
      <c r="D681" s="2">
        <v>46051</v>
      </c>
      <c r="E681" s="25" t="s">
        <v>17</v>
      </c>
      <c r="F681" s="25"/>
      <c r="G681" s="25" t="s">
        <v>1072</v>
      </c>
      <c r="H681" s="26">
        <v>0.97222222222222221</v>
      </c>
      <c r="I681" s="26">
        <v>0.9916666666666667</v>
      </c>
      <c r="J681" s="2">
        <v>46051</v>
      </c>
      <c r="K681" s="25" t="s">
        <v>25</v>
      </c>
      <c r="L681" s="25" t="s">
        <v>1073</v>
      </c>
      <c r="M681" s="25" t="s">
        <v>22</v>
      </c>
      <c r="N681" s="25" t="s">
        <v>1074</v>
      </c>
      <c r="O681" s="25" t="s">
        <v>108</v>
      </c>
      <c r="P681" s="25" t="s">
        <v>23</v>
      </c>
    </row>
    <row r="682" spans="1:16" x14ac:dyDescent="0.25">
      <c r="A682">
        <v>657</v>
      </c>
      <c r="B682" s="25" t="s">
        <v>161</v>
      </c>
      <c r="C682" s="26">
        <v>0.13541666666666666</v>
      </c>
      <c r="D682" s="2">
        <v>46052</v>
      </c>
      <c r="E682" s="25" t="s">
        <v>162</v>
      </c>
      <c r="F682" s="25"/>
      <c r="G682" s="25" t="s">
        <v>1075</v>
      </c>
      <c r="H682" s="26">
        <v>0.18055555555555555</v>
      </c>
      <c r="I682" s="26">
        <v>0.34722222222222221</v>
      </c>
      <c r="J682" s="2">
        <v>46052</v>
      </c>
      <c r="K682" s="25" t="s">
        <v>775</v>
      </c>
      <c r="L682" s="25" t="s">
        <v>1076</v>
      </c>
      <c r="M682" s="25" t="s">
        <v>1077</v>
      </c>
      <c r="N682" s="25" t="s">
        <v>22</v>
      </c>
      <c r="O682" s="25" t="s">
        <v>661</v>
      </c>
      <c r="P682" s="25" t="s">
        <v>23</v>
      </c>
    </row>
    <row r="683" spans="1:16" x14ac:dyDescent="0.25">
      <c r="A683">
        <v>658</v>
      </c>
      <c r="B683" s="25" t="s">
        <v>103</v>
      </c>
      <c r="C683" s="26">
        <v>0.4548611111111111</v>
      </c>
      <c r="D683" s="2">
        <v>46052</v>
      </c>
      <c r="E683" s="25" t="s">
        <v>307</v>
      </c>
      <c r="F683" s="25" t="s">
        <v>18</v>
      </c>
      <c r="G683" s="25" t="s">
        <v>1078</v>
      </c>
      <c r="H683" s="26"/>
      <c r="I683" s="26"/>
      <c r="J683" s="2"/>
      <c r="K683" s="25"/>
      <c r="L683" s="25"/>
      <c r="M683" s="25"/>
      <c r="N683" s="25"/>
      <c r="O683" s="25"/>
      <c r="P683" s="25" t="s">
        <v>33</v>
      </c>
    </row>
    <row r="684" spans="1:16" x14ac:dyDescent="0.25">
      <c r="A684">
        <v>659</v>
      </c>
      <c r="B684" s="25" t="s">
        <v>103</v>
      </c>
      <c r="C684" s="26">
        <v>0.45347222222222222</v>
      </c>
      <c r="D684" s="2">
        <v>46052</v>
      </c>
      <c r="E684" s="25" t="s">
        <v>104</v>
      </c>
      <c r="F684" s="25" t="s">
        <v>650</v>
      </c>
      <c r="G684" s="25" t="s">
        <v>1079</v>
      </c>
      <c r="H684" s="26"/>
      <c r="I684" s="26"/>
      <c r="J684" s="2"/>
      <c r="K684" s="25"/>
      <c r="L684" s="25"/>
      <c r="M684" s="25"/>
      <c r="N684" s="25"/>
      <c r="O684" s="25"/>
      <c r="P684" s="25" t="s">
        <v>33</v>
      </c>
    </row>
    <row r="685" spans="1:16" x14ac:dyDescent="0.25">
      <c r="A685">
        <v>660</v>
      </c>
      <c r="B685" s="25" t="s">
        <v>1080</v>
      </c>
      <c r="C685" s="26">
        <v>0.79166666666666663</v>
      </c>
      <c r="D685" s="2">
        <v>46052</v>
      </c>
      <c r="E685" s="25" t="s">
        <v>782</v>
      </c>
      <c r="F685" s="25" t="s">
        <v>18</v>
      </c>
      <c r="G685" s="25" t="s">
        <v>1081</v>
      </c>
      <c r="H685" s="26">
        <v>0.82291666666666663</v>
      </c>
      <c r="I685" s="26">
        <v>0.85416666666666663</v>
      </c>
      <c r="J685" s="2">
        <v>46052</v>
      </c>
      <c r="K685" s="25" t="s">
        <v>20</v>
      </c>
      <c r="L685" s="25" t="s">
        <v>1082</v>
      </c>
      <c r="M685" s="25" t="s">
        <v>22</v>
      </c>
      <c r="N685" s="25" t="s">
        <v>22</v>
      </c>
      <c r="O685" s="25" t="s">
        <v>44</v>
      </c>
      <c r="P685" s="25" t="s">
        <v>33</v>
      </c>
    </row>
    <row r="686" spans="1:16" x14ac:dyDescent="0.25">
      <c r="A686">
        <v>661</v>
      </c>
      <c r="B686" s="25" t="s">
        <v>103</v>
      </c>
      <c r="C686" s="26">
        <v>0.30902777777777779</v>
      </c>
      <c r="D686" s="2">
        <v>46053</v>
      </c>
      <c r="E686" s="25" t="s">
        <v>147</v>
      </c>
      <c r="F686" s="25" t="s">
        <v>650</v>
      </c>
      <c r="G686" s="25" t="s">
        <v>1083</v>
      </c>
      <c r="H686" s="26"/>
      <c r="I686" s="26"/>
      <c r="J686" s="2"/>
      <c r="K686" s="25"/>
      <c r="L686" s="25"/>
      <c r="M686" s="25"/>
      <c r="N686" s="25"/>
      <c r="O686" s="25"/>
      <c r="P686" s="25" t="s">
        <v>33</v>
      </c>
    </row>
    <row r="687" spans="1:16" x14ac:dyDescent="0.25">
      <c r="A687">
        <v>662</v>
      </c>
      <c r="B687" s="25" t="s">
        <v>103</v>
      </c>
      <c r="C687" s="26">
        <v>0.30902777777777779</v>
      </c>
      <c r="D687" s="2">
        <v>46053</v>
      </c>
      <c r="E687" s="25" t="s">
        <v>104</v>
      </c>
      <c r="F687" s="25" t="s">
        <v>18</v>
      </c>
      <c r="G687" s="25" t="s">
        <v>1084</v>
      </c>
      <c r="H687" s="26"/>
      <c r="I687" s="26"/>
      <c r="J687" s="2"/>
      <c r="K687" s="25"/>
      <c r="L687" s="25"/>
      <c r="M687" s="25"/>
      <c r="N687" s="25"/>
      <c r="O687" s="25"/>
      <c r="P687" s="25" t="s">
        <v>33</v>
      </c>
    </row>
    <row r="688" spans="1:16" x14ac:dyDescent="0.25">
      <c r="A688">
        <v>663</v>
      </c>
      <c r="B688" s="25" t="s">
        <v>103</v>
      </c>
      <c r="C688" s="26"/>
      <c r="D688" s="2">
        <v>46053</v>
      </c>
      <c r="E688" s="25" t="s">
        <v>188</v>
      </c>
      <c r="F688" s="25" t="s">
        <v>650</v>
      </c>
      <c r="G688" s="25" t="s">
        <v>1085</v>
      </c>
      <c r="H688" s="26"/>
      <c r="I688" s="26"/>
      <c r="J688" s="2"/>
      <c r="K688" s="25"/>
      <c r="L688" s="25"/>
      <c r="M688" s="25"/>
      <c r="N688" s="25"/>
      <c r="O688" s="25"/>
      <c r="P688" s="25" t="s">
        <v>33</v>
      </c>
    </row>
    <row r="689" spans="1:16" x14ac:dyDescent="0.25">
      <c r="A689">
        <v>664</v>
      </c>
      <c r="B689" s="25" t="s">
        <v>103</v>
      </c>
      <c r="C689" s="26"/>
      <c r="D689" s="2">
        <v>46053</v>
      </c>
      <c r="E689" s="25" t="s">
        <v>188</v>
      </c>
      <c r="F689" s="25" t="s">
        <v>650</v>
      </c>
      <c r="G689" s="25" t="s">
        <v>1086</v>
      </c>
      <c r="H689" s="26"/>
      <c r="I689" s="26"/>
      <c r="J689" s="2"/>
      <c r="K689" s="25"/>
      <c r="L689" s="25"/>
      <c r="M689" s="25"/>
      <c r="N689" s="25"/>
      <c r="O689" s="25"/>
      <c r="P689" s="25" t="s">
        <v>33</v>
      </c>
    </row>
    <row r="690" spans="1:16" x14ac:dyDescent="0.25">
      <c r="A690">
        <v>665</v>
      </c>
      <c r="B690" s="25" t="s">
        <v>103</v>
      </c>
      <c r="C690" s="26"/>
      <c r="D690" s="2">
        <v>46053</v>
      </c>
      <c r="E690" s="25" t="s">
        <v>1087</v>
      </c>
      <c r="F690" s="25" t="s">
        <v>18</v>
      </c>
      <c r="G690" s="25" t="s">
        <v>1088</v>
      </c>
      <c r="H690" s="26"/>
      <c r="I690" s="26"/>
      <c r="J690" s="2"/>
      <c r="K690" s="25"/>
      <c r="L690" s="25"/>
      <c r="M690" s="25"/>
      <c r="N690" s="25"/>
      <c r="O690" s="25"/>
      <c r="P690" s="25" t="s">
        <v>33</v>
      </c>
    </row>
    <row r="691" spans="1:16" x14ac:dyDescent="0.25">
      <c r="A691">
        <v>666</v>
      </c>
      <c r="B691" s="25" t="s">
        <v>526</v>
      </c>
      <c r="C691" s="26">
        <v>0.31944444444444442</v>
      </c>
      <c r="D691" s="2">
        <v>46053</v>
      </c>
      <c r="E691" s="25" t="s">
        <v>91</v>
      </c>
      <c r="F691" s="25" t="s">
        <v>650</v>
      </c>
      <c r="G691" s="25" t="s">
        <v>1089</v>
      </c>
      <c r="H691" s="26"/>
      <c r="I691" s="26"/>
      <c r="J691" s="2"/>
      <c r="K691" s="25"/>
      <c r="L691" s="25"/>
      <c r="M691" s="25"/>
      <c r="N691" s="25"/>
      <c r="O691" s="25"/>
      <c r="P691" s="25" t="s">
        <v>33</v>
      </c>
    </row>
    <row r="692" spans="1:16" x14ac:dyDescent="0.25">
      <c r="A692">
        <v>667</v>
      </c>
      <c r="B692" s="25" t="s">
        <v>231</v>
      </c>
      <c r="C692" s="26">
        <v>0.50486111111111109</v>
      </c>
      <c r="D692" s="2">
        <v>46053</v>
      </c>
      <c r="E692" s="25" t="s">
        <v>143</v>
      </c>
      <c r="F692" s="25" t="s">
        <v>18</v>
      </c>
      <c r="G692" s="25" t="s">
        <v>1090</v>
      </c>
      <c r="H692" s="26">
        <v>0.52083333333333337</v>
      </c>
      <c r="I692" s="26">
        <v>0.56944444444444442</v>
      </c>
      <c r="J692" s="2">
        <v>46053</v>
      </c>
      <c r="K692" s="25" t="s">
        <v>25</v>
      </c>
      <c r="L692" s="25" t="s">
        <v>1091</v>
      </c>
      <c r="M692" s="25" t="s">
        <v>1092</v>
      </c>
      <c r="N692" s="25" t="s">
        <v>205</v>
      </c>
      <c r="O692" s="25" t="s">
        <v>1093</v>
      </c>
      <c r="P692" s="25" t="s">
        <v>23</v>
      </c>
    </row>
    <row r="693" spans="1:16" x14ac:dyDescent="0.25">
      <c r="A693">
        <v>668</v>
      </c>
      <c r="B693" s="25" t="s">
        <v>187</v>
      </c>
      <c r="C693" s="26">
        <v>0.52500000000000002</v>
      </c>
      <c r="D693" s="2">
        <v>46053</v>
      </c>
      <c r="E693" s="25" t="s">
        <v>782</v>
      </c>
      <c r="F693" s="25" t="s">
        <v>18</v>
      </c>
      <c r="G693" s="25" t="s">
        <v>1094</v>
      </c>
      <c r="H693" s="26"/>
      <c r="I693" s="26"/>
      <c r="J693" s="2"/>
      <c r="K693" s="25"/>
      <c r="L693" s="25" t="s">
        <v>1095</v>
      </c>
      <c r="M693" s="25" t="s">
        <v>22</v>
      </c>
      <c r="N693" s="25" t="s">
        <v>22</v>
      </c>
      <c r="O693" s="25" t="s">
        <v>1093</v>
      </c>
      <c r="P693" s="25" t="s">
        <v>33</v>
      </c>
    </row>
    <row r="694" spans="1:16" x14ac:dyDescent="0.25">
      <c r="A694">
        <v>669</v>
      </c>
      <c r="B694" s="25" t="s">
        <v>103</v>
      </c>
      <c r="C694" s="26">
        <v>0.55555555555555558</v>
      </c>
      <c r="D694" s="2">
        <v>46053</v>
      </c>
      <c r="E694" s="25" t="s">
        <v>307</v>
      </c>
      <c r="F694" s="25" t="s">
        <v>18</v>
      </c>
      <c r="G694" s="25" t="s">
        <v>1096</v>
      </c>
      <c r="H694" s="26"/>
      <c r="I694" s="26"/>
      <c r="J694" s="2"/>
      <c r="K694" s="25"/>
      <c r="L694" s="25"/>
      <c r="M694" s="25"/>
      <c r="N694" s="25"/>
      <c r="O694" s="25"/>
      <c r="P694" s="25" t="s">
        <v>33</v>
      </c>
    </row>
    <row r="695" spans="1:16" x14ac:dyDescent="0.25">
      <c r="A695">
        <v>670</v>
      </c>
      <c r="B695" s="25" t="s">
        <v>187</v>
      </c>
      <c r="C695" s="26">
        <v>0.68541666666666667</v>
      </c>
      <c r="D695" s="2">
        <v>46053</v>
      </c>
      <c r="E695" s="25" t="s">
        <v>782</v>
      </c>
      <c r="F695" s="25"/>
      <c r="G695" s="25" t="s">
        <v>1097</v>
      </c>
      <c r="H695" s="26">
        <v>0.68541666666666667</v>
      </c>
      <c r="I695" s="26">
        <v>0.70625000000000004</v>
      </c>
      <c r="J695" s="2">
        <v>46053</v>
      </c>
      <c r="K695" s="25" t="s">
        <v>775</v>
      </c>
      <c r="L695" s="25" t="s">
        <v>1098</v>
      </c>
      <c r="M695" s="25" t="s">
        <v>22</v>
      </c>
      <c r="N695" s="25" t="s">
        <v>22</v>
      </c>
      <c r="O695" s="25" t="s">
        <v>44</v>
      </c>
      <c r="P695" s="25" t="s">
        <v>23</v>
      </c>
    </row>
    <row r="696" spans="1:16" x14ac:dyDescent="0.25">
      <c r="A696">
        <v>671</v>
      </c>
      <c r="B696" s="25" t="s">
        <v>192</v>
      </c>
      <c r="C696" s="26">
        <v>0.79166666666666663</v>
      </c>
      <c r="D696" s="2">
        <v>46053</v>
      </c>
      <c r="E696" s="25" t="s">
        <v>162</v>
      </c>
      <c r="F696" s="25"/>
      <c r="G696" s="25" t="s">
        <v>1099</v>
      </c>
      <c r="H696" s="26">
        <v>0.79166666666666663</v>
      </c>
      <c r="I696" s="26">
        <v>0.8125</v>
      </c>
      <c r="J696" s="2">
        <v>46053</v>
      </c>
      <c r="K696" s="25" t="s">
        <v>25</v>
      </c>
      <c r="L696" s="25" t="s">
        <v>1100</v>
      </c>
      <c r="M696" s="25" t="s">
        <v>22</v>
      </c>
      <c r="N696" s="25" t="s">
        <v>22</v>
      </c>
      <c r="O696" s="25" t="s">
        <v>44</v>
      </c>
      <c r="P696" s="25" t="s">
        <v>23</v>
      </c>
    </row>
    <row r="697" spans="1:16" x14ac:dyDescent="0.25">
      <c r="A697">
        <v>672</v>
      </c>
      <c r="B697" s="25" t="s">
        <v>1101</v>
      </c>
      <c r="C697" s="26">
        <v>0.875</v>
      </c>
      <c r="D697" s="2">
        <v>46053</v>
      </c>
      <c r="E697" s="25" t="s">
        <v>94</v>
      </c>
      <c r="F697" s="25" t="s">
        <v>18</v>
      </c>
      <c r="G697" s="25" t="s">
        <v>1102</v>
      </c>
      <c r="H697" s="26">
        <v>0.88194444444444442</v>
      </c>
      <c r="I697" s="26">
        <v>0.89583333333333337</v>
      </c>
      <c r="J697" s="2">
        <v>46053</v>
      </c>
      <c r="K697" s="25" t="s">
        <v>25</v>
      </c>
      <c r="L697" s="25" t="s">
        <v>1103</v>
      </c>
      <c r="M697" s="25" t="s">
        <v>22</v>
      </c>
      <c r="N697" s="25" t="s">
        <v>22</v>
      </c>
      <c r="O697" s="25" t="s">
        <v>44</v>
      </c>
      <c r="P697" s="25" t="s">
        <v>23</v>
      </c>
    </row>
    <row r="698" spans="1:16" x14ac:dyDescent="0.25">
      <c r="A698">
        <v>673</v>
      </c>
      <c r="B698" s="25"/>
      <c r="C698" s="26"/>
      <c r="D698" s="2"/>
      <c r="E698" s="25"/>
      <c r="F698" s="25"/>
      <c r="G698" s="25"/>
      <c r="H698" s="26"/>
      <c r="I698" s="26"/>
      <c r="J698" s="2"/>
      <c r="K698" s="25"/>
      <c r="L698" s="25"/>
      <c r="M698" s="25"/>
      <c r="N698" s="25"/>
      <c r="O698" s="25"/>
      <c r="P698" s="25"/>
    </row>
    <row r="699" spans="1:16" x14ac:dyDescent="0.25">
      <c r="A699">
        <v>674</v>
      </c>
      <c r="B699" s="25" t="s">
        <v>192</v>
      </c>
      <c r="C699" s="26">
        <v>2.0833333333333332E-2</v>
      </c>
      <c r="D699" s="2">
        <v>46054</v>
      </c>
      <c r="E699" s="25" t="s">
        <v>162</v>
      </c>
      <c r="F699" s="25"/>
      <c r="G699" s="25" t="s">
        <v>1104</v>
      </c>
      <c r="H699" s="26">
        <v>0.14583333333333334</v>
      </c>
      <c r="I699" s="26">
        <v>0.16666666666666666</v>
      </c>
      <c r="J699" s="2">
        <v>46054</v>
      </c>
      <c r="K699" s="25" t="s">
        <v>20</v>
      </c>
      <c r="L699" s="25" t="s">
        <v>1105</v>
      </c>
      <c r="M699" s="25" t="s">
        <v>1106</v>
      </c>
      <c r="N699" s="25" t="s">
        <v>22</v>
      </c>
      <c r="O699" s="25" t="s">
        <v>112</v>
      </c>
      <c r="P699" s="25" t="s">
        <v>23</v>
      </c>
    </row>
    <row r="700" spans="1:16" x14ac:dyDescent="0.25">
      <c r="A700">
        <v>675</v>
      </c>
      <c r="B700" s="25" t="s">
        <v>199</v>
      </c>
      <c r="C700" s="26">
        <v>0.91666666666666663</v>
      </c>
      <c r="D700" s="2">
        <v>46053</v>
      </c>
      <c r="E700" s="25" t="s">
        <v>91</v>
      </c>
      <c r="F700" s="25"/>
      <c r="G700" s="25" t="s">
        <v>1107</v>
      </c>
      <c r="H700" s="26">
        <v>0.91666666666666663</v>
      </c>
      <c r="I700" s="26">
        <v>0.125</v>
      </c>
      <c r="J700" s="2">
        <v>46054</v>
      </c>
      <c r="K700" s="25" t="s">
        <v>25</v>
      </c>
      <c r="L700" s="25" t="s">
        <v>1108</v>
      </c>
      <c r="M700" s="25" t="s">
        <v>1109</v>
      </c>
      <c r="N700" s="25" t="s">
        <v>22</v>
      </c>
      <c r="O700" s="25" t="s">
        <v>112</v>
      </c>
      <c r="P700" s="25" t="s">
        <v>23</v>
      </c>
    </row>
    <row r="701" spans="1:16" x14ac:dyDescent="0.25">
      <c r="A701">
        <v>676</v>
      </c>
      <c r="B701" s="25" t="s">
        <v>231</v>
      </c>
      <c r="C701" s="26">
        <v>0.22222222222222221</v>
      </c>
      <c r="D701" s="2">
        <v>46054</v>
      </c>
      <c r="E701" s="25" t="s">
        <v>143</v>
      </c>
      <c r="F701" s="25" t="s">
        <v>18</v>
      </c>
      <c r="G701" s="25" t="s">
        <v>1110</v>
      </c>
      <c r="H701" s="26">
        <v>0.34722222222222221</v>
      </c>
      <c r="I701" s="26">
        <v>0.38194444444444442</v>
      </c>
      <c r="J701" s="2">
        <v>46054</v>
      </c>
      <c r="K701" s="25" t="s">
        <v>48</v>
      </c>
      <c r="L701" s="25" t="s">
        <v>1111</v>
      </c>
      <c r="M701" s="25" t="s">
        <v>22</v>
      </c>
      <c r="N701" s="25" t="s">
        <v>22</v>
      </c>
      <c r="O701" s="25" t="s">
        <v>44</v>
      </c>
      <c r="P701" s="25" t="s">
        <v>23</v>
      </c>
    </row>
    <row r="702" spans="1:16" x14ac:dyDescent="0.25">
      <c r="A702">
        <v>677</v>
      </c>
      <c r="B702" s="25" t="s">
        <v>164</v>
      </c>
      <c r="C702" s="26">
        <v>0</v>
      </c>
      <c r="D702" s="2">
        <v>46055</v>
      </c>
      <c r="E702" s="25" t="s">
        <v>143</v>
      </c>
      <c r="F702" s="25" t="s">
        <v>650</v>
      </c>
      <c r="G702" s="25" t="s">
        <v>1112</v>
      </c>
      <c r="H702" s="26">
        <v>0</v>
      </c>
      <c r="I702" s="26">
        <v>6.9444444444444441E-3</v>
      </c>
      <c r="J702" s="2">
        <v>46055</v>
      </c>
      <c r="K702" s="25" t="s">
        <v>48</v>
      </c>
      <c r="L702" s="25" t="s">
        <v>1113</v>
      </c>
      <c r="M702" s="25" t="s">
        <v>22</v>
      </c>
      <c r="N702" s="25" t="s">
        <v>22</v>
      </c>
      <c r="O702" s="25" t="s">
        <v>108</v>
      </c>
      <c r="P702" s="25" t="s">
        <v>23</v>
      </c>
    </row>
    <row r="703" spans="1:16" x14ac:dyDescent="0.25">
      <c r="A703">
        <v>678</v>
      </c>
      <c r="B703" s="25"/>
      <c r="C703" s="26"/>
      <c r="D703" s="2"/>
      <c r="E703" s="25"/>
      <c r="F703" s="25"/>
      <c r="G703" s="25"/>
      <c r="H703" s="26"/>
      <c r="I703" s="26"/>
      <c r="J703" s="2"/>
      <c r="K703" s="25"/>
      <c r="L703" s="25"/>
      <c r="M703" s="25"/>
      <c r="N703" s="25"/>
      <c r="O703" s="25"/>
      <c r="P703" s="25"/>
    </row>
    <row r="704" spans="1:16" x14ac:dyDescent="0.25">
      <c r="A704">
        <v>679</v>
      </c>
      <c r="B704" s="25" t="s">
        <v>103</v>
      </c>
      <c r="C704" s="26">
        <v>0.41041666666666665</v>
      </c>
      <c r="D704" s="2">
        <v>46055</v>
      </c>
      <c r="E704" s="25" t="s">
        <v>188</v>
      </c>
      <c r="F704" s="25" t="s">
        <v>650</v>
      </c>
      <c r="G704" s="25" t="s">
        <v>1114</v>
      </c>
      <c r="H704" s="26">
        <v>0.41666666666666669</v>
      </c>
      <c r="I704" s="26">
        <v>0.45833333333333331</v>
      </c>
      <c r="J704" s="2">
        <v>46055</v>
      </c>
      <c r="K704" s="25" t="s">
        <v>20</v>
      </c>
      <c r="L704" s="25" t="s">
        <v>1115</v>
      </c>
      <c r="M704" s="25" t="s">
        <v>22</v>
      </c>
      <c r="N704" s="25" t="s">
        <v>22</v>
      </c>
      <c r="O704" s="25" t="s">
        <v>661</v>
      </c>
      <c r="P704" s="25" t="s">
        <v>23</v>
      </c>
    </row>
    <row r="705" spans="1:16" x14ac:dyDescent="0.25">
      <c r="A705">
        <v>680</v>
      </c>
      <c r="B705" s="25" t="s">
        <v>103</v>
      </c>
      <c r="C705" s="26">
        <v>0.38541666666666669</v>
      </c>
      <c r="D705" s="2">
        <v>46055</v>
      </c>
      <c r="E705" s="25" t="s">
        <v>147</v>
      </c>
      <c r="F705" s="25" t="s">
        <v>18</v>
      </c>
      <c r="G705" s="25" t="s">
        <v>1116</v>
      </c>
      <c r="H705" s="26"/>
      <c r="I705" s="26">
        <v>0.79166666666666663</v>
      </c>
      <c r="J705" s="2">
        <v>46059</v>
      </c>
      <c r="K705" s="25"/>
      <c r="L705" s="25" t="s">
        <v>1117</v>
      </c>
      <c r="M705" s="25" t="s">
        <v>22</v>
      </c>
      <c r="N705" s="25" t="s">
        <v>22</v>
      </c>
      <c r="O705" s="25" t="s">
        <v>112</v>
      </c>
      <c r="P705" s="25" t="s">
        <v>23</v>
      </c>
    </row>
    <row r="706" spans="1:16" x14ac:dyDescent="0.25">
      <c r="A706">
        <v>681</v>
      </c>
      <c r="B706" s="25" t="s">
        <v>103</v>
      </c>
      <c r="C706" s="26">
        <v>0.72222222222222221</v>
      </c>
      <c r="D706" s="2">
        <v>46055</v>
      </c>
      <c r="E706" s="25" t="s">
        <v>188</v>
      </c>
      <c r="F706" s="25" t="s">
        <v>18</v>
      </c>
      <c r="G706" s="25" t="s">
        <v>1118</v>
      </c>
      <c r="H706" s="26"/>
      <c r="I706" s="26"/>
      <c r="J706" s="2"/>
      <c r="K706" s="25"/>
      <c r="L706" s="25"/>
      <c r="M706" s="25"/>
      <c r="N706" s="25"/>
      <c r="O706" s="25"/>
      <c r="P706" s="25" t="s">
        <v>33</v>
      </c>
    </row>
    <row r="707" spans="1:16" x14ac:dyDescent="0.25">
      <c r="A707">
        <v>682</v>
      </c>
      <c r="B707" s="25" t="s">
        <v>139</v>
      </c>
      <c r="C707" s="26">
        <v>0.85416666666666663</v>
      </c>
      <c r="D707" s="2">
        <v>46055</v>
      </c>
      <c r="E707" s="25" t="s">
        <v>91</v>
      </c>
      <c r="F707" s="25" t="s">
        <v>18</v>
      </c>
      <c r="G707" s="25" t="s">
        <v>1119</v>
      </c>
      <c r="H707" s="26">
        <v>0.85416666666666663</v>
      </c>
      <c r="I707" s="26">
        <v>5.5555555555555552E-2</v>
      </c>
      <c r="J707" s="2">
        <v>46056</v>
      </c>
      <c r="K707" s="25" t="s">
        <v>1120</v>
      </c>
      <c r="L707" s="25" t="s">
        <v>1121</v>
      </c>
      <c r="M707" s="25" t="s">
        <v>22</v>
      </c>
      <c r="N707" s="25" t="s">
        <v>22</v>
      </c>
      <c r="O707" s="25" t="s">
        <v>108</v>
      </c>
      <c r="P707" s="25" t="s">
        <v>23</v>
      </c>
    </row>
    <row r="708" spans="1:16" x14ac:dyDescent="0.25">
      <c r="A708">
        <v>683</v>
      </c>
      <c r="B708" s="25" t="s">
        <v>526</v>
      </c>
      <c r="C708" s="26">
        <v>0.11458333333333333</v>
      </c>
      <c r="D708" s="2">
        <v>46056</v>
      </c>
      <c r="E708" s="25" t="s">
        <v>188</v>
      </c>
      <c r="F708" s="25" t="s">
        <v>18</v>
      </c>
      <c r="G708" s="25" t="s">
        <v>1122</v>
      </c>
      <c r="H708" s="26">
        <v>0.11458333333333333</v>
      </c>
      <c r="I708" s="26">
        <v>0.1388888888888889</v>
      </c>
      <c r="J708" s="2">
        <v>46056</v>
      </c>
      <c r="K708" s="25" t="s">
        <v>25</v>
      </c>
      <c r="L708" s="25" t="s">
        <v>1123</v>
      </c>
      <c r="M708" s="25" t="s">
        <v>1124</v>
      </c>
      <c r="N708" s="25" t="s">
        <v>22</v>
      </c>
      <c r="O708" s="25" t="s">
        <v>108</v>
      </c>
      <c r="P708" s="25" t="s">
        <v>23</v>
      </c>
    </row>
    <row r="709" spans="1:16" x14ac:dyDescent="0.25">
      <c r="A709">
        <v>684</v>
      </c>
      <c r="B709" s="25" t="s">
        <v>526</v>
      </c>
      <c r="C709" s="26">
        <v>0.1875</v>
      </c>
      <c r="D709" s="2">
        <v>46056</v>
      </c>
      <c r="E709" s="25" t="s">
        <v>188</v>
      </c>
      <c r="F709" s="25" t="s">
        <v>18</v>
      </c>
      <c r="G709" s="25" t="s">
        <v>1125</v>
      </c>
      <c r="H709" s="26">
        <v>0.1875</v>
      </c>
      <c r="I709" s="26">
        <v>0.20833333333333334</v>
      </c>
      <c r="J709" s="2">
        <v>46056</v>
      </c>
      <c r="K709" s="25" t="s">
        <v>20</v>
      </c>
      <c r="L709" s="25" t="s">
        <v>1126</v>
      </c>
      <c r="M709" s="25" t="s">
        <v>1127</v>
      </c>
      <c r="N709" s="25" t="s">
        <v>22</v>
      </c>
      <c r="O709" s="25" t="s">
        <v>108</v>
      </c>
      <c r="P709" s="25" t="s">
        <v>23</v>
      </c>
    </row>
    <row r="710" spans="1:16" x14ac:dyDescent="0.25">
      <c r="A710">
        <v>685</v>
      </c>
      <c r="B710" s="25" t="s">
        <v>139</v>
      </c>
      <c r="C710" s="26">
        <v>0.20833333333333334</v>
      </c>
      <c r="D710" s="2">
        <v>46056</v>
      </c>
      <c r="E710" s="25" t="s">
        <v>91</v>
      </c>
      <c r="F710" s="25" t="s">
        <v>18</v>
      </c>
      <c r="G710" s="25" t="s">
        <v>1128</v>
      </c>
      <c r="H710" s="26"/>
      <c r="I710" s="26"/>
      <c r="J710" s="2"/>
      <c r="K710" s="25"/>
      <c r="L710" s="25"/>
      <c r="M710" s="25"/>
      <c r="N710" s="25"/>
      <c r="O710" s="25"/>
      <c r="P710" s="25" t="s">
        <v>33</v>
      </c>
    </row>
    <row r="711" spans="1:16" x14ac:dyDescent="0.25">
      <c r="A711">
        <v>686</v>
      </c>
      <c r="B711" s="25" t="s">
        <v>139</v>
      </c>
      <c r="C711" s="26"/>
      <c r="D711" s="2">
        <v>46056</v>
      </c>
      <c r="E711" s="25" t="s">
        <v>91</v>
      </c>
      <c r="F711" s="25" t="s">
        <v>18</v>
      </c>
      <c r="G711" s="25" t="s">
        <v>1129</v>
      </c>
      <c r="H711" s="26"/>
      <c r="I711" s="26"/>
      <c r="J711" s="2"/>
      <c r="K711" s="25"/>
      <c r="L711" s="25"/>
      <c r="M711" s="25"/>
      <c r="N711" s="25"/>
      <c r="O711" s="25"/>
      <c r="P711" s="25" t="s">
        <v>33</v>
      </c>
    </row>
    <row r="712" spans="1:16" x14ac:dyDescent="0.25">
      <c r="A712">
        <v>687</v>
      </c>
      <c r="B712" s="25"/>
      <c r="C712" s="26"/>
      <c r="D712" s="2"/>
      <c r="E712" s="25"/>
      <c r="F712" s="25"/>
      <c r="G712" s="25"/>
      <c r="H712" s="26"/>
      <c r="I712" s="26"/>
      <c r="J712" s="2"/>
      <c r="K712" s="25"/>
      <c r="L712" s="25"/>
      <c r="M712" s="25"/>
      <c r="N712" s="25"/>
      <c r="O712" s="25"/>
      <c r="P712" s="25"/>
    </row>
    <row r="713" spans="1:16" x14ac:dyDescent="0.25">
      <c r="A713">
        <v>688</v>
      </c>
      <c r="B713" s="25" t="s">
        <v>113</v>
      </c>
      <c r="C713" s="26">
        <v>0.38194444444444442</v>
      </c>
      <c r="D713" s="2">
        <v>46056</v>
      </c>
      <c r="E713" s="25" t="s">
        <v>188</v>
      </c>
      <c r="F713" s="25" t="s">
        <v>18</v>
      </c>
      <c r="G713" s="25" t="s">
        <v>1130</v>
      </c>
      <c r="H713" s="26"/>
      <c r="I713" s="26"/>
      <c r="J713" s="2"/>
      <c r="K713" s="25"/>
      <c r="L713" s="25"/>
      <c r="M713" s="25"/>
      <c r="N713" s="25"/>
      <c r="O713" s="25"/>
      <c r="P713" s="25" t="s">
        <v>33</v>
      </c>
    </row>
    <row r="714" spans="1:16" x14ac:dyDescent="0.25">
      <c r="A714">
        <v>689</v>
      </c>
      <c r="B714" s="25" t="s">
        <v>113</v>
      </c>
      <c r="C714" s="26"/>
      <c r="D714" s="2">
        <v>46056</v>
      </c>
      <c r="E714" s="25" t="s">
        <v>188</v>
      </c>
      <c r="F714" s="25" t="s">
        <v>18</v>
      </c>
      <c r="G714" s="25" t="s">
        <v>1131</v>
      </c>
      <c r="H714" s="26"/>
      <c r="I714" s="26"/>
      <c r="J714" s="2"/>
      <c r="K714" s="25"/>
      <c r="L714" s="25"/>
      <c r="M714" s="25"/>
      <c r="N714" s="25"/>
      <c r="O714" s="25"/>
      <c r="P714" s="25" t="s">
        <v>33</v>
      </c>
    </row>
    <row r="715" spans="1:16" x14ac:dyDescent="0.25">
      <c r="A715">
        <v>690</v>
      </c>
      <c r="B715" s="25" t="s">
        <v>16</v>
      </c>
      <c r="C715" s="26">
        <v>0.4861111111111111</v>
      </c>
      <c r="D715" s="2">
        <v>46056</v>
      </c>
      <c r="E715" s="25" t="s">
        <v>185</v>
      </c>
      <c r="F715" s="25" t="s">
        <v>18</v>
      </c>
      <c r="G715" s="25" t="s">
        <v>1132</v>
      </c>
      <c r="H715" s="26">
        <v>0.25</v>
      </c>
      <c r="I715" s="26">
        <v>0.27083333333333331</v>
      </c>
      <c r="J715" s="2">
        <v>46059</v>
      </c>
      <c r="K715" s="25" t="s">
        <v>25</v>
      </c>
      <c r="L715" s="25" t="s">
        <v>1133</v>
      </c>
      <c r="M715" s="25" t="s">
        <v>1134</v>
      </c>
      <c r="N715" s="25" t="s">
        <v>22</v>
      </c>
      <c r="O715" s="25" t="s">
        <v>661</v>
      </c>
      <c r="P715" s="25" t="s">
        <v>23</v>
      </c>
    </row>
    <row r="716" spans="1:16" x14ac:dyDescent="0.25">
      <c r="A716">
        <v>691</v>
      </c>
      <c r="B716" s="25"/>
      <c r="C716" s="26"/>
      <c r="D716" s="2"/>
      <c r="E716" s="25"/>
      <c r="F716" s="25"/>
      <c r="G716" s="25"/>
      <c r="H716" s="26"/>
      <c r="I716" s="26"/>
      <c r="J716" s="2"/>
      <c r="K716" s="25"/>
      <c r="L716" s="25"/>
      <c r="M716" s="25"/>
      <c r="N716" s="25"/>
      <c r="O716" s="25"/>
      <c r="P716" s="25"/>
    </row>
    <row r="717" spans="1:16" x14ac:dyDescent="0.25">
      <c r="A717">
        <v>692</v>
      </c>
      <c r="B717" s="25" t="s">
        <v>1135</v>
      </c>
      <c r="C717" s="26">
        <v>0.72222222222222221</v>
      </c>
      <c r="D717" s="2">
        <v>46056</v>
      </c>
      <c r="E717" s="25" t="s">
        <v>17</v>
      </c>
      <c r="F717" s="25" t="s">
        <v>18</v>
      </c>
      <c r="G717" s="25" t="s">
        <v>1136</v>
      </c>
      <c r="H717" s="26">
        <v>0.72222222222222221</v>
      </c>
      <c r="I717" s="26">
        <v>0.74305555555555558</v>
      </c>
      <c r="J717" s="2">
        <v>46056</v>
      </c>
      <c r="K717" s="25" t="s">
        <v>20</v>
      </c>
      <c r="L717" s="25" t="s">
        <v>1137</v>
      </c>
      <c r="M717" s="25" t="s">
        <v>22</v>
      </c>
      <c r="N717" s="25" t="s">
        <v>22</v>
      </c>
      <c r="O717" s="25" t="s">
        <v>661</v>
      </c>
      <c r="P717" s="25" t="s">
        <v>23</v>
      </c>
    </row>
    <row r="718" spans="1:16" x14ac:dyDescent="0.25">
      <c r="A718">
        <v>693</v>
      </c>
      <c r="B718" s="25"/>
      <c r="C718" s="26"/>
      <c r="D718" s="2"/>
      <c r="E718" s="25"/>
      <c r="F718" s="25"/>
      <c r="G718" s="25"/>
      <c r="H718" s="26"/>
      <c r="I718" s="26"/>
      <c r="J718" s="2"/>
      <c r="K718" s="25"/>
      <c r="L718" s="25"/>
      <c r="M718" s="25"/>
      <c r="N718" s="25"/>
      <c r="O718" s="25"/>
      <c r="P718" s="25"/>
    </row>
    <row r="719" spans="1:16" x14ac:dyDescent="0.25">
      <c r="A719">
        <v>694</v>
      </c>
      <c r="B719" s="25" t="s">
        <v>279</v>
      </c>
      <c r="C719" s="26">
        <v>0.84375</v>
      </c>
      <c r="D719" s="2">
        <v>46058</v>
      </c>
      <c r="E719" s="25" t="s">
        <v>17</v>
      </c>
      <c r="F719" s="25" t="s">
        <v>18</v>
      </c>
      <c r="G719" s="25" t="s">
        <v>1138</v>
      </c>
      <c r="H719" s="26">
        <v>0.84375</v>
      </c>
      <c r="I719" s="26">
        <v>5.2777777777777778E-2</v>
      </c>
      <c r="J719" s="2">
        <v>46059</v>
      </c>
      <c r="K719" s="25" t="s">
        <v>25</v>
      </c>
      <c r="L719" s="25" t="s">
        <v>1139</v>
      </c>
      <c r="M719" s="25" t="s">
        <v>22</v>
      </c>
      <c r="N719" s="25" t="s">
        <v>1140</v>
      </c>
      <c r="O719" s="25" t="s">
        <v>108</v>
      </c>
      <c r="P719" s="25" t="s">
        <v>23</v>
      </c>
    </row>
    <row r="720" spans="1:16" x14ac:dyDescent="0.25">
      <c r="A720">
        <v>695</v>
      </c>
      <c r="B720" s="25" t="s">
        <v>279</v>
      </c>
      <c r="C720" s="26">
        <v>0.39097222222222222</v>
      </c>
      <c r="D720" s="2">
        <v>46062</v>
      </c>
      <c r="E720" s="25" t="s">
        <v>17</v>
      </c>
      <c r="F720" s="25" t="s">
        <v>18</v>
      </c>
      <c r="G720" s="25" t="s">
        <v>1957</v>
      </c>
      <c r="H720" s="26"/>
      <c r="I720" s="26">
        <v>0.52083333333333337</v>
      </c>
      <c r="J720" s="2"/>
      <c r="K720" s="25" t="s">
        <v>25</v>
      </c>
      <c r="L720" s="25" t="s">
        <v>1958</v>
      </c>
      <c r="M720" s="25" t="s">
        <v>22</v>
      </c>
      <c r="N720" s="25" t="s">
        <v>22</v>
      </c>
      <c r="O720" s="25" t="s">
        <v>268</v>
      </c>
      <c r="P720" s="25" t="s">
        <v>23</v>
      </c>
    </row>
    <row r="721" spans="1:16" x14ac:dyDescent="0.25">
      <c r="A721">
        <v>696</v>
      </c>
      <c r="B721" s="25" t="s">
        <v>695</v>
      </c>
      <c r="C721" s="26">
        <v>0.79166666666666663</v>
      </c>
      <c r="D721" s="2">
        <v>46101</v>
      </c>
      <c r="E721" s="25" t="s">
        <v>17</v>
      </c>
      <c r="F721" s="25" t="s">
        <v>18</v>
      </c>
      <c r="G721" s="25" t="s">
        <v>1626</v>
      </c>
      <c r="H721" s="26">
        <v>0.84722222222222221</v>
      </c>
      <c r="I721" s="26">
        <v>0.86805555555555558</v>
      </c>
      <c r="J721" s="2">
        <v>46101</v>
      </c>
      <c r="K721" s="25" t="s">
        <v>25</v>
      </c>
      <c r="L721" s="25" t="s">
        <v>1627</v>
      </c>
      <c r="M721" s="25" t="s">
        <v>1628</v>
      </c>
      <c r="N721" s="25" t="s">
        <v>22</v>
      </c>
      <c r="O721" s="25" t="s">
        <v>112</v>
      </c>
      <c r="P721" s="25" t="s">
        <v>23</v>
      </c>
    </row>
    <row r="722" spans="1:16" x14ac:dyDescent="0.25">
      <c r="A722">
        <v>697</v>
      </c>
      <c r="B722" s="25"/>
      <c r="C722" s="26"/>
      <c r="D722" s="2"/>
      <c r="E722" s="25"/>
      <c r="F722" s="25"/>
      <c r="G722" s="25"/>
      <c r="H722" s="26"/>
      <c r="I722" s="26"/>
      <c r="J722" s="2"/>
      <c r="K722" s="25"/>
      <c r="L722" s="25"/>
      <c r="M722" s="25"/>
      <c r="N722" s="25"/>
      <c r="O722" s="25"/>
      <c r="P722" s="25"/>
    </row>
    <row r="723" spans="1:16" x14ac:dyDescent="0.25">
      <c r="A723">
        <v>698</v>
      </c>
      <c r="B723" s="25" t="s">
        <v>317</v>
      </c>
      <c r="C723" s="26">
        <v>9.7222222222222224E-2</v>
      </c>
      <c r="D723" s="2">
        <v>46057</v>
      </c>
      <c r="E723" s="25" t="s">
        <v>91</v>
      </c>
      <c r="F723" s="25" t="s">
        <v>18</v>
      </c>
      <c r="G723" s="25" t="s">
        <v>1141</v>
      </c>
      <c r="H723" s="26"/>
      <c r="I723" s="26"/>
      <c r="J723" s="2"/>
      <c r="K723" s="25"/>
      <c r="L723" s="25"/>
      <c r="M723" s="25"/>
      <c r="N723" s="25"/>
      <c r="O723" s="25"/>
      <c r="P723" s="25" t="s">
        <v>33</v>
      </c>
    </row>
    <row r="724" spans="1:16" x14ac:dyDescent="0.25">
      <c r="A724">
        <v>699</v>
      </c>
      <c r="B724" s="25" t="s">
        <v>164</v>
      </c>
      <c r="C724" s="26">
        <v>0.31944444444444442</v>
      </c>
      <c r="D724" s="2">
        <v>46057</v>
      </c>
      <c r="E724" s="25" t="s">
        <v>143</v>
      </c>
      <c r="F724" s="25" t="s">
        <v>18</v>
      </c>
      <c r="G724" s="25" t="s">
        <v>1142</v>
      </c>
      <c r="H724" s="26">
        <v>0.31944444444444442</v>
      </c>
      <c r="I724" s="26">
        <v>0.35416666666666669</v>
      </c>
      <c r="J724" s="2">
        <v>46057</v>
      </c>
      <c r="K724" s="25" t="s">
        <v>25</v>
      </c>
      <c r="L724" s="25" t="s">
        <v>1143</v>
      </c>
      <c r="M724" s="25" t="s">
        <v>1144</v>
      </c>
      <c r="N724" s="25" t="s">
        <v>22</v>
      </c>
      <c r="O724" s="25" t="s">
        <v>108</v>
      </c>
      <c r="P724" s="25" t="s">
        <v>23</v>
      </c>
    </row>
    <row r="725" spans="1:16" x14ac:dyDescent="0.25">
      <c r="A725">
        <v>700</v>
      </c>
      <c r="B725" s="25" t="s">
        <v>16</v>
      </c>
      <c r="C725" s="26">
        <v>0.36458333333333331</v>
      </c>
      <c r="D725" s="2">
        <v>46057</v>
      </c>
      <c r="E725" s="25" t="s">
        <v>94</v>
      </c>
      <c r="F725" s="25" t="s">
        <v>18</v>
      </c>
      <c r="G725" s="25" t="s">
        <v>1145</v>
      </c>
      <c r="H725" s="26">
        <v>0.36458333333333331</v>
      </c>
      <c r="I725" s="26">
        <v>0.375</v>
      </c>
      <c r="J725" s="2">
        <v>46057</v>
      </c>
      <c r="K725" s="25" t="s">
        <v>20</v>
      </c>
      <c r="L725" s="25" t="s">
        <v>1146</v>
      </c>
      <c r="M725" s="25" t="s">
        <v>22</v>
      </c>
      <c r="N725" s="25" t="s">
        <v>22</v>
      </c>
      <c r="O725" s="25" t="s">
        <v>108</v>
      </c>
      <c r="P725" s="25" t="s">
        <v>23</v>
      </c>
    </row>
    <row r="726" spans="1:16" x14ac:dyDescent="0.25">
      <c r="B726" s="25"/>
      <c r="C726" s="26"/>
      <c r="D726" s="2"/>
      <c r="E726" s="25"/>
      <c r="F726" s="25"/>
      <c r="G726" s="25"/>
      <c r="H726" s="26"/>
      <c r="I726" s="26"/>
      <c r="J726" s="2"/>
      <c r="K726" s="25"/>
      <c r="L726" s="25"/>
      <c r="M726" s="25"/>
      <c r="N726" s="25"/>
      <c r="O726" s="25"/>
      <c r="P726" s="25"/>
    </row>
    <row r="727" spans="1:16" x14ac:dyDescent="0.25">
      <c r="A727" t="s">
        <v>0</v>
      </c>
      <c r="B727" s="25" t="s">
        <v>1</v>
      </c>
      <c r="C727" s="26"/>
      <c r="D727" s="2"/>
      <c r="E727" s="25" t="s">
        <v>4</v>
      </c>
      <c r="F727" s="25" t="s">
        <v>5</v>
      </c>
      <c r="G727" s="25" t="s">
        <v>6</v>
      </c>
      <c r="H727" s="26"/>
      <c r="I727" s="26"/>
      <c r="J727" s="2"/>
      <c r="K727" s="25" t="s">
        <v>10</v>
      </c>
      <c r="L727" s="25" t="s">
        <v>11</v>
      </c>
      <c r="M727" s="25" t="s">
        <v>12</v>
      </c>
      <c r="N727" s="25" t="s">
        <v>13</v>
      </c>
      <c r="O727" s="25" t="s">
        <v>14</v>
      </c>
      <c r="P727" s="25" t="s">
        <v>15</v>
      </c>
    </row>
    <row r="728" spans="1:16" x14ac:dyDescent="0.25">
      <c r="A728">
        <v>701</v>
      </c>
      <c r="B728" s="25" t="s">
        <v>164</v>
      </c>
      <c r="C728" s="26">
        <v>0.4826388888888889</v>
      </c>
      <c r="D728" s="2">
        <v>46055</v>
      </c>
      <c r="E728" s="25" t="s">
        <v>143</v>
      </c>
      <c r="F728" s="25" t="s">
        <v>650</v>
      </c>
      <c r="G728" s="25" t="s">
        <v>1147</v>
      </c>
      <c r="H728" s="26">
        <v>0.4826388888888889</v>
      </c>
      <c r="I728" s="26">
        <v>0.49305555555555558</v>
      </c>
      <c r="J728" s="2">
        <v>46055</v>
      </c>
      <c r="K728" s="25" t="s">
        <v>25</v>
      </c>
      <c r="L728" s="25" t="s">
        <v>1148</v>
      </c>
      <c r="M728" s="25" t="s">
        <v>22</v>
      </c>
      <c r="N728" s="25" t="s">
        <v>1149</v>
      </c>
      <c r="O728" s="25" t="s">
        <v>108</v>
      </c>
      <c r="P728" s="25" t="s">
        <v>23</v>
      </c>
    </row>
    <row r="729" spans="1:16" x14ac:dyDescent="0.25">
      <c r="A729">
        <v>702</v>
      </c>
      <c r="B729" s="25" t="s">
        <v>16</v>
      </c>
      <c r="C729" s="26">
        <v>0.38194444444444442</v>
      </c>
      <c r="D729" s="2">
        <v>46057</v>
      </c>
      <c r="E729" s="25" t="s">
        <v>94</v>
      </c>
      <c r="F729" s="25" t="s">
        <v>18</v>
      </c>
      <c r="G729" s="25" t="s">
        <v>1150</v>
      </c>
      <c r="H729" s="26">
        <v>0.38194444444444442</v>
      </c>
      <c r="I729" s="26">
        <v>0.50347222222222221</v>
      </c>
      <c r="J729" s="2">
        <v>46057</v>
      </c>
      <c r="K729" s="25" t="s">
        <v>25</v>
      </c>
      <c r="L729" s="25" t="s">
        <v>1151</v>
      </c>
      <c r="M729" s="25" t="s">
        <v>22</v>
      </c>
      <c r="N729" s="25" t="s">
        <v>22</v>
      </c>
      <c r="O729" s="25" t="s">
        <v>108</v>
      </c>
      <c r="P729" s="25" t="s">
        <v>23</v>
      </c>
    </row>
    <row r="730" spans="1:16" x14ac:dyDescent="0.25">
      <c r="A730">
        <v>703</v>
      </c>
      <c r="B730" s="25"/>
      <c r="C730" s="26"/>
      <c r="D730" s="2"/>
      <c r="E730" s="25"/>
      <c r="F730" s="25"/>
      <c r="G730" s="25"/>
      <c r="H730" s="26"/>
      <c r="I730" s="26"/>
      <c r="J730" s="2"/>
      <c r="K730" s="25"/>
      <c r="L730" s="25"/>
      <c r="M730" s="25"/>
      <c r="N730" s="25"/>
      <c r="O730" s="25"/>
      <c r="P730" s="25"/>
    </row>
    <row r="731" spans="1:16" x14ac:dyDescent="0.25">
      <c r="A731">
        <v>704</v>
      </c>
      <c r="B731" s="25" t="s">
        <v>199</v>
      </c>
      <c r="C731" s="26">
        <v>0.79166666666666663</v>
      </c>
      <c r="D731" s="2">
        <v>46057</v>
      </c>
      <c r="E731" s="25" t="s">
        <v>91</v>
      </c>
      <c r="F731" s="25" t="s">
        <v>18</v>
      </c>
      <c r="G731" s="25" t="s">
        <v>1152</v>
      </c>
      <c r="H731" s="26"/>
      <c r="I731" s="26"/>
      <c r="J731" s="2"/>
      <c r="K731" s="25"/>
      <c r="L731" s="25"/>
      <c r="M731" s="25"/>
      <c r="N731" s="25"/>
      <c r="O731" s="25"/>
      <c r="P731" s="25" t="s">
        <v>33</v>
      </c>
    </row>
    <row r="732" spans="1:16" x14ac:dyDescent="0.25">
      <c r="A732">
        <v>705</v>
      </c>
      <c r="B732" s="25" t="s">
        <v>526</v>
      </c>
      <c r="C732" s="26">
        <v>0.11458333333333333</v>
      </c>
      <c r="D732" s="2">
        <v>46058</v>
      </c>
      <c r="E732" s="25" t="s">
        <v>104</v>
      </c>
      <c r="F732" s="25" t="s">
        <v>18</v>
      </c>
      <c r="G732" s="25" t="s">
        <v>1153</v>
      </c>
      <c r="H732" s="26">
        <v>0.2638888888888889</v>
      </c>
      <c r="I732" s="26">
        <v>0.27777777777777779</v>
      </c>
      <c r="J732" s="2">
        <v>46058</v>
      </c>
      <c r="K732" s="25" t="s">
        <v>20</v>
      </c>
      <c r="L732" s="25" t="s">
        <v>1154</v>
      </c>
      <c r="M732" s="25" t="s">
        <v>22</v>
      </c>
      <c r="N732" s="25" t="s">
        <v>22</v>
      </c>
      <c r="O732" s="25" t="s">
        <v>112</v>
      </c>
      <c r="P732" s="25" t="s">
        <v>23</v>
      </c>
    </row>
    <row r="733" spans="1:16" x14ac:dyDescent="0.25">
      <c r="A733">
        <v>706</v>
      </c>
      <c r="B733" s="25" t="s">
        <v>199</v>
      </c>
      <c r="C733" s="26">
        <v>0.12152777777777778</v>
      </c>
      <c r="D733" s="2">
        <v>46058</v>
      </c>
      <c r="E733" s="25" t="s">
        <v>91</v>
      </c>
      <c r="F733" s="25" t="s">
        <v>18</v>
      </c>
      <c r="G733" s="25" t="s">
        <v>1155</v>
      </c>
      <c r="H733" s="26"/>
      <c r="I733" s="26"/>
      <c r="J733" s="2"/>
      <c r="K733" s="25"/>
      <c r="L733" s="25"/>
      <c r="M733" s="25"/>
      <c r="N733" s="25"/>
      <c r="O733" s="25"/>
      <c r="P733" s="25" t="s">
        <v>33</v>
      </c>
    </row>
    <row r="734" spans="1:16" x14ac:dyDescent="0.25">
      <c r="A734">
        <v>707</v>
      </c>
      <c r="B734" s="25" t="s">
        <v>164</v>
      </c>
      <c r="C734" s="26">
        <v>0.45069444444444445</v>
      </c>
      <c r="D734" s="2">
        <v>46094</v>
      </c>
      <c r="E734" s="25" t="s">
        <v>143</v>
      </c>
      <c r="F734" s="25" t="s">
        <v>18</v>
      </c>
      <c r="G734" s="25" t="s">
        <v>1156</v>
      </c>
      <c r="H734" s="26">
        <v>0.45069444444444445</v>
      </c>
      <c r="I734" s="26">
        <v>0.46875</v>
      </c>
      <c r="J734" s="2">
        <v>46094</v>
      </c>
      <c r="K734" s="25" t="s">
        <v>25</v>
      </c>
      <c r="L734" s="25" t="s">
        <v>1157</v>
      </c>
      <c r="M734" s="25" t="s">
        <v>22</v>
      </c>
      <c r="N734" s="25" t="s">
        <v>673</v>
      </c>
      <c r="O734" s="25" t="s">
        <v>661</v>
      </c>
      <c r="P734" s="25" t="s">
        <v>23</v>
      </c>
    </row>
    <row r="735" spans="1:16" x14ac:dyDescent="0.25">
      <c r="A735">
        <v>708</v>
      </c>
      <c r="B735" s="25" t="s">
        <v>16</v>
      </c>
      <c r="C735" s="26">
        <v>0.29166666666666669</v>
      </c>
      <c r="D735" s="2">
        <v>46058</v>
      </c>
      <c r="E735" s="25" t="s">
        <v>94</v>
      </c>
      <c r="F735" s="25" t="s">
        <v>18</v>
      </c>
      <c r="G735" s="25" t="s">
        <v>1158</v>
      </c>
      <c r="H735" s="26">
        <v>0.35416666666666669</v>
      </c>
      <c r="I735" s="26">
        <v>0.37847222222222221</v>
      </c>
      <c r="J735" s="2">
        <v>46058</v>
      </c>
      <c r="K735" s="25" t="s">
        <v>25</v>
      </c>
      <c r="L735" s="25" t="s">
        <v>1159</v>
      </c>
      <c r="M735" s="25" t="s">
        <v>987</v>
      </c>
      <c r="N735" s="25" t="s">
        <v>22</v>
      </c>
      <c r="O735" s="25" t="s">
        <v>112</v>
      </c>
      <c r="P735" s="25" t="s">
        <v>23</v>
      </c>
    </row>
    <row r="736" spans="1:16" x14ac:dyDescent="0.25">
      <c r="A736">
        <v>709</v>
      </c>
      <c r="B736" s="25" t="s">
        <v>103</v>
      </c>
      <c r="C736" s="26">
        <v>0.4513888888888889</v>
      </c>
      <c r="D736" s="2">
        <v>46058</v>
      </c>
      <c r="E736" s="25" t="s">
        <v>147</v>
      </c>
      <c r="F736" s="25" t="s">
        <v>18</v>
      </c>
      <c r="G736" s="25" t="s">
        <v>1160</v>
      </c>
      <c r="H736" s="26">
        <v>0.47916666666666669</v>
      </c>
      <c r="I736" s="26">
        <v>0.53125</v>
      </c>
      <c r="J736" s="2">
        <v>46058</v>
      </c>
      <c r="K736" s="25" t="s">
        <v>25</v>
      </c>
      <c r="L736" s="25" t="s">
        <v>1161</v>
      </c>
      <c r="M736" s="25" t="s">
        <v>22</v>
      </c>
      <c r="N736" s="25" t="s">
        <v>22</v>
      </c>
      <c r="O736" s="25" t="s">
        <v>112</v>
      </c>
      <c r="P736" s="25" t="s">
        <v>23</v>
      </c>
    </row>
    <row r="737" spans="1:16" x14ac:dyDescent="0.25">
      <c r="A737">
        <v>710</v>
      </c>
      <c r="B737" s="25" t="s">
        <v>16</v>
      </c>
      <c r="C737" s="26">
        <v>0.4236111111111111</v>
      </c>
      <c r="D737" s="2">
        <v>46058</v>
      </c>
      <c r="E737" s="25" t="s">
        <v>116</v>
      </c>
      <c r="F737" s="25" t="s">
        <v>18</v>
      </c>
      <c r="G737" s="25" t="s">
        <v>1162</v>
      </c>
      <c r="H737" s="26">
        <v>0.4236111111111111</v>
      </c>
      <c r="I737" s="26">
        <v>0.44444444444444442</v>
      </c>
      <c r="J737" s="2">
        <v>46058</v>
      </c>
      <c r="K737" s="25" t="s">
        <v>25</v>
      </c>
      <c r="L737" s="25" t="s">
        <v>1163</v>
      </c>
      <c r="M737" s="25" t="s">
        <v>1164</v>
      </c>
      <c r="N737" s="25" t="s">
        <v>22</v>
      </c>
      <c r="O737" s="25" t="s">
        <v>112</v>
      </c>
      <c r="P737" s="25" t="s">
        <v>23</v>
      </c>
    </row>
    <row r="738" spans="1:16" x14ac:dyDescent="0.25">
      <c r="A738">
        <v>711</v>
      </c>
      <c r="B738" s="25" t="s">
        <v>103</v>
      </c>
      <c r="C738" s="26">
        <v>0.5625</v>
      </c>
      <c r="D738" s="2">
        <v>46058</v>
      </c>
      <c r="E738" s="25" t="s">
        <v>307</v>
      </c>
      <c r="F738" s="25" t="s">
        <v>18</v>
      </c>
      <c r="G738" s="25" t="s">
        <v>1165</v>
      </c>
      <c r="H738" s="26"/>
      <c r="I738" s="26"/>
      <c r="J738" s="2"/>
      <c r="K738" s="25"/>
      <c r="L738" s="25"/>
      <c r="M738" s="25"/>
      <c r="N738" s="25"/>
      <c r="O738" s="25"/>
      <c r="P738" s="25" t="s">
        <v>33</v>
      </c>
    </row>
    <row r="739" spans="1:16" x14ac:dyDescent="0.25">
      <c r="A739">
        <v>712</v>
      </c>
      <c r="B739" s="25" t="s">
        <v>93</v>
      </c>
      <c r="C739" s="26">
        <v>0.625</v>
      </c>
      <c r="D739" s="2">
        <v>46058</v>
      </c>
      <c r="E739" s="25" t="s">
        <v>94</v>
      </c>
      <c r="F739" s="25" t="s">
        <v>18</v>
      </c>
      <c r="G739" s="25" t="s">
        <v>1166</v>
      </c>
      <c r="H739" s="26">
        <v>0.63194444444444442</v>
      </c>
      <c r="I739" s="26">
        <v>0.65972222222222221</v>
      </c>
      <c r="J739" s="2">
        <v>46058</v>
      </c>
      <c r="K739" s="25" t="s">
        <v>20</v>
      </c>
      <c r="L739" s="25" t="s">
        <v>1167</v>
      </c>
      <c r="M739" s="25" t="s">
        <v>1168</v>
      </c>
      <c r="N739" s="25" t="s">
        <v>22</v>
      </c>
      <c r="O739" s="25" t="s">
        <v>112</v>
      </c>
      <c r="P739" s="25" t="s">
        <v>23</v>
      </c>
    </row>
    <row r="740" spans="1:16" x14ac:dyDescent="0.25">
      <c r="A740">
        <v>713</v>
      </c>
      <c r="B740" s="25" t="s">
        <v>93</v>
      </c>
      <c r="C740" s="26">
        <v>0.70138888888888884</v>
      </c>
      <c r="D740" s="2">
        <v>46058</v>
      </c>
      <c r="E740" s="25" t="s">
        <v>116</v>
      </c>
      <c r="F740" s="25" t="s">
        <v>18</v>
      </c>
      <c r="G740" s="25" t="s">
        <v>1169</v>
      </c>
      <c r="H740" s="26">
        <v>0.29166666666666669</v>
      </c>
      <c r="I740" s="26">
        <v>0.4236111111111111</v>
      </c>
      <c r="J740" s="2">
        <v>46059</v>
      </c>
      <c r="K740" s="25" t="s">
        <v>25</v>
      </c>
      <c r="L740" s="25" t="s">
        <v>1170</v>
      </c>
      <c r="M740" s="25" t="s">
        <v>22</v>
      </c>
      <c r="N740" s="25" t="s">
        <v>22</v>
      </c>
      <c r="O740" s="25" t="s">
        <v>661</v>
      </c>
      <c r="P740" s="25" t="s">
        <v>23</v>
      </c>
    </row>
    <row r="741" spans="1:16" x14ac:dyDescent="0.25">
      <c r="A741">
        <v>714</v>
      </c>
      <c r="B741" s="25" t="s">
        <v>103</v>
      </c>
      <c r="C741" s="26">
        <v>0.71527777777777779</v>
      </c>
      <c r="D741" s="2">
        <v>46058</v>
      </c>
      <c r="E741" s="25" t="s">
        <v>147</v>
      </c>
      <c r="F741" s="25" t="s">
        <v>18</v>
      </c>
      <c r="G741" s="25" t="s">
        <v>1171</v>
      </c>
      <c r="H741" s="26">
        <v>0.70833333333333337</v>
      </c>
      <c r="I741" s="26">
        <v>0.75</v>
      </c>
      <c r="J741" s="2">
        <v>46059</v>
      </c>
      <c r="K741" s="25" t="s">
        <v>25</v>
      </c>
      <c r="L741" s="25" t="s">
        <v>1172</v>
      </c>
      <c r="M741" s="25" t="s">
        <v>22</v>
      </c>
      <c r="N741" s="25" t="s">
        <v>22</v>
      </c>
      <c r="O741" s="25" t="s">
        <v>661</v>
      </c>
      <c r="P741" s="25" t="s">
        <v>23</v>
      </c>
    </row>
    <row r="742" spans="1:16" x14ac:dyDescent="0.25">
      <c r="A742">
        <v>715</v>
      </c>
      <c r="B742" s="25" t="s">
        <v>139</v>
      </c>
      <c r="C742" s="26">
        <v>0.75</v>
      </c>
      <c r="D742" s="2">
        <v>46058</v>
      </c>
      <c r="E742" s="25" t="s">
        <v>307</v>
      </c>
      <c r="F742" s="25" t="s">
        <v>18</v>
      </c>
      <c r="G742" s="25" t="s">
        <v>1173</v>
      </c>
      <c r="H742" s="26">
        <v>0.79166666666666663</v>
      </c>
      <c r="I742" s="26">
        <v>0.95833333333333337</v>
      </c>
      <c r="J742" s="2">
        <v>46058</v>
      </c>
      <c r="K742" s="25" t="s">
        <v>25</v>
      </c>
      <c r="L742" s="25" t="s">
        <v>1174</v>
      </c>
      <c r="M742" s="25" t="s">
        <v>1175</v>
      </c>
      <c r="N742" s="25" t="s">
        <v>22</v>
      </c>
      <c r="O742" s="25" t="s">
        <v>112</v>
      </c>
      <c r="P742" s="25" t="s">
        <v>23</v>
      </c>
    </row>
    <row r="743" spans="1:16" x14ac:dyDescent="0.25">
      <c r="A743">
        <v>716</v>
      </c>
      <c r="B743" s="25" t="s">
        <v>231</v>
      </c>
      <c r="C743" s="26">
        <v>6.9444444444444448E-2</v>
      </c>
      <c r="D743" s="2">
        <v>46059</v>
      </c>
      <c r="E743" s="25" t="s">
        <v>143</v>
      </c>
      <c r="F743" s="25" t="s">
        <v>18</v>
      </c>
      <c r="G743" s="25" t="s">
        <v>1176</v>
      </c>
      <c r="H743" s="26">
        <v>6.9444444444444448E-2</v>
      </c>
      <c r="I743" s="26">
        <v>9.0277777777777776E-2</v>
      </c>
      <c r="J743" s="2">
        <v>46059</v>
      </c>
      <c r="K743" s="25" t="s">
        <v>25</v>
      </c>
      <c r="L743" s="25" t="s">
        <v>1177</v>
      </c>
      <c r="M743" s="25" t="s">
        <v>22</v>
      </c>
      <c r="N743" s="25" t="s">
        <v>22</v>
      </c>
      <c r="O743" s="25" t="s">
        <v>108</v>
      </c>
      <c r="P743" s="25" t="s">
        <v>23</v>
      </c>
    </row>
    <row r="744" spans="1:16" x14ac:dyDescent="0.25">
      <c r="A744">
        <v>717</v>
      </c>
      <c r="B744" s="25"/>
      <c r="C744" s="26"/>
      <c r="D744" s="2"/>
      <c r="E744" s="25"/>
      <c r="F744" s="25"/>
      <c r="G744" s="25"/>
      <c r="H744" s="26"/>
      <c r="I744" s="26"/>
      <c r="J744" s="2"/>
      <c r="K744" s="25"/>
      <c r="L744" s="25"/>
      <c r="M744" s="25"/>
      <c r="N744" s="25"/>
      <c r="O744" s="25"/>
      <c r="P744" s="25"/>
    </row>
    <row r="745" spans="1:16" x14ac:dyDescent="0.25">
      <c r="A745">
        <v>718</v>
      </c>
      <c r="B745" s="25" t="s">
        <v>1178</v>
      </c>
      <c r="C745" s="26"/>
      <c r="D745" s="2">
        <v>46059</v>
      </c>
      <c r="E745" s="25" t="s">
        <v>17</v>
      </c>
      <c r="F745" s="25" t="s">
        <v>18</v>
      </c>
      <c r="G745" s="25" t="s">
        <v>1179</v>
      </c>
      <c r="H745" s="26"/>
      <c r="I745" s="26"/>
      <c r="J745" s="2"/>
      <c r="K745" s="25"/>
      <c r="L745" s="25"/>
      <c r="M745" s="25"/>
      <c r="N745" s="25"/>
      <c r="O745" s="25"/>
      <c r="P745" s="25" t="s">
        <v>33</v>
      </c>
    </row>
    <row r="746" spans="1:16" x14ac:dyDescent="0.25">
      <c r="A746">
        <v>719</v>
      </c>
      <c r="B746" s="25"/>
      <c r="C746" s="26"/>
      <c r="D746" s="2"/>
      <c r="E746" s="25"/>
      <c r="F746" s="25"/>
      <c r="G746" s="25"/>
      <c r="H746" s="26"/>
      <c r="I746" s="26"/>
      <c r="J746" s="2"/>
      <c r="K746" s="25"/>
      <c r="L746" s="25"/>
      <c r="M746" s="25"/>
      <c r="N746" s="25"/>
      <c r="O746" s="25"/>
      <c r="P746" s="25"/>
    </row>
    <row r="747" spans="1:16" x14ac:dyDescent="0.25">
      <c r="A747">
        <v>720</v>
      </c>
      <c r="B747" s="25" t="s">
        <v>199</v>
      </c>
      <c r="C747" s="26">
        <v>0.77777777777777779</v>
      </c>
      <c r="D747" s="2">
        <v>46059</v>
      </c>
      <c r="E747" s="25"/>
      <c r="F747" s="25" t="s">
        <v>18</v>
      </c>
      <c r="G747" s="25" t="s">
        <v>1180</v>
      </c>
      <c r="H747" s="26">
        <v>0.83333333333333337</v>
      </c>
      <c r="I747" s="26">
        <v>0.9375</v>
      </c>
      <c r="J747" s="2">
        <v>46059</v>
      </c>
      <c r="K747" s="25" t="s">
        <v>25</v>
      </c>
      <c r="L747" s="25" t="s">
        <v>1181</v>
      </c>
      <c r="M747" s="25" t="s">
        <v>22</v>
      </c>
      <c r="N747" s="25" t="s">
        <v>22</v>
      </c>
      <c r="O747" s="25" t="s">
        <v>112</v>
      </c>
      <c r="P747" s="25" t="s">
        <v>23</v>
      </c>
    </row>
    <row r="748" spans="1:16" x14ac:dyDescent="0.25">
      <c r="A748">
        <v>721</v>
      </c>
      <c r="B748" s="25" t="s">
        <v>103</v>
      </c>
      <c r="C748" s="26">
        <v>0.27083333333333331</v>
      </c>
      <c r="D748" s="2">
        <v>46059</v>
      </c>
      <c r="E748" s="25" t="s">
        <v>147</v>
      </c>
      <c r="F748" s="25" t="s">
        <v>18</v>
      </c>
      <c r="G748" s="25" t="s">
        <v>1182</v>
      </c>
      <c r="H748" s="26">
        <v>0.78472222222222221</v>
      </c>
      <c r="I748" s="26">
        <v>0.80555555555555558</v>
      </c>
      <c r="J748" s="2">
        <v>46059</v>
      </c>
      <c r="K748" s="25" t="s">
        <v>20</v>
      </c>
      <c r="L748" s="25" t="s">
        <v>1183</v>
      </c>
      <c r="M748" s="25" t="s">
        <v>22</v>
      </c>
      <c r="N748" s="25" t="s">
        <v>22</v>
      </c>
      <c r="O748" s="25" t="s">
        <v>112</v>
      </c>
      <c r="P748" s="25" t="s">
        <v>23</v>
      </c>
    </row>
    <row r="749" spans="1:16" x14ac:dyDescent="0.25">
      <c r="A749">
        <v>722</v>
      </c>
      <c r="B749" s="25" t="s">
        <v>103</v>
      </c>
      <c r="C749" s="26">
        <v>0.84027777777777779</v>
      </c>
      <c r="D749" s="2">
        <v>46059</v>
      </c>
      <c r="E749" s="25" t="s">
        <v>147</v>
      </c>
      <c r="F749" s="25" t="s">
        <v>18</v>
      </c>
      <c r="G749" s="25" t="s">
        <v>1184</v>
      </c>
      <c r="H749" s="26"/>
      <c r="I749" s="26"/>
      <c r="J749" s="2"/>
      <c r="K749" s="25"/>
      <c r="L749" s="25"/>
      <c r="M749" s="25"/>
      <c r="N749" s="25"/>
      <c r="O749" s="25"/>
      <c r="P749" s="25" t="s">
        <v>33</v>
      </c>
    </row>
    <row r="750" spans="1:16" x14ac:dyDescent="0.25">
      <c r="A750">
        <v>723</v>
      </c>
      <c r="B750" s="25" t="s">
        <v>199</v>
      </c>
      <c r="C750" s="26">
        <v>0.97222222222222221</v>
      </c>
      <c r="D750" s="2">
        <v>46059</v>
      </c>
      <c r="E750" s="25" t="s">
        <v>91</v>
      </c>
      <c r="F750" s="25" t="s">
        <v>18</v>
      </c>
      <c r="G750" s="25" t="s">
        <v>1185</v>
      </c>
      <c r="H750" s="26"/>
      <c r="I750" s="26"/>
      <c r="J750" s="2"/>
      <c r="K750" s="25"/>
      <c r="L750" s="25"/>
      <c r="M750" s="25"/>
      <c r="N750" s="25"/>
      <c r="O750" s="25"/>
      <c r="P750" s="25" t="s">
        <v>33</v>
      </c>
    </row>
    <row r="751" spans="1:16" x14ac:dyDescent="0.25">
      <c r="A751">
        <v>724</v>
      </c>
      <c r="B751" s="25" t="s">
        <v>317</v>
      </c>
      <c r="C751" s="26">
        <v>0.32569444444444445</v>
      </c>
      <c r="D751" s="2">
        <v>46080</v>
      </c>
      <c r="E751" s="25" t="s">
        <v>104</v>
      </c>
      <c r="F751" s="25" t="s">
        <v>18</v>
      </c>
      <c r="G751" s="25" t="s">
        <v>1186</v>
      </c>
      <c r="H751" s="26"/>
      <c r="I751" s="26">
        <v>0.65972222222222221</v>
      </c>
      <c r="J751" s="2"/>
      <c r="K751" s="25" t="s">
        <v>25</v>
      </c>
      <c r="L751" s="25" t="s">
        <v>1187</v>
      </c>
      <c r="M751" s="25" t="s">
        <v>1188</v>
      </c>
      <c r="N751" s="25" t="s">
        <v>22</v>
      </c>
      <c r="O751" s="25" t="s">
        <v>108</v>
      </c>
      <c r="P751" s="25" t="s">
        <v>23</v>
      </c>
    </row>
    <row r="752" spans="1:16" x14ac:dyDescent="0.25">
      <c r="A752">
        <v>725</v>
      </c>
      <c r="B752" s="25" t="s">
        <v>256</v>
      </c>
      <c r="C752" s="26">
        <v>0.31944444444444442</v>
      </c>
      <c r="D752" s="2">
        <v>46060</v>
      </c>
      <c r="E752" s="25" t="s">
        <v>215</v>
      </c>
      <c r="F752" s="25" t="s">
        <v>18</v>
      </c>
      <c r="G752" s="25" t="s">
        <v>1189</v>
      </c>
      <c r="H752" s="26">
        <v>0.31944444444444442</v>
      </c>
      <c r="I752" s="26">
        <v>0.35416666666666669</v>
      </c>
      <c r="J752" s="2">
        <v>46060</v>
      </c>
      <c r="K752" s="25" t="s">
        <v>25</v>
      </c>
      <c r="L752" s="25" t="s">
        <v>1190</v>
      </c>
      <c r="M752" s="25" t="s">
        <v>22</v>
      </c>
      <c r="N752" s="25" t="s">
        <v>22</v>
      </c>
      <c r="O752" s="25" t="s">
        <v>108</v>
      </c>
      <c r="P752" s="25" t="s">
        <v>23</v>
      </c>
    </row>
    <row r="753" spans="1:16" x14ac:dyDescent="0.25">
      <c r="A753">
        <v>726</v>
      </c>
      <c r="B753" s="25" t="s">
        <v>231</v>
      </c>
      <c r="C753" s="26">
        <v>0.88194444444444442</v>
      </c>
      <c r="D753" s="2">
        <v>46060</v>
      </c>
      <c r="E753" s="25" t="s">
        <v>143</v>
      </c>
      <c r="F753" s="25" t="s">
        <v>18</v>
      </c>
      <c r="G753" s="25" t="s">
        <v>1191</v>
      </c>
      <c r="H753" s="26">
        <v>0.88194444444444442</v>
      </c>
      <c r="I753" s="26">
        <v>0.89583333333333337</v>
      </c>
      <c r="J753" s="2">
        <v>46060</v>
      </c>
      <c r="K753" s="25" t="s">
        <v>25</v>
      </c>
      <c r="L753" s="25" t="s">
        <v>1192</v>
      </c>
      <c r="M753" s="25" t="s">
        <v>22</v>
      </c>
      <c r="N753" s="25" t="s">
        <v>22</v>
      </c>
      <c r="O753" s="25" t="s">
        <v>661</v>
      </c>
      <c r="P753" s="25" t="s">
        <v>23</v>
      </c>
    </row>
    <row r="754" spans="1:16" x14ac:dyDescent="0.25">
      <c r="A754">
        <v>727</v>
      </c>
      <c r="B754" s="25" t="s">
        <v>199</v>
      </c>
      <c r="C754" s="26">
        <v>0.85416666666666663</v>
      </c>
      <c r="D754" s="2">
        <v>46060</v>
      </c>
      <c r="E754" s="25" t="s">
        <v>188</v>
      </c>
      <c r="F754" s="25" t="s">
        <v>18</v>
      </c>
      <c r="G754" s="25" t="s">
        <v>1193</v>
      </c>
      <c r="H754" s="26"/>
      <c r="I754" s="26"/>
      <c r="J754" s="2"/>
      <c r="K754" s="25"/>
      <c r="L754" s="25"/>
      <c r="M754" s="25"/>
      <c r="N754" s="25"/>
      <c r="O754" s="25"/>
      <c r="P754" s="25" t="s">
        <v>33</v>
      </c>
    </row>
    <row r="755" spans="1:16" x14ac:dyDescent="0.25">
      <c r="A755">
        <v>728</v>
      </c>
      <c r="B755" s="25"/>
      <c r="C755" s="26"/>
      <c r="D755" s="2"/>
      <c r="E755" s="25"/>
      <c r="F755" s="25"/>
      <c r="G755" s="25"/>
      <c r="H755" s="26"/>
      <c r="I755" s="26"/>
      <c r="J755" s="2"/>
      <c r="K755" s="25"/>
      <c r="L755" s="25"/>
      <c r="M755" s="25"/>
      <c r="N755" s="25"/>
      <c r="O755" s="25"/>
      <c r="P755" s="25"/>
    </row>
    <row r="756" spans="1:16" x14ac:dyDescent="0.25">
      <c r="A756">
        <v>729</v>
      </c>
      <c r="B756" s="25" t="s">
        <v>341</v>
      </c>
      <c r="C756" s="26">
        <v>0.35416666666666669</v>
      </c>
      <c r="D756" s="2">
        <v>46061</v>
      </c>
      <c r="E756" s="25" t="s">
        <v>143</v>
      </c>
      <c r="F756" s="25" t="s">
        <v>18</v>
      </c>
      <c r="G756" s="25" t="s">
        <v>1194</v>
      </c>
      <c r="H756" s="26"/>
      <c r="I756" s="26"/>
      <c r="J756" s="2"/>
      <c r="K756" s="25"/>
      <c r="L756" s="25"/>
      <c r="M756" s="25"/>
      <c r="N756" s="25"/>
      <c r="O756" s="25"/>
      <c r="P756" s="25" t="s">
        <v>33</v>
      </c>
    </row>
    <row r="757" spans="1:16" x14ac:dyDescent="0.25">
      <c r="A757">
        <v>730</v>
      </c>
      <c r="B757" s="25" t="s">
        <v>93</v>
      </c>
      <c r="C757" s="26">
        <v>0.27083333333333331</v>
      </c>
      <c r="D757" s="2">
        <v>46062</v>
      </c>
      <c r="E757" s="25" t="s">
        <v>116</v>
      </c>
      <c r="F757" s="25" t="s">
        <v>18</v>
      </c>
      <c r="G757" s="25" t="s">
        <v>1195</v>
      </c>
      <c r="H757" s="26">
        <v>0.27083333333333331</v>
      </c>
      <c r="I757" s="26">
        <v>0.29166666666666669</v>
      </c>
      <c r="J757" s="2">
        <v>46062</v>
      </c>
      <c r="K757" s="25" t="s">
        <v>25</v>
      </c>
      <c r="L757" s="25" t="s">
        <v>1196</v>
      </c>
      <c r="M757" s="25" t="s">
        <v>1197</v>
      </c>
      <c r="N757" s="25" t="s">
        <v>22</v>
      </c>
      <c r="O757" s="25" t="s">
        <v>108</v>
      </c>
      <c r="P757" s="25" t="s">
        <v>23</v>
      </c>
    </row>
    <row r="758" spans="1:16" x14ac:dyDescent="0.25">
      <c r="A758">
        <v>731</v>
      </c>
      <c r="B758" s="25" t="s">
        <v>317</v>
      </c>
      <c r="C758" s="26">
        <v>0.29583333333333334</v>
      </c>
      <c r="D758" s="2">
        <v>46062</v>
      </c>
      <c r="E758" s="25" t="s">
        <v>307</v>
      </c>
      <c r="F758" s="25" t="s">
        <v>18</v>
      </c>
      <c r="G758" s="25" t="s">
        <v>1198</v>
      </c>
      <c r="H758" s="26"/>
      <c r="I758" s="26"/>
      <c r="J758" s="2"/>
      <c r="K758" s="25"/>
      <c r="L758" s="25"/>
      <c r="M758" s="25"/>
      <c r="N758" s="25"/>
      <c r="O758" s="25"/>
      <c r="P758" s="25" t="s">
        <v>33</v>
      </c>
    </row>
    <row r="759" spans="1:16" x14ac:dyDescent="0.25">
      <c r="A759">
        <v>732</v>
      </c>
      <c r="B759" s="25" t="s">
        <v>1199</v>
      </c>
      <c r="C759" s="26">
        <v>0.3888888888888889</v>
      </c>
      <c r="D759" s="2">
        <v>46062</v>
      </c>
      <c r="E759" s="25" t="s">
        <v>17</v>
      </c>
      <c r="F759" s="25" t="s">
        <v>650</v>
      </c>
      <c r="G759" s="25" t="s">
        <v>1200</v>
      </c>
      <c r="H759" s="26"/>
      <c r="I759" s="26"/>
      <c r="J759" s="2"/>
      <c r="K759" s="25"/>
      <c r="L759" s="25"/>
      <c r="M759" s="25"/>
      <c r="N759" s="25"/>
      <c r="O759" s="25"/>
      <c r="P759" s="25" t="s">
        <v>33</v>
      </c>
    </row>
    <row r="760" spans="1:16" x14ac:dyDescent="0.25">
      <c r="A760">
        <v>733</v>
      </c>
      <c r="B760" s="25" t="s">
        <v>317</v>
      </c>
      <c r="C760" s="26">
        <v>0.40694444444444444</v>
      </c>
      <c r="D760" s="2">
        <v>46062</v>
      </c>
      <c r="E760" s="25" t="s">
        <v>91</v>
      </c>
      <c r="F760" s="25" t="s">
        <v>18</v>
      </c>
      <c r="G760" s="25" t="s">
        <v>1201</v>
      </c>
      <c r="H760" s="26"/>
      <c r="I760" s="26"/>
      <c r="J760" s="2"/>
      <c r="K760" s="25"/>
      <c r="L760" s="25"/>
      <c r="M760" s="25"/>
      <c r="N760" s="25"/>
      <c r="O760" s="25"/>
      <c r="P760" s="25" t="s">
        <v>33</v>
      </c>
    </row>
    <row r="761" spans="1:16" x14ac:dyDescent="0.25">
      <c r="A761">
        <v>734</v>
      </c>
      <c r="B761" s="25" t="s">
        <v>164</v>
      </c>
      <c r="C761" s="26">
        <v>0.1111111111111111</v>
      </c>
      <c r="D761" s="2">
        <v>46081</v>
      </c>
      <c r="E761" s="25" t="s">
        <v>17</v>
      </c>
      <c r="F761" s="25" t="s">
        <v>18</v>
      </c>
      <c r="G761" s="25" t="s">
        <v>1202</v>
      </c>
      <c r="H761" s="26"/>
      <c r="I761" s="26">
        <v>0.14583333333333334</v>
      </c>
      <c r="J761" s="2">
        <v>46081</v>
      </c>
      <c r="K761" s="25" t="s">
        <v>25</v>
      </c>
      <c r="L761" s="25" t="s">
        <v>1203</v>
      </c>
      <c r="M761" s="25" t="s">
        <v>22</v>
      </c>
      <c r="N761" s="25" t="s">
        <v>22</v>
      </c>
      <c r="O761" s="25" t="s">
        <v>108</v>
      </c>
      <c r="P761" s="25" t="s">
        <v>23</v>
      </c>
    </row>
    <row r="762" spans="1:16" x14ac:dyDescent="0.25">
      <c r="A762">
        <v>735</v>
      </c>
      <c r="B762" s="25"/>
      <c r="C762" s="26"/>
      <c r="D762" s="2"/>
      <c r="E762" s="25"/>
      <c r="F762" s="25"/>
      <c r="G762" s="25"/>
      <c r="H762" s="26"/>
      <c r="I762" s="26"/>
      <c r="J762" s="2"/>
      <c r="K762" s="25"/>
      <c r="L762" s="25"/>
      <c r="M762" s="25"/>
      <c r="N762" s="25"/>
      <c r="O762" s="25"/>
      <c r="P762" s="25"/>
    </row>
    <row r="763" spans="1:16" x14ac:dyDescent="0.25">
      <c r="A763">
        <v>736</v>
      </c>
      <c r="B763" s="25"/>
      <c r="C763" s="26"/>
      <c r="D763" s="2"/>
      <c r="E763" s="25"/>
      <c r="F763" s="25"/>
      <c r="G763" s="25"/>
      <c r="H763" s="26"/>
      <c r="I763" s="26"/>
      <c r="J763" s="2"/>
      <c r="K763" s="25"/>
      <c r="L763" s="25"/>
      <c r="M763" s="25"/>
      <c r="N763" s="25"/>
      <c r="O763" s="25"/>
      <c r="P763" s="25"/>
    </row>
    <row r="764" spans="1:16" x14ac:dyDescent="0.25">
      <c r="A764">
        <v>737</v>
      </c>
      <c r="B764" s="25" t="s">
        <v>695</v>
      </c>
      <c r="C764" s="26">
        <v>0.95833333333333337</v>
      </c>
      <c r="D764" s="2">
        <v>46062</v>
      </c>
      <c r="E764" s="25" t="s">
        <v>147</v>
      </c>
      <c r="F764" s="25" t="s">
        <v>18</v>
      </c>
      <c r="G764" s="25" t="s">
        <v>1204</v>
      </c>
      <c r="H764" s="26">
        <v>0.95833333333333337</v>
      </c>
      <c r="I764" s="26">
        <v>0</v>
      </c>
      <c r="J764" s="2">
        <v>46063</v>
      </c>
      <c r="K764" s="25" t="s">
        <v>25</v>
      </c>
      <c r="L764" s="25" t="s">
        <v>1205</v>
      </c>
      <c r="M764" s="25" t="s">
        <v>22</v>
      </c>
      <c r="N764" s="25" t="s">
        <v>158</v>
      </c>
      <c r="O764" s="25" t="s">
        <v>112</v>
      </c>
      <c r="P764" s="25" t="s">
        <v>23</v>
      </c>
    </row>
    <row r="765" spans="1:16" x14ac:dyDescent="0.25">
      <c r="A765">
        <v>738</v>
      </c>
      <c r="B765" s="25"/>
      <c r="C765" s="26"/>
      <c r="D765" s="2"/>
      <c r="E765" s="25"/>
      <c r="F765" s="25"/>
      <c r="G765" s="25"/>
      <c r="H765" s="26"/>
      <c r="I765" s="26"/>
      <c r="J765" s="2"/>
      <c r="K765" s="25"/>
      <c r="L765" s="25"/>
      <c r="M765" s="25"/>
      <c r="N765" s="25"/>
      <c r="O765" s="25"/>
      <c r="P765" s="25"/>
    </row>
    <row r="766" spans="1:16" x14ac:dyDescent="0.25">
      <c r="A766">
        <v>739</v>
      </c>
      <c r="B766" s="25" t="s">
        <v>199</v>
      </c>
      <c r="C766" s="26">
        <v>0.17152777777777778</v>
      </c>
      <c r="D766" s="2">
        <v>46063</v>
      </c>
      <c r="E766" s="25" t="s">
        <v>91</v>
      </c>
      <c r="F766" s="25" t="s">
        <v>18</v>
      </c>
      <c r="G766" s="25" t="s">
        <v>1206</v>
      </c>
      <c r="H766" s="26"/>
      <c r="I766" s="26"/>
      <c r="J766" s="2"/>
      <c r="K766" s="25"/>
      <c r="L766" s="25"/>
      <c r="M766" s="25"/>
      <c r="N766" s="25"/>
      <c r="O766" s="25"/>
      <c r="P766" s="25" t="s">
        <v>33</v>
      </c>
    </row>
    <row r="767" spans="1:16" x14ac:dyDescent="0.25">
      <c r="A767">
        <v>740</v>
      </c>
      <c r="B767" s="25" t="s">
        <v>93</v>
      </c>
      <c r="C767" s="26">
        <v>0.35416666666666669</v>
      </c>
      <c r="D767" s="2">
        <v>46063</v>
      </c>
      <c r="E767" s="25" t="s">
        <v>185</v>
      </c>
      <c r="F767" s="25" t="s">
        <v>18</v>
      </c>
      <c r="G767" s="25" t="s">
        <v>1207</v>
      </c>
      <c r="H767" s="26"/>
      <c r="I767" s="26"/>
      <c r="J767" s="2"/>
      <c r="K767" s="25"/>
      <c r="L767" s="25"/>
      <c r="M767" s="25"/>
      <c r="N767" s="25"/>
      <c r="O767" s="25"/>
      <c r="P767" s="25" t="s">
        <v>33</v>
      </c>
    </row>
    <row r="768" spans="1:16" x14ac:dyDescent="0.25">
      <c r="A768">
        <v>741</v>
      </c>
      <c r="B768" s="25" t="s">
        <v>103</v>
      </c>
      <c r="C768" s="26">
        <v>0.79861111111111116</v>
      </c>
      <c r="D768" s="2">
        <v>46063</v>
      </c>
      <c r="E768" s="25" t="s">
        <v>104</v>
      </c>
      <c r="F768" s="25" t="s">
        <v>18</v>
      </c>
      <c r="G768" s="25" t="s">
        <v>1208</v>
      </c>
      <c r="H768" s="26"/>
      <c r="I768" s="26"/>
      <c r="J768" s="2"/>
      <c r="K768" s="25"/>
      <c r="L768" s="25"/>
      <c r="M768" s="25"/>
      <c r="N768" s="25"/>
      <c r="O768" s="25"/>
      <c r="P768" s="25" t="s">
        <v>33</v>
      </c>
    </row>
    <row r="769" spans="1:16" x14ac:dyDescent="0.25">
      <c r="A769">
        <v>742</v>
      </c>
      <c r="B769" s="25" t="s">
        <v>1209</v>
      </c>
      <c r="C769" s="26">
        <v>0.83333333333333337</v>
      </c>
      <c r="D769" s="2">
        <v>46063</v>
      </c>
      <c r="E769" s="25" t="s">
        <v>116</v>
      </c>
      <c r="F769" s="25" t="s">
        <v>18</v>
      </c>
      <c r="G769" s="25" t="s">
        <v>1210</v>
      </c>
      <c r="H769" s="26">
        <v>0.83333333333333337</v>
      </c>
      <c r="I769" s="26">
        <v>0.89583333333333337</v>
      </c>
      <c r="J769" s="2">
        <v>46063</v>
      </c>
      <c r="K769" s="25" t="s">
        <v>20</v>
      </c>
      <c r="L769" s="25" t="s">
        <v>1211</v>
      </c>
      <c r="M769" s="25" t="s">
        <v>22</v>
      </c>
      <c r="N769" s="25" t="s">
        <v>22</v>
      </c>
      <c r="O769" s="25" t="s">
        <v>108</v>
      </c>
      <c r="P769" s="25" t="s">
        <v>23</v>
      </c>
    </row>
    <row r="770" spans="1:16" x14ac:dyDescent="0.25">
      <c r="A770">
        <v>743</v>
      </c>
      <c r="B770" s="25" t="s">
        <v>103</v>
      </c>
      <c r="C770" s="26">
        <v>0.9375</v>
      </c>
      <c r="D770" s="2">
        <v>46063</v>
      </c>
      <c r="E770" s="25" t="s">
        <v>104</v>
      </c>
      <c r="F770" s="25" t="s">
        <v>650</v>
      </c>
      <c r="G770" s="25" t="s">
        <v>1212</v>
      </c>
      <c r="H770" s="26"/>
      <c r="I770" s="26"/>
      <c r="J770" s="2"/>
      <c r="K770" s="25"/>
      <c r="L770" s="25"/>
      <c r="M770" s="25"/>
      <c r="N770" s="25"/>
      <c r="O770" s="25"/>
      <c r="P770" s="25" t="s">
        <v>33</v>
      </c>
    </row>
    <row r="771" spans="1:16" x14ac:dyDescent="0.25">
      <c r="A771">
        <v>744</v>
      </c>
      <c r="B771" s="25" t="s">
        <v>93</v>
      </c>
      <c r="C771" s="26">
        <v>0.33333333333333331</v>
      </c>
      <c r="D771" s="2">
        <v>46064</v>
      </c>
      <c r="E771" s="25" t="s">
        <v>94</v>
      </c>
      <c r="F771" s="25" t="s">
        <v>18</v>
      </c>
      <c r="G771" s="25" t="s">
        <v>1213</v>
      </c>
      <c r="H771" s="26">
        <v>0.33333333333333331</v>
      </c>
      <c r="I771" s="26">
        <v>0.375</v>
      </c>
      <c r="J771" s="2">
        <v>46064</v>
      </c>
      <c r="K771" s="25" t="s">
        <v>25</v>
      </c>
      <c r="L771" s="25" t="s">
        <v>1214</v>
      </c>
      <c r="M771" s="25" t="s">
        <v>22</v>
      </c>
      <c r="N771" s="25" t="s">
        <v>22</v>
      </c>
      <c r="O771" s="25" t="s">
        <v>44</v>
      </c>
      <c r="P771" s="25" t="s">
        <v>23</v>
      </c>
    </row>
    <row r="772" spans="1:16" x14ac:dyDescent="0.25">
      <c r="A772">
        <v>745</v>
      </c>
      <c r="B772" s="25" t="s">
        <v>93</v>
      </c>
      <c r="C772" s="26">
        <v>0.38541666666666669</v>
      </c>
      <c r="D772" s="2">
        <v>46064</v>
      </c>
      <c r="E772" s="25" t="s">
        <v>94</v>
      </c>
      <c r="F772" s="25" t="s">
        <v>18</v>
      </c>
      <c r="G772" s="25" t="s">
        <v>1215</v>
      </c>
      <c r="H772" s="26">
        <v>0.38541666666666669</v>
      </c>
      <c r="I772" s="26">
        <v>0.3923611111111111</v>
      </c>
      <c r="J772" s="2">
        <v>46064</v>
      </c>
      <c r="K772" s="25" t="s">
        <v>20</v>
      </c>
      <c r="L772" s="25" t="s">
        <v>1216</v>
      </c>
      <c r="M772" s="25" t="s">
        <v>22</v>
      </c>
      <c r="N772" s="25" t="s">
        <v>22</v>
      </c>
      <c r="O772" s="25" t="s">
        <v>44</v>
      </c>
      <c r="P772" s="25" t="s">
        <v>23</v>
      </c>
    </row>
    <row r="773" spans="1:16" x14ac:dyDescent="0.25">
      <c r="A773">
        <v>746</v>
      </c>
      <c r="B773" s="25" t="s">
        <v>93</v>
      </c>
      <c r="C773" s="26">
        <v>0.45833333333333331</v>
      </c>
      <c r="D773" s="2">
        <v>46064</v>
      </c>
      <c r="E773" s="25" t="s">
        <v>116</v>
      </c>
      <c r="F773" s="25" t="s">
        <v>18</v>
      </c>
      <c r="G773" s="25" t="s">
        <v>1217</v>
      </c>
      <c r="H773" s="26">
        <v>0.45833333333333331</v>
      </c>
      <c r="I773" s="26">
        <v>0.47222222222222221</v>
      </c>
      <c r="J773" s="2">
        <v>46064</v>
      </c>
      <c r="K773" s="25" t="s">
        <v>25</v>
      </c>
      <c r="L773" s="25" t="s">
        <v>1218</v>
      </c>
      <c r="M773" s="25" t="s">
        <v>1219</v>
      </c>
      <c r="N773" s="25" t="s">
        <v>22</v>
      </c>
      <c r="O773" s="25" t="s">
        <v>44</v>
      </c>
      <c r="P773" s="25" t="s">
        <v>23</v>
      </c>
    </row>
    <row r="774" spans="1:16" x14ac:dyDescent="0.25">
      <c r="A774">
        <v>747</v>
      </c>
      <c r="B774" s="25"/>
      <c r="C774" s="26"/>
      <c r="D774" s="2"/>
      <c r="E774" s="25"/>
      <c r="F774" s="25"/>
      <c r="G774" s="25"/>
      <c r="H774" s="26"/>
      <c r="I774" s="26"/>
      <c r="J774" s="2"/>
      <c r="K774" s="25"/>
      <c r="L774" s="25"/>
      <c r="M774" s="25"/>
      <c r="N774" s="25"/>
      <c r="O774" s="25"/>
      <c r="P774" s="25"/>
    </row>
    <row r="775" spans="1:16" x14ac:dyDescent="0.25">
      <c r="A775">
        <v>748</v>
      </c>
      <c r="B775" s="25" t="s">
        <v>16</v>
      </c>
      <c r="C775" s="26">
        <v>0.75</v>
      </c>
      <c r="D775" s="2">
        <v>46064</v>
      </c>
      <c r="E775" s="25" t="s">
        <v>116</v>
      </c>
      <c r="F775" s="25" t="s">
        <v>18</v>
      </c>
      <c r="G775" s="25" t="s">
        <v>1220</v>
      </c>
      <c r="H775" s="26">
        <v>0.76041666666666663</v>
      </c>
      <c r="I775" s="26">
        <v>0.78125</v>
      </c>
      <c r="J775" s="2">
        <v>46064</v>
      </c>
      <c r="K775" s="25" t="s">
        <v>25</v>
      </c>
      <c r="L775" s="25" t="s">
        <v>1221</v>
      </c>
      <c r="M775" s="25" t="s">
        <v>1222</v>
      </c>
      <c r="N775" s="25" t="s">
        <v>22</v>
      </c>
      <c r="O775" s="25" t="s">
        <v>112</v>
      </c>
      <c r="P775" s="25" t="s">
        <v>23</v>
      </c>
    </row>
    <row r="776" spans="1:16" x14ac:dyDescent="0.25">
      <c r="A776">
        <v>749</v>
      </c>
      <c r="B776" s="25" t="s">
        <v>16</v>
      </c>
      <c r="C776" s="26">
        <v>0.75</v>
      </c>
      <c r="D776" s="2">
        <v>46064</v>
      </c>
      <c r="E776" s="25" t="s">
        <v>185</v>
      </c>
      <c r="F776" s="25" t="s">
        <v>18</v>
      </c>
      <c r="G776" s="25" t="s">
        <v>1223</v>
      </c>
      <c r="H776" s="26">
        <v>0.75</v>
      </c>
      <c r="I776" s="26">
        <v>0.76041666666666663</v>
      </c>
      <c r="J776" s="2">
        <v>46064</v>
      </c>
      <c r="K776" s="25" t="s">
        <v>25</v>
      </c>
      <c r="L776" s="25" t="s">
        <v>1224</v>
      </c>
      <c r="M776" s="25" t="s">
        <v>22</v>
      </c>
      <c r="N776" s="25" t="s">
        <v>22</v>
      </c>
      <c r="O776" s="25" t="s">
        <v>112</v>
      </c>
      <c r="P776" s="25" t="s">
        <v>23</v>
      </c>
    </row>
    <row r="777" spans="1:16" x14ac:dyDescent="0.25">
      <c r="A777">
        <v>750</v>
      </c>
      <c r="B777" s="25" t="s">
        <v>16</v>
      </c>
      <c r="C777" s="26">
        <v>0.72222222222222221</v>
      </c>
      <c r="D777" s="2">
        <v>46064</v>
      </c>
      <c r="E777" s="25" t="s">
        <v>116</v>
      </c>
      <c r="F777" s="25" t="s">
        <v>18</v>
      </c>
      <c r="G777" s="25" t="s">
        <v>1225</v>
      </c>
      <c r="H777" s="26">
        <v>0.72569444444444442</v>
      </c>
      <c r="I777" s="26">
        <v>0.74305555555555558</v>
      </c>
      <c r="J777" s="2">
        <v>46064</v>
      </c>
      <c r="K777" s="25" t="s">
        <v>775</v>
      </c>
      <c r="L777" s="25" t="s">
        <v>1226</v>
      </c>
      <c r="M777" s="25" t="s">
        <v>22</v>
      </c>
      <c r="N777" s="25" t="s">
        <v>22</v>
      </c>
      <c r="O777" s="25" t="s">
        <v>112</v>
      </c>
      <c r="P777" s="25" t="s">
        <v>23</v>
      </c>
    </row>
    <row r="778" spans="1:16" x14ac:dyDescent="0.25">
      <c r="A778">
        <v>751</v>
      </c>
      <c r="B778" s="25" t="s">
        <v>103</v>
      </c>
      <c r="C778" s="26">
        <v>0.28472222222222221</v>
      </c>
      <c r="D778" s="2">
        <v>46065</v>
      </c>
      <c r="E778" s="25" t="s">
        <v>104</v>
      </c>
      <c r="F778" s="25" t="s">
        <v>650</v>
      </c>
      <c r="G778" s="25" t="s">
        <v>1227</v>
      </c>
      <c r="H778" s="26">
        <v>0.29166666666666669</v>
      </c>
      <c r="I778" s="26">
        <v>0.33680555555555558</v>
      </c>
      <c r="J778" s="2">
        <v>46065</v>
      </c>
      <c r="K778" s="25" t="s">
        <v>20</v>
      </c>
      <c r="L778" s="25" t="s">
        <v>1228</v>
      </c>
      <c r="M778" s="25" t="s">
        <v>1229</v>
      </c>
      <c r="N778" s="25" t="s">
        <v>22</v>
      </c>
      <c r="O778" s="25" t="s">
        <v>44</v>
      </c>
      <c r="P778" s="25" t="s">
        <v>23</v>
      </c>
    </row>
    <row r="779" spans="1:16" x14ac:dyDescent="0.25">
      <c r="A779">
        <v>752</v>
      </c>
      <c r="B779" s="25" t="s">
        <v>1230</v>
      </c>
      <c r="C779" s="26">
        <v>0.31944444444444442</v>
      </c>
      <c r="D779" s="2">
        <v>46065</v>
      </c>
      <c r="E779" s="25" t="s">
        <v>17</v>
      </c>
      <c r="F779" s="25" t="s">
        <v>18</v>
      </c>
      <c r="G779" s="25" t="s">
        <v>1231</v>
      </c>
      <c r="H779" s="26"/>
      <c r="I779" s="26"/>
      <c r="J779" s="2"/>
      <c r="K779" s="25"/>
      <c r="L779" s="25"/>
      <c r="M779" s="25"/>
      <c r="N779" s="25"/>
      <c r="O779" s="25"/>
      <c r="P779" s="25" t="s">
        <v>33</v>
      </c>
    </row>
    <row r="780" spans="1:16" x14ac:dyDescent="0.25">
      <c r="A780">
        <v>753</v>
      </c>
      <c r="B780" s="25" t="s">
        <v>139</v>
      </c>
      <c r="C780" s="26">
        <v>0.39444444444444443</v>
      </c>
      <c r="D780" s="2">
        <v>46065</v>
      </c>
      <c r="E780" s="25" t="s">
        <v>85</v>
      </c>
      <c r="F780" s="25" t="s">
        <v>18</v>
      </c>
      <c r="G780" s="25" t="s">
        <v>1232</v>
      </c>
      <c r="H780" s="26">
        <v>0.64583333333333337</v>
      </c>
      <c r="I780" s="26">
        <v>0.66666666666666663</v>
      </c>
      <c r="J780" s="2">
        <v>46065</v>
      </c>
      <c r="K780" s="25" t="s">
        <v>25</v>
      </c>
      <c r="L780" s="25" t="s">
        <v>1233</v>
      </c>
      <c r="M780" s="25" t="s">
        <v>22</v>
      </c>
      <c r="N780" s="25" t="s">
        <v>22</v>
      </c>
      <c r="O780" s="25" t="s">
        <v>112</v>
      </c>
      <c r="P780" s="25" t="s">
        <v>23</v>
      </c>
    </row>
    <row r="781" spans="1:16" x14ac:dyDescent="0.25">
      <c r="A781">
        <v>754</v>
      </c>
      <c r="B781" s="25" t="s">
        <v>103</v>
      </c>
      <c r="C781" s="26">
        <v>0.43055555555555558</v>
      </c>
      <c r="D781" s="2">
        <v>46065</v>
      </c>
      <c r="E781" s="25" t="s">
        <v>104</v>
      </c>
      <c r="F781" s="25" t="s">
        <v>18</v>
      </c>
      <c r="G781" s="25" t="s">
        <v>1234</v>
      </c>
      <c r="H781" s="26">
        <v>0.66666666666666663</v>
      </c>
      <c r="I781" s="26">
        <v>0.70833333333333337</v>
      </c>
      <c r="J781" s="2">
        <v>46065</v>
      </c>
      <c r="K781" s="25" t="s">
        <v>20</v>
      </c>
      <c r="L781" s="25" t="s">
        <v>1575</v>
      </c>
      <c r="M781" s="25" t="s">
        <v>22</v>
      </c>
      <c r="N781" s="25" t="s">
        <v>22</v>
      </c>
      <c r="O781" s="25" t="s">
        <v>112</v>
      </c>
      <c r="P781" s="25" t="s">
        <v>23</v>
      </c>
    </row>
    <row r="782" spans="1:16" x14ac:dyDescent="0.25">
      <c r="A782">
        <v>755</v>
      </c>
      <c r="B782" s="25" t="s">
        <v>103</v>
      </c>
      <c r="C782" s="26"/>
      <c r="D782" s="2">
        <v>46065</v>
      </c>
      <c r="E782" s="25" t="s">
        <v>147</v>
      </c>
      <c r="F782" s="25" t="s">
        <v>650</v>
      </c>
      <c r="G782" s="25" t="s">
        <v>1235</v>
      </c>
      <c r="H782" s="26"/>
      <c r="I782" s="26"/>
      <c r="J782" s="2"/>
      <c r="K782" s="25"/>
      <c r="L782" s="25"/>
      <c r="M782" s="25"/>
      <c r="N782" s="25"/>
      <c r="O782" s="25"/>
      <c r="P782" s="25" t="s">
        <v>33</v>
      </c>
    </row>
    <row r="783" spans="1:16" x14ac:dyDescent="0.25">
      <c r="A783">
        <v>756</v>
      </c>
      <c r="B783" s="25" t="s">
        <v>206</v>
      </c>
      <c r="C783" s="26">
        <v>0.44444444444444442</v>
      </c>
      <c r="D783" s="2">
        <v>46065</v>
      </c>
      <c r="E783" s="25" t="s">
        <v>116</v>
      </c>
      <c r="F783" s="25" t="s">
        <v>18</v>
      </c>
      <c r="G783" s="25" t="s">
        <v>1236</v>
      </c>
      <c r="H783" s="26">
        <v>0.44444444444444442</v>
      </c>
      <c r="I783" s="26">
        <v>0.47222222222222221</v>
      </c>
      <c r="J783" s="2">
        <v>46065</v>
      </c>
      <c r="K783" s="25" t="s">
        <v>25</v>
      </c>
      <c r="L783" s="25" t="s">
        <v>1237</v>
      </c>
      <c r="M783" s="25" t="s">
        <v>1238</v>
      </c>
      <c r="N783" s="25" t="s">
        <v>205</v>
      </c>
      <c r="O783" s="25" t="s">
        <v>44</v>
      </c>
      <c r="P783" s="25" t="s">
        <v>23</v>
      </c>
    </row>
    <row r="784" spans="1:16" x14ac:dyDescent="0.25">
      <c r="A784">
        <v>757</v>
      </c>
      <c r="B784" s="25" t="s">
        <v>103</v>
      </c>
      <c r="C784" s="26">
        <v>0.4513888888888889</v>
      </c>
      <c r="D784" s="2">
        <v>46065</v>
      </c>
      <c r="E784" s="25" t="s">
        <v>104</v>
      </c>
      <c r="F784" s="25" t="s">
        <v>18</v>
      </c>
      <c r="G784" s="25" t="s">
        <v>1239</v>
      </c>
      <c r="H784" s="26">
        <v>0.5</v>
      </c>
      <c r="I784" s="26">
        <v>0.53125</v>
      </c>
      <c r="J784" s="2">
        <v>46065</v>
      </c>
      <c r="K784" s="25" t="s">
        <v>25</v>
      </c>
      <c r="L784" s="25" t="s">
        <v>1240</v>
      </c>
      <c r="M784" s="25" t="s">
        <v>1241</v>
      </c>
      <c r="N784" s="25" t="s">
        <v>22</v>
      </c>
      <c r="O784" s="25" t="s">
        <v>44</v>
      </c>
      <c r="P784" s="25" t="s">
        <v>23</v>
      </c>
    </row>
    <row r="785" spans="1:16" x14ac:dyDescent="0.25">
      <c r="A785">
        <v>758</v>
      </c>
      <c r="B785" s="25" t="s">
        <v>206</v>
      </c>
      <c r="C785" s="26">
        <v>0.52777777777777779</v>
      </c>
      <c r="D785" s="2">
        <v>46065</v>
      </c>
      <c r="E785" s="25" t="s">
        <v>116</v>
      </c>
      <c r="F785" s="25" t="s">
        <v>650</v>
      </c>
      <c r="G785" s="25" t="s">
        <v>1236</v>
      </c>
      <c r="H785" s="26">
        <v>0.47222222222222221</v>
      </c>
      <c r="I785" s="26">
        <v>0.5</v>
      </c>
      <c r="J785" s="2">
        <v>46065</v>
      </c>
      <c r="K785" s="25" t="s">
        <v>20</v>
      </c>
      <c r="L785" s="25" t="s">
        <v>1242</v>
      </c>
      <c r="M785" s="25" t="s">
        <v>22</v>
      </c>
      <c r="N785" s="25" t="s">
        <v>22</v>
      </c>
      <c r="O785" s="25" t="s">
        <v>44</v>
      </c>
      <c r="P785" s="25" t="s">
        <v>23</v>
      </c>
    </row>
    <row r="786" spans="1:16" x14ac:dyDescent="0.25">
      <c r="A786">
        <v>759</v>
      </c>
      <c r="B786" s="25" t="s">
        <v>103</v>
      </c>
      <c r="C786" s="26">
        <v>0.65625</v>
      </c>
      <c r="D786" s="2">
        <v>46065</v>
      </c>
      <c r="E786" s="25" t="s">
        <v>104</v>
      </c>
      <c r="F786" s="25" t="s">
        <v>650</v>
      </c>
      <c r="G786" s="25" t="s">
        <v>1243</v>
      </c>
      <c r="H786" s="26"/>
      <c r="I786" s="26"/>
      <c r="J786" s="2"/>
      <c r="K786" s="25"/>
      <c r="L786" s="25"/>
      <c r="M786" s="25"/>
      <c r="N786" s="25"/>
      <c r="O786" s="25"/>
      <c r="P786" s="25" t="s">
        <v>33</v>
      </c>
    </row>
    <row r="787" spans="1:16" x14ac:dyDescent="0.25">
      <c r="A787">
        <v>760</v>
      </c>
      <c r="B787" s="25" t="s">
        <v>16</v>
      </c>
      <c r="C787" s="26">
        <v>0.58333333333333337</v>
      </c>
      <c r="D787" s="2">
        <v>46065</v>
      </c>
      <c r="E787" s="25" t="s">
        <v>185</v>
      </c>
      <c r="F787" s="25" t="s">
        <v>18</v>
      </c>
      <c r="G787" s="25" t="s">
        <v>1244</v>
      </c>
      <c r="H787" s="26">
        <v>0.58333333333333337</v>
      </c>
      <c r="I787" s="26">
        <v>0.63541666666666663</v>
      </c>
      <c r="J787" s="2">
        <v>46065</v>
      </c>
      <c r="K787" s="25" t="s">
        <v>25</v>
      </c>
      <c r="L787" s="25" t="s">
        <v>1245</v>
      </c>
      <c r="M787" s="25" t="s">
        <v>22</v>
      </c>
      <c r="N787" s="25" t="s">
        <v>22</v>
      </c>
      <c r="O787" s="25" t="s">
        <v>112</v>
      </c>
      <c r="P787" s="25" t="s">
        <v>23</v>
      </c>
    </row>
    <row r="788" spans="1:16" x14ac:dyDescent="0.25">
      <c r="A788">
        <v>761</v>
      </c>
      <c r="B788" s="25" t="s">
        <v>16</v>
      </c>
      <c r="C788" s="26">
        <v>0.59027777777777779</v>
      </c>
      <c r="D788" s="2">
        <v>46065</v>
      </c>
      <c r="E788" s="25" t="s">
        <v>116</v>
      </c>
      <c r="F788" s="25" t="s">
        <v>18</v>
      </c>
      <c r="G788" s="25" t="s">
        <v>1246</v>
      </c>
      <c r="H788" s="26">
        <v>0.63888888888888884</v>
      </c>
      <c r="I788" s="26">
        <v>0.6875</v>
      </c>
      <c r="J788" s="2">
        <v>46065</v>
      </c>
      <c r="K788" s="25" t="s">
        <v>25</v>
      </c>
      <c r="L788" s="25" t="s">
        <v>1247</v>
      </c>
      <c r="M788" s="25" t="s">
        <v>22</v>
      </c>
      <c r="N788" s="25" t="s">
        <v>22</v>
      </c>
      <c r="O788" s="25" t="s">
        <v>112</v>
      </c>
      <c r="P788" s="25" t="s">
        <v>23</v>
      </c>
    </row>
    <row r="789" spans="1:16" x14ac:dyDescent="0.25">
      <c r="A789">
        <v>762</v>
      </c>
      <c r="B789" s="25" t="s">
        <v>199</v>
      </c>
      <c r="C789" s="26">
        <v>0.39583333333333331</v>
      </c>
      <c r="D789" s="2">
        <v>46066</v>
      </c>
      <c r="E789" s="25" t="s">
        <v>91</v>
      </c>
      <c r="F789" s="25" t="s">
        <v>18</v>
      </c>
      <c r="G789" s="25" t="s">
        <v>1248</v>
      </c>
      <c r="H789" s="26"/>
      <c r="I789" s="26"/>
      <c r="J789" s="2"/>
      <c r="K789" s="25"/>
      <c r="L789" s="25"/>
      <c r="M789" s="25"/>
      <c r="N789" s="25"/>
      <c r="O789" s="25"/>
      <c r="P789" s="25" t="s">
        <v>33</v>
      </c>
    </row>
    <row r="790" spans="1:16" x14ac:dyDescent="0.25">
      <c r="A790">
        <v>763</v>
      </c>
      <c r="B790" s="25" t="s">
        <v>199</v>
      </c>
      <c r="C790" s="26">
        <v>0.45416666666666666</v>
      </c>
      <c r="D790" s="2">
        <v>46066</v>
      </c>
      <c r="E790" s="25" t="s">
        <v>91</v>
      </c>
      <c r="F790" s="25" t="s">
        <v>18</v>
      </c>
      <c r="G790" s="25" t="s">
        <v>1249</v>
      </c>
      <c r="H790" s="26"/>
      <c r="I790" s="26"/>
      <c r="J790" s="2"/>
      <c r="K790" s="25"/>
      <c r="L790" s="25"/>
      <c r="M790" s="25"/>
      <c r="N790" s="25"/>
      <c r="O790" s="25"/>
      <c r="P790" s="25" t="s">
        <v>33</v>
      </c>
    </row>
    <row r="791" spans="1:16" x14ac:dyDescent="0.25">
      <c r="A791">
        <v>764</v>
      </c>
      <c r="B791" s="25" t="s">
        <v>164</v>
      </c>
      <c r="C791" s="26"/>
      <c r="D791" s="2">
        <v>46066</v>
      </c>
      <c r="E791" s="25" t="s">
        <v>143</v>
      </c>
      <c r="F791" s="25"/>
      <c r="G791" s="25" t="s">
        <v>1250</v>
      </c>
      <c r="H791" s="26"/>
      <c r="I791" s="26"/>
      <c r="J791" s="2"/>
      <c r="K791" s="25"/>
      <c r="L791" s="25"/>
      <c r="M791" s="25"/>
      <c r="N791" s="25"/>
      <c r="O791" s="25"/>
      <c r="P791" s="25" t="s">
        <v>33</v>
      </c>
    </row>
    <row r="792" spans="1:16" x14ac:dyDescent="0.25">
      <c r="A792">
        <v>765</v>
      </c>
      <c r="B792" s="25" t="s">
        <v>317</v>
      </c>
      <c r="C792" s="26">
        <v>0</v>
      </c>
      <c r="D792" s="2">
        <v>46067</v>
      </c>
      <c r="E792" s="25" t="s">
        <v>91</v>
      </c>
      <c r="F792" s="25" t="s">
        <v>18</v>
      </c>
      <c r="G792" s="25" t="s">
        <v>1251</v>
      </c>
      <c r="H792" s="26">
        <v>0</v>
      </c>
      <c r="I792" s="26">
        <v>0.16666666666666666</v>
      </c>
      <c r="J792" s="2">
        <v>46067</v>
      </c>
      <c r="K792" s="25" t="s">
        <v>20</v>
      </c>
      <c r="L792" s="25" t="s">
        <v>1252</v>
      </c>
      <c r="M792" s="25" t="s">
        <v>22</v>
      </c>
      <c r="N792" s="25" t="s">
        <v>205</v>
      </c>
      <c r="O792" s="25" t="s">
        <v>108</v>
      </c>
      <c r="P792" s="25" t="s">
        <v>23</v>
      </c>
    </row>
    <row r="793" spans="1:16" x14ac:dyDescent="0.25">
      <c r="A793">
        <v>766</v>
      </c>
      <c r="B793" s="25" t="s">
        <v>103</v>
      </c>
      <c r="C793" s="26">
        <v>0.27083333333333331</v>
      </c>
      <c r="D793" s="2">
        <v>46067</v>
      </c>
      <c r="E793" s="25" t="s">
        <v>104</v>
      </c>
      <c r="F793" s="25" t="s">
        <v>18</v>
      </c>
      <c r="G793" s="25" t="s">
        <v>1253</v>
      </c>
      <c r="H793" s="26"/>
      <c r="I793" s="26"/>
      <c r="J793" s="2"/>
      <c r="K793" s="25"/>
      <c r="L793" s="25" t="s">
        <v>1254</v>
      </c>
      <c r="M793" s="25"/>
      <c r="N793" s="25"/>
      <c r="O793" s="25"/>
      <c r="P793" s="25" t="s">
        <v>33</v>
      </c>
    </row>
    <row r="794" spans="1:16" x14ac:dyDescent="0.25">
      <c r="A794">
        <v>767</v>
      </c>
      <c r="B794" s="25" t="s">
        <v>103</v>
      </c>
      <c r="C794" s="26">
        <v>0.26041666666666669</v>
      </c>
      <c r="D794" s="2">
        <v>46067</v>
      </c>
      <c r="E794" s="25" t="s">
        <v>147</v>
      </c>
      <c r="F794" s="25" t="s">
        <v>18</v>
      </c>
      <c r="G794" s="25" t="s">
        <v>1255</v>
      </c>
      <c r="H794" s="26">
        <v>0.27083333333333331</v>
      </c>
      <c r="I794" s="26">
        <v>0.28125</v>
      </c>
      <c r="J794" s="2">
        <v>46067</v>
      </c>
      <c r="K794" s="25" t="s">
        <v>25</v>
      </c>
      <c r="L794" s="25" t="s">
        <v>1256</v>
      </c>
      <c r="M794" s="25" t="s">
        <v>22</v>
      </c>
      <c r="N794" s="25" t="s">
        <v>22</v>
      </c>
      <c r="O794" s="25" t="s">
        <v>661</v>
      </c>
      <c r="P794" s="25" t="s">
        <v>23</v>
      </c>
    </row>
    <row r="795" spans="1:16" x14ac:dyDescent="0.25">
      <c r="A795">
        <v>768</v>
      </c>
      <c r="B795" s="25" t="s">
        <v>103</v>
      </c>
      <c r="C795" s="26">
        <v>0.31805555555555554</v>
      </c>
      <c r="D795" s="2">
        <v>46067</v>
      </c>
      <c r="E795" s="25" t="s">
        <v>104</v>
      </c>
      <c r="F795" s="25" t="s">
        <v>650</v>
      </c>
      <c r="G795" s="25" t="s">
        <v>1257</v>
      </c>
      <c r="H795" s="26">
        <v>0.34027777777777779</v>
      </c>
      <c r="I795" s="26">
        <v>0.45833333333333331</v>
      </c>
      <c r="J795" s="2">
        <v>46067</v>
      </c>
      <c r="K795" s="25" t="s">
        <v>20</v>
      </c>
      <c r="L795" s="25" t="s">
        <v>1258</v>
      </c>
      <c r="M795" s="25" t="s">
        <v>22</v>
      </c>
      <c r="N795" s="25" t="s">
        <v>22</v>
      </c>
      <c r="O795" s="25" t="s">
        <v>661</v>
      </c>
      <c r="P795" s="25" t="s">
        <v>23</v>
      </c>
    </row>
    <row r="796" spans="1:16" x14ac:dyDescent="0.25">
      <c r="A796">
        <v>769</v>
      </c>
      <c r="B796" s="25" t="s">
        <v>206</v>
      </c>
      <c r="C796" s="26">
        <v>0.2986111111111111</v>
      </c>
      <c r="D796" s="2">
        <v>46067</v>
      </c>
      <c r="E796" s="25" t="s">
        <v>116</v>
      </c>
      <c r="F796" s="25" t="s">
        <v>18</v>
      </c>
      <c r="G796" s="25" t="s">
        <v>1259</v>
      </c>
      <c r="H796" s="26">
        <v>0.3611111111111111</v>
      </c>
      <c r="I796" s="26">
        <v>0.375</v>
      </c>
      <c r="J796" s="2">
        <v>46067</v>
      </c>
      <c r="K796" s="25" t="s">
        <v>20</v>
      </c>
      <c r="L796" s="25" t="s">
        <v>1260</v>
      </c>
      <c r="M796" s="25" t="s">
        <v>22</v>
      </c>
      <c r="N796" s="25" t="s">
        <v>22</v>
      </c>
      <c r="O796" s="25" t="s">
        <v>661</v>
      </c>
      <c r="P796" s="25" t="s">
        <v>23</v>
      </c>
    </row>
    <row r="797" spans="1:16" x14ac:dyDescent="0.25">
      <c r="A797">
        <v>770</v>
      </c>
      <c r="B797" s="25" t="s">
        <v>206</v>
      </c>
      <c r="C797" s="26">
        <v>0.46875</v>
      </c>
      <c r="D797" s="2">
        <v>46067</v>
      </c>
      <c r="E797" s="25" t="s">
        <v>782</v>
      </c>
      <c r="F797" s="25" t="s">
        <v>18</v>
      </c>
      <c r="G797" s="25" t="s">
        <v>1261</v>
      </c>
      <c r="H797" s="26">
        <v>0.47916666666666669</v>
      </c>
      <c r="I797" s="26">
        <v>0.50694444444444442</v>
      </c>
      <c r="J797" s="2">
        <v>46067</v>
      </c>
      <c r="K797" s="25" t="s">
        <v>25</v>
      </c>
      <c r="L797" s="25" t="s">
        <v>1262</v>
      </c>
      <c r="M797" s="25" t="s">
        <v>1263</v>
      </c>
      <c r="N797" s="25" t="s">
        <v>22</v>
      </c>
      <c r="O797" s="25" t="s">
        <v>661</v>
      </c>
      <c r="P797" s="25" t="s">
        <v>23</v>
      </c>
    </row>
    <row r="798" spans="1:16" x14ac:dyDescent="0.25">
      <c r="A798">
        <v>771</v>
      </c>
      <c r="B798" s="25" t="s">
        <v>103</v>
      </c>
      <c r="C798" s="26">
        <v>0.65277777777777779</v>
      </c>
      <c r="D798" s="2">
        <v>46067</v>
      </c>
      <c r="E798" s="25" t="s">
        <v>147</v>
      </c>
      <c r="F798" s="25" t="s">
        <v>18</v>
      </c>
      <c r="G798" s="25" t="s">
        <v>1264</v>
      </c>
      <c r="H798" s="26">
        <v>0.65972222222222221</v>
      </c>
      <c r="I798" s="26">
        <v>0.67361111111111116</v>
      </c>
      <c r="J798" s="2">
        <v>46067</v>
      </c>
      <c r="K798" s="25" t="s">
        <v>20</v>
      </c>
      <c r="L798" s="25" t="s">
        <v>1265</v>
      </c>
      <c r="M798" s="25" t="s">
        <v>1266</v>
      </c>
      <c r="N798" s="25" t="s">
        <v>22</v>
      </c>
      <c r="O798" s="25" t="s">
        <v>44</v>
      </c>
      <c r="P798" s="25" t="s">
        <v>23</v>
      </c>
    </row>
    <row r="799" spans="1:16" x14ac:dyDescent="0.25">
      <c r="A799">
        <v>772</v>
      </c>
      <c r="B799" s="25" t="s">
        <v>113</v>
      </c>
      <c r="C799" s="26">
        <v>0.82638888888888884</v>
      </c>
      <c r="D799" s="2">
        <v>46067</v>
      </c>
      <c r="E799" s="25" t="s">
        <v>147</v>
      </c>
      <c r="F799" s="25" t="s">
        <v>18</v>
      </c>
      <c r="G799" s="25" t="s">
        <v>1267</v>
      </c>
      <c r="H799" s="26">
        <v>0.82638888888888884</v>
      </c>
      <c r="I799" s="26">
        <v>0.83680555555555558</v>
      </c>
      <c r="J799" s="2">
        <v>46067</v>
      </c>
      <c r="K799" s="25" t="s">
        <v>25</v>
      </c>
      <c r="L799" s="25" t="s">
        <v>1268</v>
      </c>
      <c r="M799" s="25" t="s">
        <v>22</v>
      </c>
      <c r="N799" s="25" t="s">
        <v>22</v>
      </c>
      <c r="O799" s="25" t="s">
        <v>44</v>
      </c>
      <c r="P799" s="25" t="s">
        <v>23</v>
      </c>
    </row>
    <row r="800" spans="1:16" x14ac:dyDescent="0.25">
      <c r="A800">
        <v>773</v>
      </c>
      <c r="B800" s="25" t="s">
        <v>16</v>
      </c>
      <c r="C800" s="26">
        <v>0.83680555555555558</v>
      </c>
      <c r="D800" s="2">
        <v>46067</v>
      </c>
      <c r="E800" s="25" t="s">
        <v>185</v>
      </c>
      <c r="F800" s="25" t="s">
        <v>18</v>
      </c>
      <c r="G800" s="25" t="s">
        <v>1269</v>
      </c>
      <c r="H800" s="26">
        <v>0.84375</v>
      </c>
      <c r="I800" s="26">
        <v>0.85416666666666663</v>
      </c>
      <c r="J800" s="2">
        <v>46067</v>
      </c>
      <c r="K800" s="25" t="s">
        <v>25</v>
      </c>
      <c r="L800" s="25" t="s">
        <v>1270</v>
      </c>
      <c r="M800" s="25" t="s">
        <v>22</v>
      </c>
      <c r="N800" s="25" t="s">
        <v>22</v>
      </c>
      <c r="O800" s="25" t="s">
        <v>44</v>
      </c>
      <c r="P800" s="25" t="s">
        <v>23</v>
      </c>
    </row>
    <row r="801" spans="1:16" x14ac:dyDescent="0.25">
      <c r="A801">
        <v>774</v>
      </c>
      <c r="B801" s="25" t="s">
        <v>199</v>
      </c>
      <c r="C801" s="26">
        <v>0.25</v>
      </c>
      <c r="D801" s="2">
        <v>46068</v>
      </c>
      <c r="E801" s="25" t="s">
        <v>91</v>
      </c>
      <c r="F801" s="25" t="s">
        <v>18</v>
      </c>
      <c r="G801" s="25" t="s">
        <v>1271</v>
      </c>
      <c r="H801" s="26">
        <v>0.25</v>
      </c>
      <c r="I801" s="26">
        <v>0.28472222222222221</v>
      </c>
      <c r="J801" s="2">
        <v>46068</v>
      </c>
      <c r="K801" s="25" t="s">
        <v>775</v>
      </c>
      <c r="L801" s="25" t="s">
        <v>1272</v>
      </c>
      <c r="M801" s="25" t="s">
        <v>22</v>
      </c>
      <c r="N801" s="25" t="s">
        <v>22</v>
      </c>
      <c r="O801" s="25" t="s">
        <v>108</v>
      </c>
      <c r="P801" s="25" t="s">
        <v>33</v>
      </c>
    </row>
    <row r="802" spans="1:16" x14ac:dyDescent="0.25">
      <c r="A802">
        <v>775</v>
      </c>
      <c r="B802" s="25" t="s">
        <v>113</v>
      </c>
      <c r="C802" s="26">
        <v>0.75694444444444442</v>
      </c>
      <c r="D802" s="2">
        <v>46068</v>
      </c>
      <c r="E802" s="25" t="s">
        <v>91</v>
      </c>
      <c r="F802" s="25" t="s">
        <v>18</v>
      </c>
      <c r="G802" s="25" t="s">
        <v>1273</v>
      </c>
      <c r="H802" s="26">
        <v>0.79166666666666663</v>
      </c>
      <c r="I802" s="26">
        <v>0.84027777777777779</v>
      </c>
      <c r="J802" s="2">
        <v>46068</v>
      </c>
      <c r="K802" s="25" t="s">
        <v>20</v>
      </c>
      <c r="L802" s="25" t="s">
        <v>1274</v>
      </c>
      <c r="M802" s="25" t="s">
        <v>22</v>
      </c>
      <c r="N802" s="25" t="s">
        <v>22</v>
      </c>
      <c r="O802" s="25" t="s">
        <v>44</v>
      </c>
      <c r="P802" s="25" t="s">
        <v>23</v>
      </c>
    </row>
    <row r="803" spans="1:16" x14ac:dyDescent="0.25">
      <c r="A803">
        <v>776</v>
      </c>
      <c r="B803" s="25"/>
      <c r="C803" s="26"/>
      <c r="D803" s="2"/>
      <c r="E803" s="25"/>
      <c r="F803" s="25"/>
      <c r="G803" s="25"/>
      <c r="H803" s="26"/>
      <c r="I803" s="26"/>
      <c r="J803" s="2"/>
      <c r="K803" s="25"/>
      <c r="L803" s="25"/>
      <c r="M803" s="25"/>
      <c r="N803" s="25"/>
      <c r="O803" s="25"/>
      <c r="P803" s="25"/>
    </row>
    <row r="804" spans="1:16" x14ac:dyDescent="0.25">
      <c r="A804">
        <v>777</v>
      </c>
      <c r="B804" s="25" t="s">
        <v>113</v>
      </c>
      <c r="C804" s="26">
        <v>0.84027777777777779</v>
      </c>
      <c r="D804" s="2">
        <v>46068</v>
      </c>
      <c r="E804" s="25" t="s">
        <v>91</v>
      </c>
      <c r="F804" s="25" t="s">
        <v>18</v>
      </c>
      <c r="G804" s="25" t="s">
        <v>1275</v>
      </c>
      <c r="H804" s="26">
        <v>0.84027777777777779</v>
      </c>
      <c r="I804" s="26">
        <v>0.96875</v>
      </c>
      <c r="J804" s="2">
        <v>46068</v>
      </c>
      <c r="K804" s="25" t="s">
        <v>20</v>
      </c>
      <c r="L804" s="25" t="s">
        <v>1276</v>
      </c>
      <c r="M804" s="25" t="s">
        <v>22</v>
      </c>
      <c r="N804" s="25" t="s">
        <v>22</v>
      </c>
      <c r="O804" s="25" t="s">
        <v>44</v>
      </c>
      <c r="P804" s="25" t="s">
        <v>23</v>
      </c>
    </row>
    <row r="805" spans="1:16" x14ac:dyDescent="0.25">
      <c r="A805">
        <v>778</v>
      </c>
      <c r="B805" s="25"/>
      <c r="C805" s="26"/>
      <c r="D805" s="2"/>
      <c r="E805" s="25"/>
      <c r="F805" s="25"/>
      <c r="G805" s="25"/>
      <c r="H805" s="26"/>
      <c r="I805" s="26"/>
      <c r="J805" s="2"/>
      <c r="K805" s="25"/>
      <c r="L805" s="25"/>
      <c r="M805" s="25"/>
      <c r="N805" s="25"/>
      <c r="O805" s="25"/>
      <c r="P805" s="25"/>
    </row>
    <row r="806" spans="1:16" x14ac:dyDescent="0.25">
      <c r="A806">
        <v>779</v>
      </c>
      <c r="B806" s="25" t="s">
        <v>103</v>
      </c>
      <c r="C806" s="26">
        <v>0.91666666666666663</v>
      </c>
      <c r="D806" s="2">
        <v>46068</v>
      </c>
      <c r="E806" s="25" t="s">
        <v>147</v>
      </c>
      <c r="F806" s="25" t="s">
        <v>18</v>
      </c>
      <c r="G806" s="25" t="s">
        <v>1277</v>
      </c>
      <c r="H806" s="26">
        <v>0.92708333333333337</v>
      </c>
      <c r="I806" s="26">
        <v>0.94097222222222221</v>
      </c>
      <c r="J806" s="2">
        <v>46068</v>
      </c>
      <c r="K806" s="25" t="s">
        <v>20</v>
      </c>
      <c r="L806" s="25" t="s">
        <v>1278</v>
      </c>
      <c r="M806" s="25" t="s">
        <v>22</v>
      </c>
      <c r="N806" s="25" t="s">
        <v>22</v>
      </c>
      <c r="O806" s="25" t="s">
        <v>44</v>
      </c>
      <c r="P806" s="25" t="s">
        <v>23</v>
      </c>
    </row>
    <row r="807" spans="1:16" x14ac:dyDescent="0.25">
      <c r="A807">
        <v>780</v>
      </c>
      <c r="B807" s="25" t="s">
        <v>103</v>
      </c>
      <c r="C807" s="26">
        <v>3.472222222222222E-3</v>
      </c>
      <c r="D807" s="2">
        <v>46068</v>
      </c>
      <c r="E807" s="25" t="s">
        <v>147</v>
      </c>
      <c r="F807" s="25" t="s">
        <v>18</v>
      </c>
      <c r="G807" s="25" t="s">
        <v>1279</v>
      </c>
      <c r="H807" s="26">
        <v>2.0833333333333332E-2</v>
      </c>
      <c r="I807" s="26">
        <v>3.125E-2</v>
      </c>
      <c r="J807" s="2">
        <v>46069</v>
      </c>
      <c r="K807" s="25" t="s">
        <v>25</v>
      </c>
      <c r="L807" s="25" t="s">
        <v>1280</v>
      </c>
      <c r="M807" s="25" t="s">
        <v>22</v>
      </c>
      <c r="N807" s="25" t="s">
        <v>22</v>
      </c>
      <c r="O807" s="25" t="s">
        <v>44</v>
      </c>
      <c r="P807" s="25" t="s">
        <v>23</v>
      </c>
    </row>
    <row r="808" spans="1:16" x14ac:dyDescent="0.25">
      <c r="A808">
        <v>781</v>
      </c>
      <c r="B808" s="25" t="s">
        <v>526</v>
      </c>
      <c r="C808" s="26">
        <v>0.80555555555555558</v>
      </c>
      <c r="D808" s="2">
        <v>46069</v>
      </c>
      <c r="E808" s="25" t="s">
        <v>91</v>
      </c>
      <c r="F808" s="25" t="s">
        <v>18</v>
      </c>
      <c r="G808" s="25" t="s">
        <v>1281</v>
      </c>
      <c r="H808" s="26">
        <v>0.80694444444444446</v>
      </c>
      <c r="I808" s="26">
        <v>0.8125</v>
      </c>
      <c r="J808" s="2">
        <v>46069</v>
      </c>
      <c r="K808" s="25" t="s">
        <v>25</v>
      </c>
      <c r="L808" s="25" t="s">
        <v>1282</v>
      </c>
      <c r="M808" s="25" t="s">
        <v>22</v>
      </c>
      <c r="N808" s="25" t="s">
        <v>22</v>
      </c>
      <c r="O808" s="25" t="s">
        <v>661</v>
      </c>
      <c r="P808" s="25" t="s">
        <v>23</v>
      </c>
    </row>
    <row r="809" spans="1:16" x14ac:dyDescent="0.25">
      <c r="A809">
        <v>782</v>
      </c>
      <c r="B809" s="25" t="s">
        <v>164</v>
      </c>
      <c r="C809" s="26">
        <v>0.16666666666666666</v>
      </c>
      <c r="D809" s="2">
        <v>46070</v>
      </c>
      <c r="E809" s="25" t="s">
        <v>143</v>
      </c>
      <c r="F809" s="25" t="s">
        <v>18</v>
      </c>
      <c r="G809" s="25" t="s">
        <v>1283</v>
      </c>
      <c r="H809" s="26">
        <v>0.16666666666666666</v>
      </c>
      <c r="I809" s="26">
        <v>0.20833333333333334</v>
      </c>
      <c r="J809" s="2">
        <v>46070</v>
      </c>
      <c r="K809" s="25" t="s">
        <v>25</v>
      </c>
      <c r="L809" s="25" t="s">
        <v>1284</v>
      </c>
      <c r="M809" s="25" t="s">
        <v>22</v>
      </c>
      <c r="N809" s="25" t="s">
        <v>205</v>
      </c>
      <c r="O809" s="25" t="s">
        <v>44</v>
      </c>
      <c r="P809" s="25" t="s">
        <v>23</v>
      </c>
    </row>
    <row r="810" spans="1:16" x14ac:dyDescent="0.25">
      <c r="A810">
        <v>783</v>
      </c>
      <c r="B810" s="25" t="s">
        <v>103</v>
      </c>
      <c r="C810" s="26">
        <v>0.3611111111111111</v>
      </c>
      <c r="D810" s="2">
        <v>46070</v>
      </c>
      <c r="E810" s="25" t="s">
        <v>188</v>
      </c>
      <c r="F810" s="25" t="s">
        <v>18</v>
      </c>
      <c r="G810" s="25" t="s">
        <v>1285</v>
      </c>
      <c r="H810" s="26">
        <v>0.3611111111111111</v>
      </c>
      <c r="I810" s="26">
        <v>0.40277777777777779</v>
      </c>
      <c r="J810" s="2">
        <v>46070</v>
      </c>
      <c r="K810" s="25" t="s">
        <v>20</v>
      </c>
      <c r="L810" s="25" t="s">
        <v>1286</v>
      </c>
      <c r="M810" s="25" t="s">
        <v>22</v>
      </c>
      <c r="N810" s="25" t="s">
        <v>22</v>
      </c>
      <c r="O810" s="25"/>
      <c r="P810" s="25" t="s">
        <v>23</v>
      </c>
    </row>
    <row r="811" spans="1:16" x14ac:dyDescent="0.25">
      <c r="A811">
        <v>784</v>
      </c>
      <c r="B811" s="25" t="s">
        <v>103</v>
      </c>
      <c r="C811" s="26">
        <v>0.40972222222222221</v>
      </c>
      <c r="D811" s="2">
        <v>46070</v>
      </c>
      <c r="E811" s="25" t="s">
        <v>188</v>
      </c>
      <c r="F811" s="25" t="s">
        <v>650</v>
      </c>
      <c r="G811" s="25" t="s">
        <v>1287</v>
      </c>
      <c r="H811" s="26"/>
      <c r="I811" s="26"/>
      <c r="J811" s="2"/>
      <c r="K811" s="25"/>
      <c r="L811" s="25"/>
      <c r="M811" s="25"/>
      <c r="N811" s="25"/>
      <c r="O811" s="25"/>
      <c r="P811" s="25" t="s">
        <v>33</v>
      </c>
    </row>
    <row r="812" spans="1:16" x14ac:dyDescent="0.25">
      <c r="A812">
        <v>785</v>
      </c>
      <c r="B812" s="25" t="s">
        <v>93</v>
      </c>
      <c r="C812" s="26">
        <v>0.78680555555555554</v>
      </c>
      <c r="D812" s="2">
        <v>46070</v>
      </c>
      <c r="E812" s="25" t="s">
        <v>116</v>
      </c>
      <c r="F812" s="25" t="s">
        <v>18</v>
      </c>
      <c r="G812" s="25" t="s">
        <v>1288</v>
      </c>
      <c r="H812" s="26">
        <v>0.25694444444444442</v>
      </c>
      <c r="I812" s="26">
        <v>0.27083333333333331</v>
      </c>
      <c r="J812" s="2">
        <v>46071</v>
      </c>
      <c r="K812" s="25" t="s">
        <v>20</v>
      </c>
      <c r="L812" s="25" t="s">
        <v>1289</v>
      </c>
      <c r="M812" s="25" t="s">
        <v>1290</v>
      </c>
      <c r="N812" s="25" t="s">
        <v>22</v>
      </c>
      <c r="O812" s="25" t="s">
        <v>112</v>
      </c>
      <c r="P812" s="25" t="s">
        <v>23</v>
      </c>
    </row>
    <row r="813" spans="1:16" x14ac:dyDescent="0.25">
      <c r="A813">
        <v>786</v>
      </c>
      <c r="B813" s="25" t="s">
        <v>139</v>
      </c>
      <c r="C813" s="26"/>
      <c r="D813" s="2">
        <v>46070</v>
      </c>
      <c r="E813" s="25" t="s">
        <v>188</v>
      </c>
      <c r="F813" s="25" t="s">
        <v>18</v>
      </c>
      <c r="G813" s="25" t="s">
        <v>1291</v>
      </c>
      <c r="H813" s="26"/>
      <c r="I813" s="26"/>
      <c r="J813" s="2"/>
      <c r="K813" s="25"/>
      <c r="L813" s="25"/>
      <c r="M813" s="25"/>
      <c r="N813" s="25"/>
      <c r="O813" s="25"/>
      <c r="P813" s="25" t="s">
        <v>33</v>
      </c>
    </row>
    <row r="814" spans="1:16" x14ac:dyDescent="0.25">
      <c r="A814">
        <v>787</v>
      </c>
      <c r="B814" s="25" t="s">
        <v>317</v>
      </c>
      <c r="C814" s="26">
        <v>0.84722222222222221</v>
      </c>
      <c r="D814" s="2">
        <v>46070</v>
      </c>
      <c r="E814" s="25" t="s">
        <v>91</v>
      </c>
      <c r="F814" s="25" t="s">
        <v>18</v>
      </c>
      <c r="G814" s="25" t="s">
        <v>1292</v>
      </c>
      <c r="H814" s="26">
        <v>0.84722222222222221</v>
      </c>
      <c r="I814" s="26">
        <v>0.89583333333333337</v>
      </c>
      <c r="J814" s="2">
        <v>46070</v>
      </c>
      <c r="K814" s="25" t="s">
        <v>20</v>
      </c>
      <c r="L814" s="25" t="s">
        <v>1293</v>
      </c>
      <c r="M814" s="25" t="s">
        <v>22</v>
      </c>
      <c r="N814" s="25" t="s">
        <v>22</v>
      </c>
      <c r="O814" s="25" t="s">
        <v>108</v>
      </c>
      <c r="P814" s="25" t="s">
        <v>23</v>
      </c>
    </row>
    <row r="815" spans="1:16" x14ac:dyDescent="0.25">
      <c r="A815">
        <v>788</v>
      </c>
      <c r="B815" s="25" t="s">
        <v>161</v>
      </c>
      <c r="C815" s="26">
        <v>0.38541666666666669</v>
      </c>
      <c r="D815" s="2">
        <v>46071</v>
      </c>
      <c r="E815" s="25" t="s">
        <v>782</v>
      </c>
      <c r="F815" s="25" t="s">
        <v>18</v>
      </c>
      <c r="G815" s="25" t="s">
        <v>1294</v>
      </c>
      <c r="H815" s="26">
        <v>0.38541666666666669</v>
      </c>
      <c r="I815" s="26">
        <v>0.39583333333333331</v>
      </c>
      <c r="J815" s="2">
        <v>46071</v>
      </c>
      <c r="K815" s="25" t="s">
        <v>25</v>
      </c>
      <c r="L815" s="25" t="s">
        <v>1295</v>
      </c>
      <c r="M815" s="25" t="s">
        <v>22</v>
      </c>
      <c r="N815" s="25" t="s">
        <v>22</v>
      </c>
      <c r="O815" s="25" t="s">
        <v>112</v>
      </c>
      <c r="P815" s="25" t="s">
        <v>23</v>
      </c>
    </row>
    <row r="816" spans="1:16" x14ac:dyDescent="0.25">
      <c r="A816">
        <v>789</v>
      </c>
      <c r="B816" s="25" t="s">
        <v>139</v>
      </c>
      <c r="C816" s="26">
        <v>0.96527777777777779</v>
      </c>
      <c r="D816" s="2">
        <v>46071</v>
      </c>
      <c r="E816" s="25" t="s">
        <v>188</v>
      </c>
      <c r="F816" s="25" t="s">
        <v>18</v>
      </c>
      <c r="G816" s="25" t="s">
        <v>1296</v>
      </c>
      <c r="H816" s="26">
        <v>0.96875</v>
      </c>
      <c r="I816" s="26">
        <v>0.99305555555555558</v>
      </c>
      <c r="J816" s="2">
        <v>46071</v>
      </c>
      <c r="K816" s="25" t="s">
        <v>25</v>
      </c>
      <c r="L816" s="25" t="s">
        <v>1297</v>
      </c>
      <c r="M816" s="25" t="s">
        <v>22</v>
      </c>
      <c r="N816" s="25" t="s">
        <v>22</v>
      </c>
      <c r="O816" s="25" t="s">
        <v>661</v>
      </c>
      <c r="P816" s="25" t="s">
        <v>23</v>
      </c>
    </row>
    <row r="817" spans="1:16" x14ac:dyDescent="0.25">
      <c r="A817">
        <v>790</v>
      </c>
      <c r="B817" s="25"/>
      <c r="C817" s="26"/>
      <c r="D817" s="2"/>
      <c r="E817" s="25"/>
      <c r="F817" s="25"/>
      <c r="G817" s="25"/>
      <c r="H817" s="26"/>
      <c r="I817" s="26"/>
      <c r="J817" s="2"/>
      <c r="K817" s="25"/>
      <c r="L817" s="25"/>
      <c r="M817" s="25"/>
      <c r="N817" s="25"/>
      <c r="O817" s="25"/>
      <c r="P817" s="25"/>
    </row>
    <row r="818" spans="1:16" x14ac:dyDescent="0.25">
      <c r="A818">
        <v>791</v>
      </c>
      <c r="B818" s="25" t="s">
        <v>184</v>
      </c>
      <c r="C818" s="26">
        <v>0.32083333333333336</v>
      </c>
      <c r="D818" s="2">
        <v>46072</v>
      </c>
      <c r="E818" s="25" t="s">
        <v>85</v>
      </c>
      <c r="F818" s="25" t="s">
        <v>18</v>
      </c>
      <c r="G818" s="25" t="s">
        <v>1298</v>
      </c>
      <c r="H818" s="26"/>
      <c r="I818" s="26"/>
      <c r="J818" s="2"/>
      <c r="K818" s="25"/>
      <c r="L818" s="25"/>
      <c r="M818" s="25"/>
      <c r="N818" s="25"/>
      <c r="O818" s="25"/>
      <c r="P818" s="25" t="s">
        <v>33</v>
      </c>
    </row>
    <row r="819" spans="1:16" x14ac:dyDescent="0.25">
      <c r="A819">
        <v>792</v>
      </c>
      <c r="B819" s="25" t="s">
        <v>113</v>
      </c>
      <c r="C819" s="26">
        <v>0.46527777777777779</v>
      </c>
      <c r="D819" s="2">
        <v>46072</v>
      </c>
      <c r="E819" s="25" t="s">
        <v>91</v>
      </c>
      <c r="F819" s="25" t="s">
        <v>18</v>
      </c>
      <c r="G819" s="25" t="s">
        <v>1299</v>
      </c>
      <c r="H819" s="26">
        <v>0.47222222222222221</v>
      </c>
      <c r="I819" s="26">
        <v>0.51388888888888884</v>
      </c>
      <c r="J819" s="2">
        <v>46072</v>
      </c>
      <c r="K819" s="25" t="s">
        <v>25</v>
      </c>
      <c r="L819" s="25" t="s">
        <v>1300</v>
      </c>
      <c r="M819" s="25" t="s">
        <v>22</v>
      </c>
      <c r="N819" s="25" t="s">
        <v>22</v>
      </c>
      <c r="O819" s="25" t="s">
        <v>44</v>
      </c>
      <c r="P819" s="25" t="s">
        <v>23</v>
      </c>
    </row>
    <row r="820" spans="1:16" x14ac:dyDescent="0.25">
      <c r="A820">
        <v>793</v>
      </c>
      <c r="B820" s="25" t="s">
        <v>113</v>
      </c>
      <c r="C820" s="26">
        <v>0.5</v>
      </c>
      <c r="D820" s="2">
        <v>46072</v>
      </c>
      <c r="E820" s="25" t="s">
        <v>91</v>
      </c>
      <c r="F820" s="25" t="s">
        <v>18</v>
      </c>
      <c r="G820" s="25" t="s">
        <v>1301</v>
      </c>
      <c r="H820" s="26">
        <v>0.5</v>
      </c>
      <c r="I820" s="26">
        <v>0.54166666666666663</v>
      </c>
      <c r="J820" s="2">
        <v>46072</v>
      </c>
      <c r="K820" s="25" t="s">
        <v>25</v>
      </c>
      <c r="L820" s="25" t="s">
        <v>1302</v>
      </c>
      <c r="M820" s="25" t="s">
        <v>1303</v>
      </c>
      <c r="N820" s="25" t="s">
        <v>22</v>
      </c>
      <c r="O820" s="25" t="s">
        <v>44</v>
      </c>
      <c r="P820" s="25" t="s">
        <v>23</v>
      </c>
    </row>
    <row r="821" spans="1:16" x14ac:dyDescent="0.25">
      <c r="A821">
        <v>794</v>
      </c>
      <c r="B821" s="25" t="s">
        <v>112</v>
      </c>
      <c r="C821" s="26">
        <v>0.39583333333333331</v>
      </c>
      <c r="D821" s="2">
        <v>46072</v>
      </c>
      <c r="E821" s="25" t="s">
        <v>17</v>
      </c>
      <c r="F821" s="25" t="s">
        <v>18</v>
      </c>
      <c r="G821" s="25" t="s">
        <v>1304</v>
      </c>
      <c r="H821" s="26">
        <v>0.8125</v>
      </c>
      <c r="I821" s="26">
        <v>0.83333333333333337</v>
      </c>
      <c r="J821" s="2">
        <v>46072</v>
      </c>
      <c r="K821" s="25" t="s">
        <v>25</v>
      </c>
      <c r="L821" s="25" t="s">
        <v>1305</v>
      </c>
      <c r="M821" s="25" t="s">
        <v>22</v>
      </c>
      <c r="N821" s="25" t="s">
        <v>22</v>
      </c>
      <c r="O821" s="25" t="s">
        <v>112</v>
      </c>
      <c r="P821" s="25" t="s">
        <v>23</v>
      </c>
    </row>
    <row r="822" spans="1:16" x14ac:dyDescent="0.25">
      <c r="A822">
        <v>795</v>
      </c>
      <c r="B822" s="25" t="s">
        <v>164</v>
      </c>
      <c r="C822" s="26">
        <v>0.82638888888888884</v>
      </c>
      <c r="D822" s="2">
        <v>46072</v>
      </c>
      <c r="E822" s="25" t="s">
        <v>143</v>
      </c>
      <c r="F822" s="25" t="s">
        <v>18</v>
      </c>
      <c r="G822" s="25" t="s">
        <v>1306</v>
      </c>
      <c r="H822" s="26">
        <v>0.82638888888888884</v>
      </c>
      <c r="I822" s="26">
        <v>0.85416666666666663</v>
      </c>
      <c r="J822" s="2">
        <v>46072</v>
      </c>
      <c r="K822" s="25" t="s">
        <v>25</v>
      </c>
      <c r="L822" s="25" t="s">
        <v>1307</v>
      </c>
      <c r="M822" s="25" t="s">
        <v>22</v>
      </c>
      <c r="N822" s="25" t="s">
        <v>22</v>
      </c>
      <c r="O822" s="25" t="s">
        <v>112</v>
      </c>
      <c r="P822" s="25" t="s">
        <v>23</v>
      </c>
    </row>
    <row r="823" spans="1:16" x14ac:dyDescent="0.25">
      <c r="A823">
        <v>796</v>
      </c>
      <c r="B823" s="25" t="s">
        <v>113</v>
      </c>
      <c r="C823" s="26">
        <v>0.27777777777777779</v>
      </c>
      <c r="D823" s="2">
        <v>46073</v>
      </c>
      <c r="E823" s="25" t="s">
        <v>188</v>
      </c>
      <c r="F823" s="25" t="s">
        <v>18</v>
      </c>
      <c r="G823" s="25" t="s">
        <v>1308</v>
      </c>
      <c r="H823" s="26">
        <v>0.28472222222222221</v>
      </c>
      <c r="I823" s="26">
        <v>0.43055555555555558</v>
      </c>
      <c r="J823" s="2">
        <v>46073</v>
      </c>
      <c r="K823" s="25" t="s">
        <v>25</v>
      </c>
      <c r="L823" s="25" t="s">
        <v>1309</v>
      </c>
      <c r="M823" s="25" t="s">
        <v>22</v>
      </c>
      <c r="N823" s="25" t="s">
        <v>22</v>
      </c>
      <c r="O823" s="25" t="s">
        <v>661</v>
      </c>
      <c r="P823" s="25" t="s">
        <v>23</v>
      </c>
    </row>
    <row r="824" spans="1:16" x14ac:dyDescent="0.25">
      <c r="A824">
        <v>797</v>
      </c>
      <c r="B824" s="25"/>
      <c r="C824" s="26"/>
      <c r="D824" s="2"/>
      <c r="E824" s="25"/>
      <c r="F824" s="25"/>
      <c r="G824" s="25"/>
      <c r="H824" s="26"/>
      <c r="I824" s="26"/>
      <c r="J824" s="2"/>
      <c r="K824" s="25"/>
      <c r="L824" s="25"/>
      <c r="M824" s="25"/>
      <c r="N824" s="25"/>
      <c r="O824" s="25"/>
      <c r="P824" s="25"/>
    </row>
    <row r="825" spans="1:16" x14ac:dyDescent="0.25">
      <c r="A825">
        <v>798</v>
      </c>
      <c r="B825" s="25" t="s">
        <v>103</v>
      </c>
      <c r="C825" s="26">
        <v>0.85416666666666663</v>
      </c>
      <c r="D825" s="2">
        <v>46073</v>
      </c>
      <c r="E825" s="25" t="s">
        <v>147</v>
      </c>
      <c r="F825" s="25" t="s">
        <v>18</v>
      </c>
      <c r="G825" s="25" t="s">
        <v>1310</v>
      </c>
      <c r="H825" s="26"/>
      <c r="I825" s="26"/>
      <c r="J825" s="2">
        <v>46073</v>
      </c>
      <c r="K825" s="25" t="s">
        <v>20</v>
      </c>
      <c r="L825" s="25" t="s">
        <v>1311</v>
      </c>
      <c r="M825" s="25" t="s">
        <v>22</v>
      </c>
      <c r="N825" s="25" t="s">
        <v>22</v>
      </c>
      <c r="O825" s="25" t="s">
        <v>44</v>
      </c>
      <c r="P825" s="25"/>
    </row>
    <row r="826" spans="1:16" x14ac:dyDescent="0.25">
      <c r="A826">
        <v>799</v>
      </c>
      <c r="B826" s="25"/>
      <c r="C826" s="26"/>
      <c r="D826" s="2"/>
      <c r="E826" s="25"/>
      <c r="F826" s="25"/>
      <c r="G826" s="25"/>
      <c r="H826" s="26"/>
      <c r="I826" s="26"/>
      <c r="J826" s="2"/>
      <c r="K826" s="25"/>
      <c r="L826" s="25"/>
      <c r="M826" s="25"/>
      <c r="N826" s="25"/>
      <c r="O826" s="25"/>
      <c r="P826" s="25"/>
    </row>
    <row r="827" spans="1:16" x14ac:dyDescent="0.25">
      <c r="A827">
        <v>800</v>
      </c>
      <c r="B827" s="25" t="s">
        <v>317</v>
      </c>
      <c r="C827" s="26">
        <v>0.39583333333333331</v>
      </c>
      <c r="D827" s="2">
        <v>46074</v>
      </c>
      <c r="E827" s="25" t="s">
        <v>91</v>
      </c>
      <c r="F827" s="25" t="s">
        <v>18</v>
      </c>
      <c r="G827" s="25" t="s">
        <v>1312</v>
      </c>
      <c r="H827" s="26"/>
      <c r="I827" s="26"/>
      <c r="J827" s="2"/>
      <c r="K827" s="25"/>
      <c r="L827" s="25"/>
      <c r="M827" s="25"/>
      <c r="N827" s="25"/>
      <c r="O827" s="25"/>
      <c r="P827" s="25" t="s">
        <v>33</v>
      </c>
    </row>
    <row r="828" spans="1:16" x14ac:dyDescent="0.25">
      <c r="B828" s="25"/>
      <c r="C828" s="26"/>
      <c r="D828" s="2"/>
      <c r="E828" s="25"/>
      <c r="F828" s="25"/>
      <c r="G828" s="25"/>
      <c r="H828" s="26"/>
      <c r="I828" s="26"/>
      <c r="J828" s="2"/>
      <c r="K828" s="25"/>
      <c r="L828" s="25"/>
      <c r="M828" s="25"/>
      <c r="N828" s="25"/>
      <c r="O828" s="25"/>
      <c r="P828" s="25"/>
    </row>
    <row r="829" spans="1:16" x14ac:dyDescent="0.25">
      <c r="A829" t="s">
        <v>0</v>
      </c>
      <c r="B829" s="25" t="s">
        <v>1</v>
      </c>
      <c r="C829" s="26"/>
      <c r="D829" s="2"/>
      <c r="E829" s="25" t="s">
        <v>4</v>
      </c>
      <c r="F829" s="25" t="s">
        <v>5</v>
      </c>
      <c r="G829" s="25" t="s">
        <v>6</v>
      </c>
      <c r="H829" s="26"/>
      <c r="I829" s="26"/>
      <c r="J829" s="2"/>
      <c r="K829" s="25" t="s">
        <v>10</v>
      </c>
      <c r="L829" s="25" t="s">
        <v>11</v>
      </c>
      <c r="M829" s="25" t="s">
        <v>12</v>
      </c>
      <c r="N829" s="25" t="s">
        <v>13</v>
      </c>
      <c r="O829" s="25" t="s">
        <v>14</v>
      </c>
      <c r="P829" s="25" t="s">
        <v>15</v>
      </c>
    </row>
    <row r="830" spans="1:16" x14ac:dyDescent="0.25">
      <c r="A830">
        <v>801</v>
      </c>
      <c r="B830" s="25"/>
      <c r="C830" s="26"/>
      <c r="D830" s="2"/>
      <c r="E830" s="25"/>
      <c r="F830" s="25"/>
      <c r="G830" s="25"/>
      <c r="H830" s="26"/>
      <c r="I830" s="26"/>
      <c r="J830" s="2"/>
      <c r="K830" s="25"/>
      <c r="L830" s="25"/>
      <c r="M830" s="25"/>
      <c r="N830" s="25"/>
      <c r="O830" s="25"/>
      <c r="P830" s="25"/>
    </row>
    <row r="831" spans="1:16" x14ac:dyDescent="0.25">
      <c r="A831">
        <v>802</v>
      </c>
      <c r="B831" s="25"/>
      <c r="C831" s="26"/>
      <c r="D831" s="2"/>
      <c r="E831" s="25"/>
      <c r="F831" s="25"/>
      <c r="G831" s="25"/>
      <c r="H831" s="26"/>
      <c r="I831" s="26"/>
      <c r="J831" s="2"/>
      <c r="K831" s="25"/>
      <c r="L831" s="25"/>
      <c r="M831" s="25"/>
      <c r="N831" s="25"/>
      <c r="O831" s="25"/>
      <c r="P831" s="25"/>
    </row>
    <row r="832" spans="1:16" x14ac:dyDescent="0.25">
      <c r="A832">
        <v>803</v>
      </c>
      <c r="B832" s="25"/>
      <c r="C832" s="26"/>
      <c r="D832" s="2"/>
      <c r="E832" s="25"/>
      <c r="F832" s="25"/>
      <c r="G832" s="25"/>
      <c r="H832" s="26"/>
      <c r="I832" s="26"/>
      <c r="J832" s="2"/>
      <c r="K832" s="25"/>
      <c r="L832" s="25"/>
      <c r="M832" s="25"/>
      <c r="N832" s="25"/>
      <c r="O832" s="25"/>
      <c r="P832" s="25"/>
    </row>
    <row r="833" spans="1:16" x14ac:dyDescent="0.25">
      <c r="A833">
        <v>804</v>
      </c>
      <c r="B833" s="25"/>
      <c r="C833" s="26"/>
      <c r="D833" s="2"/>
      <c r="E833" s="25"/>
      <c r="F833" s="25"/>
      <c r="G833" s="25"/>
      <c r="H833" s="26"/>
      <c r="I833" s="26"/>
      <c r="J833" s="2"/>
      <c r="K833" s="25"/>
      <c r="L833" s="25"/>
      <c r="M833" s="25"/>
      <c r="N833" s="25"/>
      <c r="O833" s="25"/>
      <c r="P833" s="25"/>
    </row>
    <row r="834" spans="1:16" x14ac:dyDescent="0.25">
      <c r="A834">
        <v>805</v>
      </c>
      <c r="B834" s="25"/>
      <c r="C834" s="26"/>
      <c r="D834" s="2"/>
      <c r="E834" s="25"/>
      <c r="F834" s="25"/>
      <c r="G834" s="25"/>
      <c r="H834" s="26"/>
      <c r="I834" s="26"/>
      <c r="J834" s="2"/>
      <c r="K834" s="25"/>
      <c r="L834" s="25"/>
      <c r="M834" s="25"/>
      <c r="N834" s="25"/>
      <c r="O834" s="25"/>
      <c r="P834" s="25"/>
    </row>
    <row r="835" spans="1:16" x14ac:dyDescent="0.25">
      <c r="A835">
        <v>806</v>
      </c>
      <c r="B835" s="25"/>
      <c r="C835" s="26"/>
      <c r="D835" s="2"/>
      <c r="E835" s="25"/>
      <c r="F835" s="25"/>
      <c r="G835" s="25"/>
      <c r="H835" s="26"/>
      <c r="I835" s="26"/>
      <c r="J835" s="2"/>
      <c r="K835" s="25"/>
      <c r="L835" s="25"/>
      <c r="M835" s="25"/>
      <c r="N835" s="25"/>
      <c r="O835" s="25"/>
      <c r="P835" s="25"/>
    </row>
    <row r="836" spans="1:16" x14ac:dyDescent="0.25">
      <c r="A836">
        <v>807</v>
      </c>
      <c r="B836" s="25"/>
      <c r="C836" s="26"/>
      <c r="D836" s="2"/>
      <c r="E836" s="25"/>
      <c r="F836" s="25"/>
      <c r="G836" s="25"/>
      <c r="H836" s="26"/>
      <c r="I836" s="26"/>
      <c r="J836" s="2"/>
      <c r="K836" s="25"/>
      <c r="L836" s="25"/>
      <c r="M836" s="25"/>
      <c r="N836" s="25"/>
      <c r="O836" s="25"/>
      <c r="P836" s="25"/>
    </row>
    <row r="837" spans="1:16" x14ac:dyDescent="0.25">
      <c r="A837">
        <v>808</v>
      </c>
      <c r="B837" s="25"/>
      <c r="C837" s="26"/>
      <c r="D837" s="2"/>
      <c r="E837" s="25"/>
      <c r="F837" s="25"/>
      <c r="G837" s="25"/>
      <c r="H837" s="26"/>
      <c r="I837" s="26"/>
      <c r="J837" s="2"/>
      <c r="K837" s="25"/>
      <c r="L837" s="25"/>
      <c r="M837" s="25"/>
      <c r="N837" s="25"/>
      <c r="O837" s="25"/>
      <c r="P837" s="25"/>
    </row>
    <row r="838" spans="1:16" x14ac:dyDescent="0.25">
      <c r="A838">
        <v>809</v>
      </c>
      <c r="B838" s="25"/>
      <c r="C838" s="26"/>
      <c r="D838" s="2"/>
      <c r="E838" s="25"/>
      <c r="F838" s="25"/>
      <c r="G838" s="25"/>
      <c r="H838" s="26"/>
      <c r="I838" s="26"/>
      <c r="J838" s="2"/>
      <c r="K838" s="25"/>
      <c r="L838" s="25"/>
      <c r="M838" s="25"/>
      <c r="N838" s="25"/>
      <c r="O838" s="25"/>
      <c r="P838" s="25"/>
    </row>
    <row r="839" spans="1:16" x14ac:dyDescent="0.25">
      <c r="A839">
        <v>810</v>
      </c>
      <c r="B839" s="25"/>
      <c r="C839" s="26"/>
      <c r="D839" s="2"/>
      <c r="E839" s="25"/>
      <c r="F839" s="25"/>
      <c r="G839" s="25"/>
      <c r="H839" s="26"/>
      <c r="I839" s="26"/>
      <c r="J839" s="2"/>
      <c r="K839" s="25"/>
      <c r="L839" s="25"/>
      <c r="M839" s="25"/>
      <c r="N839" s="25"/>
      <c r="O839" s="25"/>
      <c r="P839" s="25"/>
    </row>
    <row r="840" spans="1:16" x14ac:dyDescent="0.25">
      <c r="A840">
        <v>811</v>
      </c>
      <c r="B840" s="25"/>
      <c r="C840" s="26"/>
      <c r="D840" s="2"/>
      <c r="E840" s="25"/>
      <c r="F840" s="25"/>
      <c r="G840" s="25"/>
      <c r="H840" s="26"/>
      <c r="I840" s="26"/>
      <c r="J840" s="2"/>
      <c r="K840" s="25"/>
      <c r="L840" s="25"/>
      <c r="M840" s="25"/>
      <c r="N840" s="25"/>
      <c r="O840" s="25"/>
      <c r="P840" s="25"/>
    </row>
    <row r="841" spans="1:16" x14ac:dyDescent="0.25">
      <c r="A841">
        <v>812</v>
      </c>
      <c r="B841" s="25"/>
      <c r="C841" s="26"/>
      <c r="D841" s="2"/>
      <c r="E841" s="25"/>
      <c r="F841" s="25"/>
      <c r="G841" s="25"/>
      <c r="H841" s="26"/>
      <c r="I841" s="26"/>
      <c r="J841" s="2"/>
      <c r="K841" s="25"/>
      <c r="L841" s="25"/>
      <c r="M841" s="25"/>
      <c r="N841" s="25"/>
      <c r="O841" s="25"/>
      <c r="P841" s="25"/>
    </row>
    <row r="842" spans="1:16" x14ac:dyDescent="0.25">
      <c r="A842">
        <v>813</v>
      </c>
      <c r="B842" s="25"/>
      <c r="C842" s="26"/>
      <c r="D842" s="2"/>
      <c r="E842" s="25"/>
      <c r="F842" s="25"/>
      <c r="G842" s="25"/>
      <c r="H842" s="26"/>
      <c r="I842" s="26"/>
      <c r="J842" s="2"/>
      <c r="K842" s="25"/>
      <c r="L842" s="25"/>
      <c r="M842" s="25"/>
      <c r="N842" s="25"/>
      <c r="O842" s="25"/>
      <c r="P842" s="25"/>
    </row>
    <row r="843" spans="1:16" x14ac:dyDescent="0.25">
      <c r="A843">
        <v>814</v>
      </c>
      <c r="B843" s="25"/>
      <c r="C843" s="26"/>
      <c r="D843" s="2"/>
      <c r="E843" s="25"/>
      <c r="F843" s="25"/>
      <c r="G843" s="25"/>
      <c r="H843" s="26"/>
      <c r="I843" s="26"/>
      <c r="J843" s="2"/>
      <c r="K843" s="25"/>
      <c r="L843" s="25"/>
      <c r="M843" s="25"/>
      <c r="N843" s="25"/>
      <c r="O843" s="25"/>
      <c r="P843" s="25"/>
    </row>
    <row r="844" spans="1:16" x14ac:dyDescent="0.25">
      <c r="A844">
        <v>815</v>
      </c>
      <c r="B844" s="25"/>
      <c r="C844" s="26"/>
      <c r="D844" s="2"/>
      <c r="E844" s="25"/>
      <c r="F844" s="25"/>
      <c r="G844" s="25"/>
      <c r="H844" s="26"/>
      <c r="I844" s="26"/>
      <c r="J844" s="2"/>
      <c r="K844" s="25"/>
      <c r="L844" s="25"/>
      <c r="M844" s="25"/>
      <c r="N844" s="25"/>
      <c r="O844" s="25"/>
      <c r="P844" s="25"/>
    </row>
    <row r="845" spans="1:16" x14ac:dyDescent="0.25">
      <c r="A845">
        <v>816</v>
      </c>
      <c r="B845" s="25"/>
      <c r="C845" s="26"/>
      <c r="D845" s="2"/>
      <c r="E845" s="25"/>
      <c r="F845" s="25"/>
      <c r="G845" s="25"/>
      <c r="H845" s="26"/>
      <c r="I845" s="26"/>
      <c r="J845" s="2"/>
      <c r="K845" s="25"/>
      <c r="L845" s="25"/>
      <c r="M845" s="25"/>
      <c r="N845" s="25"/>
      <c r="O845" s="25"/>
      <c r="P845" s="25"/>
    </row>
    <row r="846" spans="1:16" x14ac:dyDescent="0.25">
      <c r="A846">
        <v>817</v>
      </c>
      <c r="B846" s="25"/>
      <c r="C846" s="26"/>
      <c r="D846" s="2"/>
      <c r="E846" s="25"/>
      <c r="F846" s="25"/>
      <c r="G846" s="25"/>
      <c r="H846" s="26"/>
      <c r="I846" s="26"/>
      <c r="J846" s="2"/>
      <c r="K846" s="25"/>
      <c r="L846" s="25"/>
      <c r="M846" s="25"/>
      <c r="N846" s="25"/>
      <c r="O846" s="25"/>
      <c r="P846" s="25"/>
    </row>
    <row r="847" spans="1:16" x14ac:dyDescent="0.25">
      <c r="A847">
        <v>818</v>
      </c>
      <c r="B847" s="25"/>
      <c r="C847" s="26"/>
      <c r="D847" s="2"/>
      <c r="E847" s="25"/>
      <c r="F847" s="25"/>
      <c r="G847" s="25"/>
      <c r="H847" s="26"/>
      <c r="I847" s="26"/>
      <c r="J847" s="2"/>
      <c r="K847" s="25"/>
      <c r="L847" s="25"/>
      <c r="M847" s="25"/>
      <c r="N847" s="25"/>
      <c r="O847" s="25"/>
      <c r="P847" s="25"/>
    </row>
    <row r="848" spans="1:16" x14ac:dyDescent="0.25">
      <c r="A848">
        <v>819</v>
      </c>
      <c r="B848" s="25"/>
      <c r="C848" s="26"/>
      <c r="D848" s="2"/>
      <c r="E848" s="25"/>
      <c r="F848" s="25"/>
      <c r="G848" s="25"/>
      <c r="H848" s="26"/>
      <c r="I848" s="26"/>
      <c r="J848" s="2"/>
      <c r="K848" s="25"/>
      <c r="L848" s="25"/>
      <c r="M848" s="25"/>
      <c r="N848" s="25"/>
      <c r="O848" s="25"/>
      <c r="P848" s="25"/>
    </row>
    <row r="849" spans="1:16" x14ac:dyDescent="0.25">
      <c r="A849">
        <v>820</v>
      </c>
      <c r="B849" s="25"/>
      <c r="C849" s="26"/>
      <c r="D849" s="2"/>
      <c r="E849" s="25"/>
      <c r="F849" s="25"/>
      <c r="G849" s="25"/>
      <c r="H849" s="26"/>
      <c r="I849" s="26"/>
      <c r="J849" s="2"/>
      <c r="K849" s="25"/>
      <c r="L849" s="25"/>
      <c r="M849" s="25"/>
      <c r="N849" s="25"/>
      <c r="O849" s="25"/>
      <c r="P849" s="25"/>
    </row>
    <row r="850" spans="1:16" x14ac:dyDescent="0.25">
      <c r="A850">
        <v>821</v>
      </c>
      <c r="B850" s="25"/>
      <c r="C850" s="26"/>
      <c r="D850" s="2"/>
      <c r="E850" s="25"/>
      <c r="F850" s="25"/>
      <c r="G850" s="25"/>
      <c r="H850" s="26"/>
      <c r="I850" s="26"/>
      <c r="J850" s="2"/>
      <c r="K850" s="25"/>
      <c r="L850" s="25"/>
      <c r="M850" s="25"/>
      <c r="N850" s="25"/>
      <c r="O850" s="25"/>
      <c r="P850" s="25"/>
    </row>
    <row r="851" spans="1:16" x14ac:dyDescent="0.25">
      <c r="A851">
        <v>822</v>
      </c>
      <c r="B851" s="25"/>
      <c r="C851" s="26"/>
      <c r="D851" s="2"/>
      <c r="E851" s="25"/>
      <c r="F851" s="25"/>
      <c r="G851" s="25"/>
      <c r="H851" s="26"/>
      <c r="I851" s="26"/>
      <c r="J851" s="2"/>
      <c r="K851" s="25"/>
      <c r="L851" s="25"/>
      <c r="M851" s="25"/>
      <c r="N851" s="25"/>
      <c r="O851" s="25"/>
      <c r="P851" s="25"/>
    </row>
    <row r="852" spans="1:16" x14ac:dyDescent="0.25">
      <c r="A852">
        <v>823</v>
      </c>
      <c r="B852" s="25"/>
      <c r="C852" s="26"/>
      <c r="D852" s="2"/>
      <c r="E852" s="25"/>
      <c r="F852" s="25"/>
      <c r="G852" s="25"/>
      <c r="H852" s="26"/>
      <c r="I852" s="26"/>
      <c r="J852" s="2"/>
      <c r="K852" s="25"/>
      <c r="L852" s="25"/>
      <c r="M852" s="25"/>
      <c r="N852" s="25"/>
      <c r="O852" s="25"/>
      <c r="P852" s="25"/>
    </row>
    <row r="853" spans="1:16" x14ac:dyDescent="0.25">
      <c r="A853">
        <v>824</v>
      </c>
      <c r="B853" s="25"/>
      <c r="C853" s="26"/>
      <c r="D853" s="2"/>
      <c r="E853" s="25"/>
      <c r="F853" s="25"/>
      <c r="G853" s="25"/>
      <c r="H853" s="26"/>
      <c r="I853" s="26"/>
      <c r="J853" s="2"/>
      <c r="K853" s="25"/>
      <c r="L853" s="25"/>
      <c r="M853" s="25"/>
      <c r="N853" s="25"/>
      <c r="O853" s="25"/>
      <c r="P853" s="25"/>
    </row>
    <row r="854" spans="1:16" x14ac:dyDescent="0.25">
      <c r="A854">
        <v>825</v>
      </c>
      <c r="B854" s="25"/>
      <c r="C854" s="26"/>
      <c r="D854" s="2"/>
      <c r="E854" s="25"/>
      <c r="F854" s="25"/>
      <c r="G854" s="25"/>
      <c r="H854" s="26"/>
      <c r="I854" s="26"/>
      <c r="J854" s="2"/>
      <c r="K854" s="25"/>
      <c r="L854" s="25"/>
      <c r="M854" s="25"/>
      <c r="N854" s="25"/>
      <c r="O854" s="25"/>
      <c r="P854" s="25"/>
    </row>
    <row r="855" spans="1:16" x14ac:dyDescent="0.25">
      <c r="A855">
        <v>826</v>
      </c>
      <c r="B855" s="25"/>
      <c r="C855" s="26"/>
      <c r="D855" s="2"/>
      <c r="E855" s="25"/>
      <c r="F855" s="25"/>
      <c r="G855" s="25"/>
      <c r="H855" s="26"/>
      <c r="I855" s="26"/>
      <c r="J855" s="2"/>
      <c r="K855" s="25"/>
      <c r="L855" s="25"/>
      <c r="M855" s="25"/>
      <c r="N855" s="25"/>
      <c r="O855" s="25"/>
      <c r="P855" s="25"/>
    </row>
    <row r="856" spans="1:16" x14ac:dyDescent="0.25">
      <c r="A856">
        <v>827</v>
      </c>
      <c r="B856" s="25"/>
      <c r="C856" s="26"/>
      <c r="D856" s="2"/>
      <c r="E856" s="25"/>
      <c r="F856" s="25"/>
      <c r="G856" s="25"/>
      <c r="H856" s="26"/>
      <c r="I856" s="26"/>
      <c r="J856" s="2"/>
      <c r="K856" s="25"/>
      <c r="L856" s="25"/>
      <c r="M856" s="25"/>
      <c r="N856" s="25"/>
      <c r="O856" s="25"/>
      <c r="P856" s="25"/>
    </row>
    <row r="857" spans="1:16" x14ac:dyDescent="0.25">
      <c r="A857">
        <v>828</v>
      </c>
      <c r="B857" s="25"/>
      <c r="C857" s="26"/>
      <c r="D857" s="2"/>
      <c r="E857" s="25"/>
      <c r="F857" s="25"/>
      <c r="G857" s="25"/>
      <c r="H857" s="26"/>
      <c r="I857" s="26"/>
      <c r="J857" s="2"/>
      <c r="K857" s="25"/>
      <c r="L857" s="25"/>
      <c r="M857" s="25"/>
      <c r="N857" s="25"/>
      <c r="O857" s="25"/>
      <c r="P857" s="25"/>
    </row>
    <row r="858" spans="1:16" x14ac:dyDescent="0.25">
      <c r="A858">
        <v>829</v>
      </c>
      <c r="B858" s="25"/>
      <c r="C858" s="26"/>
      <c r="D858" s="2"/>
      <c r="E858" s="25"/>
      <c r="F858" s="25"/>
      <c r="G858" s="25"/>
      <c r="H858" s="26"/>
      <c r="I858" s="26"/>
      <c r="J858" s="2"/>
      <c r="K858" s="25"/>
      <c r="L858" s="25"/>
      <c r="M858" s="25"/>
      <c r="N858" s="25"/>
      <c r="O858" s="25"/>
      <c r="P858" s="25"/>
    </row>
    <row r="859" spans="1:16" x14ac:dyDescent="0.25">
      <c r="A859">
        <v>830</v>
      </c>
      <c r="B859" s="25"/>
      <c r="C859" s="26"/>
      <c r="D859" s="2"/>
      <c r="E859" s="25"/>
      <c r="F859" s="25"/>
      <c r="G859" s="25"/>
      <c r="H859" s="26"/>
      <c r="I859" s="26"/>
      <c r="J859" s="2"/>
      <c r="K859" s="25"/>
      <c r="L859" s="25"/>
      <c r="M859" s="25"/>
      <c r="N859" s="25"/>
      <c r="O859" s="25"/>
      <c r="P859" s="25"/>
    </row>
    <row r="860" spans="1:16" x14ac:dyDescent="0.25">
      <c r="A860">
        <v>831</v>
      </c>
      <c r="B860" s="25"/>
      <c r="C860" s="26"/>
      <c r="D860" s="2"/>
      <c r="E860" s="25"/>
      <c r="F860" s="25"/>
      <c r="G860" s="25"/>
      <c r="H860" s="26"/>
      <c r="I860" s="26"/>
      <c r="J860" s="2"/>
      <c r="K860" s="25"/>
      <c r="L860" s="25"/>
      <c r="M860" s="25"/>
      <c r="N860" s="25"/>
      <c r="O860" s="25"/>
      <c r="P860" s="25"/>
    </row>
    <row r="861" spans="1:16" x14ac:dyDescent="0.25">
      <c r="A861">
        <v>832</v>
      </c>
      <c r="B861" s="25"/>
      <c r="C861" s="26"/>
      <c r="D861" s="2"/>
      <c r="E861" s="25"/>
      <c r="F861" s="25"/>
      <c r="G861" s="25"/>
      <c r="H861" s="26"/>
      <c r="I861" s="26"/>
      <c r="J861" s="2"/>
      <c r="K861" s="25"/>
      <c r="L861" s="25"/>
      <c r="M861" s="25"/>
      <c r="N861" s="25"/>
      <c r="O861" s="25"/>
      <c r="P861" s="25"/>
    </row>
    <row r="862" spans="1:16" x14ac:dyDescent="0.25">
      <c r="A862">
        <v>833</v>
      </c>
      <c r="B862" s="25"/>
      <c r="C862" s="26"/>
      <c r="D862" s="2"/>
      <c r="E862" s="25"/>
      <c r="F862" s="25"/>
      <c r="G862" s="25"/>
      <c r="H862" s="26"/>
      <c r="I862" s="26"/>
      <c r="J862" s="2"/>
      <c r="K862" s="25"/>
      <c r="L862" s="25"/>
      <c r="M862" s="25"/>
      <c r="N862" s="25"/>
      <c r="O862" s="25"/>
      <c r="P862" s="25"/>
    </row>
    <row r="863" spans="1:16" x14ac:dyDescent="0.25">
      <c r="A863">
        <v>834</v>
      </c>
      <c r="B863" s="25"/>
      <c r="C863" s="26"/>
      <c r="D863" s="2"/>
      <c r="E863" s="25"/>
      <c r="F863" s="25"/>
      <c r="G863" s="25"/>
      <c r="H863" s="26"/>
      <c r="I863" s="26"/>
      <c r="J863" s="2"/>
      <c r="K863" s="25"/>
      <c r="L863" s="25"/>
      <c r="M863" s="25"/>
      <c r="N863" s="25"/>
      <c r="O863" s="25"/>
      <c r="P863" s="25"/>
    </row>
    <row r="864" spans="1:16" x14ac:dyDescent="0.25">
      <c r="A864">
        <v>835</v>
      </c>
      <c r="B864" s="25"/>
      <c r="C864" s="26"/>
      <c r="D864" s="2"/>
      <c r="E864" s="25"/>
      <c r="F864" s="25"/>
      <c r="G864" s="25"/>
      <c r="H864" s="26"/>
      <c r="I864" s="26"/>
      <c r="J864" s="2"/>
      <c r="K864" s="25"/>
      <c r="L864" s="25"/>
      <c r="M864" s="25"/>
      <c r="N864" s="25"/>
      <c r="O864" s="25"/>
      <c r="P864" s="25"/>
    </row>
    <row r="865" spans="1:16" x14ac:dyDescent="0.25">
      <c r="A865">
        <v>836</v>
      </c>
      <c r="B865" s="25"/>
      <c r="C865" s="26"/>
      <c r="D865" s="2"/>
      <c r="E865" s="25"/>
      <c r="F865" s="25"/>
      <c r="G865" s="25"/>
      <c r="H865" s="26"/>
      <c r="I865" s="26"/>
      <c r="J865" s="2"/>
      <c r="K865" s="25"/>
      <c r="L865" s="25"/>
      <c r="M865" s="25"/>
      <c r="N865" s="25"/>
      <c r="O865" s="25"/>
      <c r="P865" s="25"/>
    </row>
    <row r="866" spans="1:16" x14ac:dyDescent="0.25">
      <c r="A866">
        <v>837</v>
      </c>
      <c r="B866" s="25"/>
      <c r="C866" s="26"/>
      <c r="D866" s="2"/>
      <c r="E866" s="25"/>
      <c r="F866" s="25"/>
      <c r="G866" s="25"/>
      <c r="H866" s="26"/>
      <c r="I866" s="26"/>
      <c r="J866" s="2"/>
      <c r="K866" s="25"/>
      <c r="L866" s="25"/>
      <c r="M866" s="25"/>
      <c r="N866" s="25"/>
      <c r="O866" s="25"/>
      <c r="P866" s="25"/>
    </row>
    <row r="867" spans="1:16" x14ac:dyDescent="0.25">
      <c r="A867">
        <v>838</v>
      </c>
      <c r="B867" s="25"/>
      <c r="C867" s="26"/>
      <c r="D867" s="2"/>
      <c r="E867" s="25"/>
      <c r="F867" s="25"/>
      <c r="G867" s="25"/>
      <c r="H867" s="26"/>
      <c r="I867" s="26"/>
      <c r="J867" s="2"/>
      <c r="K867" s="25"/>
      <c r="L867" s="25"/>
      <c r="M867" s="25"/>
      <c r="N867" s="25"/>
      <c r="O867" s="25"/>
      <c r="P867" s="25"/>
    </row>
    <row r="868" spans="1:16" x14ac:dyDescent="0.25">
      <c r="A868">
        <v>839</v>
      </c>
      <c r="B868" s="25"/>
      <c r="C868" s="26"/>
      <c r="D868" s="2"/>
      <c r="E868" s="25"/>
      <c r="F868" s="25"/>
      <c r="G868" s="25"/>
      <c r="H868" s="26"/>
      <c r="I868" s="26"/>
      <c r="J868" s="2"/>
      <c r="K868" s="25"/>
      <c r="L868" s="25"/>
      <c r="M868" s="25"/>
      <c r="N868" s="25"/>
      <c r="O868" s="25"/>
      <c r="P868" s="25"/>
    </row>
    <row r="869" spans="1:16" x14ac:dyDescent="0.25">
      <c r="A869">
        <v>840</v>
      </c>
      <c r="B869" s="25"/>
      <c r="C869" s="26"/>
      <c r="D869" s="2"/>
      <c r="E869" s="25"/>
      <c r="F869" s="25"/>
      <c r="G869" s="25"/>
      <c r="H869" s="26"/>
      <c r="I869" s="26"/>
      <c r="J869" s="2"/>
      <c r="K869" s="25"/>
      <c r="L869" s="25"/>
      <c r="M869" s="25"/>
      <c r="N869" s="25"/>
      <c r="O869" s="25"/>
      <c r="P869" s="25"/>
    </row>
    <row r="870" spans="1:16" x14ac:dyDescent="0.25">
      <c r="A870">
        <v>841</v>
      </c>
      <c r="B870" s="25"/>
      <c r="C870" s="26"/>
      <c r="D870" s="2"/>
      <c r="E870" s="25"/>
      <c r="F870" s="25"/>
      <c r="G870" s="25"/>
      <c r="H870" s="26"/>
      <c r="I870" s="26"/>
      <c r="J870" s="2"/>
      <c r="K870" s="25"/>
      <c r="L870" s="25"/>
      <c r="M870" s="25"/>
      <c r="N870" s="25"/>
      <c r="O870" s="25"/>
      <c r="P870" s="25"/>
    </row>
    <row r="871" spans="1:16" x14ac:dyDescent="0.25">
      <c r="A871">
        <v>842</v>
      </c>
      <c r="B871" s="25"/>
      <c r="C871" s="26"/>
      <c r="D871" s="2"/>
      <c r="E871" s="25"/>
      <c r="F871" s="25"/>
      <c r="G871" s="25"/>
      <c r="H871" s="26"/>
      <c r="I871" s="26"/>
      <c r="J871" s="2"/>
      <c r="K871" s="25"/>
      <c r="L871" s="25"/>
      <c r="M871" s="25"/>
      <c r="N871" s="25"/>
      <c r="O871" s="25"/>
      <c r="P871" s="25"/>
    </row>
    <row r="872" spans="1:16" x14ac:dyDescent="0.25">
      <c r="A872">
        <v>843</v>
      </c>
      <c r="B872" s="25"/>
      <c r="C872" s="26"/>
      <c r="D872" s="2"/>
      <c r="E872" s="25"/>
      <c r="F872" s="25"/>
      <c r="G872" s="25"/>
      <c r="H872" s="26"/>
      <c r="I872" s="26"/>
      <c r="J872" s="2"/>
      <c r="K872" s="25"/>
      <c r="L872" s="25"/>
      <c r="M872" s="25"/>
      <c r="N872" s="25"/>
      <c r="O872" s="25"/>
      <c r="P872" s="25"/>
    </row>
    <row r="873" spans="1:16" x14ac:dyDescent="0.25">
      <c r="A873">
        <v>844</v>
      </c>
      <c r="B873" s="25"/>
      <c r="C873" s="26"/>
      <c r="D873" s="2"/>
      <c r="E873" s="25"/>
      <c r="F873" s="25"/>
      <c r="G873" s="25"/>
      <c r="H873" s="26"/>
      <c r="I873" s="26"/>
      <c r="J873" s="2"/>
      <c r="K873" s="25"/>
      <c r="L873" s="25"/>
      <c r="M873" s="25"/>
      <c r="N873" s="25"/>
      <c r="O873" s="25"/>
      <c r="P873" s="25"/>
    </row>
    <row r="874" spans="1:16" x14ac:dyDescent="0.25">
      <c r="A874">
        <v>845</v>
      </c>
      <c r="B874" s="25"/>
      <c r="C874" s="26"/>
      <c r="D874" s="2"/>
      <c r="E874" s="25"/>
      <c r="F874" s="25"/>
      <c r="G874" s="25"/>
      <c r="H874" s="26"/>
      <c r="I874" s="26"/>
      <c r="J874" s="2"/>
      <c r="K874" s="25"/>
      <c r="L874" s="25"/>
      <c r="M874" s="25"/>
      <c r="N874" s="25"/>
      <c r="O874" s="25"/>
      <c r="P874" s="25"/>
    </row>
    <row r="875" spans="1:16" x14ac:dyDescent="0.25">
      <c r="A875">
        <v>846</v>
      </c>
      <c r="B875" s="25"/>
      <c r="C875" s="26"/>
      <c r="D875" s="2"/>
      <c r="E875" s="25"/>
      <c r="F875" s="25"/>
      <c r="G875" s="25"/>
      <c r="H875" s="26"/>
      <c r="I875" s="26"/>
      <c r="J875" s="2"/>
      <c r="K875" s="25"/>
      <c r="L875" s="25"/>
      <c r="M875" s="25"/>
      <c r="N875" s="25"/>
      <c r="O875" s="25"/>
      <c r="P875" s="25"/>
    </row>
    <row r="876" spans="1:16" x14ac:dyDescent="0.25">
      <c r="A876">
        <v>847</v>
      </c>
      <c r="B876" s="25"/>
      <c r="C876" s="26"/>
      <c r="D876" s="2"/>
      <c r="E876" s="25"/>
      <c r="F876" s="25"/>
      <c r="G876" s="25"/>
      <c r="H876" s="26"/>
      <c r="I876" s="26"/>
      <c r="J876" s="2"/>
      <c r="K876" s="25"/>
      <c r="L876" s="25"/>
      <c r="M876" s="25"/>
      <c r="N876" s="25"/>
      <c r="O876" s="25"/>
      <c r="P876" s="25"/>
    </row>
    <row r="877" spans="1:16" x14ac:dyDescent="0.25">
      <c r="A877">
        <v>848</v>
      </c>
      <c r="B877" s="25"/>
      <c r="C877" s="26"/>
      <c r="D877" s="2"/>
      <c r="E877" s="25"/>
      <c r="F877" s="25"/>
      <c r="G877" s="25"/>
      <c r="H877" s="26"/>
      <c r="I877" s="26"/>
      <c r="J877" s="2"/>
      <c r="K877" s="25"/>
      <c r="L877" s="25"/>
      <c r="M877" s="25"/>
      <c r="N877" s="25"/>
      <c r="O877" s="25"/>
      <c r="P877" s="25"/>
    </row>
    <row r="878" spans="1:16" x14ac:dyDescent="0.25">
      <c r="A878">
        <v>849</v>
      </c>
      <c r="B878" s="25"/>
      <c r="C878" s="26"/>
      <c r="D878" s="2"/>
      <c r="E878" s="25"/>
      <c r="F878" s="25"/>
      <c r="G878" s="25"/>
      <c r="H878" s="26"/>
      <c r="I878" s="26"/>
      <c r="J878" s="2"/>
      <c r="K878" s="25"/>
      <c r="L878" s="25"/>
      <c r="M878" s="25"/>
      <c r="N878" s="25"/>
      <c r="O878" s="25"/>
      <c r="P878" s="25"/>
    </row>
    <row r="879" spans="1:16" x14ac:dyDescent="0.25">
      <c r="A879">
        <v>850</v>
      </c>
      <c r="B879" s="25"/>
      <c r="C879" s="26"/>
      <c r="D879" s="2"/>
      <c r="E879" s="25"/>
      <c r="F879" s="25"/>
      <c r="G879" s="25"/>
      <c r="H879" s="26"/>
      <c r="I879" s="26"/>
      <c r="J879" s="2"/>
      <c r="K879" s="25"/>
      <c r="L879" s="25"/>
      <c r="M879" s="25"/>
      <c r="N879" s="25"/>
      <c r="O879" s="25"/>
      <c r="P879" s="25"/>
    </row>
    <row r="880" spans="1:16" x14ac:dyDescent="0.25">
      <c r="A880">
        <v>851</v>
      </c>
      <c r="B880" s="25"/>
      <c r="C880" s="26"/>
      <c r="D880" s="2"/>
      <c r="E880" s="25"/>
      <c r="F880" s="25"/>
      <c r="G880" s="25"/>
      <c r="H880" s="26"/>
      <c r="I880" s="26"/>
      <c r="J880" s="2"/>
      <c r="K880" s="25"/>
      <c r="L880" s="25"/>
      <c r="M880" s="25"/>
      <c r="N880" s="25"/>
      <c r="O880" s="25"/>
      <c r="P880" s="25"/>
    </row>
    <row r="881" spans="1:16" x14ac:dyDescent="0.25">
      <c r="A881">
        <v>852</v>
      </c>
      <c r="B881" s="25"/>
      <c r="C881" s="26"/>
      <c r="D881" s="2"/>
      <c r="E881" s="25"/>
      <c r="F881" s="25"/>
      <c r="G881" s="25"/>
      <c r="H881" s="26"/>
      <c r="I881" s="26"/>
      <c r="J881" s="2"/>
      <c r="K881" s="25"/>
      <c r="L881" s="25"/>
      <c r="M881" s="25"/>
      <c r="N881" s="25"/>
      <c r="O881" s="25"/>
      <c r="P881" s="25"/>
    </row>
    <row r="882" spans="1:16" x14ac:dyDescent="0.25">
      <c r="A882">
        <v>853</v>
      </c>
      <c r="B882" s="25"/>
      <c r="C882" s="26"/>
      <c r="D882" s="2"/>
      <c r="E882" s="25"/>
      <c r="F882" s="25"/>
      <c r="G882" s="25"/>
      <c r="H882" s="26"/>
      <c r="I882" s="26"/>
      <c r="J882" s="2"/>
      <c r="K882" s="25"/>
      <c r="L882" s="25"/>
      <c r="M882" s="25"/>
      <c r="N882" s="25"/>
      <c r="O882" s="25"/>
      <c r="P882" s="25"/>
    </row>
    <row r="883" spans="1:16" x14ac:dyDescent="0.25">
      <c r="A883">
        <v>854</v>
      </c>
      <c r="B883" s="25"/>
      <c r="C883" s="26"/>
      <c r="D883" s="2"/>
      <c r="E883" s="25"/>
      <c r="F883" s="25"/>
      <c r="G883" s="25"/>
      <c r="H883" s="26"/>
      <c r="I883" s="26"/>
      <c r="J883" s="2"/>
      <c r="K883" s="25"/>
      <c r="L883" s="25"/>
      <c r="M883" s="25"/>
      <c r="N883" s="25"/>
      <c r="O883" s="25"/>
      <c r="P883" s="25"/>
    </row>
    <row r="884" spans="1:16" x14ac:dyDescent="0.25">
      <c r="A884">
        <v>855</v>
      </c>
      <c r="B884" s="25"/>
      <c r="C884" s="26"/>
      <c r="D884" s="2"/>
      <c r="E884" s="25"/>
      <c r="F884" s="25"/>
      <c r="G884" s="25"/>
      <c r="H884" s="26"/>
      <c r="I884" s="26"/>
      <c r="J884" s="2"/>
      <c r="K884" s="25"/>
      <c r="L884" s="25"/>
      <c r="M884" s="25"/>
      <c r="N884" s="25"/>
      <c r="O884" s="25"/>
      <c r="P884" s="25"/>
    </row>
    <row r="885" spans="1:16" x14ac:dyDescent="0.25">
      <c r="A885">
        <v>856</v>
      </c>
      <c r="B885" s="25"/>
      <c r="C885" s="26"/>
      <c r="D885" s="2"/>
      <c r="E885" s="25"/>
      <c r="F885" s="25"/>
      <c r="G885" s="25"/>
      <c r="H885" s="26"/>
      <c r="I885" s="26"/>
      <c r="J885" s="2"/>
      <c r="K885" s="25"/>
      <c r="L885" s="25"/>
      <c r="M885" s="25"/>
      <c r="N885" s="25"/>
      <c r="O885" s="25"/>
      <c r="P885" s="25"/>
    </row>
    <row r="886" spans="1:16" x14ac:dyDescent="0.25">
      <c r="A886">
        <v>857</v>
      </c>
      <c r="B886" s="25"/>
      <c r="C886" s="26"/>
      <c r="D886" s="2"/>
      <c r="E886" s="25"/>
      <c r="F886" s="25"/>
      <c r="G886" s="25"/>
      <c r="H886" s="26"/>
      <c r="I886" s="26"/>
      <c r="J886" s="2"/>
      <c r="K886" s="25"/>
      <c r="L886" s="25"/>
      <c r="M886" s="25"/>
      <c r="N886" s="25"/>
      <c r="O886" s="25"/>
      <c r="P886" s="25"/>
    </row>
    <row r="887" spans="1:16" x14ac:dyDescent="0.25">
      <c r="A887">
        <v>858</v>
      </c>
      <c r="B887" s="25"/>
      <c r="C887" s="26"/>
      <c r="D887" s="2"/>
      <c r="E887" s="25"/>
      <c r="F887" s="25"/>
      <c r="G887" s="25"/>
      <c r="H887" s="26"/>
      <c r="I887" s="26"/>
      <c r="J887" s="2"/>
      <c r="K887" s="25"/>
      <c r="L887" s="25"/>
      <c r="M887" s="25"/>
      <c r="N887" s="25"/>
      <c r="O887" s="25"/>
      <c r="P887" s="25"/>
    </row>
    <row r="888" spans="1:16" x14ac:dyDescent="0.25">
      <c r="A888">
        <v>859</v>
      </c>
      <c r="B888" s="25"/>
      <c r="C888" s="26"/>
      <c r="D888" s="2"/>
      <c r="E888" s="25"/>
      <c r="F888" s="25"/>
      <c r="G888" s="25"/>
      <c r="H888" s="26"/>
      <c r="I888" s="26"/>
      <c r="J888" s="2"/>
      <c r="K888" s="25"/>
      <c r="L888" s="25"/>
      <c r="M888" s="25"/>
      <c r="N888" s="25"/>
      <c r="O888" s="25"/>
      <c r="P888" s="25"/>
    </row>
    <row r="889" spans="1:16" x14ac:dyDescent="0.25">
      <c r="A889">
        <v>860</v>
      </c>
      <c r="B889" s="25"/>
      <c r="C889" s="26"/>
      <c r="D889" s="2"/>
      <c r="E889" s="25"/>
      <c r="F889" s="25"/>
      <c r="G889" s="25"/>
      <c r="H889" s="26"/>
      <c r="I889" s="26"/>
      <c r="J889" s="2"/>
      <c r="K889" s="25"/>
      <c r="L889" s="25"/>
      <c r="M889" s="25"/>
      <c r="N889" s="25"/>
      <c r="O889" s="25"/>
      <c r="P889" s="25"/>
    </row>
    <row r="890" spans="1:16" x14ac:dyDescent="0.25">
      <c r="A890">
        <v>861</v>
      </c>
      <c r="B890" s="25"/>
      <c r="C890" s="26"/>
      <c r="D890" s="2"/>
      <c r="E890" s="25"/>
      <c r="F890" s="25"/>
      <c r="G890" s="25"/>
      <c r="H890" s="26"/>
      <c r="I890" s="26"/>
      <c r="J890" s="2"/>
      <c r="K890" s="25"/>
      <c r="L890" s="25"/>
      <c r="M890" s="25"/>
      <c r="N890" s="25"/>
      <c r="O890" s="25"/>
      <c r="P890" s="25"/>
    </row>
    <row r="891" spans="1:16" x14ac:dyDescent="0.25">
      <c r="A891">
        <v>862</v>
      </c>
      <c r="B891" s="25"/>
      <c r="C891" s="26"/>
      <c r="D891" s="2"/>
      <c r="E891" s="25"/>
      <c r="F891" s="25"/>
      <c r="G891" s="25"/>
      <c r="H891" s="26"/>
      <c r="I891" s="26"/>
      <c r="J891" s="2"/>
      <c r="K891" s="25"/>
      <c r="L891" s="25"/>
      <c r="M891" s="25"/>
      <c r="N891" s="25"/>
      <c r="O891" s="25"/>
      <c r="P891" s="25"/>
    </row>
    <row r="892" spans="1:16" x14ac:dyDescent="0.25">
      <c r="A892">
        <v>863</v>
      </c>
      <c r="B892" s="25"/>
      <c r="C892" s="26"/>
      <c r="D892" s="2"/>
      <c r="E892" s="25"/>
      <c r="F892" s="25"/>
      <c r="G892" s="25"/>
      <c r="H892" s="26"/>
      <c r="I892" s="26"/>
      <c r="J892" s="2"/>
      <c r="K892" s="25"/>
      <c r="L892" s="25"/>
      <c r="M892" s="25"/>
      <c r="N892" s="25"/>
      <c r="O892" s="25"/>
      <c r="P892" s="25"/>
    </row>
    <row r="893" spans="1:16" x14ac:dyDescent="0.25">
      <c r="A893">
        <v>864</v>
      </c>
      <c r="B893" s="25"/>
      <c r="C893" s="26"/>
      <c r="D893" s="2"/>
      <c r="E893" s="25"/>
      <c r="F893" s="25"/>
      <c r="G893" s="25"/>
      <c r="H893" s="26"/>
      <c r="I893" s="26"/>
      <c r="J893" s="2"/>
      <c r="K893" s="25"/>
      <c r="L893" s="25"/>
      <c r="M893" s="25"/>
      <c r="N893" s="25"/>
      <c r="O893" s="25"/>
      <c r="P893" s="25"/>
    </row>
    <row r="894" spans="1:16" x14ac:dyDescent="0.25">
      <c r="A894">
        <v>865</v>
      </c>
      <c r="B894" s="25"/>
      <c r="C894" s="26"/>
      <c r="D894" s="2"/>
      <c r="E894" s="25"/>
      <c r="F894" s="25"/>
      <c r="G894" s="25"/>
      <c r="H894" s="26"/>
      <c r="I894" s="26"/>
      <c r="J894" s="2"/>
      <c r="K894" s="25"/>
      <c r="L894" s="25"/>
      <c r="M894" s="25"/>
      <c r="N894" s="25"/>
      <c r="O894" s="25"/>
      <c r="P894" s="25"/>
    </row>
    <row r="895" spans="1:16" x14ac:dyDescent="0.25">
      <c r="A895">
        <v>866</v>
      </c>
      <c r="B895" s="25"/>
      <c r="C895" s="26"/>
      <c r="D895" s="2"/>
      <c r="E895" s="25"/>
      <c r="F895" s="25"/>
      <c r="G895" s="25"/>
      <c r="H895" s="26"/>
      <c r="I895" s="26"/>
      <c r="J895" s="2"/>
      <c r="K895" s="25"/>
      <c r="L895" s="25"/>
      <c r="M895" s="25"/>
      <c r="N895" s="25"/>
      <c r="O895" s="25"/>
      <c r="P895" s="25"/>
    </row>
    <row r="896" spans="1:16" x14ac:dyDescent="0.25">
      <c r="A896">
        <v>867</v>
      </c>
      <c r="B896" s="25"/>
      <c r="C896" s="26"/>
      <c r="D896" s="2"/>
      <c r="E896" s="25"/>
      <c r="F896" s="25"/>
      <c r="G896" s="25"/>
      <c r="H896" s="26"/>
      <c r="I896" s="26"/>
      <c r="J896" s="2"/>
      <c r="K896" s="25"/>
      <c r="L896" s="25"/>
      <c r="M896" s="25"/>
      <c r="N896" s="25"/>
      <c r="O896" s="25"/>
      <c r="P896" s="25"/>
    </row>
    <row r="897" spans="1:16" x14ac:dyDescent="0.25">
      <c r="A897">
        <v>868</v>
      </c>
      <c r="B897" s="25"/>
      <c r="C897" s="26"/>
      <c r="D897" s="2"/>
      <c r="E897" s="25"/>
      <c r="F897" s="25"/>
      <c r="G897" s="25"/>
      <c r="H897" s="26"/>
      <c r="I897" s="26"/>
      <c r="J897" s="2"/>
      <c r="K897" s="25"/>
      <c r="L897" s="25"/>
      <c r="M897" s="25"/>
      <c r="N897" s="25"/>
      <c r="O897" s="25"/>
      <c r="P897" s="25"/>
    </row>
    <row r="898" spans="1:16" x14ac:dyDescent="0.25">
      <c r="A898">
        <v>869</v>
      </c>
      <c r="B898" s="25"/>
      <c r="C898" s="26"/>
      <c r="D898" s="2"/>
      <c r="E898" s="25"/>
      <c r="F898" s="25"/>
      <c r="G898" s="25"/>
      <c r="H898" s="26"/>
      <c r="I898" s="26"/>
      <c r="J898" s="2"/>
      <c r="K898" s="25"/>
      <c r="L898" s="25"/>
      <c r="M898" s="25"/>
      <c r="N898" s="25"/>
      <c r="O898" s="25"/>
      <c r="P898" s="25"/>
    </row>
    <row r="899" spans="1:16" x14ac:dyDescent="0.25">
      <c r="A899">
        <v>870</v>
      </c>
      <c r="B899" s="25"/>
      <c r="C899" s="26"/>
      <c r="D899" s="2"/>
      <c r="E899" s="25"/>
      <c r="F899" s="25"/>
      <c r="G899" s="25"/>
      <c r="H899" s="26"/>
      <c r="I899" s="26"/>
      <c r="J899" s="2"/>
      <c r="K899" s="25"/>
      <c r="L899" s="25"/>
      <c r="M899" s="25"/>
      <c r="N899" s="25"/>
      <c r="O899" s="25"/>
      <c r="P899" s="25"/>
    </row>
    <row r="900" spans="1:16" x14ac:dyDescent="0.25">
      <c r="A900">
        <v>871</v>
      </c>
      <c r="B900" s="25"/>
      <c r="C900" s="26"/>
      <c r="D900" s="2"/>
      <c r="E900" s="25"/>
      <c r="F900" s="25"/>
      <c r="G900" s="25"/>
      <c r="H900" s="26"/>
      <c r="I900" s="26"/>
      <c r="J900" s="2"/>
      <c r="K900" s="25"/>
      <c r="L900" s="25"/>
      <c r="M900" s="25"/>
      <c r="N900" s="25"/>
      <c r="O900" s="25"/>
      <c r="P900" s="25"/>
    </row>
    <row r="901" spans="1:16" x14ac:dyDescent="0.25">
      <c r="A901">
        <v>872</v>
      </c>
      <c r="B901" s="25"/>
      <c r="C901" s="26"/>
      <c r="D901" s="2"/>
      <c r="E901" s="25"/>
      <c r="F901" s="25"/>
      <c r="G901" s="25"/>
      <c r="H901" s="26"/>
      <c r="I901" s="26"/>
      <c r="J901" s="2"/>
      <c r="K901" s="25"/>
      <c r="L901" s="25"/>
      <c r="M901" s="25"/>
      <c r="N901" s="25"/>
      <c r="O901" s="25"/>
      <c r="P901" s="25"/>
    </row>
    <row r="902" spans="1:16" x14ac:dyDescent="0.25">
      <c r="A902">
        <v>873</v>
      </c>
      <c r="B902" s="25"/>
      <c r="C902" s="26"/>
      <c r="D902" s="2"/>
      <c r="E902" s="25"/>
      <c r="F902" s="25"/>
      <c r="G902" s="25"/>
      <c r="H902" s="26"/>
      <c r="I902" s="26"/>
      <c r="J902" s="2"/>
      <c r="K902" s="25"/>
      <c r="L902" s="25"/>
      <c r="M902" s="25"/>
      <c r="N902" s="25"/>
      <c r="O902" s="25"/>
      <c r="P902" s="25"/>
    </row>
    <row r="903" spans="1:16" x14ac:dyDescent="0.25">
      <c r="A903">
        <v>874</v>
      </c>
      <c r="B903" s="25"/>
      <c r="C903" s="26"/>
      <c r="D903" s="2"/>
      <c r="E903" s="25"/>
      <c r="F903" s="25"/>
      <c r="G903" s="25"/>
      <c r="H903" s="26"/>
      <c r="I903" s="26"/>
      <c r="J903" s="2"/>
      <c r="K903" s="25"/>
      <c r="L903" s="25"/>
      <c r="M903" s="25"/>
      <c r="N903" s="25"/>
      <c r="O903" s="25"/>
      <c r="P903" s="25"/>
    </row>
    <row r="904" spans="1:16" x14ac:dyDescent="0.25">
      <c r="A904">
        <v>875</v>
      </c>
      <c r="B904" s="25"/>
      <c r="C904" s="26"/>
      <c r="D904" s="2"/>
      <c r="E904" s="25"/>
      <c r="F904" s="25"/>
      <c r="G904" s="25"/>
      <c r="H904" s="26"/>
      <c r="I904" s="26"/>
      <c r="J904" s="2"/>
      <c r="K904" s="25"/>
      <c r="L904" s="25"/>
      <c r="M904" s="25"/>
      <c r="N904" s="25"/>
      <c r="O904" s="25"/>
      <c r="P904" s="25"/>
    </row>
    <row r="905" spans="1:16" x14ac:dyDescent="0.25">
      <c r="A905">
        <v>876</v>
      </c>
      <c r="B905" s="25"/>
      <c r="C905" s="26"/>
      <c r="D905" s="2"/>
      <c r="E905" s="25"/>
      <c r="F905" s="25"/>
      <c r="G905" s="25"/>
      <c r="H905" s="26"/>
      <c r="I905" s="26"/>
      <c r="J905" s="2"/>
      <c r="K905" s="25"/>
      <c r="L905" s="25"/>
      <c r="M905" s="25"/>
      <c r="N905" s="25"/>
      <c r="O905" s="25"/>
      <c r="P905" s="25"/>
    </row>
    <row r="906" spans="1:16" x14ac:dyDescent="0.25">
      <c r="A906">
        <v>877</v>
      </c>
      <c r="B906" s="25"/>
      <c r="C906" s="26"/>
      <c r="D906" s="2"/>
      <c r="E906" s="25"/>
      <c r="F906" s="25"/>
      <c r="G906" s="25"/>
      <c r="H906" s="26"/>
      <c r="I906" s="26"/>
      <c r="J906" s="2"/>
      <c r="K906" s="25"/>
      <c r="L906" s="25"/>
      <c r="M906" s="25"/>
      <c r="N906" s="25"/>
      <c r="O906" s="25"/>
      <c r="P906" s="25"/>
    </row>
    <row r="907" spans="1:16" x14ac:dyDescent="0.25">
      <c r="A907">
        <v>878</v>
      </c>
      <c r="B907" s="25"/>
      <c r="C907" s="26"/>
      <c r="D907" s="2"/>
      <c r="E907" s="25"/>
      <c r="F907" s="25"/>
      <c r="G907" s="25"/>
      <c r="H907" s="26"/>
      <c r="I907" s="26"/>
      <c r="J907" s="2"/>
      <c r="K907" s="25"/>
      <c r="L907" s="25"/>
      <c r="M907" s="25"/>
      <c r="N907" s="25"/>
      <c r="O907" s="25"/>
      <c r="P907" s="25"/>
    </row>
    <row r="908" spans="1:16" x14ac:dyDescent="0.25">
      <c r="A908">
        <v>879</v>
      </c>
      <c r="B908" s="25"/>
      <c r="C908" s="26"/>
      <c r="D908" s="2"/>
      <c r="E908" s="25"/>
      <c r="F908" s="25"/>
      <c r="G908" s="25"/>
      <c r="H908" s="26"/>
      <c r="I908" s="26"/>
      <c r="J908" s="2"/>
      <c r="K908" s="25"/>
      <c r="L908" s="25"/>
      <c r="M908" s="25"/>
      <c r="N908" s="25"/>
      <c r="O908" s="25"/>
      <c r="P908" s="25"/>
    </row>
    <row r="909" spans="1:16" x14ac:dyDescent="0.25">
      <c r="A909">
        <v>880</v>
      </c>
      <c r="B909" s="25"/>
      <c r="C909" s="26"/>
      <c r="D909" s="2"/>
      <c r="E909" s="25"/>
      <c r="F909" s="25"/>
      <c r="G909" s="25"/>
      <c r="H909" s="26"/>
      <c r="I909" s="26"/>
      <c r="J909" s="2"/>
      <c r="K909" s="25"/>
      <c r="L909" s="25"/>
      <c r="M909" s="25"/>
      <c r="N909" s="25"/>
      <c r="O909" s="25"/>
      <c r="P909" s="25"/>
    </row>
    <row r="910" spans="1:16" x14ac:dyDescent="0.25">
      <c r="A910">
        <v>881</v>
      </c>
      <c r="B910" s="25"/>
      <c r="C910" s="26"/>
      <c r="D910" s="2"/>
      <c r="E910" s="25"/>
      <c r="F910" s="25"/>
      <c r="G910" s="25"/>
      <c r="H910" s="26"/>
      <c r="I910" s="26"/>
      <c r="J910" s="2"/>
      <c r="K910" s="25"/>
      <c r="L910" s="25"/>
      <c r="M910" s="25"/>
      <c r="N910" s="25"/>
      <c r="O910" s="25"/>
      <c r="P910" s="25"/>
    </row>
    <row r="911" spans="1:16" x14ac:dyDescent="0.25">
      <c r="A911">
        <v>882</v>
      </c>
      <c r="B911" s="25"/>
      <c r="C911" s="26"/>
      <c r="D911" s="2"/>
      <c r="E911" s="25"/>
      <c r="F911" s="25"/>
      <c r="G911" s="25"/>
      <c r="H911" s="26"/>
      <c r="I911" s="26"/>
      <c r="J911" s="2"/>
      <c r="K911" s="25"/>
      <c r="L911" s="25"/>
      <c r="M911" s="25"/>
      <c r="N911" s="25"/>
      <c r="O911" s="25"/>
      <c r="P911" s="25"/>
    </row>
    <row r="912" spans="1:16" x14ac:dyDescent="0.25">
      <c r="A912">
        <v>883</v>
      </c>
      <c r="B912" s="25"/>
      <c r="C912" s="26"/>
      <c r="D912" s="2"/>
      <c r="E912" s="25"/>
      <c r="F912" s="25"/>
      <c r="G912" s="25"/>
      <c r="H912" s="26"/>
      <c r="I912" s="26"/>
      <c r="J912" s="2"/>
      <c r="K912" s="25"/>
      <c r="L912" s="25"/>
      <c r="M912" s="25"/>
      <c r="N912" s="25"/>
      <c r="O912" s="25"/>
      <c r="P912" s="25"/>
    </row>
    <row r="913" spans="1:16" x14ac:dyDescent="0.25">
      <c r="A913">
        <v>884</v>
      </c>
      <c r="B913" s="25"/>
      <c r="C913" s="26"/>
      <c r="D913" s="2"/>
      <c r="E913" s="25"/>
      <c r="F913" s="25"/>
      <c r="G913" s="25"/>
      <c r="H913" s="26"/>
      <c r="I913" s="26"/>
      <c r="J913" s="2"/>
      <c r="K913" s="25"/>
      <c r="L913" s="25"/>
      <c r="M913" s="25"/>
      <c r="N913" s="25"/>
      <c r="O913" s="25"/>
      <c r="P913" s="25"/>
    </row>
    <row r="914" spans="1:16" x14ac:dyDescent="0.25">
      <c r="A914">
        <v>885</v>
      </c>
      <c r="B914" s="25"/>
      <c r="C914" s="26"/>
      <c r="D914" s="2"/>
      <c r="E914" s="25"/>
      <c r="F914" s="25"/>
      <c r="G914" s="25"/>
      <c r="H914" s="26"/>
      <c r="I914" s="26"/>
      <c r="J914" s="2"/>
      <c r="K914" s="25"/>
      <c r="L914" s="25"/>
      <c r="M914" s="25"/>
      <c r="N914" s="25"/>
      <c r="O914" s="25"/>
      <c r="P914" s="25"/>
    </row>
    <row r="915" spans="1:16" x14ac:dyDescent="0.25">
      <c r="A915">
        <v>886</v>
      </c>
      <c r="B915" s="25"/>
      <c r="C915" s="26"/>
      <c r="D915" s="2"/>
      <c r="E915" s="25"/>
      <c r="F915" s="25"/>
      <c r="G915" s="25"/>
      <c r="H915" s="26"/>
      <c r="I915" s="26"/>
      <c r="J915" s="2"/>
      <c r="K915" s="25"/>
      <c r="L915" s="25"/>
      <c r="M915" s="25"/>
      <c r="N915" s="25"/>
      <c r="O915" s="25"/>
      <c r="P915" s="25"/>
    </row>
    <row r="916" spans="1:16" x14ac:dyDescent="0.25">
      <c r="A916">
        <v>887</v>
      </c>
      <c r="B916" s="25"/>
      <c r="C916" s="26"/>
      <c r="D916" s="2"/>
      <c r="E916" s="25"/>
      <c r="F916" s="25"/>
      <c r="G916" s="25"/>
      <c r="H916" s="26"/>
      <c r="I916" s="26"/>
      <c r="J916" s="2"/>
      <c r="K916" s="25"/>
      <c r="L916" s="25"/>
      <c r="M916" s="25"/>
      <c r="N916" s="25"/>
      <c r="O916" s="25"/>
      <c r="P916" s="25"/>
    </row>
    <row r="917" spans="1:16" x14ac:dyDescent="0.25">
      <c r="A917">
        <v>888</v>
      </c>
      <c r="B917" s="25"/>
      <c r="C917" s="26"/>
      <c r="D917" s="2"/>
      <c r="E917" s="25"/>
      <c r="F917" s="25"/>
      <c r="G917" s="25"/>
      <c r="H917" s="26"/>
      <c r="I917" s="26"/>
      <c r="J917" s="2"/>
      <c r="K917" s="25"/>
      <c r="L917" s="25"/>
      <c r="M917" s="25"/>
      <c r="N917" s="25"/>
      <c r="O917" s="25"/>
      <c r="P917" s="25"/>
    </row>
    <row r="918" spans="1:16" x14ac:dyDescent="0.25">
      <c r="A918">
        <v>889</v>
      </c>
      <c r="B918" s="25"/>
      <c r="C918" s="26"/>
      <c r="D918" s="2"/>
      <c r="E918" s="25"/>
      <c r="F918" s="25"/>
      <c r="G918" s="25"/>
      <c r="H918" s="26"/>
      <c r="I918" s="26"/>
      <c r="J918" s="2"/>
      <c r="K918" s="25"/>
      <c r="L918" s="25"/>
      <c r="M918" s="25"/>
      <c r="N918" s="25"/>
      <c r="O918" s="25"/>
      <c r="P918" s="25"/>
    </row>
    <row r="919" spans="1:16" x14ac:dyDescent="0.25">
      <c r="A919">
        <v>890</v>
      </c>
      <c r="B919" s="25"/>
      <c r="C919" s="26"/>
      <c r="D919" s="2"/>
      <c r="E919" s="25"/>
      <c r="F919" s="25"/>
      <c r="G919" s="25"/>
      <c r="H919" s="26"/>
      <c r="I919" s="26"/>
      <c r="J919" s="2"/>
      <c r="K919" s="25"/>
      <c r="L919" s="25"/>
      <c r="M919" s="25"/>
      <c r="N919" s="25"/>
      <c r="O919" s="25"/>
      <c r="P919" s="25"/>
    </row>
    <row r="920" spans="1:16" x14ac:dyDescent="0.25">
      <c r="A920">
        <v>891</v>
      </c>
      <c r="B920" s="25"/>
      <c r="C920" s="26"/>
      <c r="D920" s="2"/>
      <c r="E920" s="25"/>
      <c r="F920" s="25"/>
      <c r="G920" s="25"/>
      <c r="H920" s="26"/>
      <c r="I920" s="26"/>
      <c r="J920" s="2"/>
      <c r="K920" s="25"/>
      <c r="L920" s="25"/>
      <c r="M920" s="25"/>
      <c r="N920" s="25"/>
      <c r="O920" s="25"/>
      <c r="P920" s="25"/>
    </row>
    <row r="921" spans="1:16" x14ac:dyDescent="0.25">
      <c r="A921">
        <v>892</v>
      </c>
      <c r="B921" s="25"/>
      <c r="C921" s="26"/>
      <c r="D921" s="2"/>
      <c r="E921" s="25"/>
      <c r="F921" s="25"/>
      <c r="G921" s="25"/>
      <c r="H921" s="26"/>
      <c r="I921" s="26"/>
      <c r="J921" s="2"/>
      <c r="K921" s="25"/>
      <c r="L921" s="25"/>
      <c r="M921" s="25"/>
      <c r="N921" s="25"/>
      <c r="O921" s="25"/>
      <c r="P921" s="25"/>
    </row>
    <row r="922" spans="1:16" x14ac:dyDescent="0.25">
      <c r="A922">
        <v>893</v>
      </c>
      <c r="B922" s="25"/>
      <c r="C922" s="26"/>
      <c r="D922" s="2"/>
      <c r="E922" s="25"/>
      <c r="F922" s="25"/>
      <c r="G922" s="25"/>
      <c r="H922" s="26"/>
      <c r="I922" s="26"/>
      <c r="J922" s="2"/>
      <c r="K922" s="25"/>
      <c r="L922" s="25"/>
      <c r="M922" s="25"/>
      <c r="N922" s="25"/>
      <c r="O922" s="25"/>
      <c r="P922" s="25"/>
    </row>
    <row r="923" spans="1:16" x14ac:dyDescent="0.25">
      <c r="A923">
        <v>894</v>
      </c>
      <c r="B923" s="25"/>
      <c r="C923" s="26"/>
      <c r="D923" s="2"/>
      <c r="E923" s="25"/>
      <c r="F923" s="25"/>
      <c r="G923" s="25"/>
      <c r="H923" s="26"/>
      <c r="I923" s="26"/>
      <c r="J923" s="2"/>
      <c r="K923" s="25"/>
      <c r="L923" s="25"/>
      <c r="M923" s="25"/>
      <c r="N923" s="25"/>
      <c r="O923" s="25"/>
      <c r="P923" s="25"/>
    </row>
    <row r="924" spans="1:16" x14ac:dyDescent="0.25">
      <c r="A924">
        <v>895</v>
      </c>
      <c r="B924" s="25"/>
      <c r="C924" s="26"/>
      <c r="D924" s="2"/>
      <c r="E924" s="25"/>
      <c r="F924" s="25"/>
      <c r="G924" s="25"/>
      <c r="H924" s="26"/>
      <c r="I924" s="26"/>
      <c r="J924" s="2"/>
      <c r="K924" s="25"/>
      <c r="L924" s="25"/>
      <c r="M924" s="25"/>
      <c r="N924" s="25"/>
      <c r="O924" s="25"/>
      <c r="P924" s="25"/>
    </row>
    <row r="925" spans="1:16" x14ac:dyDescent="0.25">
      <c r="A925">
        <v>896</v>
      </c>
      <c r="B925" s="25"/>
      <c r="C925" s="26"/>
      <c r="D925" s="2"/>
      <c r="E925" s="25"/>
      <c r="F925" s="25"/>
      <c r="G925" s="25"/>
      <c r="H925" s="26"/>
      <c r="I925" s="26"/>
      <c r="J925" s="2"/>
      <c r="K925" s="25"/>
      <c r="L925" s="25"/>
      <c r="M925" s="25"/>
      <c r="N925" s="25"/>
      <c r="O925" s="25"/>
      <c r="P925" s="25"/>
    </row>
    <row r="926" spans="1:16" x14ac:dyDescent="0.25">
      <c r="A926">
        <v>897</v>
      </c>
      <c r="B926" s="25"/>
      <c r="C926" s="26"/>
      <c r="D926" s="2"/>
      <c r="E926" s="25"/>
      <c r="F926" s="25"/>
      <c r="G926" s="25"/>
      <c r="H926" s="26"/>
      <c r="I926" s="26"/>
      <c r="J926" s="2"/>
      <c r="K926" s="25"/>
      <c r="L926" s="25"/>
      <c r="M926" s="25"/>
      <c r="N926" s="25"/>
      <c r="O926" s="25"/>
      <c r="P926" s="25"/>
    </row>
    <row r="927" spans="1:16" x14ac:dyDescent="0.25">
      <c r="A927">
        <v>898</v>
      </c>
      <c r="B927" s="25"/>
      <c r="C927" s="26"/>
      <c r="D927" s="2"/>
      <c r="E927" s="25"/>
      <c r="F927" s="25"/>
      <c r="G927" s="25"/>
      <c r="H927" s="26"/>
      <c r="I927" s="26"/>
      <c r="J927" s="2"/>
      <c r="K927" s="25"/>
      <c r="L927" s="25"/>
      <c r="M927" s="25"/>
      <c r="N927" s="25"/>
      <c r="O927" s="25"/>
      <c r="P927" s="25"/>
    </row>
    <row r="928" spans="1:16" x14ac:dyDescent="0.25">
      <c r="A928">
        <v>899</v>
      </c>
      <c r="B928" s="25"/>
      <c r="C928" s="26"/>
      <c r="D928" s="2"/>
      <c r="E928" s="25"/>
      <c r="F928" s="25"/>
      <c r="G928" s="25"/>
      <c r="H928" s="26"/>
      <c r="I928" s="26"/>
      <c r="J928" s="2"/>
      <c r="K928" s="25"/>
      <c r="L928" s="25"/>
      <c r="M928" s="25"/>
      <c r="N928" s="25"/>
      <c r="O928" s="25"/>
      <c r="P928" s="25"/>
    </row>
    <row r="929" spans="1:16" x14ac:dyDescent="0.25">
      <c r="A929">
        <v>900</v>
      </c>
      <c r="B929" s="25"/>
      <c r="C929" s="26"/>
      <c r="D929" s="2"/>
      <c r="E929" s="25"/>
      <c r="F929" s="25"/>
      <c r="G929" s="25"/>
      <c r="H929" s="26"/>
      <c r="I929" s="26"/>
      <c r="J929" s="2"/>
      <c r="K929" s="25"/>
      <c r="L929" s="25"/>
      <c r="M929" s="25"/>
      <c r="N929" s="25"/>
      <c r="O929" s="25"/>
      <c r="P929" s="25" t="s">
        <v>23</v>
      </c>
    </row>
    <row r="930" spans="1:16" x14ac:dyDescent="0.25">
      <c r="B930" s="25"/>
      <c r="C930" s="26"/>
      <c r="D930" s="2"/>
      <c r="E930" s="25"/>
      <c r="F930" s="25"/>
      <c r="G930" s="25"/>
      <c r="H930" s="26"/>
      <c r="I930" s="26"/>
      <c r="J930" s="2"/>
      <c r="K930" s="25"/>
      <c r="L930" s="25"/>
      <c r="M930" s="25"/>
      <c r="N930" s="25"/>
      <c r="O930" s="25"/>
      <c r="P930" s="25"/>
    </row>
    <row r="931" spans="1:16" x14ac:dyDescent="0.25">
      <c r="B931" s="25"/>
      <c r="C931" s="26"/>
      <c r="D931" s="2"/>
      <c r="E931" s="25"/>
      <c r="F931" s="25"/>
      <c r="G931" s="25"/>
      <c r="H931" s="26"/>
      <c r="I931" s="26"/>
      <c r="J931" s="2"/>
      <c r="K931" s="25"/>
      <c r="L931" s="25"/>
      <c r="M931" s="25"/>
      <c r="N931" s="25"/>
      <c r="O931" s="25"/>
      <c r="P931" s="25"/>
    </row>
    <row r="932" spans="1:16" x14ac:dyDescent="0.25">
      <c r="A932" t="s">
        <v>1313</v>
      </c>
      <c r="B932" s="25" t="s">
        <v>113</v>
      </c>
      <c r="C932" s="26">
        <v>0.86041666666666672</v>
      </c>
      <c r="D932" s="2">
        <v>46074</v>
      </c>
      <c r="E932" s="25" t="s">
        <v>91</v>
      </c>
      <c r="F932" s="25" t="s">
        <v>18</v>
      </c>
      <c r="G932" s="25" t="s">
        <v>1314</v>
      </c>
      <c r="H932" s="26">
        <v>0.86111111111111116</v>
      </c>
      <c r="I932" s="26">
        <v>0.92361111111111116</v>
      </c>
      <c r="J932" s="2">
        <v>46074</v>
      </c>
      <c r="K932" s="25" t="s">
        <v>20</v>
      </c>
      <c r="L932" s="25" t="s">
        <v>1315</v>
      </c>
      <c r="M932" s="25" t="s">
        <v>1316</v>
      </c>
      <c r="N932" s="25" t="s">
        <v>22</v>
      </c>
      <c r="O932" s="25" t="s">
        <v>44</v>
      </c>
      <c r="P932" s="25" t="s">
        <v>23</v>
      </c>
    </row>
    <row r="933" spans="1:16" x14ac:dyDescent="0.25">
      <c r="A933" t="s">
        <v>1317</v>
      </c>
      <c r="B933" s="25" t="s">
        <v>113</v>
      </c>
      <c r="C933" s="26">
        <v>0.94444444444444442</v>
      </c>
      <c r="D933" s="2">
        <v>46074</v>
      </c>
      <c r="E933" s="25" t="s">
        <v>91</v>
      </c>
      <c r="F933" s="25" t="s">
        <v>18</v>
      </c>
      <c r="G933" s="25" t="s">
        <v>1318</v>
      </c>
      <c r="H933" s="26">
        <v>0.94444444444444442</v>
      </c>
      <c r="I933" s="26">
        <v>0.95833333333333337</v>
      </c>
      <c r="J933" s="2">
        <v>46074</v>
      </c>
      <c r="K933" s="25" t="s">
        <v>25</v>
      </c>
      <c r="L933" s="25" t="s">
        <v>1319</v>
      </c>
      <c r="M933" s="25" t="s">
        <v>22</v>
      </c>
      <c r="N933" s="25" t="s">
        <v>22</v>
      </c>
      <c r="O933" s="25" t="s">
        <v>112</v>
      </c>
      <c r="P933" s="25" t="s">
        <v>23</v>
      </c>
    </row>
    <row r="934" spans="1:16" x14ac:dyDescent="0.25">
      <c r="A934" t="s">
        <v>1320</v>
      </c>
      <c r="B934" s="25" t="s">
        <v>113</v>
      </c>
      <c r="C934" s="26">
        <v>0.92361111111111116</v>
      </c>
      <c r="D934" s="2">
        <v>46074</v>
      </c>
      <c r="E934" s="25" t="s">
        <v>91</v>
      </c>
      <c r="F934" s="25" t="s">
        <v>18</v>
      </c>
      <c r="G934" s="25" t="s">
        <v>1321</v>
      </c>
      <c r="H934" s="26">
        <v>0.92361111111111116</v>
      </c>
      <c r="I934" s="26">
        <v>0.94444444444444442</v>
      </c>
      <c r="J934" s="2">
        <v>46074</v>
      </c>
      <c r="K934" s="25" t="s">
        <v>25</v>
      </c>
      <c r="L934" s="25" t="s">
        <v>1322</v>
      </c>
      <c r="M934" s="25" t="s">
        <v>22</v>
      </c>
      <c r="N934" s="25" t="s">
        <v>22</v>
      </c>
      <c r="O934" s="25" t="s">
        <v>112</v>
      </c>
      <c r="P934" s="25" t="s">
        <v>23</v>
      </c>
    </row>
    <row r="935" spans="1:16" x14ac:dyDescent="0.25">
      <c r="A935" t="s">
        <v>1323</v>
      </c>
      <c r="B935" s="25" t="s">
        <v>93</v>
      </c>
      <c r="C935" s="26">
        <v>0.96875</v>
      </c>
      <c r="D935" s="2">
        <v>46074</v>
      </c>
      <c r="E935" s="25" t="s">
        <v>116</v>
      </c>
      <c r="F935" s="25" t="s">
        <v>18</v>
      </c>
      <c r="G935" s="25" t="s">
        <v>1324</v>
      </c>
      <c r="H935" s="26">
        <v>0.96875</v>
      </c>
      <c r="I935" s="26">
        <v>0.11458333333333333</v>
      </c>
      <c r="J935" s="2">
        <v>46075</v>
      </c>
      <c r="K935" s="25" t="s">
        <v>25</v>
      </c>
      <c r="L935" s="25" t="s">
        <v>1325</v>
      </c>
      <c r="M935" s="25" t="s">
        <v>22</v>
      </c>
      <c r="N935" s="25" t="s">
        <v>22</v>
      </c>
      <c r="O935" s="25" t="s">
        <v>112</v>
      </c>
      <c r="P935" s="25" t="s">
        <v>23</v>
      </c>
    </row>
    <row r="936" spans="1:16" x14ac:dyDescent="0.25">
      <c r="A936" t="s">
        <v>1326</v>
      </c>
      <c r="B936" s="25"/>
      <c r="C936" s="26"/>
      <c r="D936" s="2"/>
      <c r="E936" s="25"/>
      <c r="F936" s="25"/>
      <c r="G936" s="25"/>
      <c r="H936" s="26"/>
      <c r="I936" s="26"/>
      <c r="J936" s="2"/>
      <c r="K936" s="25"/>
      <c r="L936" s="25"/>
      <c r="M936" s="25"/>
      <c r="N936" s="25"/>
      <c r="O936" s="25"/>
      <c r="P936" s="25"/>
    </row>
    <row r="937" spans="1:16" x14ac:dyDescent="0.25">
      <c r="A937" t="s">
        <v>1327</v>
      </c>
      <c r="B937" s="25" t="s">
        <v>526</v>
      </c>
      <c r="C937" s="26">
        <v>0.9375</v>
      </c>
      <c r="D937" s="2">
        <v>46075</v>
      </c>
      <c r="E937" s="25" t="s">
        <v>104</v>
      </c>
      <c r="F937" s="25" t="s">
        <v>18</v>
      </c>
      <c r="G937" s="25" t="s">
        <v>1328</v>
      </c>
      <c r="H937" s="26">
        <v>0.94097222222222221</v>
      </c>
      <c r="I937" s="26">
        <v>0.94791666666666663</v>
      </c>
      <c r="J937" s="2">
        <v>46075</v>
      </c>
      <c r="K937" s="25" t="s">
        <v>20</v>
      </c>
      <c r="L937" s="25" t="s">
        <v>1329</v>
      </c>
      <c r="M937" s="25" t="s">
        <v>22</v>
      </c>
      <c r="N937" s="25" t="s">
        <v>22</v>
      </c>
      <c r="O937" s="25" t="s">
        <v>112</v>
      </c>
      <c r="P937" s="25" t="s">
        <v>23</v>
      </c>
    </row>
    <row r="938" spans="1:16" x14ac:dyDescent="0.25">
      <c r="A938" t="s">
        <v>1330</v>
      </c>
      <c r="B938" s="25" t="s">
        <v>199</v>
      </c>
      <c r="C938" s="26">
        <v>0.75</v>
      </c>
      <c r="D938" s="2">
        <v>46075</v>
      </c>
      <c r="E938" s="25" t="s">
        <v>91</v>
      </c>
      <c r="F938" s="25" t="s">
        <v>18</v>
      </c>
      <c r="G938" s="25" t="s">
        <v>1331</v>
      </c>
      <c r="H938" s="26">
        <v>0.75</v>
      </c>
      <c r="I938" s="26">
        <v>0.77777777777777779</v>
      </c>
      <c r="J938" s="2">
        <v>46075</v>
      </c>
      <c r="K938" s="25" t="s">
        <v>20</v>
      </c>
      <c r="L938" s="25" t="s">
        <v>1332</v>
      </c>
      <c r="M938" s="25" t="s">
        <v>22</v>
      </c>
      <c r="N938" s="25" t="s">
        <v>22</v>
      </c>
      <c r="O938" s="25" t="s">
        <v>112</v>
      </c>
      <c r="P938" s="25" t="s">
        <v>23</v>
      </c>
    </row>
    <row r="939" spans="1:16" x14ac:dyDescent="0.25">
      <c r="A939" t="s">
        <v>1333</v>
      </c>
      <c r="B939" s="25" t="s">
        <v>16</v>
      </c>
      <c r="C939" s="26">
        <v>0.63888888888888884</v>
      </c>
      <c r="D939" s="2">
        <v>46003</v>
      </c>
      <c r="E939" s="25" t="s">
        <v>116</v>
      </c>
      <c r="F939" s="25" t="s">
        <v>18</v>
      </c>
      <c r="G939" s="25" t="s">
        <v>1334</v>
      </c>
      <c r="H939" s="26">
        <v>0.63888888888888884</v>
      </c>
      <c r="I939" s="26">
        <v>0.64930555555555558</v>
      </c>
      <c r="J939" s="2">
        <v>46003</v>
      </c>
      <c r="K939" s="25" t="s">
        <v>25</v>
      </c>
      <c r="L939" s="25" t="s">
        <v>1335</v>
      </c>
      <c r="M939" s="25" t="s">
        <v>1336</v>
      </c>
      <c r="N939" s="25" t="s">
        <v>22</v>
      </c>
      <c r="O939" s="25" t="s">
        <v>112</v>
      </c>
      <c r="P939" s="25" t="s">
        <v>23</v>
      </c>
    </row>
    <row r="940" spans="1:16" x14ac:dyDescent="0.25">
      <c r="A940" t="s">
        <v>1337</v>
      </c>
      <c r="B940" s="25" t="s">
        <v>279</v>
      </c>
      <c r="C940" s="26">
        <v>0.28472222222222221</v>
      </c>
      <c r="D940" s="2">
        <v>46006</v>
      </c>
      <c r="E940" s="25" t="s">
        <v>17</v>
      </c>
      <c r="F940" s="25" t="s">
        <v>18</v>
      </c>
      <c r="G940" s="25" t="s">
        <v>1338</v>
      </c>
      <c r="H940" s="26">
        <v>0.32291666666666669</v>
      </c>
      <c r="I940" s="26">
        <v>0.36458333333333331</v>
      </c>
      <c r="J940" s="2">
        <v>46006</v>
      </c>
      <c r="K940" s="25" t="s">
        <v>25</v>
      </c>
      <c r="L940" s="25" t="s">
        <v>1339</v>
      </c>
      <c r="M940" s="25" t="s">
        <v>1340</v>
      </c>
      <c r="N940" s="25" t="s">
        <v>22</v>
      </c>
      <c r="O940" s="25" t="s">
        <v>112</v>
      </c>
      <c r="P940" s="25" t="s">
        <v>23</v>
      </c>
    </row>
    <row r="941" spans="1:16" x14ac:dyDescent="0.25">
      <c r="A941" t="s">
        <v>1341</v>
      </c>
      <c r="B941" s="25" t="s">
        <v>279</v>
      </c>
      <c r="C941" s="26">
        <v>0.26041666666666669</v>
      </c>
      <c r="D941" s="2">
        <v>45986</v>
      </c>
      <c r="E941" s="25" t="s">
        <v>17</v>
      </c>
      <c r="F941" s="25" t="s">
        <v>18</v>
      </c>
      <c r="G941" s="25" t="s">
        <v>1342</v>
      </c>
      <c r="H941" s="26"/>
      <c r="I941" s="26"/>
      <c r="J941" s="2"/>
      <c r="K941" s="25"/>
      <c r="L941" s="25"/>
      <c r="M941" s="25"/>
      <c r="N941" s="25"/>
      <c r="O941" s="25"/>
      <c r="P941" s="25" t="s">
        <v>33</v>
      </c>
    </row>
    <row r="942" spans="1:16" x14ac:dyDescent="0.25">
      <c r="B942" s="25"/>
      <c r="C942" s="26"/>
      <c r="D942" s="2"/>
      <c r="E942" s="25"/>
      <c r="F942" s="25"/>
      <c r="G942" s="25"/>
      <c r="H942" s="26"/>
      <c r="I942" s="26"/>
      <c r="J942" s="2"/>
      <c r="K942" s="25"/>
      <c r="L942" s="25"/>
      <c r="M942" s="25"/>
      <c r="N942" s="25"/>
      <c r="O942" s="25"/>
      <c r="P942" s="25"/>
    </row>
    <row r="943" spans="1:16" x14ac:dyDescent="0.25">
      <c r="B943" s="25"/>
      <c r="C943" s="26"/>
      <c r="D943" s="2"/>
      <c r="E943" s="25"/>
      <c r="F943" s="25"/>
      <c r="G943" s="25"/>
      <c r="H943" s="26"/>
      <c r="I943" s="26"/>
      <c r="J943" s="2"/>
      <c r="K943" s="25"/>
      <c r="L943" s="25"/>
      <c r="M943" s="25"/>
      <c r="N943" s="25"/>
      <c r="O943" s="25"/>
      <c r="P943" s="25"/>
    </row>
    <row r="944" spans="1:16" x14ac:dyDescent="0.25">
      <c r="B944" s="25"/>
      <c r="C944" s="26"/>
      <c r="D944" s="2"/>
      <c r="E944" s="25"/>
      <c r="F944" s="25"/>
      <c r="G944" s="25"/>
      <c r="H944" s="26"/>
      <c r="I944" s="26"/>
      <c r="J944" s="2"/>
      <c r="K944" s="25"/>
      <c r="L944" s="25"/>
      <c r="M944" s="25"/>
      <c r="N944" s="25"/>
      <c r="O944" s="25"/>
      <c r="P944" s="25"/>
    </row>
    <row r="945" spans="1:16" x14ac:dyDescent="0.25">
      <c r="B945" s="25"/>
      <c r="C945" s="26"/>
      <c r="D945" s="2"/>
      <c r="E945" s="25"/>
      <c r="F945" s="25"/>
      <c r="G945" s="25"/>
      <c r="H945" s="26"/>
      <c r="I945" s="26"/>
      <c r="J945" s="2"/>
      <c r="K945" s="25"/>
      <c r="L945" s="25"/>
      <c r="M945" s="25"/>
      <c r="N945" s="25"/>
      <c r="O945" s="25"/>
      <c r="P945" s="25"/>
    </row>
    <row r="946" spans="1:16" x14ac:dyDescent="0.25">
      <c r="A946" t="s">
        <v>0</v>
      </c>
      <c r="B946" s="25" t="s">
        <v>1</v>
      </c>
      <c r="C946" s="26"/>
      <c r="D946" s="2"/>
      <c r="E946" s="25" t="s">
        <v>4</v>
      </c>
      <c r="F946" s="25" t="s">
        <v>5</v>
      </c>
      <c r="G946" s="25" t="s">
        <v>6</v>
      </c>
      <c r="H946" s="26"/>
      <c r="I946" s="26"/>
      <c r="J946" s="2"/>
      <c r="K946" s="25" t="s">
        <v>10</v>
      </c>
      <c r="L946" s="25" t="s">
        <v>11</v>
      </c>
      <c r="M946" s="25" t="s">
        <v>12</v>
      </c>
      <c r="N946" s="25" t="s">
        <v>13</v>
      </c>
      <c r="O946" s="25" t="s">
        <v>14</v>
      </c>
      <c r="P946" s="25" t="s">
        <v>15</v>
      </c>
    </row>
    <row r="947" spans="1:16" x14ac:dyDescent="0.25">
      <c r="A947">
        <v>901</v>
      </c>
      <c r="B947" s="25" t="s">
        <v>385</v>
      </c>
      <c r="C947" s="26">
        <v>0.61458333333333337</v>
      </c>
      <c r="D947" s="2">
        <v>46078</v>
      </c>
      <c r="E947" s="25" t="s">
        <v>109</v>
      </c>
      <c r="F947" s="25" t="s">
        <v>18</v>
      </c>
      <c r="G947" s="25" t="s">
        <v>1343</v>
      </c>
      <c r="H947" s="26">
        <v>0.61458333333333337</v>
      </c>
      <c r="I947" s="26">
        <v>0.74305555555555558</v>
      </c>
      <c r="J947" s="2">
        <v>46078</v>
      </c>
      <c r="K947" s="25" t="s">
        <v>775</v>
      </c>
      <c r="L947" s="25" t="s">
        <v>1344</v>
      </c>
      <c r="M947" s="25" t="s">
        <v>1345</v>
      </c>
      <c r="N947" s="25" t="s">
        <v>22</v>
      </c>
      <c r="O947" s="25" t="s">
        <v>108</v>
      </c>
      <c r="P947" s="25" t="s">
        <v>23</v>
      </c>
    </row>
    <row r="948" spans="1:16" x14ac:dyDescent="0.25">
      <c r="A948">
        <v>902</v>
      </c>
      <c r="B948" s="25"/>
      <c r="C948" s="26"/>
      <c r="D948" s="2"/>
      <c r="E948" s="25"/>
      <c r="F948" s="25"/>
      <c r="G948" s="25"/>
      <c r="H948" s="26"/>
      <c r="I948" s="26"/>
      <c r="J948" s="2"/>
      <c r="K948" s="25"/>
      <c r="L948" s="25"/>
      <c r="M948" s="25"/>
      <c r="N948" s="25"/>
      <c r="O948" s="25"/>
      <c r="P948" s="25"/>
    </row>
    <row r="949" spans="1:16" x14ac:dyDescent="0.25">
      <c r="A949">
        <v>903</v>
      </c>
      <c r="B949" s="25"/>
      <c r="C949" s="26">
        <v>0.4861111111111111</v>
      </c>
      <c r="D949" s="2">
        <v>46076</v>
      </c>
      <c r="E949" s="25" t="s">
        <v>104</v>
      </c>
      <c r="F949" s="25" t="s">
        <v>18</v>
      </c>
      <c r="G949" s="25" t="s">
        <v>1346</v>
      </c>
      <c r="H949" s="26"/>
      <c r="I949" s="26"/>
      <c r="J949" s="2"/>
      <c r="K949" s="25"/>
      <c r="L949" s="25"/>
      <c r="M949" s="25"/>
      <c r="N949" s="25"/>
      <c r="O949" s="25"/>
      <c r="P949" s="25" t="s">
        <v>33</v>
      </c>
    </row>
    <row r="950" spans="1:16" x14ac:dyDescent="0.25">
      <c r="A950">
        <v>904</v>
      </c>
      <c r="B950" s="25" t="s">
        <v>113</v>
      </c>
      <c r="C950" s="26">
        <v>0.625</v>
      </c>
      <c r="D950" s="2">
        <v>46076</v>
      </c>
      <c r="E950" s="25" t="s">
        <v>91</v>
      </c>
      <c r="F950" s="25" t="s">
        <v>18</v>
      </c>
      <c r="G950" s="25" t="s">
        <v>1347</v>
      </c>
      <c r="H950" s="26">
        <v>0.625</v>
      </c>
      <c r="I950" s="26">
        <v>0.63541666666666663</v>
      </c>
      <c r="J950" s="2">
        <v>46076</v>
      </c>
      <c r="K950" s="25" t="s">
        <v>25</v>
      </c>
      <c r="L950" s="25" t="s">
        <v>1348</v>
      </c>
      <c r="M950" s="25" t="s">
        <v>22</v>
      </c>
      <c r="N950" s="25" t="s">
        <v>1349</v>
      </c>
      <c r="O950" s="25" t="s">
        <v>44</v>
      </c>
      <c r="P950" s="25" t="s">
        <v>23</v>
      </c>
    </row>
    <row r="951" spans="1:16" x14ac:dyDescent="0.25">
      <c r="A951">
        <v>905</v>
      </c>
      <c r="B951" s="25"/>
      <c r="C951" s="26"/>
      <c r="D951" s="2"/>
      <c r="E951" s="25"/>
      <c r="F951" s="25"/>
      <c r="G951" s="25"/>
      <c r="H951" s="26"/>
      <c r="I951" s="26"/>
      <c r="J951" s="2"/>
      <c r="K951" s="25"/>
      <c r="L951" s="25"/>
      <c r="M951" s="25"/>
      <c r="N951" s="25"/>
      <c r="O951" s="25"/>
      <c r="P951" s="25"/>
    </row>
    <row r="952" spans="1:16" x14ac:dyDescent="0.25">
      <c r="A952">
        <v>906</v>
      </c>
      <c r="B952" s="25" t="s">
        <v>199</v>
      </c>
      <c r="C952" s="26">
        <v>0.25694444444444442</v>
      </c>
      <c r="D952" s="2">
        <v>46077</v>
      </c>
      <c r="E952" s="25" t="s">
        <v>91</v>
      </c>
      <c r="F952" s="25" t="s">
        <v>18</v>
      </c>
      <c r="G952" s="25" t="s">
        <v>1350</v>
      </c>
      <c r="H952" s="26"/>
      <c r="I952" s="26"/>
      <c r="J952" s="2"/>
      <c r="K952" s="25"/>
      <c r="L952" s="25"/>
      <c r="M952" s="25"/>
      <c r="N952" s="25"/>
      <c r="O952" s="25"/>
      <c r="P952" s="25" t="s">
        <v>33</v>
      </c>
    </row>
    <row r="953" spans="1:16" x14ac:dyDescent="0.25">
      <c r="A953">
        <v>907</v>
      </c>
      <c r="B953" s="25" t="s">
        <v>199</v>
      </c>
      <c r="C953" s="26">
        <v>0.25694444444444442</v>
      </c>
      <c r="D953" s="2">
        <v>46077</v>
      </c>
      <c r="E953" s="25" t="s">
        <v>91</v>
      </c>
      <c r="F953" s="25" t="s">
        <v>18</v>
      </c>
      <c r="G953" s="25" t="s">
        <v>1351</v>
      </c>
      <c r="H953" s="26"/>
      <c r="I953" s="26"/>
      <c r="J953" s="2"/>
      <c r="K953" s="25"/>
      <c r="L953" s="25"/>
      <c r="M953" s="25"/>
      <c r="N953" s="25"/>
      <c r="O953" s="25"/>
      <c r="P953" s="25" t="s">
        <v>33</v>
      </c>
    </row>
    <row r="954" spans="1:16" x14ac:dyDescent="0.25">
      <c r="A954">
        <v>908</v>
      </c>
      <c r="B954" s="25"/>
      <c r="C954" s="26"/>
      <c r="D954" s="2"/>
      <c r="E954" s="25"/>
      <c r="F954" s="25"/>
      <c r="G954" s="25"/>
      <c r="H954" s="26"/>
      <c r="I954" s="26"/>
      <c r="J954" s="2"/>
      <c r="K954" s="25"/>
      <c r="L954" s="25"/>
      <c r="M954" s="25"/>
      <c r="N954" s="25"/>
      <c r="O954" s="25"/>
      <c r="P954" s="25"/>
    </row>
    <row r="955" spans="1:16" x14ac:dyDescent="0.25">
      <c r="A955">
        <v>909</v>
      </c>
      <c r="B955" s="25" t="s">
        <v>1352</v>
      </c>
      <c r="C955" s="26"/>
      <c r="D955" s="2">
        <v>46077</v>
      </c>
      <c r="E955" s="25" t="s">
        <v>143</v>
      </c>
      <c r="F955" s="25" t="s">
        <v>18</v>
      </c>
      <c r="G955" s="25" t="s">
        <v>1353</v>
      </c>
      <c r="H955" s="26">
        <v>0.25</v>
      </c>
      <c r="I955" s="26">
        <v>0.35625000000000001</v>
      </c>
      <c r="J955" s="2"/>
      <c r="K955" s="25" t="s">
        <v>25</v>
      </c>
      <c r="L955" s="25"/>
      <c r="M955" s="25"/>
      <c r="N955" s="25"/>
      <c r="O955" s="25"/>
      <c r="P955" s="25" t="s">
        <v>33</v>
      </c>
    </row>
    <row r="956" spans="1:16" x14ac:dyDescent="0.25">
      <c r="A956">
        <v>910</v>
      </c>
      <c r="B956" s="25" t="s">
        <v>526</v>
      </c>
      <c r="C956" s="26">
        <v>0.35416666666666669</v>
      </c>
      <c r="D956" s="2">
        <v>46077</v>
      </c>
      <c r="E956" s="25" t="s">
        <v>188</v>
      </c>
      <c r="F956" s="25" t="s">
        <v>18</v>
      </c>
      <c r="G956" s="25" t="s">
        <v>1354</v>
      </c>
      <c r="H956" s="26"/>
      <c r="I956" s="26"/>
      <c r="J956" s="2"/>
      <c r="K956" s="25"/>
      <c r="L956" s="25"/>
      <c r="M956" s="25"/>
      <c r="N956" s="25"/>
      <c r="O956" s="25"/>
      <c r="P956" s="25" t="s">
        <v>33</v>
      </c>
    </row>
    <row r="957" spans="1:16" x14ac:dyDescent="0.25">
      <c r="A957">
        <v>911</v>
      </c>
      <c r="B957" s="25" t="s">
        <v>93</v>
      </c>
      <c r="C957" s="26">
        <v>0.35416666666666669</v>
      </c>
      <c r="D957" s="2">
        <v>46077</v>
      </c>
      <c r="E957" s="25" t="s">
        <v>185</v>
      </c>
      <c r="F957" s="25" t="s">
        <v>18</v>
      </c>
      <c r="G957" s="25" t="s">
        <v>1355</v>
      </c>
      <c r="H957" s="26">
        <v>0.33333333333333331</v>
      </c>
      <c r="I957" s="26">
        <v>0.5</v>
      </c>
      <c r="J957" s="2">
        <v>46078</v>
      </c>
      <c r="K957" s="25" t="s">
        <v>25</v>
      </c>
      <c r="L957" s="25" t="s">
        <v>1356</v>
      </c>
      <c r="M957" s="25" t="s">
        <v>22</v>
      </c>
      <c r="N957" s="25" t="s">
        <v>158</v>
      </c>
      <c r="O957" s="25" t="s">
        <v>661</v>
      </c>
      <c r="P957" s="25" t="s">
        <v>23</v>
      </c>
    </row>
    <row r="958" spans="1:16" x14ac:dyDescent="0.25">
      <c r="A958">
        <v>912</v>
      </c>
      <c r="B958" s="25" t="s">
        <v>199</v>
      </c>
      <c r="C958" s="26">
        <v>0.43402777777777779</v>
      </c>
      <c r="D958" s="2">
        <v>46077</v>
      </c>
      <c r="E958" s="25" t="s">
        <v>91</v>
      </c>
      <c r="F958" s="25" t="s">
        <v>18</v>
      </c>
      <c r="G958" s="25" t="s">
        <v>1357</v>
      </c>
      <c r="H958" s="26"/>
      <c r="I958" s="26"/>
      <c r="J958" s="2"/>
      <c r="K958" s="25"/>
      <c r="L958" s="25"/>
      <c r="M958" s="25"/>
      <c r="N958" s="25"/>
      <c r="O958" s="25"/>
      <c r="P958" s="25" t="s">
        <v>33</v>
      </c>
    </row>
    <row r="959" spans="1:16" x14ac:dyDescent="0.25">
      <c r="A959">
        <v>913</v>
      </c>
      <c r="B959" s="25" t="s">
        <v>1358</v>
      </c>
      <c r="C959" s="26">
        <v>0.85763888888888884</v>
      </c>
      <c r="D959" s="2">
        <v>46077</v>
      </c>
      <c r="E959" s="25" t="s">
        <v>154</v>
      </c>
      <c r="F959" s="25" t="s">
        <v>18</v>
      </c>
      <c r="G959" s="25" t="s">
        <v>1359</v>
      </c>
      <c r="H959" s="26">
        <v>0.88888888888888884</v>
      </c>
      <c r="I959" s="26">
        <v>0.90277777777777779</v>
      </c>
      <c r="J959" s="2">
        <v>46077</v>
      </c>
      <c r="K959" s="25" t="s">
        <v>20</v>
      </c>
      <c r="L959" s="25" t="s">
        <v>1360</v>
      </c>
      <c r="M959" s="25" t="s">
        <v>1361</v>
      </c>
      <c r="N959" s="25" t="s">
        <v>22</v>
      </c>
      <c r="O959" s="25" t="s">
        <v>44</v>
      </c>
      <c r="P959" s="25" t="s">
        <v>23</v>
      </c>
    </row>
    <row r="960" spans="1:16" x14ac:dyDescent="0.25">
      <c r="A960">
        <v>914</v>
      </c>
      <c r="B960" s="25"/>
      <c r="C960" s="26"/>
      <c r="D960" s="2"/>
      <c r="E960" s="25"/>
      <c r="F960" s="25"/>
      <c r="G960" s="25"/>
      <c r="H960" s="26"/>
      <c r="I960" s="26"/>
      <c r="J960" s="2"/>
      <c r="K960" s="25"/>
      <c r="L960" s="25"/>
      <c r="M960" s="25"/>
      <c r="N960" s="25"/>
      <c r="O960" s="25"/>
      <c r="P960" s="25"/>
    </row>
    <row r="961" spans="1:16" x14ac:dyDescent="0.25">
      <c r="A961">
        <v>915</v>
      </c>
      <c r="B961" s="25" t="s">
        <v>113</v>
      </c>
      <c r="C961" s="26">
        <v>0.91666666666666663</v>
      </c>
      <c r="D961" s="2">
        <v>46077</v>
      </c>
      <c r="E961" s="25"/>
      <c r="F961" s="25" t="s">
        <v>18</v>
      </c>
      <c r="G961" s="25" t="s">
        <v>1362</v>
      </c>
      <c r="H961" s="26">
        <v>0.91666666666666663</v>
      </c>
      <c r="I961" s="26">
        <v>0.93055555555555558</v>
      </c>
      <c r="J961" s="2">
        <v>46077</v>
      </c>
      <c r="K961" s="25" t="s">
        <v>48</v>
      </c>
      <c r="L961" s="25" t="s">
        <v>1363</v>
      </c>
      <c r="M961" s="25" t="s">
        <v>22</v>
      </c>
      <c r="N961" s="25" t="s">
        <v>22</v>
      </c>
      <c r="O961" s="25" t="s">
        <v>112</v>
      </c>
      <c r="P961" s="25" t="s">
        <v>23</v>
      </c>
    </row>
    <row r="962" spans="1:16" x14ac:dyDescent="0.25">
      <c r="A962">
        <v>916</v>
      </c>
      <c r="B962" s="25" t="s">
        <v>103</v>
      </c>
      <c r="C962" s="26">
        <v>6.9444444444444441E-3</v>
      </c>
      <c r="D962" s="2">
        <v>46078</v>
      </c>
      <c r="E962" s="25" t="s">
        <v>147</v>
      </c>
      <c r="F962" s="25" t="s">
        <v>18</v>
      </c>
      <c r="G962" s="25" t="s">
        <v>1364</v>
      </c>
      <c r="H962" s="26">
        <v>2.7777777777777776E-2</v>
      </c>
      <c r="I962" s="26">
        <v>4.1666666666666664E-2</v>
      </c>
      <c r="J962" s="2">
        <v>46079</v>
      </c>
      <c r="K962" s="25" t="s">
        <v>20</v>
      </c>
      <c r="L962" s="25" t="s">
        <v>1365</v>
      </c>
      <c r="M962" s="25" t="s">
        <v>22</v>
      </c>
      <c r="N962" s="25" t="s">
        <v>22</v>
      </c>
      <c r="O962" s="25" t="s">
        <v>112</v>
      </c>
      <c r="P962" s="25" t="s">
        <v>23</v>
      </c>
    </row>
    <row r="963" spans="1:16" x14ac:dyDescent="0.25">
      <c r="A963">
        <v>917</v>
      </c>
      <c r="B963" s="25" t="s">
        <v>103</v>
      </c>
      <c r="C963" s="26">
        <v>0.18055555555555555</v>
      </c>
      <c r="D963" s="2">
        <v>46078</v>
      </c>
      <c r="E963" s="25" t="s">
        <v>147</v>
      </c>
      <c r="F963" s="25" t="s">
        <v>1366</v>
      </c>
      <c r="G963" s="25" t="s">
        <v>1367</v>
      </c>
      <c r="H963" s="26"/>
      <c r="I963" s="26"/>
      <c r="J963" s="2"/>
      <c r="K963" s="25"/>
      <c r="L963" s="25"/>
      <c r="M963" s="25"/>
      <c r="N963" s="25"/>
      <c r="O963" s="25"/>
      <c r="P963" s="25" t="s">
        <v>33</v>
      </c>
    </row>
    <row r="964" spans="1:16" x14ac:dyDescent="0.25">
      <c r="A964">
        <v>918</v>
      </c>
      <c r="B964" s="25" t="s">
        <v>103</v>
      </c>
      <c r="C964" s="26">
        <v>0.18402777777777779</v>
      </c>
      <c r="D964" s="2">
        <v>46078</v>
      </c>
      <c r="E964" s="25" t="s">
        <v>188</v>
      </c>
      <c r="F964" s="25" t="s">
        <v>18</v>
      </c>
      <c r="G964" s="25" t="s">
        <v>1368</v>
      </c>
      <c r="H964" s="26"/>
      <c r="I964" s="26"/>
      <c r="J964" s="2">
        <v>46091</v>
      </c>
      <c r="K964" s="25" t="s">
        <v>25</v>
      </c>
      <c r="L964" s="25" t="s">
        <v>1600</v>
      </c>
      <c r="M964" s="25" t="s">
        <v>1601</v>
      </c>
      <c r="N964" s="25" t="s">
        <v>205</v>
      </c>
      <c r="O964" s="25" t="s">
        <v>59</v>
      </c>
      <c r="P964" s="25" t="s">
        <v>23</v>
      </c>
    </row>
    <row r="965" spans="1:16" x14ac:dyDescent="0.25">
      <c r="A965">
        <v>919</v>
      </c>
      <c r="B965" s="25" t="s">
        <v>317</v>
      </c>
      <c r="C965" s="26">
        <v>0.2638888888888889</v>
      </c>
      <c r="D965" s="2">
        <v>46078</v>
      </c>
      <c r="E965" s="25" t="s">
        <v>307</v>
      </c>
      <c r="F965" s="25" t="s">
        <v>18</v>
      </c>
      <c r="G965" s="25" t="s">
        <v>1369</v>
      </c>
      <c r="H965" s="26">
        <v>0.2673611111111111</v>
      </c>
      <c r="I965" s="26">
        <v>0.375</v>
      </c>
      <c r="J965" s="2">
        <v>46078</v>
      </c>
      <c r="K965" s="25" t="s">
        <v>20</v>
      </c>
      <c r="L965" s="25" t="s">
        <v>1370</v>
      </c>
      <c r="M965" s="25" t="s">
        <v>22</v>
      </c>
      <c r="N965" s="25" t="s">
        <v>22</v>
      </c>
      <c r="O965" s="25" t="s">
        <v>661</v>
      </c>
      <c r="P965" s="25" t="s">
        <v>23</v>
      </c>
    </row>
    <row r="966" spans="1:16" x14ac:dyDescent="0.25">
      <c r="A966">
        <v>920</v>
      </c>
      <c r="B966" s="25"/>
      <c r="C966" s="26"/>
      <c r="D966" s="2"/>
      <c r="E966" s="25"/>
      <c r="F966" s="25"/>
      <c r="G966" s="25"/>
      <c r="H966" s="26"/>
      <c r="I966" s="26"/>
      <c r="J966" s="2"/>
      <c r="K966" s="25"/>
      <c r="L966" s="25"/>
      <c r="M966" s="25"/>
      <c r="N966" s="25"/>
      <c r="O966" s="25"/>
      <c r="P966" s="25"/>
    </row>
    <row r="967" spans="1:16" x14ac:dyDescent="0.25">
      <c r="A967">
        <v>921</v>
      </c>
      <c r="B967" s="25"/>
      <c r="C967" s="26"/>
      <c r="D967" s="2"/>
      <c r="E967" s="25"/>
      <c r="F967" s="25"/>
      <c r="G967" s="25"/>
      <c r="H967" s="26"/>
      <c r="I967" s="26"/>
      <c r="J967" s="2"/>
      <c r="K967" s="25"/>
      <c r="L967" s="25"/>
      <c r="M967" s="25"/>
      <c r="N967" s="25"/>
      <c r="O967" s="25"/>
      <c r="P967" s="25"/>
    </row>
    <row r="968" spans="1:16" x14ac:dyDescent="0.25">
      <c r="A968">
        <v>922</v>
      </c>
      <c r="B968" s="25" t="s">
        <v>103</v>
      </c>
      <c r="C968" s="26">
        <v>0.33680555555555558</v>
      </c>
      <c r="D968" s="2">
        <v>46079</v>
      </c>
      <c r="E968" s="25" t="s">
        <v>147</v>
      </c>
      <c r="F968" s="25" t="s">
        <v>18</v>
      </c>
      <c r="G968" s="25" t="s">
        <v>1371</v>
      </c>
      <c r="H968" s="26">
        <v>0.34027777777777779</v>
      </c>
      <c r="I968" s="26">
        <v>0.35416666666666669</v>
      </c>
      <c r="J968" s="2">
        <v>46079</v>
      </c>
      <c r="K968" s="25" t="s">
        <v>25</v>
      </c>
      <c r="L968" s="25" t="s">
        <v>1372</v>
      </c>
      <c r="M968" s="25" t="s">
        <v>1373</v>
      </c>
      <c r="N968" s="25" t="s">
        <v>22</v>
      </c>
      <c r="O968" s="25" t="s">
        <v>661</v>
      </c>
      <c r="P968" s="25" t="s">
        <v>23</v>
      </c>
    </row>
    <row r="969" spans="1:16" x14ac:dyDescent="0.25">
      <c r="A969">
        <v>923</v>
      </c>
      <c r="B969" s="25" t="s">
        <v>103</v>
      </c>
      <c r="C969" s="26">
        <v>0.35416666666666669</v>
      </c>
      <c r="D969" s="2">
        <v>46079</v>
      </c>
      <c r="E969" s="25" t="s">
        <v>147</v>
      </c>
      <c r="F969" s="25" t="s">
        <v>1366</v>
      </c>
      <c r="G969" s="25" t="s">
        <v>1374</v>
      </c>
      <c r="H969" s="26">
        <v>0.35416666666666669</v>
      </c>
      <c r="I969" s="26">
        <v>0.36805555555555558</v>
      </c>
      <c r="J969" s="2">
        <v>46079</v>
      </c>
      <c r="K969" s="25" t="s">
        <v>20</v>
      </c>
      <c r="L969" s="25" t="s">
        <v>1375</v>
      </c>
      <c r="M969" s="25" t="s">
        <v>1376</v>
      </c>
      <c r="N969" s="25" t="s">
        <v>22</v>
      </c>
      <c r="O969" s="25" t="s">
        <v>661</v>
      </c>
      <c r="P969" s="25" t="s">
        <v>23</v>
      </c>
    </row>
    <row r="970" spans="1:16" x14ac:dyDescent="0.25">
      <c r="A970">
        <v>924</v>
      </c>
      <c r="B970" s="25"/>
      <c r="C970" s="26"/>
      <c r="D970" s="2"/>
      <c r="E970" s="25"/>
      <c r="F970" s="25"/>
      <c r="G970" s="25"/>
      <c r="H970" s="26"/>
      <c r="I970" s="26"/>
      <c r="J970" s="2"/>
      <c r="K970" s="25"/>
      <c r="L970" s="25"/>
      <c r="M970" s="25"/>
      <c r="N970" s="25"/>
      <c r="O970" s="25"/>
      <c r="P970" s="25"/>
    </row>
    <row r="971" spans="1:16" x14ac:dyDescent="0.25">
      <c r="A971">
        <v>925</v>
      </c>
      <c r="B971" s="25"/>
      <c r="C971" s="26"/>
      <c r="D971" s="2"/>
      <c r="E971" s="25"/>
      <c r="F971" s="25"/>
      <c r="G971" s="25"/>
      <c r="H971" s="26"/>
      <c r="I971" s="26"/>
      <c r="J971" s="2"/>
      <c r="K971" s="25"/>
      <c r="L971" s="25"/>
      <c r="M971" s="25"/>
      <c r="N971" s="25"/>
      <c r="O971" s="25"/>
      <c r="P971" s="25"/>
    </row>
    <row r="972" spans="1:16" x14ac:dyDescent="0.25">
      <c r="A972">
        <v>926</v>
      </c>
      <c r="B972" s="25" t="s">
        <v>139</v>
      </c>
      <c r="C972" s="26">
        <v>0.79166666666666663</v>
      </c>
      <c r="D972" s="2">
        <v>46079</v>
      </c>
      <c r="E972" s="25" t="s">
        <v>104</v>
      </c>
      <c r="F972" s="25" t="s">
        <v>18</v>
      </c>
      <c r="G972" s="25" t="s">
        <v>1377</v>
      </c>
      <c r="H972" s="26">
        <v>0.79166666666666663</v>
      </c>
      <c r="I972" s="26">
        <v>0.98958333333333337</v>
      </c>
      <c r="J972" s="2">
        <v>46079</v>
      </c>
      <c r="K972" s="25" t="s">
        <v>20</v>
      </c>
      <c r="L972" s="25" t="s">
        <v>1378</v>
      </c>
      <c r="M972" s="25" t="s">
        <v>1379</v>
      </c>
      <c r="N972" s="25" t="s">
        <v>22</v>
      </c>
      <c r="O972" s="25" t="s">
        <v>44</v>
      </c>
      <c r="P972" s="25" t="s">
        <v>23</v>
      </c>
    </row>
    <row r="973" spans="1:16" x14ac:dyDescent="0.25">
      <c r="A973">
        <v>927</v>
      </c>
      <c r="B973" s="25" t="s">
        <v>139</v>
      </c>
      <c r="C973" s="26"/>
      <c r="D973" s="2">
        <v>46079</v>
      </c>
      <c r="E973" s="25" t="s">
        <v>147</v>
      </c>
      <c r="F973" s="25" t="s">
        <v>18</v>
      </c>
      <c r="G973" s="25" t="s">
        <v>1380</v>
      </c>
      <c r="H973" s="26">
        <v>0.81944444444444442</v>
      </c>
      <c r="I973" s="26">
        <v>0.34305555555555556</v>
      </c>
      <c r="J973" s="2">
        <v>46080</v>
      </c>
      <c r="K973" s="25" t="s">
        <v>20</v>
      </c>
      <c r="L973" s="25" t="s">
        <v>1602</v>
      </c>
      <c r="M973" s="25" t="s">
        <v>22</v>
      </c>
      <c r="N973" s="25" t="s">
        <v>22</v>
      </c>
      <c r="O973" s="25" t="s">
        <v>108</v>
      </c>
      <c r="P973" s="25" t="s">
        <v>23</v>
      </c>
    </row>
    <row r="974" spans="1:16" x14ac:dyDescent="0.25">
      <c r="A974">
        <v>928</v>
      </c>
      <c r="B974" s="25" t="s">
        <v>206</v>
      </c>
      <c r="C974" s="26">
        <v>0.79722222222222228</v>
      </c>
      <c r="D974" s="2">
        <v>46079</v>
      </c>
      <c r="E974" s="25" t="s">
        <v>185</v>
      </c>
      <c r="F974" s="25" t="s">
        <v>18</v>
      </c>
      <c r="G974" s="25" t="s">
        <v>1381</v>
      </c>
      <c r="H974" s="26">
        <v>0.79722222222222228</v>
      </c>
      <c r="I974" s="26">
        <v>0.53472222222222221</v>
      </c>
      <c r="J974" s="2">
        <v>46080</v>
      </c>
      <c r="K974" s="25" t="s">
        <v>20</v>
      </c>
      <c r="L974" s="25" t="s">
        <v>1382</v>
      </c>
      <c r="M974" s="25" t="s">
        <v>1383</v>
      </c>
      <c r="N974" s="25" t="s">
        <v>22</v>
      </c>
      <c r="O974" s="25" t="s">
        <v>661</v>
      </c>
      <c r="P974" s="25" t="s">
        <v>23</v>
      </c>
    </row>
    <row r="975" spans="1:16" x14ac:dyDescent="0.25">
      <c r="A975">
        <v>929</v>
      </c>
      <c r="B975" s="25" t="s">
        <v>139</v>
      </c>
      <c r="C975" s="26">
        <v>6.1805555555555558E-2</v>
      </c>
      <c r="D975" s="2">
        <v>46080</v>
      </c>
      <c r="E975" s="25" t="s">
        <v>188</v>
      </c>
      <c r="F975" s="25" t="s">
        <v>18</v>
      </c>
      <c r="G975" s="25" t="s">
        <v>1384</v>
      </c>
      <c r="H975" s="26">
        <v>6.25E-2</v>
      </c>
      <c r="I975" s="26">
        <v>7.6388888888888895E-2</v>
      </c>
      <c r="J975" s="2">
        <v>46080</v>
      </c>
      <c r="K975" s="25" t="s">
        <v>20</v>
      </c>
      <c r="L975" s="25" t="s">
        <v>1385</v>
      </c>
      <c r="M975" s="25" t="s">
        <v>22</v>
      </c>
      <c r="N975" s="25" t="s">
        <v>1386</v>
      </c>
      <c r="O975" s="25" t="s">
        <v>44</v>
      </c>
      <c r="P975" s="25" t="s">
        <v>23</v>
      </c>
    </row>
    <row r="976" spans="1:16" x14ac:dyDescent="0.25">
      <c r="A976">
        <v>930</v>
      </c>
      <c r="B976" s="25" t="s">
        <v>139</v>
      </c>
      <c r="C976" s="26">
        <v>0.81944444444444442</v>
      </c>
      <c r="D976" s="2">
        <v>46079</v>
      </c>
      <c r="E976" s="25" t="s">
        <v>147</v>
      </c>
      <c r="F976" s="25" t="s">
        <v>18</v>
      </c>
      <c r="G976" s="25" t="s">
        <v>1387</v>
      </c>
      <c r="H976" s="26">
        <v>0</v>
      </c>
      <c r="I976" s="26">
        <v>8.3333333333333329E-2</v>
      </c>
      <c r="J976" s="2">
        <v>46080</v>
      </c>
      <c r="K976" s="25" t="s">
        <v>20</v>
      </c>
      <c r="L976" s="25" t="s">
        <v>1388</v>
      </c>
      <c r="M976" s="25" t="s">
        <v>1389</v>
      </c>
      <c r="N976" s="25" t="s">
        <v>22</v>
      </c>
      <c r="O976" s="25" t="s">
        <v>44</v>
      </c>
      <c r="P976" s="25" t="s">
        <v>23</v>
      </c>
    </row>
    <row r="977" spans="1:16" x14ac:dyDescent="0.25">
      <c r="A977">
        <v>931</v>
      </c>
      <c r="B977" s="25"/>
      <c r="C977" s="26"/>
      <c r="D977" s="2"/>
      <c r="E977" s="25"/>
      <c r="F977" s="25"/>
      <c r="G977" s="25"/>
      <c r="H977" s="26"/>
      <c r="I977" s="26"/>
      <c r="J977" s="2"/>
      <c r="K977" s="25"/>
      <c r="L977" s="25"/>
      <c r="M977" s="25"/>
      <c r="N977" s="25"/>
      <c r="O977" s="25"/>
      <c r="P977" s="25"/>
    </row>
    <row r="978" spans="1:16" x14ac:dyDescent="0.25">
      <c r="A978">
        <v>932</v>
      </c>
      <c r="B978" s="25"/>
      <c r="C978" s="26"/>
      <c r="D978" s="2"/>
      <c r="E978" s="25"/>
      <c r="F978" s="25"/>
      <c r="G978" s="25"/>
      <c r="H978" s="26"/>
      <c r="I978" s="26"/>
      <c r="J978" s="2"/>
      <c r="K978" s="25"/>
      <c r="L978" s="25"/>
      <c r="M978" s="25"/>
      <c r="N978" s="25"/>
      <c r="O978" s="25"/>
      <c r="P978" s="25"/>
    </row>
    <row r="979" spans="1:16" x14ac:dyDescent="0.25">
      <c r="A979">
        <v>933</v>
      </c>
      <c r="B979" s="25" t="s">
        <v>199</v>
      </c>
      <c r="C979" s="26">
        <v>0.30555555555555558</v>
      </c>
      <c r="D979" s="2">
        <v>46080</v>
      </c>
      <c r="E979" s="25" t="s">
        <v>147</v>
      </c>
      <c r="F979" s="25" t="s">
        <v>18</v>
      </c>
      <c r="G979" s="25" t="s">
        <v>1390</v>
      </c>
      <c r="H979" s="26">
        <v>0.31944444444444442</v>
      </c>
      <c r="I979" s="26">
        <v>0.35416666666666669</v>
      </c>
      <c r="J979" s="2">
        <v>46080</v>
      </c>
      <c r="K979" s="25" t="s">
        <v>20</v>
      </c>
      <c r="L979" s="25" t="s">
        <v>1391</v>
      </c>
      <c r="M979" s="25" t="s">
        <v>22</v>
      </c>
      <c r="N979" s="25" t="s">
        <v>22</v>
      </c>
      <c r="O979" s="25" t="s">
        <v>661</v>
      </c>
      <c r="P979" s="25" t="s">
        <v>23</v>
      </c>
    </row>
    <row r="980" spans="1:16" x14ac:dyDescent="0.25">
      <c r="A980">
        <v>934</v>
      </c>
      <c r="B980" s="25" t="s">
        <v>199</v>
      </c>
      <c r="C980" s="26">
        <v>0.59722222222222221</v>
      </c>
      <c r="D980" s="2">
        <v>46080</v>
      </c>
      <c r="E980" s="25" t="s">
        <v>104</v>
      </c>
      <c r="F980" s="25" t="s">
        <v>18</v>
      </c>
      <c r="G980" s="25" t="s">
        <v>1392</v>
      </c>
      <c r="H980" s="26">
        <v>0.59722222222222221</v>
      </c>
      <c r="I980" s="26">
        <v>0.625</v>
      </c>
      <c r="J980" s="2">
        <v>46080</v>
      </c>
      <c r="K980" s="25" t="s">
        <v>25</v>
      </c>
      <c r="L980" s="25" t="s">
        <v>1393</v>
      </c>
      <c r="M980" s="25" t="s">
        <v>22</v>
      </c>
      <c r="N980" s="25" t="s">
        <v>22</v>
      </c>
      <c r="O980" s="25" t="s">
        <v>112</v>
      </c>
      <c r="P980" s="25" t="s">
        <v>23</v>
      </c>
    </row>
    <row r="981" spans="1:16" x14ac:dyDescent="0.25">
      <c r="A981">
        <v>935</v>
      </c>
      <c r="B981" s="25" t="s">
        <v>1394</v>
      </c>
      <c r="C981" s="26">
        <v>0.8125</v>
      </c>
      <c r="D981" s="2">
        <v>46080</v>
      </c>
      <c r="E981" s="25" t="s">
        <v>215</v>
      </c>
      <c r="F981" s="25" t="s">
        <v>18</v>
      </c>
      <c r="G981" s="25" t="s">
        <v>163</v>
      </c>
      <c r="H981" s="26">
        <v>0.8125</v>
      </c>
      <c r="I981" s="26">
        <v>0.84722222222222221</v>
      </c>
      <c r="J981" s="2">
        <v>46080</v>
      </c>
      <c r="K981" s="25" t="s">
        <v>25</v>
      </c>
      <c r="L981" s="25" t="s">
        <v>1395</v>
      </c>
      <c r="M981" s="25" t="s">
        <v>22</v>
      </c>
      <c r="N981" s="25" t="s">
        <v>22</v>
      </c>
      <c r="O981" s="25" t="s">
        <v>112</v>
      </c>
      <c r="P981" s="25" t="s">
        <v>23</v>
      </c>
    </row>
    <row r="982" spans="1:16" x14ac:dyDescent="0.25">
      <c r="A982">
        <v>936</v>
      </c>
      <c r="B982" s="25" t="s">
        <v>187</v>
      </c>
      <c r="C982" s="26">
        <v>0.26041666666666669</v>
      </c>
      <c r="D982" s="2">
        <v>46081</v>
      </c>
      <c r="E982" s="25" t="s">
        <v>154</v>
      </c>
      <c r="F982" s="25" t="s">
        <v>18</v>
      </c>
      <c r="G982" s="25" t="s">
        <v>1396</v>
      </c>
      <c r="H982" s="26">
        <v>0.3888888888888889</v>
      </c>
      <c r="I982" s="26">
        <v>0.40277777777777779</v>
      </c>
      <c r="J982" s="2">
        <v>46081</v>
      </c>
      <c r="K982" s="25" t="s">
        <v>20</v>
      </c>
      <c r="L982" s="25" t="s">
        <v>1397</v>
      </c>
      <c r="M982" s="25" t="s">
        <v>22</v>
      </c>
      <c r="N982" s="25" t="s">
        <v>22</v>
      </c>
      <c r="O982" s="25" t="s">
        <v>661</v>
      </c>
      <c r="P982" s="25" t="s">
        <v>23</v>
      </c>
    </row>
    <row r="983" spans="1:16" x14ac:dyDescent="0.25">
      <c r="A983">
        <v>937</v>
      </c>
      <c r="B983" s="25" t="s">
        <v>93</v>
      </c>
      <c r="C983" s="26">
        <v>0.2638888888888889</v>
      </c>
      <c r="D983" s="2">
        <v>46081</v>
      </c>
      <c r="E983" s="25" t="s">
        <v>116</v>
      </c>
      <c r="F983" s="25" t="s">
        <v>18</v>
      </c>
      <c r="G983" s="25" t="s">
        <v>1398</v>
      </c>
      <c r="H983" s="26">
        <v>0.27083333333333331</v>
      </c>
      <c r="I983" s="26">
        <v>0.35902777777777778</v>
      </c>
      <c r="J983" s="2">
        <v>46081</v>
      </c>
      <c r="K983" s="25" t="s">
        <v>20</v>
      </c>
      <c r="L983" s="25" t="s">
        <v>1399</v>
      </c>
      <c r="M983" s="25" t="s">
        <v>1400</v>
      </c>
      <c r="N983" s="25" t="s">
        <v>22</v>
      </c>
      <c r="O983" s="25" t="s">
        <v>661</v>
      </c>
      <c r="P983" s="25" t="s">
        <v>23</v>
      </c>
    </row>
    <row r="984" spans="1:16" x14ac:dyDescent="0.25">
      <c r="A984">
        <v>938</v>
      </c>
      <c r="B984" s="25" t="s">
        <v>187</v>
      </c>
      <c r="C984" s="26">
        <v>0.41666666666666669</v>
      </c>
      <c r="D984" s="2">
        <v>46081</v>
      </c>
      <c r="E984" s="25" t="s">
        <v>154</v>
      </c>
      <c r="F984" s="25" t="s">
        <v>18</v>
      </c>
      <c r="G984" s="25" t="s">
        <v>1401</v>
      </c>
      <c r="H984" s="26">
        <v>0.4236111111111111</v>
      </c>
      <c r="I984" s="26">
        <v>0.4861111111111111</v>
      </c>
      <c r="J984" s="2">
        <v>46081</v>
      </c>
      <c r="K984" s="25" t="s">
        <v>20</v>
      </c>
      <c r="L984" s="25" t="s">
        <v>1402</v>
      </c>
      <c r="M984" s="25" t="s">
        <v>22</v>
      </c>
      <c r="N984" s="25" t="s">
        <v>22</v>
      </c>
      <c r="O984" s="25" t="s">
        <v>661</v>
      </c>
      <c r="P984" s="25" t="s">
        <v>23</v>
      </c>
    </row>
    <row r="985" spans="1:16" x14ac:dyDescent="0.25">
      <c r="A985">
        <v>939</v>
      </c>
      <c r="B985" s="25" t="s">
        <v>93</v>
      </c>
      <c r="C985" s="26">
        <v>0.44444444444444442</v>
      </c>
      <c r="D985" s="2">
        <v>46081</v>
      </c>
      <c r="E985" s="25" t="s">
        <v>116</v>
      </c>
      <c r="F985" s="25" t="s">
        <v>18</v>
      </c>
      <c r="G985" s="25" t="s">
        <v>1403</v>
      </c>
      <c r="H985" s="26">
        <v>0.4861111111111111</v>
      </c>
      <c r="I985" s="26">
        <v>0.50694444444444442</v>
      </c>
      <c r="J985" s="2">
        <v>46081</v>
      </c>
      <c r="K985" s="25" t="s">
        <v>25</v>
      </c>
      <c r="L985" s="25" t="s">
        <v>1404</v>
      </c>
      <c r="M985" s="25" t="s">
        <v>22</v>
      </c>
      <c r="N985" s="25" t="s">
        <v>22</v>
      </c>
      <c r="O985" s="25" t="s">
        <v>661</v>
      </c>
      <c r="P985" s="25" t="s">
        <v>23</v>
      </c>
    </row>
    <row r="986" spans="1:16" x14ac:dyDescent="0.25">
      <c r="A986">
        <v>940</v>
      </c>
      <c r="B986" s="25" t="s">
        <v>93</v>
      </c>
      <c r="C986" s="26">
        <v>0.53819444444444442</v>
      </c>
      <c r="D986" s="2">
        <v>46081</v>
      </c>
      <c r="E986" s="25" t="s">
        <v>116</v>
      </c>
      <c r="F986" s="25" t="s">
        <v>18</v>
      </c>
      <c r="G986" s="25" t="s">
        <v>1405</v>
      </c>
      <c r="H986" s="26">
        <v>0.93055555555555558</v>
      </c>
      <c r="I986" s="26">
        <v>0.97222222222222221</v>
      </c>
      <c r="J986" s="2">
        <v>46081</v>
      </c>
      <c r="K986" s="25" t="s">
        <v>25</v>
      </c>
      <c r="L986" s="25" t="s">
        <v>1406</v>
      </c>
      <c r="M986" s="25" t="s">
        <v>22</v>
      </c>
      <c r="N986" s="25" t="s">
        <v>22</v>
      </c>
      <c r="O986" s="25" t="s">
        <v>44</v>
      </c>
      <c r="P986" s="25" t="s">
        <v>23</v>
      </c>
    </row>
    <row r="987" spans="1:16" x14ac:dyDescent="0.25">
      <c r="A987">
        <v>941</v>
      </c>
      <c r="B987" s="25" t="s">
        <v>206</v>
      </c>
      <c r="C987" s="26">
        <v>2.0833333333333332E-2</v>
      </c>
      <c r="D987" s="2">
        <v>46081</v>
      </c>
      <c r="E987" s="25" t="s">
        <v>185</v>
      </c>
      <c r="F987" s="25" t="s">
        <v>18</v>
      </c>
      <c r="G987" s="25" t="s">
        <v>379</v>
      </c>
      <c r="H987" s="26">
        <v>2.0833333333333332E-2</v>
      </c>
      <c r="I987" s="26">
        <v>4.8611111111111112E-2</v>
      </c>
      <c r="J987" s="2">
        <v>46081</v>
      </c>
      <c r="K987" s="25" t="s">
        <v>25</v>
      </c>
      <c r="L987" s="25" t="s">
        <v>1407</v>
      </c>
      <c r="M987" s="25" t="s">
        <v>22</v>
      </c>
      <c r="N987" s="25" t="s">
        <v>22</v>
      </c>
      <c r="O987" s="25" t="s">
        <v>44</v>
      </c>
      <c r="P987" s="25" t="s">
        <v>23</v>
      </c>
    </row>
    <row r="988" spans="1:16" x14ac:dyDescent="0.25">
      <c r="A988">
        <v>942</v>
      </c>
      <c r="B988" s="25" t="s">
        <v>113</v>
      </c>
      <c r="C988" s="26">
        <v>0.70833333333333337</v>
      </c>
      <c r="D988" s="2">
        <v>46082</v>
      </c>
      <c r="E988" s="25" t="s">
        <v>91</v>
      </c>
      <c r="F988" s="25" t="s">
        <v>18</v>
      </c>
      <c r="G988" s="25" t="s">
        <v>1408</v>
      </c>
      <c r="H988" s="26"/>
      <c r="I988" s="26"/>
      <c r="J988" s="2"/>
      <c r="K988" s="25" t="s">
        <v>1409</v>
      </c>
      <c r="L988" s="25" t="s">
        <v>1410</v>
      </c>
      <c r="M988" s="25"/>
      <c r="N988" s="25"/>
      <c r="O988" s="25"/>
      <c r="P988" s="25" t="s">
        <v>33</v>
      </c>
    </row>
    <row r="989" spans="1:16" x14ac:dyDescent="0.25">
      <c r="A989">
        <v>943</v>
      </c>
      <c r="B989" s="25" t="s">
        <v>317</v>
      </c>
      <c r="C989" s="26">
        <v>0.75</v>
      </c>
      <c r="D989" s="2">
        <v>46082</v>
      </c>
      <c r="E989" s="25" t="s">
        <v>91</v>
      </c>
      <c r="F989" s="25" t="s">
        <v>18</v>
      </c>
      <c r="G989" s="25" t="s">
        <v>1411</v>
      </c>
      <c r="H989" s="26">
        <v>0.75694444444444442</v>
      </c>
      <c r="I989" s="26">
        <v>0.78472222222222221</v>
      </c>
      <c r="J989" s="2">
        <v>46082</v>
      </c>
      <c r="K989" s="25" t="s">
        <v>20</v>
      </c>
      <c r="L989" s="25" t="s">
        <v>1412</v>
      </c>
      <c r="M989" s="25" t="s">
        <v>22</v>
      </c>
      <c r="N989" s="25" t="s">
        <v>22</v>
      </c>
      <c r="O989" s="25" t="s">
        <v>44</v>
      </c>
      <c r="P989" s="25" t="s">
        <v>23</v>
      </c>
    </row>
    <row r="990" spans="1:16" x14ac:dyDescent="0.25">
      <c r="A990">
        <v>944</v>
      </c>
      <c r="B990" s="25" t="s">
        <v>103</v>
      </c>
      <c r="C990" s="26">
        <v>0.34027777777777779</v>
      </c>
      <c r="D990" s="2">
        <v>46083</v>
      </c>
      <c r="E990" s="25" t="s">
        <v>307</v>
      </c>
      <c r="F990" s="25" t="s">
        <v>18</v>
      </c>
      <c r="G990" s="25" t="s">
        <v>1413</v>
      </c>
      <c r="H990" s="26">
        <v>0.34027777777777779</v>
      </c>
      <c r="I990" s="26">
        <v>0.4513888888888889</v>
      </c>
      <c r="J990" s="2">
        <v>46083</v>
      </c>
      <c r="K990" s="25" t="s">
        <v>20</v>
      </c>
      <c r="L990" s="25" t="s">
        <v>1414</v>
      </c>
      <c r="M990" s="25" t="s">
        <v>22</v>
      </c>
      <c r="N990" s="25" t="s">
        <v>22</v>
      </c>
      <c r="O990" s="25" t="s">
        <v>108</v>
      </c>
      <c r="P990" s="25" t="s">
        <v>23</v>
      </c>
    </row>
    <row r="991" spans="1:16" x14ac:dyDescent="0.25">
      <c r="A991">
        <v>945</v>
      </c>
      <c r="B991" s="25" t="s">
        <v>103</v>
      </c>
      <c r="C991" s="26">
        <v>0.375</v>
      </c>
      <c r="D991" s="2">
        <v>46083</v>
      </c>
      <c r="E991" s="25" t="s">
        <v>104</v>
      </c>
      <c r="F991" s="25" t="s">
        <v>18</v>
      </c>
      <c r="G991" s="25" t="s">
        <v>1415</v>
      </c>
      <c r="H991" s="26">
        <v>0.38194444444444442</v>
      </c>
      <c r="I991" s="26"/>
      <c r="J991" s="2">
        <v>46083</v>
      </c>
      <c r="K991" s="25" t="s">
        <v>25</v>
      </c>
      <c r="L991" s="25" t="s">
        <v>1416</v>
      </c>
      <c r="M991" s="25" t="s">
        <v>1417</v>
      </c>
      <c r="N991" s="25" t="s">
        <v>22</v>
      </c>
      <c r="O991" s="25"/>
      <c r="P991" s="25" t="s">
        <v>23</v>
      </c>
    </row>
    <row r="992" spans="1:16" x14ac:dyDescent="0.25">
      <c r="A992">
        <v>946</v>
      </c>
      <c r="B992" s="25"/>
      <c r="C992" s="26"/>
      <c r="D992" s="2"/>
      <c r="E992" s="25"/>
      <c r="F992" s="25"/>
      <c r="G992" s="25"/>
      <c r="H992" s="26"/>
      <c r="I992" s="26"/>
      <c r="J992" s="2"/>
      <c r="K992" s="25"/>
      <c r="L992" s="25"/>
      <c r="M992" s="25"/>
      <c r="N992" s="25"/>
      <c r="O992" s="25"/>
      <c r="P992" s="25"/>
    </row>
    <row r="993" spans="1:16" x14ac:dyDescent="0.25">
      <c r="A993">
        <v>947</v>
      </c>
      <c r="B993" s="25" t="s">
        <v>103</v>
      </c>
      <c r="C993" s="26">
        <v>0.35416666666666669</v>
      </c>
      <c r="D993" s="2">
        <v>46083</v>
      </c>
      <c r="E993" s="25" t="s">
        <v>104</v>
      </c>
      <c r="F993" s="25" t="s">
        <v>18</v>
      </c>
      <c r="G993" s="25" t="s">
        <v>1418</v>
      </c>
      <c r="H993" s="26">
        <v>0.3611111111111111</v>
      </c>
      <c r="I993" s="26">
        <v>0.36805555555555558</v>
      </c>
      <c r="J993" s="2">
        <v>46083</v>
      </c>
      <c r="K993" s="25" t="s">
        <v>20</v>
      </c>
      <c r="L993" s="25" t="s">
        <v>1419</v>
      </c>
      <c r="M993" s="25" t="s">
        <v>22</v>
      </c>
      <c r="N993" s="25" t="s">
        <v>22</v>
      </c>
      <c r="O993" s="25" t="s">
        <v>661</v>
      </c>
      <c r="P993" s="25" t="s">
        <v>23</v>
      </c>
    </row>
    <row r="994" spans="1:16" x14ac:dyDescent="0.25">
      <c r="A994">
        <v>948</v>
      </c>
      <c r="B994" s="25" t="s">
        <v>206</v>
      </c>
      <c r="C994" s="26">
        <v>0.44305555555555554</v>
      </c>
      <c r="D994" s="2">
        <v>46083</v>
      </c>
      <c r="E994" s="25" t="s">
        <v>185</v>
      </c>
      <c r="F994" s="25" t="s">
        <v>18</v>
      </c>
      <c r="G994" s="25" t="s">
        <v>1420</v>
      </c>
      <c r="H994" s="26">
        <v>0.75694444444444442</v>
      </c>
      <c r="I994" s="26">
        <v>0.80555555555555558</v>
      </c>
      <c r="J994" s="2">
        <v>46083</v>
      </c>
      <c r="K994" s="25" t="s">
        <v>25</v>
      </c>
      <c r="L994" s="25" t="s">
        <v>1421</v>
      </c>
      <c r="M994" s="25" t="s">
        <v>22</v>
      </c>
      <c r="N994" s="25" t="s">
        <v>22</v>
      </c>
      <c r="O994" s="25" t="s">
        <v>44</v>
      </c>
      <c r="P994" s="25" t="s">
        <v>23</v>
      </c>
    </row>
    <row r="995" spans="1:16" x14ac:dyDescent="0.25">
      <c r="A995">
        <v>949</v>
      </c>
      <c r="B995" s="25" t="s">
        <v>139</v>
      </c>
      <c r="C995" s="26"/>
      <c r="D995" s="2">
        <v>46083</v>
      </c>
      <c r="E995" s="25" t="s">
        <v>91</v>
      </c>
      <c r="F995" s="25" t="s">
        <v>18</v>
      </c>
      <c r="G995" s="25" t="s">
        <v>1422</v>
      </c>
      <c r="H995" s="26"/>
      <c r="I995" s="26"/>
      <c r="J995" s="2"/>
      <c r="K995" s="25"/>
      <c r="L995" s="25"/>
      <c r="M995" s="25"/>
      <c r="N995" s="25"/>
      <c r="O995" s="25"/>
      <c r="P995" s="25" t="s">
        <v>33</v>
      </c>
    </row>
    <row r="996" spans="1:16" x14ac:dyDescent="0.25">
      <c r="A996">
        <v>950</v>
      </c>
      <c r="B996" s="25"/>
      <c r="C996" s="26"/>
      <c r="D996" s="2"/>
      <c r="E996" s="25"/>
      <c r="F996" s="25"/>
      <c r="G996" s="25"/>
      <c r="H996" s="26"/>
      <c r="I996" s="26"/>
      <c r="J996" s="2"/>
      <c r="K996" s="25"/>
      <c r="L996" s="25"/>
      <c r="M996" s="25"/>
      <c r="N996" s="25"/>
      <c r="O996" s="25"/>
      <c r="P996" s="25"/>
    </row>
    <row r="997" spans="1:16" x14ac:dyDescent="0.25">
      <c r="A997">
        <v>951</v>
      </c>
      <c r="B997" s="25" t="s">
        <v>385</v>
      </c>
      <c r="C997" s="26">
        <v>0.75</v>
      </c>
      <c r="D997" s="2">
        <v>46083</v>
      </c>
      <c r="E997" s="25" t="s">
        <v>116</v>
      </c>
      <c r="F997" s="25" t="s">
        <v>18</v>
      </c>
      <c r="G997" s="25" t="s">
        <v>208</v>
      </c>
      <c r="H997" s="26">
        <v>0.75</v>
      </c>
      <c r="I997" s="26">
        <v>0.75694444444444442</v>
      </c>
      <c r="J997" s="2">
        <v>46083</v>
      </c>
      <c r="K997" s="25" t="s">
        <v>25</v>
      </c>
      <c r="L997" s="25" t="s">
        <v>1423</v>
      </c>
      <c r="M997" s="25" t="s">
        <v>22</v>
      </c>
      <c r="N997" s="25" t="s">
        <v>22</v>
      </c>
      <c r="O997" s="25" t="s">
        <v>44</v>
      </c>
      <c r="P997" s="25" t="s">
        <v>23</v>
      </c>
    </row>
    <row r="998" spans="1:16" x14ac:dyDescent="0.25">
      <c r="A998">
        <v>952</v>
      </c>
      <c r="B998" s="25" t="s">
        <v>1394</v>
      </c>
      <c r="C998" s="26">
        <v>0.90277777777777779</v>
      </c>
      <c r="D998" s="2">
        <v>46083</v>
      </c>
      <c r="E998" s="25" t="s">
        <v>782</v>
      </c>
      <c r="F998" s="25" t="s">
        <v>18</v>
      </c>
      <c r="G998" s="25" t="s">
        <v>1424</v>
      </c>
      <c r="H998" s="26">
        <v>0.40277777777777779</v>
      </c>
      <c r="I998" s="26">
        <v>0.95833333333333337</v>
      </c>
      <c r="J998" s="2">
        <v>46083</v>
      </c>
      <c r="K998" s="25" t="s">
        <v>25</v>
      </c>
      <c r="L998" s="25" t="s">
        <v>1425</v>
      </c>
      <c r="M998" s="25" t="s">
        <v>22</v>
      </c>
      <c r="N998" s="25" t="s">
        <v>22</v>
      </c>
      <c r="O998" s="25" t="s">
        <v>44</v>
      </c>
      <c r="P998" s="25" t="s">
        <v>23</v>
      </c>
    </row>
    <row r="999" spans="1:16" x14ac:dyDescent="0.25">
      <c r="A999">
        <v>953</v>
      </c>
      <c r="B999" s="25" t="s">
        <v>526</v>
      </c>
      <c r="C999" s="26">
        <v>0.28472222222222221</v>
      </c>
      <c r="D999" s="2">
        <v>46084</v>
      </c>
      <c r="E999" s="25" t="s">
        <v>188</v>
      </c>
      <c r="F999" s="25" t="s">
        <v>18</v>
      </c>
      <c r="G999" s="25" t="s">
        <v>1426</v>
      </c>
      <c r="H999" s="26">
        <v>0.29166666666666669</v>
      </c>
      <c r="I999" s="26">
        <v>0.31944444444444442</v>
      </c>
      <c r="J999" s="2">
        <v>46084</v>
      </c>
      <c r="K999" s="25" t="s">
        <v>25</v>
      </c>
      <c r="L999" s="25" t="s">
        <v>1427</v>
      </c>
      <c r="M999" s="25" t="s">
        <v>22</v>
      </c>
      <c r="N999" s="25" t="s">
        <v>22</v>
      </c>
      <c r="O999" s="25" t="s">
        <v>661</v>
      </c>
      <c r="P999" s="25" t="s">
        <v>23</v>
      </c>
    </row>
    <row r="1000" spans="1:16" x14ac:dyDescent="0.25">
      <c r="A1000">
        <v>954</v>
      </c>
      <c r="B1000" s="25" t="s">
        <v>526</v>
      </c>
      <c r="C1000" s="26">
        <v>0.375</v>
      </c>
      <c r="D1000" s="2">
        <v>46084</v>
      </c>
      <c r="E1000" s="25" t="s">
        <v>188</v>
      </c>
      <c r="F1000" s="25" t="s">
        <v>18</v>
      </c>
      <c r="G1000" s="25" t="s">
        <v>1428</v>
      </c>
      <c r="H1000" s="26">
        <v>0.37847222222222221</v>
      </c>
      <c r="I1000" s="26">
        <v>0.39305555555555555</v>
      </c>
      <c r="J1000" s="2">
        <v>46084</v>
      </c>
      <c r="K1000" s="25" t="s">
        <v>20</v>
      </c>
      <c r="L1000" s="25" t="s">
        <v>1429</v>
      </c>
      <c r="M1000" s="25" t="s">
        <v>22</v>
      </c>
      <c r="N1000" s="25" t="s">
        <v>22</v>
      </c>
      <c r="O1000" s="25" t="s">
        <v>661</v>
      </c>
      <c r="P1000" s="25" t="s">
        <v>23</v>
      </c>
    </row>
    <row r="1001" spans="1:16" x14ac:dyDescent="0.25">
      <c r="A1001">
        <v>955</v>
      </c>
      <c r="B1001" s="25" t="s">
        <v>385</v>
      </c>
      <c r="C1001" s="26">
        <v>0.38194444444444442</v>
      </c>
      <c r="D1001" s="2">
        <v>46084</v>
      </c>
      <c r="E1001" s="25" t="s">
        <v>116</v>
      </c>
      <c r="F1001" s="25" t="s">
        <v>18</v>
      </c>
      <c r="G1001" s="25" t="s">
        <v>1430</v>
      </c>
      <c r="H1001" s="26">
        <v>0.38541666666666669</v>
      </c>
      <c r="I1001" s="26">
        <v>0.40972222222222221</v>
      </c>
      <c r="J1001" s="2">
        <v>46084</v>
      </c>
      <c r="K1001" s="25" t="s">
        <v>25</v>
      </c>
      <c r="L1001" s="25" t="s">
        <v>1431</v>
      </c>
      <c r="M1001" s="25" t="s">
        <v>1432</v>
      </c>
      <c r="N1001" s="25" t="s">
        <v>22</v>
      </c>
      <c r="O1001" s="25" t="s">
        <v>661</v>
      </c>
      <c r="P1001" s="25" t="s">
        <v>23</v>
      </c>
    </row>
    <row r="1002" spans="1:16" x14ac:dyDescent="0.25">
      <c r="A1002">
        <v>956</v>
      </c>
      <c r="B1002" s="25" t="s">
        <v>385</v>
      </c>
      <c r="C1002" s="26">
        <v>0.25</v>
      </c>
      <c r="D1002" s="2">
        <v>46084</v>
      </c>
      <c r="E1002" s="25" t="s">
        <v>94</v>
      </c>
      <c r="F1002" s="25" t="s">
        <v>18</v>
      </c>
      <c r="G1002" s="25" t="s">
        <v>1433</v>
      </c>
      <c r="H1002" s="26">
        <v>0.2638888888888889</v>
      </c>
      <c r="I1002" s="26">
        <v>0.53472222222222221</v>
      </c>
      <c r="J1002" s="2">
        <v>46084</v>
      </c>
      <c r="K1002" s="25" t="s">
        <v>25</v>
      </c>
      <c r="L1002" s="25" t="s">
        <v>1434</v>
      </c>
      <c r="M1002" s="25" t="s">
        <v>22</v>
      </c>
      <c r="N1002" s="25" t="s">
        <v>22</v>
      </c>
      <c r="O1002" s="25" t="s">
        <v>661</v>
      </c>
      <c r="P1002" s="25" t="s">
        <v>23</v>
      </c>
    </row>
    <row r="1003" spans="1:16" x14ac:dyDescent="0.25">
      <c r="A1003">
        <v>957</v>
      </c>
      <c r="B1003" s="25" t="s">
        <v>317</v>
      </c>
      <c r="C1003" s="26">
        <v>0.36805555555555558</v>
      </c>
      <c r="D1003" s="2">
        <v>46084</v>
      </c>
      <c r="E1003" s="25" t="s">
        <v>91</v>
      </c>
      <c r="F1003" s="25" t="s">
        <v>18</v>
      </c>
      <c r="G1003" s="25" t="s">
        <v>1435</v>
      </c>
      <c r="H1003" s="26">
        <v>0.36805555555555558</v>
      </c>
      <c r="I1003" s="26">
        <v>0.43402777777777779</v>
      </c>
      <c r="J1003" s="2">
        <v>46084</v>
      </c>
      <c r="K1003" s="25" t="s">
        <v>361</v>
      </c>
      <c r="L1003" s="25" t="s">
        <v>1436</v>
      </c>
      <c r="M1003" s="25" t="s">
        <v>22</v>
      </c>
      <c r="N1003" s="25" t="s">
        <v>22</v>
      </c>
      <c r="O1003" s="25" t="s">
        <v>915</v>
      </c>
      <c r="P1003" s="25" t="s">
        <v>23</v>
      </c>
    </row>
    <row r="1004" spans="1:16" x14ac:dyDescent="0.25">
      <c r="A1004">
        <v>958</v>
      </c>
      <c r="B1004" s="25" t="s">
        <v>385</v>
      </c>
      <c r="C1004" s="26">
        <v>0.375</v>
      </c>
      <c r="D1004" s="2">
        <v>46084</v>
      </c>
      <c r="E1004" s="25" t="s">
        <v>185</v>
      </c>
      <c r="F1004" s="25" t="s">
        <v>18</v>
      </c>
      <c r="G1004" s="25" t="s">
        <v>1437</v>
      </c>
      <c r="H1004" s="26">
        <v>0.375</v>
      </c>
      <c r="I1004" s="26">
        <v>0.5</v>
      </c>
      <c r="J1004" s="2">
        <v>46084</v>
      </c>
      <c r="K1004" s="25" t="s">
        <v>361</v>
      </c>
      <c r="L1004" s="25" t="s">
        <v>1438</v>
      </c>
      <c r="M1004" s="25" t="s">
        <v>22</v>
      </c>
      <c r="N1004" s="25" t="s">
        <v>22</v>
      </c>
      <c r="O1004" s="25" t="s">
        <v>661</v>
      </c>
      <c r="P1004" s="25" t="s">
        <v>23</v>
      </c>
    </row>
    <row r="1005" spans="1:16" x14ac:dyDescent="0.25">
      <c r="A1005">
        <v>959</v>
      </c>
      <c r="B1005" s="25" t="s">
        <v>385</v>
      </c>
      <c r="C1005" s="26">
        <v>0.56458333333333333</v>
      </c>
      <c r="D1005" s="2">
        <v>46084</v>
      </c>
      <c r="E1005" s="25" t="s">
        <v>94</v>
      </c>
      <c r="F1005" s="25" t="s">
        <v>18</v>
      </c>
      <c r="G1005" s="25" t="s">
        <v>1439</v>
      </c>
      <c r="H1005" s="26">
        <v>0.56944444444444442</v>
      </c>
      <c r="I1005" s="26">
        <v>0.58333333333333337</v>
      </c>
      <c r="J1005" s="2">
        <v>46084</v>
      </c>
      <c r="K1005" s="25" t="s">
        <v>25</v>
      </c>
      <c r="L1005" s="25" t="s">
        <v>1440</v>
      </c>
      <c r="M1005" s="25" t="s">
        <v>22</v>
      </c>
      <c r="N1005" s="25" t="s">
        <v>22</v>
      </c>
      <c r="O1005" s="25" t="s">
        <v>112</v>
      </c>
      <c r="P1005" s="25" t="s">
        <v>23</v>
      </c>
    </row>
    <row r="1006" spans="1:16" x14ac:dyDescent="0.25">
      <c r="A1006">
        <v>960</v>
      </c>
      <c r="B1006" s="25" t="s">
        <v>317</v>
      </c>
      <c r="C1006" s="26">
        <v>0.62638888888888888</v>
      </c>
      <c r="D1006" s="2">
        <v>46084</v>
      </c>
      <c r="E1006" s="25" t="s">
        <v>91</v>
      </c>
      <c r="F1006" s="25" t="s">
        <v>18</v>
      </c>
      <c r="G1006" s="25" t="s">
        <v>1441</v>
      </c>
      <c r="H1006" s="26">
        <v>0.63888888888888884</v>
      </c>
      <c r="I1006" s="26">
        <v>0.66666666666666663</v>
      </c>
      <c r="J1006" s="2">
        <v>46084</v>
      </c>
      <c r="K1006" s="25" t="s">
        <v>25</v>
      </c>
      <c r="L1006" s="25" t="s">
        <v>1442</v>
      </c>
      <c r="M1006" s="25" t="s">
        <v>22</v>
      </c>
      <c r="N1006" s="25" t="s">
        <v>22</v>
      </c>
      <c r="O1006" s="25" t="s">
        <v>1443</v>
      </c>
      <c r="P1006" s="25" t="s">
        <v>23</v>
      </c>
    </row>
    <row r="1007" spans="1:16" x14ac:dyDescent="0.25">
      <c r="A1007">
        <v>961</v>
      </c>
      <c r="B1007" s="25" t="s">
        <v>103</v>
      </c>
      <c r="C1007" s="26">
        <v>0.875</v>
      </c>
      <c r="D1007" s="2">
        <v>46084</v>
      </c>
      <c r="E1007" s="25" t="s">
        <v>104</v>
      </c>
      <c r="F1007" s="25" t="s">
        <v>18</v>
      </c>
      <c r="G1007" s="25" t="s">
        <v>1444</v>
      </c>
      <c r="H1007" s="26">
        <v>0.875</v>
      </c>
      <c r="I1007" s="26">
        <v>0.90972222222222221</v>
      </c>
      <c r="J1007" s="2">
        <v>46084</v>
      </c>
      <c r="K1007" s="25" t="s">
        <v>25</v>
      </c>
      <c r="L1007" s="25" t="s">
        <v>1445</v>
      </c>
      <c r="M1007" s="25" t="s">
        <v>22</v>
      </c>
      <c r="N1007" s="25" t="s">
        <v>22</v>
      </c>
      <c r="O1007" s="25" t="s">
        <v>108</v>
      </c>
      <c r="P1007" s="25" t="s">
        <v>23</v>
      </c>
    </row>
    <row r="1008" spans="1:16" x14ac:dyDescent="0.25">
      <c r="A1008">
        <v>962</v>
      </c>
      <c r="B1008" s="25" t="s">
        <v>139</v>
      </c>
      <c r="C1008" s="26"/>
      <c r="D1008" s="2">
        <v>46085</v>
      </c>
      <c r="E1008" s="25" t="s">
        <v>91</v>
      </c>
      <c r="F1008" s="25" t="s">
        <v>18</v>
      </c>
      <c r="G1008" s="25" t="s">
        <v>1446</v>
      </c>
      <c r="H1008" s="26"/>
      <c r="I1008" s="26"/>
      <c r="J1008" s="2"/>
      <c r="K1008" s="25"/>
      <c r="L1008" s="25"/>
      <c r="M1008" s="25"/>
      <c r="N1008" s="25"/>
      <c r="O1008" s="25"/>
      <c r="P1008" s="25" t="s">
        <v>33</v>
      </c>
    </row>
    <row r="1009" spans="1:16" x14ac:dyDescent="0.25">
      <c r="A1009">
        <v>963</v>
      </c>
      <c r="B1009" s="25" t="s">
        <v>199</v>
      </c>
      <c r="C1009" s="26">
        <v>0.28125</v>
      </c>
      <c r="D1009" s="2">
        <v>46085</v>
      </c>
      <c r="E1009" s="25" t="s">
        <v>307</v>
      </c>
      <c r="F1009" s="25" t="s">
        <v>18</v>
      </c>
      <c r="G1009" s="25" t="s">
        <v>1447</v>
      </c>
      <c r="H1009" s="26">
        <v>0.29166666666666669</v>
      </c>
      <c r="I1009" s="26">
        <v>0.31944444444444442</v>
      </c>
      <c r="J1009" s="2">
        <v>46085</v>
      </c>
      <c r="K1009" s="25" t="s">
        <v>20</v>
      </c>
      <c r="L1009" s="25" t="s">
        <v>1448</v>
      </c>
      <c r="M1009" s="25" t="s">
        <v>1383</v>
      </c>
      <c r="N1009" s="25" t="s">
        <v>22</v>
      </c>
      <c r="O1009" s="25" t="s">
        <v>661</v>
      </c>
      <c r="P1009" s="25" t="s">
        <v>23</v>
      </c>
    </row>
    <row r="1010" spans="1:16" x14ac:dyDescent="0.25">
      <c r="A1010">
        <v>964</v>
      </c>
      <c r="B1010" s="25" t="s">
        <v>385</v>
      </c>
      <c r="C1010" s="26">
        <v>0.32291666666666669</v>
      </c>
      <c r="D1010" s="2">
        <v>46085</v>
      </c>
      <c r="E1010" s="25" t="s">
        <v>185</v>
      </c>
      <c r="F1010" s="25" t="s">
        <v>18</v>
      </c>
      <c r="G1010" s="25" t="s">
        <v>1449</v>
      </c>
      <c r="H1010" s="26">
        <v>0.32361111111111113</v>
      </c>
      <c r="I1010" s="26">
        <v>0.34722222222222221</v>
      </c>
      <c r="J1010" s="2">
        <v>46085</v>
      </c>
      <c r="K1010" s="25" t="s">
        <v>25</v>
      </c>
      <c r="L1010" s="25" t="s">
        <v>1450</v>
      </c>
      <c r="M1010" s="25" t="s">
        <v>22</v>
      </c>
      <c r="N1010" s="25" t="s">
        <v>768</v>
      </c>
      <c r="O1010" s="25" t="s">
        <v>661</v>
      </c>
      <c r="P1010" s="25" t="s">
        <v>23</v>
      </c>
    </row>
    <row r="1011" spans="1:16" x14ac:dyDescent="0.25">
      <c r="A1011">
        <v>965</v>
      </c>
      <c r="B1011" s="25" t="s">
        <v>385</v>
      </c>
      <c r="C1011" s="26">
        <v>0.53472222222222221</v>
      </c>
      <c r="D1011" s="2">
        <v>46085</v>
      </c>
      <c r="E1011" s="25" t="s">
        <v>1451</v>
      </c>
      <c r="F1011" s="25" t="s">
        <v>18</v>
      </c>
      <c r="G1011" s="25" t="s">
        <v>1452</v>
      </c>
      <c r="H1011" s="26">
        <v>0.54166666666666663</v>
      </c>
      <c r="I1011" s="26">
        <v>0.56597222222222221</v>
      </c>
      <c r="J1011" s="2">
        <v>46085</v>
      </c>
      <c r="K1011" s="25" t="s">
        <v>25</v>
      </c>
      <c r="L1011" s="25" t="s">
        <v>1453</v>
      </c>
      <c r="M1011" s="25" t="s">
        <v>22</v>
      </c>
      <c r="N1011" s="25" t="s">
        <v>22</v>
      </c>
      <c r="O1011" s="25" t="s">
        <v>661</v>
      </c>
      <c r="P1011" s="25" t="s">
        <v>23</v>
      </c>
    </row>
    <row r="1012" spans="1:16" x14ac:dyDescent="0.25">
      <c r="A1012">
        <v>966</v>
      </c>
      <c r="B1012" s="25" t="s">
        <v>199</v>
      </c>
      <c r="C1012" s="26">
        <v>0.60416666666666663</v>
      </c>
      <c r="D1012" s="2">
        <v>46085</v>
      </c>
      <c r="E1012" s="25" t="s">
        <v>147</v>
      </c>
      <c r="F1012" s="25" t="s">
        <v>18</v>
      </c>
      <c r="G1012" s="25" t="s">
        <v>1454</v>
      </c>
      <c r="H1012" s="26">
        <v>0.65972222222222221</v>
      </c>
      <c r="I1012" s="26">
        <v>0.68055555555555558</v>
      </c>
      <c r="J1012" s="2">
        <v>46085</v>
      </c>
      <c r="K1012" s="25" t="s">
        <v>25</v>
      </c>
      <c r="L1012" s="25" t="s">
        <v>1455</v>
      </c>
      <c r="M1012" s="25" t="s">
        <v>22</v>
      </c>
      <c r="N1012" s="25" t="s">
        <v>22</v>
      </c>
      <c r="O1012" s="25" t="s">
        <v>44</v>
      </c>
      <c r="P1012" s="25" t="s">
        <v>23</v>
      </c>
    </row>
    <row r="1013" spans="1:16" x14ac:dyDescent="0.25">
      <c r="A1013">
        <v>967</v>
      </c>
      <c r="B1013" s="25" t="s">
        <v>16</v>
      </c>
      <c r="C1013" s="26">
        <v>0.25694444444444442</v>
      </c>
      <c r="D1013" s="2">
        <v>46086</v>
      </c>
      <c r="E1013" s="25" t="s">
        <v>116</v>
      </c>
      <c r="F1013" s="25" t="s">
        <v>18</v>
      </c>
      <c r="G1013" s="25" t="s">
        <v>1456</v>
      </c>
      <c r="H1013" s="26">
        <v>0.25694444444444442</v>
      </c>
      <c r="I1013" s="26">
        <v>0.2986111111111111</v>
      </c>
      <c r="J1013" s="2">
        <v>46086</v>
      </c>
      <c r="K1013" s="25" t="s">
        <v>20</v>
      </c>
      <c r="L1013" s="25" t="s">
        <v>1457</v>
      </c>
      <c r="M1013" s="25" t="s">
        <v>22</v>
      </c>
      <c r="N1013" s="25" t="s">
        <v>22</v>
      </c>
      <c r="O1013" s="25" t="s">
        <v>108</v>
      </c>
      <c r="P1013" s="25" t="s">
        <v>23</v>
      </c>
    </row>
    <row r="1014" spans="1:16" x14ac:dyDescent="0.25">
      <c r="A1014">
        <v>968</v>
      </c>
      <c r="B1014" s="25" t="s">
        <v>16</v>
      </c>
      <c r="C1014" s="26">
        <v>0.3263888888888889</v>
      </c>
      <c r="D1014" s="2">
        <v>46086</v>
      </c>
      <c r="E1014" s="25" t="s">
        <v>116</v>
      </c>
      <c r="F1014" s="25" t="s">
        <v>18</v>
      </c>
      <c r="G1014" s="25" t="s">
        <v>1458</v>
      </c>
      <c r="H1014" s="26">
        <v>0.3263888888888889</v>
      </c>
      <c r="I1014" s="26">
        <v>0.36805555555555558</v>
      </c>
      <c r="J1014" s="2">
        <v>46086</v>
      </c>
      <c r="K1014" s="25" t="s">
        <v>20</v>
      </c>
      <c r="L1014" s="25" t="s">
        <v>1459</v>
      </c>
      <c r="M1014" s="25" t="s">
        <v>22</v>
      </c>
      <c r="N1014" s="25" t="s">
        <v>22</v>
      </c>
      <c r="O1014" s="25" t="s">
        <v>108</v>
      </c>
      <c r="P1014" s="25" t="s">
        <v>23</v>
      </c>
    </row>
    <row r="1015" spans="1:16" x14ac:dyDescent="0.25">
      <c r="A1015">
        <v>969</v>
      </c>
      <c r="B1015" s="25" t="s">
        <v>16</v>
      </c>
      <c r="C1015" s="26">
        <v>0.5</v>
      </c>
      <c r="D1015" s="2">
        <v>46086</v>
      </c>
      <c r="E1015" s="25" t="s">
        <v>94</v>
      </c>
      <c r="F1015" s="25" t="s">
        <v>18</v>
      </c>
      <c r="G1015" s="25" t="s">
        <v>1460</v>
      </c>
      <c r="H1015" s="26">
        <v>0.5</v>
      </c>
      <c r="I1015" s="26">
        <v>0.52083333333333337</v>
      </c>
      <c r="J1015" s="2">
        <v>46086</v>
      </c>
      <c r="K1015" s="25" t="s">
        <v>20</v>
      </c>
      <c r="L1015" s="25" t="s">
        <v>1461</v>
      </c>
      <c r="M1015" s="25" t="s">
        <v>22</v>
      </c>
      <c r="N1015" s="25" t="s">
        <v>22</v>
      </c>
      <c r="O1015" s="25" t="s">
        <v>108</v>
      </c>
      <c r="P1015" s="25" t="s">
        <v>23</v>
      </c>
    </row>
    <row r="1016" spans="1:16" x14ac:dyDescent="0.25">
      <c r="A1016">
        <v>970</v>
      </c>
      <c r="B1016" s="25" t="s">
        <v>103</v>
      </c>
      <c r="C1016" s="26">
        <v>0.375</v>
      </c>
      <c r="D1016" s="2">
        <v>46086</v>
      </c>
      <c r="E1016" s="25" t="s">
        <v>188</v>
      </c>
      <c r="F1016" s="25" t="s">
        <v>18</v>
      </c>
      <c r="G1016" s="25" t="s">
        <v>1462</v>
      </c>
      <c r="H1016" s="26">
        <v>0.375</v>
      </c>
      <c r="I1016" s="26">
        <v>0.4375</v>
      </c>
      <c r="J1016" s="2">
        <v>46086</v>
      </c>
      <c r="K1016" s="25" t="s">
        <v>25</v>
      </c>
      <c r="L1016" s="25" t="s">
        <v>1463</v>
      </c>
      <c r="M1016" s="25" t="s">
        <v>22</v>
      </c>
      <c r="N1016" s="25" t="s">
        <v>22</v>
      </c>
      <c r="O1016" s="25" t="s">
        <v>108</v>
      </c>
      <c r="P1016" s="25" t="s">
        <v>23</v>
      </c>
    </row>
    <row r="1017" spans="1:16" x14ac:dyDescent="0.25">
      <c r="A1017">
        <v>971</v>
      </c>
      <c r="B1017" s="25" t="s">
        <v>1464</v>
      </c>
      <c r="C1017" s="26">
        <v>0.95833333333333337</v>
      </c>
      <c r="D1017" s="2">
        <v>46086</v>
      </c>
      <c r="E1017" s="25" t="s">
        <v>116</v>
      </c>
      <c r="F1017" s="25" t="s">
        <v>18</v>
      </c>
      <c r="G1017" s="25" t="s">
        <v>1210</v>
      </c>
      <c r="H1017" s="26">
        <v>0.95833333333333337</v>
      </c>
      <c r="I1017" s="26">
        <v>0.97222222222222221</v>
      </c>
      <c r="J1017" s="2">
        <v>46086</v>
      </c>
      <c r="K1017" s="25" t="s">
        <v>20</v>
      </c>
      <c r="L1017" s="25" t="s">
        <v>1465</v>
      </c>
      <c r="M1017" s="25" t="s">
        <v>22</v>
      </c>
      <c r="N1017" s="25" t="s">
        <v>22</v>
      </c>
      <c r="O1017" s="25" t="s">
        <v>112</v>
      </c>
      <c r="P1017" s="25" t="s">
        <v>23</v>
      </c>
    </row>
    <row r="1018" spans="1:16" x14ac:dyDescent="0.25">
      <c r="A1018">
        <v>972</v>
      </c>
      <c r="B1018" s="25" t="s">
        <v>103</v>
      </c>
      <c r="C1018" s="26">
        <v>0.70138888888888884</v>
      </c>
      <c r="D1018" s="2">
        <v>46086</v>
      </c>
      <c r="E1018" s="25" t="s">
        <v>147</v>
      </c>
      <c r="F1018" s="25" t="s">
        <v>18</v>
      </c>
      <c r="G1018" s="25" t="s">
        <v>1466</v>
      </c>
      <c r="H1018" s="26">
        <v>0.70833333333333337</v>
      </c>
      <c r="I1018" s="26">
        <v>0.76041666666666663</v>
      </c>
      <c r="J1018" s="2">
        <v>46086</v>
      </c>
      <c r="K1018" s="25" t="s">
        <v>775</v>
      </c>
      <c r="L1018" s="25" t="s">
        <v>1467</v>
      </c>
      <c r="M1018" s="25" t="s">
        <v>22</v>
      </c>
      <c r="N1018" s="25" t="s">
        <v>22</v>
      </c>
      <c r="O1018" s="25" t="s">
        <v>44</v>
      </c>
      <c r="P1018" s="25" t="s">
        <v>23</v>
      </c>
    </row>
    <row r="1019" spans="1:16" x14ac:dyDescent="0.25">
      <c r="A1019">
        <v>973</v>
      </c>
      <c r="B1019" s="25" t="s">
        <v>206</v>
      </c>
      <c r="C1019" s="26">
        <v>0.8125</v>
      </c>
      <c r="D1019" s="2">
        <v>46086</v>
      </c>
      <c r="E1019" s="25" t="s">
        <v>116</v>
      </c>
      <c r="F1019" s="25" t="s">
        <v>18</v>
      </c>
      <c r="G1019" s="25" t="s">
        <v>1468</v>
      </c>
      <c r="H1019" s="26">
        <v>0.82638888888888884</v>
      </c>
      <c r="I1019" s="26">
        <v>0.84722222222222221</v>
      </c>
      <c r="J1019" s="2">
        <v>46086</v>
      </c>
      <c r="K1019" s="25" t="s">
        <v>20</v>
      </c>
      <c r="L1019" s="25" t="s">
        <v>1469</v>
      </c>
      <c r="M1019" s="25" t="s">
        <v>22</v>
      </c>
      <c r="N1019" s="25" t="s">
        <v>22</v>
      </c>
      <c r="O1019" s="25" t="s">
        <v>44</v>
      </c>
      <c r="P1019" s="25" t="s">
        <v>23</v>
      </c>
    </row>
    <row r="1020" spans="1:16" x14ac:dyDescent="0.25">
      <c r="A1020">
        <v>974</v>
      </c>
      <c r="B1020" s="25" t="s">
        <v>206</v>
      </c>
      <c r="C1020" s="26">
        <v>0.70138888888888884</v>
      </c>
      <c r="D1020" s="2">
        <v>46086</v>
      </c>
      <c r="E1020" s="25" t="s">
        <v>94</v>
      </c>
      <c r="F1020" s="25" t="s">
        <v>18</v>
      </c>
      <c r="G1020" s="25" t="s">
        <v>1470</v>
      </c>
      <c r="H1020" s="26">
        <v>0.70138888888888884</v>
      </c>
      <c r="I1020" s="26">
        <v>0.71875</v>
      </c>
      <c r="J1020" s="2">
        <v>46086</v>
      </c>
      <c r="K1020" s="25" t="s">
        <v>25</v>
      </c>
      <c r="L1020" s="25" t="s">
        <v>1471</v>
      </c>
      <c r="M1020" s="25" t="s">
        <v>22</v>
      </c>
      <c r="N1020" s="25" t="s">
        <v>22</v>
      </c>
      <c r="O1020" s="25" t="s">
        <v>44</v>
      </c>
      <c r="P1020" s="25" t="s">
        <v>23</v>
      </c>
    </row>
    <row r="1021" spans="1:16" x14ac:dyDescent="0.25">
      <c r="A1021">
        <v>975</v>
      </c>
      <c r="B1021" s="25" t="s">
        <v>206</v>
      </c>
      <c r="C1021" s="26">
        <v>0.64930555555555558</v>
      </c>
      <c r="D1021" s="2">
        <v>46086</v>
      </c>
      <c r="E1021" s="25" t="s">
        <v>116</v>
      </c>
      <c r="F1021" s="25" t="s">
        <v>18</v>
      </c>
      <c r="G1021" s="25" t="s">
        <v>1472</v>
      </c>
      <c r="H1021" s="26">
        <v>0.64930555555555558</v>
      </c>
      <c r="I1021" s="26">
        <v>0.66666666666666663</v>
      </c>
      <c r="J1021" s="2">
        <v>46086</v>
      </c>
      <c r="K1021" s="25" t="s">
        <v>25</v>
      </c>
      <c r="L1021" s="25" t="s">
        <v>1473</v>
      </c>
      <c r="M1021" s="25" t="s">
        <v>22</v>
      </c>
      <c r="N1021" s="25" t="s">
        <v>22</v>
      </c>
      <c r="O1021" s="25" t="s">
        <v>44</v>
      </c>
      <c r="P1021" s="25" t="s">
        <v>23</v>
      </c>
    </row>
    <row r="1022" spans="1:16" x14ac:dyDescent="0.25">
      <c r="A1022">
        <v>976</v>
      </c>
      <c r="B1022" s="25" t="s">
        <v>261</v>
      </c>
      <c r="C1022" s="26">
        <v>0.96527777777777779</v>
      </c>
      <c r="D1022" s="2">
        <v>46086</v>
      </c>
      <c r="E1022" s="25" t="s">
        <v>91</v>
      </c>
      <c r="F1022" s="25" t="s">
        <v>18</v>
      </c>
      <c r="G1022" s="25" t="s">
        <v>1474</v>
      </c>
      <c r="H1022" s="26">
        <v>0.98611111111111116</v>
      </c>
      <c r="I1022" s="26">
        <v>0</v>
      </c>
      <c r="J1022" s="2">
        <v>46087</v>
      </c>
      <c r="K1022" s="25" t="s">
        <v>25</v>
      </c>
      <c r="L1022" s="25" t="s">
        <v>1475</v>
      </c>
      <c r="M1022" s="25" t="s">
        <v>22</v>
      </c>
      <c r="N1022" s="25" t="s">
        <v>22</v>
      </c>
      <c r="O1022" s="25" t="s">
        <v>112</v>
      </c>
      <c r="P1022" s="25" t="s">
        <v>23</v>
      </c>
    </row>
    <row r="1023" spans="1:16" x14ac:dyDescent="0.25">
      <c r="A1023">
        <v>977</v>
      </c>
      <c r="B1023" s="25" t="s">
        <v>341</v>
      </c>
      <c r="C1023" s="26">
        <v>0.94097222222222221</v>
      </c>
      <c r="D1023" s="2">
        <v>46086</v>
      </c>
      <c r="E1023" s="25" t="s">
        <v>143</v>
      </c>
      <c r="F1023" s="25" t="s">
        <v>18</v>
      </c>
      <c r="G1023" s="25" t="s">
        <v>1476</v>
      </c>
      <c r="H1023" s="26">
        <v>0.94097222222222221</v>
      </c>
      <c r="I1023" s="26">
        <v>0.95138888888888884</v>
      </c>
      <c r="J1023" s="2">
        <v>46086</v>
      </c>
      <c r="K1023" s="25" t="s">
        <v>48</v>
      </c>
      <c r="L1023" s="25" t="s">
        <v>1477</v>
      </c>
      <c r="M1023" s="25" t="s">
        <v>22</v>
      </c>
      <c r="N1023" s="25" t="s">
        <v>22</v>
      </c>
      <c r="O1023" s="25" t="s">
        <v>112</v>
      </c>
      <c r="P1023" s="25" t="s">
        <v>23</v>
      </c>
    </row>
    <row r="1024" spans="1:16" x14ac:dyDescent="0.25">
      <c r="A1024">
        <v>978</v>
      </c>
      <c r="B1024" s="25" t="s">
        <v>341</v>
      </c>
      <c r="C1024" s="26">
        <v>0.91666666666666663</v>
      </c>
      <c r="D1024" s="2">
        <v>46086</v>
      </c>
      <c r="E1024" s="25" t="s">
        <v>143</v>
      </c>
      <c r="F1024" s="25" t="s">
        <v>18</v>
      </c>
      <c r="G1024" s="25" t="s">
        <v>1478</v>
      </c>
      <c r="H1024" s="26">
        <v>0.91666666666666663</v>
      </c>
      <c r="I1024" s="26">
        <v>0.93055555555555558</v>
      </c>
      <c r="J1024" s="2">
        <v>46086</v>
      </c>
      <c r="K1024" s="25" t="s">
        <v>25</v>
      </c>
      <c r="L1024" s="25" t="s">
        <v>1479</v>
      </c>
      <c r="M1024" s="25" t="s">
        <v>1480</v>
      </c>
      <c r="N1024" s="25" t="s">
        <v>22</v>
      </c>
      <c r="O1024" s="25" t="s">
        <v>112</v>
      </c>
      <c r="P1024" s="25" t="s">
        <v>23</v>
      </c>
    </row>
    <row r="1025" spans="1:16" x14ac:dyDescent="0.25">
      <c r="A1025">
        <v>979</v>
      </c>
      <c r="B1025" s="25" t="s">
        <v>261</v>
      </c>
      <c r="C1025" s="26">
        <v>2.0833333333333332E-2</v>
      </c>
      <c r="D1025" s="2">
        <v>46087</v>
      </c>
      <c r="E1025" s="25" t="s">
        <v>91</v>
      </c>
      <c r="F1025" s="25" t="s">
        <v>18</v>
      </c>
      <c r="G1025" s="25" t="s">
        <v>1481</v>
      </c>
      <c r="H1025" s="26">
        <v>2.0833333333333332E-2</v>
      </c>
      <c r="I1025" s="26">
        <v>2.0833333333333332E-2</v>
      </c>
      <c r="J1025" s="2">
        <v>46092</v>
      </c>
      <c r="K1025" s="25" t="s">
        <v>25</v>
      </c>
      <c r="L1025" s="25" t="s">
        <v>1482</v>
      </c>
      <c r="M1025" s="25" t="s">
        <v>22</v>
      </c>
      <c r="N1025" s="25" t="s">
        <v>22</v>
      </c>
      <c r="O1025" s="25" t="s">
        <v>112</v>
      </c>
      <c r="P1025" s="25" t="s">
        <v>23</v>
      </c>
    </row>
    <row r="1026" spans="1:16" x14ac:dyDescent="0.25">
      <c r="A1026">
        <v>980</v>
      </c>
      <c r="B1026" s="25" t="s">
        <v>385</v>
      </c>
      <c r="C1026" s="26">
        <v>0.36805555555555558</v>
      </c>
      <c r="D1026" s="2">
        <v>46087</v>
      </c>
      <c r="E1026" s="25" t="s">
        <v>94</v>
      </c>
      <c r="F1026" s="25" t="s">
        <v>18</v>
      </c>
      <c r="G1026" s="25" t="s">
        <v>1483</v>
      </c>
      <c r="H1026" s="26">
        <v>0.47916666666666669</v>
      </c>
      <c r="I1026" s="26">
        <v>0.49305555555555558</v>
      </c>
      <c r="J1026" s="2">
        <v>46087</v>
      </c>
      <c r="K1026" s="25" t="s">
        <v>25</v>
      </c>
      <c r="L1026" s="25" t="s">
        <v>1484</v>
      </c>
      <c r="M1026" s="25" t="s">
        <v>1485</v>
      </c>
      <c r="N1026" s="25" t="s">
        <v>22</v>
      </c>
      <c r="O1026" s="25" t="s">
        <v>44</v>
      </c>
      <c r="P1026" s="25" t="s">
        <v>23</v>
      </c>
    </row>
    <row r="1027" spans="1:16" x14ac:dyDescent="0.25">
      <c r="A1027">
        <v>981</v>
      </c>
      <c r="B1027" s="25" t="s">
        <v>385</v>
      </c>
      <c r="C1027" s="26">
        <v>0.63888888888888884</v>
      </c>
      <c r="D1027" s="2">
        <v>46087</v>
      </c>
      <c r="E1027" s="25" t="s">
        <v>185</v>
      </c>
      <c r="F1027" s="25" t="s">
        <v>18</v>
      </c>
      <c r="G1027" s="25" t="s">
        <v>1486</v>
      </c>
      <c r="H1027" s="26">
        <v>0.63888888888888884</v>
      </c>
      <c r="I1027" s="26">
        <v>0.64583333333333337</v>
      </c>
      <c r="J1027" s="2">
        <v>46087</v>
      </c>
      <c r="K1027" s="25" t="s">
        <v>20</v>
      </c>
      <c r="L1027" s="25" t="s">
        <v>1487</v>
      </c>
      <c r="M1027" s="25" t="s">
        <v>22</v>
      </c>
      <c r="N1027" s="25" t="s">
        <v>22</v>
      </c>
      <c r="O1027" s="25" t="s">
        <v>44</v>
      </c>
      <c r="P1027" s="25" t="s">
        <v>23</v>
      </c>
    </row>
    <row r="1028" spans="1:16" x14ac:dyDescent="0.25">
      <c r="A1028">
        <v>982</v>
      </c>
      <c r="B1028" s="25" t="s">
        <v>16</v>
      </c>
      <c r="C1028" s="26">
        <v>0.70833333333333337</v>
      </c>
      <c r="D1028" s="2">
        <v>46087</v>
      </c>
      <c r="E1028" s="25" t="s">
        <v>116</v>
      </c>
      <c r="F1028" s="25" t="s">
        <v>18</v>
      </c>
      <c r="G1028" s="25" t="s">
        <v>1488</v>
      </c>
      <c r="H1028" s="26">
        <v>0.71527777777777779</v>
      </c>
      <c r="I1028" s="26">
        <v>0.75</v>
      </c>
      <c r="J1028" s="2">
        <v>46087</v>
      </c>
      <c r="K1028" s="25" t="s">
        <v>20</v>
      </c>
      <c r="L1028" s="25" t="s">
        <v>1489</v>
      </c>
      <c r="M1028" s="25" t="s">
        <v>22</v>
      </c>
      <c r="N1028" s="25" t="s">
        <v>22</v>
      </c>
      <c r="O1028" s="25" t="s">
        <v>44</v>
      </c>
      <c r="P1028" s="25" t="s">
        <v>23</v>
      </c>
    </row>
    <row r="1029" spans="1:16" x14ac:dyDescent="0.25">
      <c r="A1029">
        <v>983</v>
      </c>
      <c r="B1029" s="25" t="s">
        <v>16</v>
      </c>
      <c r="C1029" s="26">
        <v>0.47222222222222221</v>
      </c>
      <c r="D1029" s="2">
        <v>46088</v>
      </c>
      <c r="E1029" s="25" t="s">
        <v>116</v>
      </c>
      <c r="F1029" s="25" t="s">
        <v>18</v>
      </c>
      <c r="G1029" s="25" t="s">
        <v>1490</v>
      </c>
      <c r="H1029" s="26">
        <v>0.47222222222222221</v>
      </c>
      <c r="I1029" s="26">
        <v>0.94444444444444442</v>
      </c>
      <c r="J1029" s="2">
        <v>46088</v>
      </c>
      <c r="K1029" s="25" t="s">
        <v>20</v>
      </c>
      <c r="L1029" s="25" t="s">
        <v>1491</v>
      </c>
      <c r="M1029" s="25" t="s">
        <v>1383</v>
      </c>
      <c r="N1029" s="25" t="s">
        <v>22</v>
      </c>
      <c r="O1029" s="25" t="s">
        <v>661</v>
      </c>
      <c r="P1029" s="25" t="s">
        <v>23</v>
      </c>
    </row>
    <row r="1030" spans="1:16" x14ac:dyDescent="0.25">
      <c r="A1030">
        <v>984</v>
      </c>
      <c r="B1030" s="25" t="s">
        <v>385</v>
      </c>
      <c r="C1030" s="26">
        <v>0.89583333333333337</v>
      </c>
      <c r="D1030" s="2">
        <v>46091</v>
      </c>
      <c r="E1030" s="25" t="s">
        <v>116</v>
      </c>
      <c r="F1030" s="25" t="s">
        <v>1366</v>
      </c>
      <c r="G1030" s="25" t="s">
        <v>1492</v>
      </c>
      <c r="H1030" s="26">
        <v>0.89583333333333337</v>
      </c>
      <c r="I1030" s="26">
        <v>0.90625</v>
      </c>
      <c r="J1030" s="2">
        <v>46091</v>
      </c>
      <c r="K1030" s="25" t="s">
        <v>25</v>
      </c>
      <c r="L1030" s="25" t="s">
        <v>1493</v>
      </c>
      <c r="M1030" s="25" t="s">
        <v>22</v>
      </c>
      <c r="N1030" s="25" t="s">
        <v>22</v>
      </c>
      <c r="O1030" s="25" t="s">
        <v>44</v>
      </c>
      <c r="P1030" s="25" t="s">
        <v>23</v>
      </c>
    </row>
    <row r="1031" spans="1:16" x14ac:dyDescent="0.25">
      <c r="A1031">
        <v>985</v>
      </c>
      <c r="B1031" s="25" t="s">
        <v>385</v>
      </c>
      <c r="C1031" s="26">
        <v>0.65277777777777779</v>
      </c>
      <c r="D1031" s="2">
        <v>46088</v>
      </c>
      <c r="E1031" s="25" t="s">
        <v>185</v>
      </c>
      <c r="F1031" s="25" t="s">
        <v>18</v>
      </c>
      <c r="G1031" s="25" t="s">
        <v>1494</v>
      </c>
      <c r="H1031" s="26">
        <v>0.65277777777777779</v>
      </c>
      <c r="I1031" s="26">
        <v>0.70833333333333337</v>
      </c>
      <c r="J1031" s="2">
        <v>46088</v>
      </c>
      <c r="K1031" s="25" t="s">
        <v>25</v>
      </c>
      <c r="L1031" s="25" t="s">
        <v>1495</v>
      </c>
      <c r="M1031" s="25" t="s">
        <v>22</v>
      </c>
      <c r="N1031" s="25" t="s">
        <v>22</v>
      </c>
      <c r="O1031" s="25" t="s">
        <v>108</v>
      </c>
      <c r="P1031" s="25" t="s">
        <v>23</v>
      </c>
    </row>
    <row r="1032" spans="1:16" x14ac:dyDescent="0.25">
      <c r="A1032">
        <v>986</v>
      </c>
      <c r="B1032" s="25" t="s">
        <v>93</v>
      </c>
      <c r="C1032" s="26">
        <v>0.77430555555555558</v>
      </c>
      <c r="D1032" s="2">
        <v>46088</v>
      </c>
      <c r="E1032" s="25" t="s">
        <v>94</v>
      </c>
      <c r="F1032" s="25" t="s">
        <v>18</v>
      </c>
      <c r="G1032" s="25" t="s">
        <v>1496</v>
      </c>
      <c r="H1032" s="26">
        <v>0.77777777777777779</v>
      </c>
      <c r="I1032" s="26">
        <v>0.83333333333333337</v>
      </c>
      <c r="J1032" s="2">
        <v>46088</v>
      </c>
      <c r="K1032" s="25" t="s">
        <v>25</v>
      </c>
      <c r="L1032" s="25" t="s">
        <v>1497</v>
      </c>
      <c r="M1032" s="25" t="s">
        <v>1498</v>
      </c>
      <c r="N1032" s="25" t="s">
        <v>22</v>
      </c>
      <c r="O1032" s="25" t="s">
        <v>661</v>
      </c>
      <c r="P1032" s="25" t="s">
        <v>23</v>
      </c>
    </row>
    <row r="1033" spans="1:16" x14ac:dyDescent="0.25">
      <c r="A1033">
        <v>987</v>
      </c>
      <c r="B1033" s="25" t="s">
        <v>1515</v>
      </c>
      <c r="C1033" s="26">
        <v>0.61388888888888893</v>
      </c>
      <c r="D1033" s="2">
        <v>46094</v>
      </c>
      <c r="E1033" s="25" t="s">
        <v>143</v>
      </c>
      <c r="F1033" s="25" t="s">
        <v>18</v>
      </c>
      <c r="G1033" s="25" t="s">
        <v>1576</v>
      </c>
      <c r="H1033" s="26">
        <v>0.61458333333333337</v>
      </c>
      <c r="I1033" s="26">
        <v>0.63194444444444442</v>
      </c>
      <c r="J1033" s="2">
        <v>46094</v>
      </c>
      <c r="K1033" s="25" t="s">
        <v>25</v>
      </c>
      <c r="L1033" s="25" t="s">
        <v>1577</v>
      </c>
      <c r="M1033" s="25" t="s">
        <v>1578</v>
      </c>
      <c r="N1033" s="25" t="s">
        <v>22</v>
      </c>
      <c r="O1033" s="25" t="s">
        <v>44</v>
      </c>
      <c r="P1033" s="25" t="s">
        <v>23</v>
      </c>
    </row>
    <row r="1034" spans="1:16" x14ac:dyDescent="0.25">
      <c r="A1034">
        <v>988</v>
      </c>
      <c r="B1034" s="25" t="s">
        <v>93</v>
      </c>
      <c r="C1034" s="26">
        <v>0.27083333333333331</v>
      </c>
      <c r="D1034" s="2">
        <v>46090</v>
      </c>
      <c r="E1034" s="25" t="s">
        <v>116</v>
      </c>
      <c r="F1034" s="25" t="s">
        <v>18</v>
      </c>
      <c r="G1034" s="25" t="s">
        <v>1499</v>
      </c>
      <c r="H1034" s="26">
        <v>0.27083333333333331</v>
      </c>
      <c r="I1034" s="26">
        <v>0.33333333333333331</v>
      </c>
      <c r="J1034" s="2">
        <v>46090</v>
      </c>
      <c r="K1034" s="25" t="s">
        <v>20</v>
      </c>
      <c r="L1034" s="25" t="s">
        <v>1500</v>
      </c>
      <c r="M1034" s="25" t="s">
        <v>1501</v>
      </c>
      <c r="N1034" s="25" t="s">
        <v>22</v>
      </c>
      <c r="O1034" s="25" t="s">
        <v>44</v>
      </c>
      <c r="P1034" s="25" t="s">
        <v>23</v>
      </c>
    </row>
    <row r="1035" spans="1:16" x14ac:dyDescent="0.25">
      <c r="A1035">
        <v>989</v>
      </c>
      <c r="B1035" s="25" t="s">
        <v>1358</v>
      </c>
      <c r="C1035" s="26">
        <v>0.28472222222222221</v>
      </c>
      <c r="D1035" s="2">
        <v>46090</v>
      </c>
      <c r="E1035" s="25" t="s">
        <v>154</v>
      </c>
      <c r="F1035" s="25" t="s">
        <v>18</v>
      </c>
      <c r="G1035" s="25" t="s">
        <v>1502</v>
      </c>
      <c r="H1035" s="26">
        <v>0.28472222222222221</v>
      </c>
      <c r="I1035" s="26">
        <v>0.34375</v>
      </c>
      <c r="J1035" s="2">
        <v>46090</v>
      </c>
      <c r="K1035" s="25" t="s">
        <v>25</v>
      </c>
      <c r="L1035" s="25" t="s">
        <v>1503</v>
      </c>
      <c r="M1035" s="25" t="s">
        <v>22</v>
      </c>
      <c r="N1035" s="25" t="s">
        <v>22</v>
      </c>
      <c r="O1035" s="25" t="s">
        <v>108</v>
      </c>
      <c r="P1035" s="25" t="s">
        <v>23</v>
      </c>
    </row>
    <row r="1036" spans="1:16" x14ac:dyDescent="0.25">
      <c r="A1036">
        <v>990</v>
      </c>
      <c r="B1036" s="25" t="s">
        <v>93</v>
      </c>
      <c r="C1036" s="26">
        <v>0.54166666666666663</v>
      </c>
      <c r="D1036" s="2">
        <v>46090</v>
      </c>
      <c r="E1036" s="25" t="s">
        <v>94</v>
      </c>
      <c r="F1036" s="25" t="s">
        <v>18</v>
      </c>
      <c r="G1036" s="25" t="s">
        <v>1504</v>
      </c>
      <c r="H1036" s="26">
        <v>0.54166666666666663</v>
      </c>
      <c r="I1036" s="26">
        <v>0.56597222222222221</v>
      </c>
      <c r="J1036" s="2">
        <v>46090</v>
      </c>
      <c r="K1036" s="25" t="s">
        <v>25</v>
      </c>
      <c r="L1036" s="25" t="s">
        <v>1505</v>
      </c>
      <c r="M1036" s="25" t="s">
        <v>1506</v>
      </c>
      <c r="N1036" s="25" t="s">
        <v>22</v>
      </c>
      <c r="O1036" s="25" t="s">
        <v>108</v>
      </c>
      <c r="P1036" s="25" t="s">
        <v>23</v>
      </c>
    </row>
    <row r="1037" spans="1:16" x14ac:dyDescent="0.25">
      <c r="A1037">
        <v>991</v>
      </c>
      <c r="B1037" s="25" t="s">
        <v>317</v>
      </c>
      <c r="C1037" s="26">
        <v>0.6333333333333333</v>
      </c>
      <c r="D1037" s="2">
        <v>46090</v>
      </c>
      <c r="E1037" s="25" t="s">
        <v>104</v>
      </c>
      <c r="F1037" s="25" t="s">
        <v>18</v>
      </c>
      <c r="G1037" s="25" t="s">
        <v>1507</v>
      </c>
      <c r="H1037" s="26">
        <v>0.63541666666666663</v>
      </c>
      <c r="I1037" s="26">
        <v>0.66666666666666663</v>
      </c>
      <c r="J1037" s="2">
        <v>46090</v>
      </c>
      <c r="K1037" s="25" t="s">
        <v>25</v>
      </c>
      <c r="L1037" s="25" t="s">
        <v>1508</v>
      </c>
      <c r="M1037" s="25" t="s">
        <v>22</v>
      </c>
      <c r="N1037" s="25" t="s">
        <v>22</v>
      </c>
      <c r="O1037" s="25" t="s">
        <v>44</v>
      </c>
      <c r="P1037" s="25" t="s">
        <v>23</v>
      </c>
    </row>
    <row r="1038" spans="1:16" x14ac:dyDescent="0.25">
      <c r="A1038">
        <v>992</v>
      </c>
      <c r="B1038" s="25" t="s">
        <v>199</v>
      </c>
      <c r="C1038" s="26">
        <v>0.27777777777777779</v>
      </c>
      <c r="D1038" s="2">
        <v>46091</v>
      </c>
      <c r="E1038" s="25" t="s">
        <v>307</v>
      </c>
      <c r="F1038" s="25" t="s">
        <v>18</v>
      </c>
      <c r="G1038" s="25" t="s">
        <v>1509</v>
      </c>
      <c r="H1038" s="26">
        <v>0.28472222222222221</v>
      </c>
      <c r="I1038" s="26">
        <v>0.2986111111111111</v>
      </c>
      <c r="J1038" s="2">
        <v>46091</v>
      </c>
      <c r="K1038" s="25" t="s">
        <v>20</v>
      </c>
      <c r="L1038" s="25" t="s">
        <v>1594</v>
      </c>
      <c r="M1038" s="25" t="s">
        <v>22</v>
      </c>
      <c r="N1038" s="25" t="s">
        <v>22</v>
      </c>
      <c r="O1038" s="25" t="s">
        <v>661</v>
      </c>
      <c r="P1038" s="25" t="s">
        <v>23</v>
      </c>
    </row>
    <row r="1039" spans="1:16" x14ac:dyDescent="0.25">
      <c r="A1039">
        <v>993</v>
      </c>
      <c r="B1039" s="25"/>
      <c r="C1039" s="26"/>
      <c r="D1039" s="2"/>
      <c r="E1039" s="25"/>
      <c r="F1039" s="25"/>
      <c r="G1039" s="25"/>
      <c r="H1039" s="26"/>
      <c r="I1039" s="26"/>
      <c r="J1039" s="2"/>
      <c r="K1039" s="25"/>
      <c r="L1039" s="25"/>
      <c r="M1039" s="25"/>
      <c r="N1039" s="25"/>
      <c r="O1039" s="25"/>
      <c r="P1039" s="25"/>
    </row>
    <row r="1040" spans="1:16" x14ac:dyDescent="0.25">
      <c r="A1040">
        <v>994</v>
      </c>
      <c r="B1040" s="25"/>
      <c r="C1040" s="26"/>
      <c r="D1040" s="2"/>
      <c r="E1040" s="25"/>
      <c r="F1040" s="25"/>
      <c r="G1040" s="25"/>
      <c r="H1040" s="26"/>
      <c r="I1040" s="26"/>
      <c r="J1040" s="2"/>
      <c r="K1040" s="25"/>
      <c r="L1040" s="25"/>
      <c r="M1040" s="25"/>
      <c r="N1040" s="25"/>
      <c r="O1040" s="25"/>
      <c r="P1040" s="25"/>
    </row>
    <row r="1041" spans="1:16" x14ac:dyDescent="0.25">
      <c r="A1041">
        <v>995</v>
      </c>
      <c r="B1041" s="25" t="s">
        <v>526</v>
      </c>
      <c r="C1041" s="26">
        <v>0.84027777777777779</v>
      </c>
      <c r="D1041" s="2">
        <v>46091</v>
      </c>
      <c r="E1041" s="25" t="s">
        <v>188</v>
      </c>
      <c r="F1041" s="25" t="s">
        <v>18</v>
      </c>
      <c r="G1041" s="25" t="s">
        <v>1510</v>
      </c>
      <c r="H1041" s="26">
        <v>0.84375</v>
      </c>
      <c r="I1041" s="26">
        <v>0.85416666666666663</v>
      </c>
      <c r="J1041" s="2">
        <v>46091</v>
      </c>
      <c r="K1041" s="25" t="s">
        <v>25</v>
      </c>
      <c r="L1041" s="25" t="s">
        <v>1511</v>
      </c>
      <c r="M1041" s="25" t="s">
        <v>22</v>
      </c>
      <c r="N1041" s="25" t="s">
        <v>22</v>
      </c>
      <c r="O1041" s="25" t="s">
        <v>44</v>
      </c>
      <c r="P1041" s="25" t="s">
        <v>23</v>
      </c>
    </row>
    <row r="1042" spans="1:16" x14ac:dyDescent="0.25">
      <c r="A1042">
        <v>996</v>
      </c>
      <c r="B1042" s="25" t="s">
        <v>385</v>
      </c>
      <c r="C1042" s="26">
        <v>0.84027777777777779</v>
      </c>
      <c r="D1042" s="2">
        <v>46091</v>
      </c>
      <c r="E1042" s="25" t="s">
        <v>94</v>
      </c>
      <c r="F1042" s="25" t="s">
        <v>18</v>
      </c>
      <c r="G1042" s="25" t="s">
        <v>1512</v>
      </c>
      <c r="H1042" s="26">
        <v>0.85416666666666663</v>
      </c>
      <c r="I1042" s="26">
        <v>0.89583333333333337</v>
      </c>
      <c r="J1042" s="2">
        <v>46091</v>
      </c>
      <c r="K1042" s="25" t="s">
        <v>25</v>
      </c>
      <c r="L1042" s="25" t="s">
        <v>1513</v>
      </c>
      <c r="M1042" s="25" t="s">
        <v>1514</v>
      </c>
      <c r="N1042" s="25" t="s">
        <v>22</v>
      </c>
      <c r="O1042" s="25" t="s">
        <v>44</v>
      </c>
      <c r="P1042" s="25" t="s">
        <v>23</v>
      </c>
    </row>
    <row r="1043" spans="1:16" x14ac:dyDescent="0.25">
      <c r="A1043">
        <v>997</v>
      </c>
      <c r="B1043" s="25" t="s">
        <v>206</v>
      </c>
      <c r="C1043" s="26">
        <v>0</v>
      </c>
      <c r="D1043" s="2">
        <v>46092</v>
      </c>
      <c r="E1043" s="25" t="s">
        <v>116</v>
      </c>
      <c r="F1043" s="25" t="s">
        <v>18</v>
      </c>
      <c r="G1043" s="25" t="s">
        <v>1603</v>
      </c>
      <c r="H1043" s="26"/>
      <c r="I1043" s="26"/>
      <c r="J1043" s="2"/>
      <c r="K1043" s="25"/>
      <c r="L1043" s="25"/>
      <c r="M1043" s="25"/>
      <c r="N1043" s="25"/>
      <c r="O1043" s="25"/>
      <c r="P1043" s="25"/>
    </row>
    <row r="1044" spans="1:16" x14ac:dyDescent="0.25">
      <c r="A1044">
        <v>998</v>
      </c>
      <c r="B1044" s="25" t="s">
        <v>1515</v>
      </c>
      <c r="C1044" s="26">
        <v>0.20833333333333334</v>
      </c>
      <c r="D1044" s="2">
        <v>46092</v>
      </c>
      <c r="E1044" s="25" t="s">
        <v>143</v>
      </c>
      <c r="F1044" s="25" t="s">
        <v>18</v>
      </c>
      <c r="G1044" s="25" t="s">
        <v>1516</v>
      </c>
      <c r="H1044" s="26">
        <v>0.20833333333333334</v>
      </c>
      <c r="I1044" s="26">
        <v>0.21527777777777779</v>
      </c>
      <c r="J1044" s="2">
        <v>46092</v>
      </c>
      <c r="K1044" s="25" t="s">
        <v>25</v>
      </c>
      <c r="L1044" s="25" t="s">
        <v>1517</v>
      </c>
      <c r="M1044" s="25" t="s">
        <v>22</v>
      </c>
      <c r="N1044" s="25" t="s">
        <v>1518</v>
      </c>
      <c r="O1044" s="25" t="s">
        <v>44</v>
      </c>
      <c r="P1044" s="25" t="s">
        <v>23</v>
      </c>
    </row>
    <row r="1045" spans="1:16" x14ac:dyDescent="0.25">
      <c r="A1045">
        <v>999</v>
      </c>
      <c r="B1045" s="25" t="s">
        <v>341</v>
      </c>
      <c r="C1045" s="26">
        <v>0.31944444444444442</v>
      </c>
      <c r="D1045" s="2">
        <v>46092</v>
      </c>
      <c r="E1045" s="25" t="s">
        <v>143</v>
      </c>
      <c r="F1045" s="25" t="s">
        <v>18</v>
      </c>
      <c r="G1045" s="25" t="s">
        <v>1519</v>
      </c>
      <c r="H1045" s="26">
        <v>0.31944444444444442</v>
      </c>
      <c r="I1045" s="26">
        <v>0.33333333333333331</v>
      </c>
      <c r="J1045" s="2">
        <v>46092</v>
      </c>
      <c r="K1045" s="25" t="s">
        <v>25</v>
      </c>
      <c r="L1045" s="25" t="s">
        <v>1520</v>
      </c>
      <c r="M1045" s="25" t="s">
        <v>22</v>
      </c>
      <c r="N1045" s="25" t="s">
        <v>22</v>
      </c>
      <c r="O1045" s="25" t="s">
        <v>112</v>
      </c>
      <c r="P1045" s="25" t="s">
        <v>23</v>
      </c>
    </row>
    <row r="1046" spans="1:16" x14ac:dyDescent="0.25">
      <c r="A1046">
        <v>1000</v>
      </c>
      <c r="B1046" s="25" t="s">
        <v>256</v>
      </c>
      <c r="C1046" s="26">
        <v>0.375</v>
      </c>
      <c r="D1046" s="2">
        <v>46092</v>
      </c>
      <c r="E1046" s="25" t="s">
        <v>162</v>
      </c>
      <c r="F1046" s="25" t="s">
        <v>18</v>
      </c>
      <c r="G1046" s="25" t="s">
        <v>1521</v>
      </c>
      <c r="H1046" s="26">
        <v>0.375</v>
      </c>
      <c r="I1046" s="26">
        <v>0.3888888888888889</v>
      </c>
      <c r="J1046" s="2">
        <v>46092</v>
      </c>
      <c r="K1046" s="25" t="s">
        <v>25</v>
      </c>
      <c r="L1046" s="25" t="s">
        <v>1522</v>
      </c>
      <c r="M1046" s="25" t="s">
        <v>22</v>
      </c>
      <c r="N1046" s="25" t="s">
        <v>22</v>
      </c>
      <c r="O1046" s="25" t="s">
        <v>112</v>
      </c>
      <c r="P1046" s="25" t="s">
        <v>23</v>
      </c>
    </row>
    <row r="1047" spans="1:16" x14ac:dyDescent="0.25">
      <c r="B1047" s="25"/>
      <c r="C1047" s="26"/>
      <c r="D1047" s="2"/>
      <c r="E1047" s="25"/>
      <c r="F1047" s="25"/>
      <c r="G1047" s="25"/>
      <c r="H1047" s="26"/>
      <c r="I1047" s="26"/>
      <c r="J1047" s="2"/>
      <c r="K1047" s="25"/>
      <c r="L1047" s="25"/>
      <c r="M1047" s="25"/>
      <c r="N1047" s="25"/>
      <c r="O1047" s="25"/>
      <c r="P1047" s="25"/>
    </row>
    <row r="1048" spans="1:16" x14ac:dyDescent="0.25">
      <c r="A1048" t="s">
        <v>0</v>
      </c>
      <c r="B1048" s="25" t="s">
        <v>1</v>
      </c>
      <c r="C1048" s="26"/>
      <c r="D1048" s="2"/>
      <c r="E1048" s="25" t="s">
        <v>4</v>
      </c>
      <c r="F1048" s="25" t="s">
        <v>5</v>
      </c>
      <c r="G1048" s="25" t="s">
        <v>6</v>
      </c>
      <c r="H1048" s="26"/>
      <c r="I1048" s="26"/>
      <c r="J1048" s="2"/>
      <c r="K1048" s="25" t="s">
        <v>10</v>
      </c>
      <c r="L1048" s="25" t="s">
        <v>11</v>
      </c>
      <c r="M1048" s="25" t="s">
        <v>12</v>
      </c>
      <c r="N1048" s="25" t="s">
        <v>13</v>
      </c>
      <c r="O1048" s="25" t="s">
        <v>14</v>
      </c>
      <c r="P1048" s="25" t="s">
        <v>15</v>
      </c>
    </row>
    <row r="1049" spans="1:16" x14ac:dyDescent="0.25">
      <c r="A1049">
        <v>1001</v>
      </c>
      <c r="B1049" s="25" t="s">
        <v>44</v>
      </c>
      <c r="C1049" s="26">
        <v>0.4861111111111111</v>
      </c>
      <c r="D1049" s="2">
        <v>46090</v>
      </c>
      <c r="E1049" s="25" t="s">
        <v>162</v>
      </c>
      <c r="F1049" s="25" t="s">
        <v>18</v>
      </c>
      <c r="G1049" s="25" t="s">
        <v>1523</v>
      </c>
      <c r="H1049" s="26"/>
      <c r="I1049" s="26"/>
      <c r="J1049" s="2"/>
      <c r="K1049" s="25"/>
      <c r="L1049" s="25"/>
      <c r="M1049" s="25"/>
      <c r="N1049" s="25"/>
      <c r="O1049" s="25"/>
      <c r="P1049" s="25" t="s">
        <v>33</v>
      </c>
    </row>
    <row r="1050" spans="1:16" x14ac:dyDescent="0.25">
      <c r="A1050">
        <v>1002</v>
      </c>
      <c r="B1050" s="25" t="s">
        <v>44</v>
      </c>
      <c r="C1050" s="26">
        <v>0.5</v>
      </c>
      <c r="D1050" s="2">
        <v>46090</v>
      </c>
      <c r="E1050" s="25" t="s">
        <v>782</v>
      </c>
      <c r="F1050" s="25" t="s">
        <v>18</v>
      </c>
      <c r="G1050" s="25" t="s">
        <v>1524</v>
      </c>
      <c r="H1050" s="26"/>
      <c r="I1050" s="26"/>
      <c r="J1050" s="2"/>
      <c r="K1050" s="25"/>
      <c r="L1050" s="25"/>
      <c r="M1050" s="25"/>
      <c r="N1050" s="25"/>
      <c r="O1050" s="25"/>
      <c r="P1050" s="25" t="s">
        <v>33</v>
      </c>
    </row>
    <row r="1051" spans="1:16" x14ac:dyDescent="0.25">
      <c r="A1051">
        <v>1003</v>
      </c>
      <c r="B1051" s="25" t="s">
        <v>44</v>
      </c>
      <c r="C1051" s="26">
        <v>0.50347222222222221</v>
      </c>
      <c r="D1051" s="2">
        <v>46090</v>
      </c>
      <c r="E1051" s="25" t="s">
        <v>154</v>
      </c>
      <c r="F1051" s="25" t="s">
        <v>18</v>
      </c>
      <c r="G1051" s="25" t="s">
        <v>1525</v>
      </c>
      <c r="H1051" s="26"/>
      <c r="I1051" s="26"/>
      <c r="J1051" s="2"/>
      <c r="K1051" s="25"/>
      <c r="L1051" s="25"/>
      <c r="M1051" s="25"/>
      <c r="N1051" s="25"/>
      <c r="O1051" s="25"/>
      <c r="P1051" s="25" t="s">
        <v>33</v>
      </c>
    </row>
    <row r="1052" spans="1:16" x14ac:dyDescent="0.25">
      <c r="A1052">
        <v>1004</v>
      </c>
      <c r="B1052" s="25"/>
      <c r="C1052" s="26"/>
      <c r="D1052" s="2"/>
      <c r="E1052" s="25"/>
      <c r="F1052" s="25"/>
      <c r="G1052" s="25"/>
      <c r="H1052" s="26"/>
      <c r="I1052" s="26"/>
      <c r="J1052" s="2"/>
      <c r="K1052" s="25"/>
      <c r="L1052" s="25"/>
      <c r="M1052" s="25"/>
      <c r="N1052" s="25"/>
      <c r="O1052" s="25"/>
      <c r="P1052" s="25"/>
    </row>
    <row r="1053" spans="1:16" x14ac:dyDescent="0.25">
      <c r="A1053">
        <v>1005</v>
      </c>
      <c r="B1053" s="25" t="s">
        <v>103</v>
      </c>
      <c r="C1053" s="26">
        <v>0.30902777777777779</v>
      </c>
      <c r="D1053" s="2">
        <v>46092</v>
      </c>
      <c r="E1053" s="25" t="s">
        <v>307</v>
      </c>
      <c r="F1053" s="25" t="s">
        <v>18</v>
      </c>
      <c r="G1053" s="25" t="s">
        <v>1526</v>
      </c>
      <c r="H1053" s="26">
        <v>0.30902777777777779</v>
      </c>
      <c r="I1053" s="26">
        <v>0.31944444444444442</v>
      </c>
      <c r="J1053" s="2">
        <v>46092</v>
      </c>
      <c r="K1053" s="25" t="s">
        <v>25</v>
      </c>
      <c r="L1053" s="25" t="s">
        <v>1527</v>
      </c>
      <c r="M1053" s="25" t="s">
        <v>22</v>
      </c>
      <c r="N1053" s="25" t="s">
        <v>22</v>
      </c>
      <c r="O1053" s="25" t="s">
        <v>112</v>
      </c>
      <c r="P1053" s="25" t="s">
        <v>23</v>
      </c>
    </row>
    <row r="1054" spans="1:16" x14ac:dyDescent="0.25">
      <c r="A1054">
        <v>1006</v>
      </c>
      <c r="B1054" s="25" t="s">
        <v>176</v>
      </c>
      <c r="C1054" s="26">
        <v>0.44444444444444442</v>
      </c>
      <c r="D1054" s="2">
        <v>46092</v>
      </c>
      <c r="E1054" s="25" t="s">
        <v>116</v>
      </c>
      <c r="F1054" s="25" t="s">
        <v>18</v>
      </c>
      <c r="G1054" s="25" t="s">
        <v>1528</v>
      </c>
      <c r="H1054" s="26">
        <v>0.44444444444444442</v>
      </c>
      <c r="I1054" s="26">
        <v>0.46527777777777779</v>
      </c>
      <c r="J1054" s="2">
        <v>46092</v>
      </c>
      <c r="K1054" s="25" t="s">
        <v>20</v>
      </c>
      <c r="L1054" s="25" t="s">
        <v>1529</v>
      </c>
      <c r="M1054" s="25" t="s">
        <v>22</v>
      </c>
      <c r="N1054" s="25" t="s">
        <v>22</v>
      </c>
      <c r="O1054" s="25" t="s">
        <v>112</v>
      </c>
      <c r="P1054" s="25" t="s">
        <v>23</v>
      </c>
    </row>
    <row r="1055" spans="1:16" x14ac:dyDescent="0.25">
      <c r="A1055">
        <v>1007</v>
      </c>
      <c r="B1055" s="25" t="s">
        <v>103</v>
      </c>
      <c r="C1055" s="26">
        <v>0.59375</v>
      </c>
      <c r="D1055" s="2">
        <v>46092</v>
      </c>
      <c r="E1055" s="25" t="s">
        <v>307</v>
      </c>
      <c r="F1055" s="25" t="s">
        <v>18</v>
      </c>
      <c r="G1055" s="25" t="s">
        <v>1530</v>
      </c>
      <c r="H1055" s="26">
        <v>0.59375</v>
      </c>
      <c r="I1055" s="26">
        <v>0.60416666666666663</v>
      </c>
      <c r="J1055" s="2">
        <v>46092</v>
      </c>
      <c r="K1055" s="25" t="s">
        <v>20</v>
      </c>
      <c r="L1055" s="25" t="s">
        <v>1531</v>
      </c>
      <c r="M1055" s="25" t="s">
        <v>22</v>
      </c>
      <c r="N1055" s="25" t="s">
        <v>22</v>
      </c>
      <c r="O1055" s="25" t="s">
        <v>108</v>
      </c>
      <c r="P1055" s="25" t="s">
        <v>23</v>
      </c>
    </row>
    <row r="1056" spans="1:16" x14ac:dyDescent="0.25">
      <c r="A1056">
        <v>1008</v>
      </c>
      <c r="B1056" s="25"/>
      <c r="C1056" s="26"/>
      <c r="D1056" s="2"/>
      <c r="E1056" s="25"/>
      <c r="F1056" s="25"/>
      <c r="G1056" s="25"/>
      <c r="H1056" s="26"/>
      <c r="I1056" s="26"/>
      <c r="J1056" s="2"/>
      <c r="K1056" s="25"/>
      <c r="L1056" s="25"/>
      <c r="M1056" s="25"/>
      <c r="N1056" s="25"/>
      <c r="O1056" s="25"/>
      <c r="P1056" s="25"/>
    </row>
    <row r="1057" spans="1:16" x14ac:dyDescent="0.25">
      <c r="A1057">
        <v>1009</v>
      </c>
      <c r="B1057" s="25" t="s">
        <v>199</v>
      </c>
      <c r="C1057" s="26">
        <v>0.78125</v>
      </c>
      <c r="D1057" s="2">
        <v>46092</v>
      </c>
      <c r="E1057" s="25" t="s">
        <v>307</v>
      </c>
      <c r="F1057" s="25" t="s">
        <v>18</v>
      </c>
      <c r="G1057" s="25" t="s">
        <v>1532</v>
      </c>
      <c r="H1057" s="26">
        <v>0.78125</v>
      </c>
      <c r="I1057" s="26">
        <v>0.85069444444444442</v>
      </c>
      <c r="J1057" s="2">
        <v>46092</v>
      </c>
      <c r="K1057" s="25" t="s">
        <v>20</v>
      </c>
      <c r="L1057" s="25" t="s">
        <v>1533</v>
      </c>
      <c r="M1057" s="25" t="s">
        <v>1389</v>
      </c>
      <c r="N1057" s="25" t="s">
        <v>22</v>
      </c>
      <c r="O1057" s="25" t="s">
        <v>108</v>
      </c>
      <c r="P1057" s="25" t="s">
        <v>23</v>
      </c>
    </row>
    <row r="1058" spans="1:16" x14ac:dyDescent="0.25">
      <c r="A1058">
        <v>1010</v>
      </c>
      <c r="B1058" s="25" t="s">
        <v>187</v>
      </c>
      <c r="C1058" s="26">
        <v>0.18402777777777779</v>
      </c>
      <c r="D1058" s="2">
        <v>46093</v>
      </c>
      <c r="E1058" s="25" t="s">
        <v>91</v>
      </c>
      <c r="F1058" s="25" t="s">
        <v>18</v>
      </c>
      <c r="G1058" s="25" t="s">
        <v>1543</v>
      </c>
      <c r="H1058" s="26">
        <v>0.19097222222222221</v>
      </c>
      <c r="I1058" s="26">
        <v>0.22222222222222221</v>
      </c>
      <c r="J1058" s="2">
        <v>46093</v>
      </c>
      <c r="K1058" s="25" t="s">
        <v>20</v>
      </c>
      <c r="L1058" s="25" t="s">
        <v>1544</v>
      </c>
      <c r="M1058" s="25" t="s">
        <v>1545</v>
      </c>
      <c r="N1058" s="25" t="s">
        <v>22</v>
      </c>
      <c r="O1058" s="25" t="s">
        <v>661</v>
      </c>
      <c r="P1058" s="25" t="s">
        <v>23</v>
      </c>
    </row>
    <row r="1059" spans="1:16" x14ac:dyDescent="0.25">
      <c r="A1059">
        <v>1011</v>
      </c>
      <c r="B1059" s="25" t="s">
        <v>93</v>
      </c>
      <c r="C1059" s="26">
        <v>0.34375</v>
      </c>
      <c r="D1059" s="2">
        <v>46093</v>
      </c>
      <c r="E1059" s="25" t="s">
        <v>116</v>
      </c>
      <c r="F1059" s="25" t="s">
        <v>18</v>
      </c>
      <c r="G1059" s="25" t="s">
        <v>1546</v>
      </c>
      <c r="H1059" s="26">
        <v>0.36805555555555558</v>
      </c>
      <c r="I1059" s="26">
        <v>0.40625</v>
      </c>
      <c r="J1059" s="2">
        <v>46093</v>
      </c>
      <c r="K1059" s="25" t="s">
        <v>20</v>
      </c>
      <c r="L1059" s="25" t="s">
        <v>1547</v>
      </c>
      <c r="M1059" s="25" t="s">
        <v>1389</v>
      </c>
      <c r="N1059" s="25" t="s">
        <v>22</v>
      </c>
      <c r="O1059" s="25" t="s">
        <v>112</v>
      </c>
      <c r="P1059" s="25" t="s">
        <v>23</v>
      </c>
    </row>
    <row r="1060" spans="1:16" x14ac:dyDescent="0.25">
      <c r="A1060">
        <v>1012</v>
      </c>
      <c r="B1060" s="25" t="s">
        <v>132</v>
      </c>
      <c r="C1060" s="26">
        <v>0.26041666666666669</v>
      </c>
      <c r="D1060" s="2">
        <v>46093</v>
      </c>
      <c r="E1060" s="25" t="s">
        <v>91</v>
      </c>
      <c r="F1060" s="25" t="s">
        <v>18</v>
      </c>
      <c r="G1060" s="25" t="s">
        <v>1548</v>
      </c>
      <c r="H1060" s="26">
        <v>0.26041666666666669</v>
      </c>
      <c r="I1060" s="26">
        <v>0.3125</v>
      </c>
      <c r="J1060" s="2">
        <v>46093</v>
      </c>
      <c r="K1060" s="25" t="s">
        <v>25</v>
      </c>
      <c r="L1060" s="25" t="s">
        <v>1549</v>
      </c>
      <c r="M1060" s="25" t="s">
        <v>22</v>
      </c>
      <c r="N1060" s="25" t="s">
        <v>22</v>
      </c>
      <c r="O1060" s="25" t="s">
        <v>112</v>
      </c>
      <c r="P1060" s="25" t="s">
        <v>23</v>
      </c>
    </row>
    <row r="1061" spans="1:16" x14ac:dyDescent="0.25">
      <c r="A1061">
        <v>1013</v>
      </c>
      <c r="B1061" s="25" t="s">
        <v>132</v>
      </c>
      <c r="C1061" s="26">
        <v>0.27083333333333331</v>
      </c>
      <c r="D1061" s="2">
        <v>46093</v>
      </c>
      <c r="E1061" s="25" t="s">
        <v>91</v>
      </c>
      <c r="F1061" s="25" t="s">
        <v>18</v>
      </c>
      <c r="G1061" s="25" t="s">
        <v>1550</v>
      </c>
      <c r="H1061" s="26">
        <v>0.3125</v>
      </c>
      <c r="I1061" s="26">
        <v>0.35416666666666669</v>
      </c>
      <c r="J1061" s="2">
        <v>46093</v>
      </c>
      <c r="K1061" s="25" t="s">
        <v>20</v>
      </c>
      <c r="L1061" s="25" t="s">
        <v>1551</v>
      </c>
      <c r="M1061" s="25" t="s">
        <v>22</v>
      </c>
      <c r="N1061" s="25" t="s">
        <v>22</v>
      </c>
      <c r="O1061" s="25" t="s">
        <v>112</v>
      </c>
      <c r="P1061" s="25" t="s">
        <v>23</v>
      </c>
    </row>
    <row r="1062" spans="1:16" x14ac:dyDescent="0.25">
      <c r="A1062">
        <v>1014</v>
      </c>
      <c r="B1062" s="25" t="s">
        <v>341</v>
      </c>
      <c r="C1062" s="26">
        <v>0.6875</v>
      </c>
      <c r="D1062" s="2">
        <v>46093</v>
      </c>
      <c r="E1062" s="25" t="s">
        <v>143</v>
      </c>
      <c r="F1062" s="25" t="s">
        <v>18</v>
      </c>
      <c r="G1062" s="25" t="s">
        <v>1552</v>
      </c>
      <c r="H1062" s="26">
        <v>0.60416666666666663</v>
      </c>
      <c r="I1062" s="26">
        <v>0.875</v>
      </c>
      <c r="J1062" s="2">
        <v>46093</v>
      </c>
      <c r="K1062" s="25" t="s">
        <v>25</v>
      </c>
      <c r="L1062" s="25" t="s">
        <v>1553</v>
      </c>
      <c r="M1062" s="25" t="s">
        <v>22</v>
      </c>
      <c r="N1062" s="25" t="s">
        <v>22</v>
      </c>
      <c r="O1062" s="25" t="s">
        <v>44</v>
      </c>
      <c r="P1062" s="25" t="s">
        <v>23</v>
      </c>
    </row>
    <row r="1063" spans="1:16" x14ac:dyDescent="0.25">
      <c r="A1063">
        <v>1015</v>
      </c>
      <c r="B1063" s="25" t="s">
        <v>341</v>
      </c>
      <c r="C1063" s="26">
        <v>0.4375</v>
      </c>
      <c r="D1063" s="2">
        <v>46093</v>
      </c>
      <c r="E1063" s="25" t="s">
        <v>143</v>
      </c>
      <c r="F1063" s="25" t="s">
        <v>18</v>
      </c>
      <c r="G1063" s="25" t="s">
        <v>1554</v>
      </c>
      <c r="H1063" s="26">
        <v>0.45833333333333331</v>
      </c>
      <c r="I1063" s="26">
        <v>0.5625</v>
      </c>
      <c r="J1063" s="2">
        <v>46093</v>
      </c>
      <c r="K1063" s="25" t="s">
        <v>25</v>
      </c>
      <c r="L1063" s="25" t="s">
        <v>1555</v>
      </c>
      <c r="M1063" s="25" t="s">
        <v>1556</v>
      </c>
      <c r="N1063" s="25" t="s">
        <v>22</v>
      </c>
      <c r="O1063" s="25" t="s">
        <v>112</v>
      </c>
      <c r="P1063" s="25" t="s">
        <v>23</v>
      </c>
    </row>
    <row r="1064" spans="1:16" x14ac:dyDescent="0.25">
      <c r="A1064">
        <v>1016</v>
      </c>
      <c r="B1064" s="25" t="s">
        <v>206</v>
      </c>
      <c r="C1064" s="26">
        <v>0.96527777777777779</v>
      </c>
      <c r="D1064" s="2">
        <v>46093</v>
      </c>
      <c r="E1064" s="25" t="s">
        <v>116</v>
      </c>
      <c r="F1064" s="25" t="s">
        <v>18</v>
      </c>
      <c r="G1064" s="25" t="s">
        <v>1557</v>
      </c>
      <c r="H1064" s="26">
        <v>0.1111111111111111</v>
      </c>
      <c r="I1064" s="26">
        <v>0.15277777777777779</v>
      </c>
      <c r="J1064" s="2">
        <v>46094</v>
      </c>
      <c r="K1064" s="25" t="s">
        <v>1558</v>
      </c>
      <c r="L1064" s="25" t="s">
        <v>1559</v>
      </c>
      <c r="M1064" s="25" t="s">
        <v>22</v>
      </c>
      <c r="N1064" s="25" t="s">
        <v>22</v>
      </c>
      <c r="O1064" s="25" t="s">
        <v>661</v>
      </c>
      <c r="P1064" s="25" t="s">
        <v>23</v>
      </c>
    </row>
    <row r="1065" spans="1:16" x14ac:dyDescent="0.25">
      <c r="A1065">
        <v>1017</v>
      </c>
      <c r="B1065" s="25"/>
      <c r="C1065" s="26"/>
      <c r="D1065" s="2"/>
      <c r="E1065" s="25"/>
      <c r="F1065" s="25"/>
      <c r="G1065" s="25"/>
      <c r="H1065" s="26"/>
      <c r="I1065" s="26"/>
      <c r="J1065" s="2"/>
      <c r="K1065" s="25"/>
      <c r="L1065" s="25"/>
      <c r="M1065" s="25"/>
      <c r="N1065" s="25"/>
      <c r="O1065" s="25"/>
      <c r="P1065" s="25"/>
    </row>
    <row r="1066" spans="1:16" x14ac:dyDescent="0.25">
      <c r="A1066">
        <v>1018</v>
      </c>
      <c r="B1066" s="25" t="s">
        <v>206</v>
      </c>
      <c r="C1066" s="26">
        <v>0.2986111111111111</v>
      </c>
      <c r="D1066" s="2">
        <v>46097</v>
      </c>
      <c r="E1066" s="25" t="s">
        <v>116</v>
      </c>
      <c r="F1066" s="25" t="s">
        <v>18</v>
      </c>
      <c r="G1066" s="25" t="s">
        <v>2042</v>
      </c>
      <c r="H1066" s="26">
        <v>0.30555555555555558</v>
      </c>
      <c r="I1066" s="26">
        <v>0.32291666666666669</v>
      </c>
      <c r="J1066" s="2">
        <v>46097</v>
      </c>
      <c r="K1066" s="25" t="s">
        <v>20</v>
      </c>
      <c r="L1066" s="25" t="s">
        <v>2043</v>
      </c>
      <c r="M1066" s="25" t="s">
        <v>22</v>
      </c>
      <c r="N1066" s="25" t="s">
        <v>22</v>
      </c>
      <c r="O1066" s="25" t="s">
        <v>661</v>
      </c>
      <c r="P1066" s="25" t="s">
        <v>33</v>
      </c>
    </row>
    <row r="1067" spans="1:16" x14ac:dyDescent="0.25">
      <c r="A1067">
        <v>1019</v>
      </c>
      <c r="B1067" s="25" t="s">
        <v>1560</v>
      </c>
      <c r="C1067" s="26">
        <v>0.1388888888888889</v>
      </c>
      <c r="D1067" s="2">
        <v>46094</v>
      </c>
      <c r="E1067" s="25" t="s">
        <v>91</v>
      </c>
      <c r="F1067" s="25" t="s">
        <v>18</v>
      </c>
      <c r="G1067" s="25" t="s">
        <v>1561</v>
      </c>
      <c r="H1067" s="26">
        <v>0.1423611111111111</v>
      </c>
      <c r="I1067" s="26">
        <v>0.15277777777777779</v>
      </c>
      <c r="J1067" s="2">
        <v>46094</v>
      </c>
      <c r="K1067" s="25" t="s">
        <v>25</v>
      </c>
      <c r="L1067" s="25" t="s">
        <v>1562</v>
      </c>
      <c r="M1067" s="25" t="s">
        <v>1563</v>
      </c>
      <c r="N1067" s="25" t="s">
        <v>22</v>
      </c>
      <c r="O1067" s="25" t="s">
        <v>661</v>
      </c>
      <c r="P1067" s="25" t="s">
        <v>23</v>
      </c>
    </row>
    <row r="1068" spans="1:16" x14ac:dyDescent="0.25">
      <c r="A1068">
        <v>1020</v>
      </c>
      <c r="B1068" s="25" t="s">
        <v>103</v>
      </c>
      <c r="C1068" s="26">
        <v>0.1875</v>
      </c>
      <c r="D1068" s="2">
        <v>46094</v>
      </c>
      <c r="E1068" s="25" t="s">
        <v>188</v>
      </c>
      <c r="F1068" s="25" t="s">
        <v>18</v>
      </c>
      <c r="G1068" s="25" t="s">
        <v>1579</v>
      </c>
      <c r="H1068" s="26">
        <v>0.16666666666666666</v>
      </c>
      <c r="I1068" s="26">
        <v>0.30555555555555558</v>
      </c>
      <c r="J1068" s="2">
        <v>46094</v>
      </c>
      <c r="K1068" s="25" t="s">
        <v>25</v>
      </c>
      <c r="L1068" s="25" t="s">
        <v>1580</v>
      </c>
      <c r="M1068" s="25" t="s">
        <v>1581</v>
      </c>
      <c r="N1068" s="25" t="s">
        <v>22</v>
      </c>
      <c r="O1068" s="25" t="s">
        <v>112</v>
      </c>
      <c r="P1068" s="25" t="s">
        <v>23</v>
      </c>
    </row>
    <row r="1069" spans="1:16" x14ac:dyDescent="0.25">
      <c r="A1069">
        <v>1021</v>
      </c>
      <c r="B1069" s="25" t="s">
        <v>113</v>
      </c>
      <c r="C1069" s="26">
        <v>0.22222222222222221</v>
      </c>
      <c r="D1069" s="2">
        <v>46094</v>
      </c>
      <c r="E1069" s="25" t="s">
        <v>91</v>
      </c>
      <c r="F1069" s="25" t="s">
        <v>18</v>
      </c>
      <c r="G1069" s="25" t="s">
        <v>1582</v>
      </c>
      <c r="H1069" s="26">
        <v>0.22291666666666668</v>
      </c>
      <c r="I1069" s="26">
        <v>0.2638888888888889</v>
      </c>
      <c r="J1069" s="2">
        <v>46094</v>
      </c>
      <c r="K1069" s="25" t="s">
        <v>25</v>
      </c>
      <c r="L1069" s="25" t="s">
        <v>1583</v>
      </c>
      <c r="M1069" s="25" t="s">
        <v>22</v>
      </c>
      <c r="N1069" s="25" t="s">
        <v>22</v>
      </c>
      <c r="O1069" s="25" t="s">
        <v>112</v>
      </c>
      <c r="P1069" s="25" t="s">
        <v>23</v>
      </c>
    </row>
    <row r="1070" spans="1:16" x14ac:dyDescent="0.25">
      <c r="A1070">
        <v>1022</v>
      </c>
      <c r="B1070" s="25" t="s">
        <v>176</v>
      </c>
      <c r="C1070" s="26">
        <v>0.55902777777777779</v>
      </c>
      <c r="D1070" s="2">
        <v>46094</v>
      </c>
      <c r="E1070" s="25" t="s">
        <v>94</v>
      </c>
      <c r="F1070" s="25" t="s">
        <v>650</v>
      </c>
      <c r="G1070" s="25" t="s">
        <v>1584</v>
      </c>
      <c r="H1070" s="26">
        <v>0.59375</v>
      </c>
      <c r="I1070" s="26">
        <v>0.60416666666666663</v>
      </c>
      <c r="J1070" s="2">
        <v>46094</v>
      </c>
      <c r="K1070" s="25" t="s">
        <v>25</v>
      </c>
      <c r="L1070" s="25" t="s">
        <v>1585</v>
      </c>
      <c r="M1070" s="25" t="s">
        <v>22</v>
      </c>
      <c r="N1070" s="25" t="s">
        <v>22</v>
      </c>
      <c r="O1070" s="25" t="s">
        <v>44</v>
      </c>
      <c r="P1070" s="25" t="s">
        <v>23</v>
      </c>
    </row>
    <row r="1071" spans="1:16" x14ac:dyDescent="0.25">
      <c r="A1071">
        <v>1023</v>
      </c>
      <c r="B1071" s="25" t="s">
        <v>385</v>
      </c>
      <c r="C1071" s="26">
        <v>0.70833333333333337</v>
      </c>
      <c r="D1071" s="2">
        <v>46094</v>
      </c>
      <c r="E1071" s="25" t="s">
        <v>185</v>
      </c>
      <c r="F1071" s="25" t="s">
        <v>18</v>
      </c>
      <c r="G1071" s="25" t="s">
        <v>1586</v>
      </c>
      <c r="H1071" s="26">
        <v>0.72916666666666663</v>
      </c>
      <c r="I1071" s="26">
        <v>0.8125</v>
      </c>
      <c r="J1071" s="2">
        <v>46094</v>
      </c>
      <c r="K1071" s="25" t="s">
        <v>25</v>
      </c>
      <c r="L1071" s="25" t="s">
        <v>1587</v>
      </c>
      <c r="M1071" s="25" t="s">
        <v>22</v>
      </c>
      <c r="N1071" s="25" t="s">
        <v>22</v>
      </c>
      <c r="O1071" s="25" t="s">
        <v>44</v>
      </c>
      <c r="P1071" s="25" t="s">
        <v>23</v>
      </c>
    </row>
    <row r="1072" spans="1:16" x14ac:dyDescent="0.25">
      <c r="A1072">
        <v>1024</v>
      </c>
      <c r="B1072" s="25"/>
      <c r="C1072" s="26"/>
      <c r="D1072" s="2"/>
      <c r="E1072" s="25"/>
      <c r="F1072" s="25"/>
      <c r="G1072" s="25"/>
      <c r="H1072" s="26"/>
      <c r="I1072" s="26"/>
      <c r="J1072" s="2"/>
      <c r="K1072" s="25"/>
      <c r="L1072" s="25"/>
      <c r="M1072" s="25"/>
      <c r="N1072" s="25"/>
      <c r="O1072" s="25"/>
      <c r="P1072" s="25"/>
    </row>
    <row r="1073" spans="1:16" x14ac:dyDescent="0.25">
      <c r="A1073">
        <v>1025</v>
      </c>
      <c r="B1073" s="25" t="s">
        <v>1705</v>
      </c>
      <c r="C1073" s="26">
        <v>0.56805555555555554</v>
      </c>
      <c r="D1073" s="2">
        <v>46095</v>
      </c>
      <c r="E1073" s="25" t="s">
        <v>143</v>
      </c>
      <c r="F1073" s="25" t="s">
        <v>18</v>
      </c>
      <c r="G1073" s="25" t="s">
        <v>1706</v>
      </c>
      <c r="H1073" s="26"/>
      <c r="I1073" s="26"/>
      <c r="J1073" s="2"/>
      <c r="K1073" s="25"/>
      <c r="L1073" s="25"/>
      <c r="M1073" s="25"/>
      <c r="N1073" s="25"/>
      <c r="O1073" s="25"/>
      <c r="P1073" s="25" t="s">
        <v>33</v>
      </c>
    </row>
    <row r="1074" spans="1:16" x14ac:dyDescent="0.25">
      <c r="A1074">
        <v>1026</v>
      </c>
      <c r="B1074" s="25" t="s">
        <v>385</v>
      </c>
      <c r="C1074" s="26">
        <v>0.90625</v>
      </c>
      <c r="D1074" s="2">
        <v>46095</v>
      </c>
      <c r="E1074" s="25" t="s">
        <v>94</v>
      </c>
      <c r="F1074" s="25" t="s">
        <v>18</v>
      </c>
      <c r="G1074" s="25" t="s">
        <v>1588</v>
      </c>
      <c r="H1074" s="26">
        <v>0.90972222222222221</v>
      </c>
      <c r="I1074" s="26">
        <v>8.3333333333333329E-2</v>
      </c>
      <c r="J1074" s="2">
        <v>46096</v>
      </c>
      <c r="K1074" s="25" t="s">
        <v>25</v>
      </c>
      <c r="L1074" s="25" t="s">
        <v>1589</v>
      </c>
      <c r="M1074" s="25" t="s">
        <v>22</v>
      </c>
      <c r="N1074" s="25" t="s">
        <v>22</v>
      </c>
      <c r="O1074" s="25" t="s">
        <v>108</v>
      </c>
      <c r="P1074" s="25" t="s">
        <v>23</v>
      </c>
    </row>
    <row r="1075" spans="1:16" x14ac:dyDescent="0.25">
      <c r="A1075">
        <v>1027</v>
      </c>
      <c r="B1075" s="25" t="s">
        <v>206</v>
      </c>
      <c r="C1075" s="26">
        <v>0.91666666666666663</v>
      </c>
      <c r="D1075" s="2">
        <v>46095</v>
      </c>
      <c r="E1075" s="25" t="s">
        <v>109</v>
      </c>
      <c r="F1075" s="25" t="s">
        <v>650</v>
      </c>
      <c r="G1075" s="25" t="s">
        <v>2044</v>
      </c>
      <c r="H1075" s="26">
        <v>0.91666666666666663</v>
      </c>
      <c r="I1075" s="26">
        <v>0.23958333333333334</v>
      </c>
      <c r="J1075" s="2">
        <v>46096</v>
      </c>
      <c r="K1075" s="25" t="s">
        <v>20</v>
      </c>
      <c r="L1075" s="25" t="s">
        <v>2045</v>
      </c>
      <c r="M1075" s="25" t="s">
        <v>22</v>
      </c>
      <c r="N1075" s="25" t="s">
        <v>22</v>
      </c>
      <c r="O1075" s="25" t="s">
        <v>108</v>
      </c>
      <c r="P1075" s="25" t="s">
        <v>33</v>
      </c>
    </row>
    <row r="1076" spans="1:16" x14ac:dyDescent="0.25">
      <c r="A1076">
        <v>1028</v>
      </c>
      <c r="B1076" s="25" t="s">
        <v>199</v>
      </c>
      <c r="C1076" s="26">
        <v>0.23958333333333334</v>
      </c>
      <c r="D1076" s="2">
        <v>46096</v>
      </c>
      <c r="E1076" s="25" t="s">
        <v>188</v>
      </c>
      <c r="F1076" s="25" t="s">
        <v>18</v>
      </c>
      <c r="G1076" s="25" t="s">
        <v>1590</v>
      </c>
      <c r="H1076" s="26">
        <v>0.25694444444444442</v>
      </c>
      <c r="I1076" s="26">
        <v>0.58333333333333337</v>
      </c>
      <c r="J1076" s="2">
        <v>46096</v>
      </c>
      <c r="K1076" s="25" t="s">
        <v>25</v>
      </c>
      <c r="L1076" s="25" t="s">
        <v>1591</v>
      </c>
      <c r="M1076" s="25" t="s">
        <v>22</v>
      </c>
      <c r="N1076" s="25" t="s">
        <v>1349</v>
      </c>
      <c r="O1076" s="25" t="s">
        <v>44</v>
      </c>
      <c r="P1076" s="25" t="s">
        <v>23</v>
      </c>
    </row>
    <row r="1077" spans="1:16" x14ac:dyDescent="0.25">
      <c r="A1077">
        <v>1029</v>
      </c>
      <c r="B1077" s="25"/>
      <c r="C1077" s="26"/>
      <c r="D1077" s="2"/>
      <c r="E1077" s="25"/>
      <c r="F1077" s="25"/>
      <c r="G1077" s="25"/>
      <c r="H1077" s="26"/>
      <c r="I1077" s="26"/>
      <c r="J1077" s="2"/>
      <c r="K1077" s="25"/>
      <c r="L1077" s="25"/>
      <c r="M1077" s="25"/>
      <c r="N1077" s="25"/>
      <c r="O1077" s="25"/>
      <c r="P1077" s="25"/>
    </row>
    <row r="1078" spans="1:16" x14ac:dyDescent="0.25">
      <c r="A1078">
        <v>1030</v>
      </c>
      <c r="B1078" s="25" t="s">
        <v>1352</v>
      </c>
      <c r="C1078" s="26">
        <v>0.31944444444444442</v>
      </c>
      <c r="D1078" s="2">
        <v>46096</v>
      </c>
      <c r="E1078" s="25" t="s">
        <v>143</v>
      </c>
      <c r="F1078" s="25" t="s">
        <v>18</v>
      </c>
      <c r="G1078" s="25" t="s">
        <v>1592</v>
      </c>
      <c r="H1078" s="26">
        <v>0.31944444444444442</v>
      </c>
      <c r="I1078" s="26">
        <v>0.34027777777777779</v>
      </c>
      <c r="J1078" s="2">
        <v>46096</v>
      </c>
      <c r="K1078" s="25" t="s">
        <v>25</v>
      </c>
      <c r="L1078" s="25" t="s">
        <v>1593</v>
      </c>
      <c r="M1078" s="25" t="s">
        <v>22</v>
      </c>
      <c r="N1078" s="25" t="s">
        <v>22</v>
      </c>
      <c r="O1078" s="25" t="s">
        <v>44</v>
      </c>
      <c r="P1078" s="25" t="s">
        <v>23</v>
      </c>
    </row>
    <row r="1079" spans="1:16" x14ac:dyDescent="0.25">
      <c r="A1079">
        <v>1031</v>
      </c>
      <c r="B1079" s="25" t="s">
        <v>103</v>
      </c>
      <c r="C1079" s="26">
        <v>0.58333333333333337</v>
      </c>
      <c r="D1079" s="2">
        <v>46096</v>
      </c>
      <c r="E1079" s="25" t="s">
        <v>188</v>
      </c>
      <c r="F1079" s="25" t="s">
        <v>18</v>
      </c>
      <c r="G1079" s="25" t="s">
        <v>1595</v>
      </c>
      <c r="H1079" s="26">
        <v>0.58333333333333337</v>
      </c>
      <c r="I1079" s="26">
        <v>0.875</v>
      </c>
      <c r="J1079" s="2">
        <v>46096</v>
      </c>
      <c r="K1079" s="25" t="s">
        <v>25</v>
      </c>
      <c r="L1079" s="25" t="s">
        <v>1596</v>
      </c>
      <c r="M1079" s="25" t="s">
        <v>22</v>
      </c>
      <c r="N1079" s="25" t="s">
        <v>22</v>
      </c>
      <c r="O1079" s="25" t="s">
        <v>108</v>
      </c>
      <c r="P1079" s="25" t="s">
        <v>23</v>
      </c>
    </row>
    <row r="1080" spans="1:16" x14ac:dyDescent="0.25">
      <c r="A1080">
        <v>1032</v>
      </c>
      <c r="B1080" s="25" t="s">
        <v>199</v>
      </c>
      <c r="C1080" s="26">
        <v>0.27083333333333331</v>
      </c>
      <c r="D1080" s="2">
        <v>46097</v>
      </c>
      <c r="E1080" s="25" t="s">
        <v>104</v>
      </c>
      <c r="F1080" s="25" t="s">
        <v>18</v>
      </c>
      <c r="G1080" s="25" t="s">
        <v>1597</v>
      </c>
      <c r="H1080" s="26">
        <v>0.29166666666666669</v>
      </c>
      <c r="I1080" s="26">
        <v>0.32291666666666669</v>
      </c>
      <c r="J1080" s="2">
        <v>46097</v>
      </c>
      <c r="K1080" s="25" t="s">
        <v>20</v>
      </c>
      <c r="L1080" s="25" t="s">
        <v>1598</v>
      </c>
      <c r="M1080" s="25" t="s">
        <v>1599</v>
      </c>
      <c r="N1080" s="25" t="s">
        <v>22</v>
      </c>
      <c r="O1080" s="25" t="s">
        <v>112</v>
      </c>
      <c r="P1080" s="25" t="s">
        <v>23</v>
      </c>
    </row>
    <row r="1081" spans="1:16" x14ac:dyDescent="0.25">
      <c r="A1081">
        <v>1033</v>
      </c>
      <c r="B1081" s="25"/>
      <c r="C1081" s="26"/>
      <c r="D1081" s="2"/>
      <c r="E1081" s="25"/>
      <c r="F1081" s="25"/>
      <c r="G1081" s="25"/>
      <c r="H1081" s="26"/>
      <c r="I1081" s="26"/>
      <c r="J1081" s="2"/>
      <c r="K1081" s="25"/>
      <c r="L1081" s="25"/>
      <c r="M1081" s="25"/>
      <c r="N1081" s="25"/>
      <c r="O1081" s="25"/>
      <c r="P1081" s="25"/>
    </row>
    <row r="1082" spans="1:16" x14ac:dyDescent="0.25">
      <c r="A1082">
        <v>1034</v>
      </c>
      <c r="B1082" s="25" t="s">
        <v>206</v>
      </c>
      <c r="C1082" s="26">
        <v>0.4236111111111111</v>
      </c>
      <c r="D1082" s="2">
        <v>46097</v>
      </c>
      <c r="E1082" s="25" t="s">
        <v>116</v>
      </c>
      <c r="F1082" s="25" t="s">
        <v>18</v>
      </c>
      <c r="G1082" s="25" t="s">
        <v>1604</v>
      </c>
      <c r="H1082" s="26">
        <v>0.4236111111111111</v>
      </c>
      <c r="I1082" s="26">
        <v>0.4375</v>
      </c>
      <c r="J1082" s="2">
        <v>46097</v>
      </c>
      <c r="K1082" s="25" t="s">
        <v>20</v>
      </c>
      <c r="L1082" s="25" t="s">
        <v>1605</v>
      </c>
      <c r="M1082" s="25" t="s">
        <v>22</v>
      </c>
      <c r="N1082" s="25" t="s">
        <v>22</v>
      </c>
      <c r="O1082" s="25" t="s">
        <v>112</v>
      </c>
      <c r="P1082" s="25" t="s">
        <v>23</v>
      </c>
    </row>
    <row r="1083" spans="1:16" x14ac:dyDescent="0.25">
      <c r="A1083">
        <v>1035</v>
      </c>
      <c r="B1083" s="25"/>
      <c r="C1083" s="26"/>
      <c r="D1083" s="2"/>
      <c r="E1083" s="25"/>
      <c r="F1083" s="25"/>
      <c r="G1083" s="25"/>
      <c r="H1083" s="26"/>
      <c r="I1083" s="26"/>
      <c r="J1083" s="2"/>
      <c r="K1083" s="25"/>
      <c r="L1083" s="25"/>
      <c r="M1083" s="25"/>
      <c r="N1083" s="25"/>
      <c r="O1083" s="25"/>
      <c r="P1083" s="25"/>
    </row>
    <row r="1084" spans="1:16" x14ac:dyDescent="0.25">
      <c r="A1084">
        <v>1036</v>
      </c>
      <c r="B1084" s="25"/>
      <c r="C1084" s="26"/>
      <c r="D1084" s="2"/>
      <c r="E1084" s="25"/>
      <c r="F1084" s="25"/>
      <c r="G1084" s="25"/>
      <c r="H1084" s="26"/>
      <c r="I1084" s="26"/>
      <c r="J1084" s="2"/>
      <c r="K1084" s="25"/>
      <c r="L1084" s="25"/>
      <c r="M1084" s="25"/>
      <c r="N1084" s="25"/>
      <c r="O1084" s="25"/>
      <c r="P1084" s="25"/>
    </row>
    <row r="1085" spans="1:16" x14ac:dyDescent="0.25">
      <c r="A1085">
        <v>1037</v>
      </c>
      <c r="B1085" s="25"/>
      <c r="C1085" s="26"/>
      <c r="D1085" s="2"/>
      <c r="E1085" s="25"/>
      <c r="F1085" s="25"/>
      <c r="G1085" s="25"/>
      <c r="H1085" s="26"/>
      <c r="I1085" s="26"/>
      <c r="J1085" s="2"/>
      <c r="K1085" s="25"/>
      <c r="L1085" s="25"/>
      <c r="M1085" s="25"/>
      <c r="N1085" s="25"/>
      <c r="O1085" s="25"/>
      <c r="P1085" s="25"/>
    </row>
    <row r="1086" spans="1:16" x14ac:dyDescent="0.25">
      <c r="A1086">
        <v>1038</v>
      </c>
      <c r="B1086" s="25"/>
      <c r="C1086" s="26"/>
      <c r="D1086" s="2"/>
      <c r="E1086" s="25"/>
      <c r="F1086" s="25"/>
      <c r="G1086" s="25"/>
      <c r="H1086" s="26"/>
      <c r="I1086" s="26"/>
      <c r="J1086" s="2"/>
      <c r="K1086" s="25"/>
      <c r="L1086" s="25"/>
      <c r="M1086" s="25"/>
      <c r="N1086" s="25"/>
      <c r="O1086" s="25"/>
      <c r="P1086" s="25"/>
    </row>
    <row r="1087" spans="1:16" x14ac:dyDescent="0.25">
      <c r="A1087">
        <v>1039</v>
      </c>
      <c r="B1087" s="25"/>
      <c r="C1087" s="26"/>
      <c r="D1087" s="2"/>
      <c r="E1087" s="25"/>
      <c r="F1087" s="25"/>
      <c r="G1087" s="25"/>
      <c r="H1087" s="26"/>
      <c r="I1087" s="26"/>
      <c r="J1087" s="2"/>
      <c r="K1087" s="25"/>
      <c r="L1087" s="25"/>
      <c r="M1087" s="25"/>
      <c r="N1087" s="25"/>
      <c r="O1087" s="25"/>
      <c r="P1087" s="25"/>
    </row>
    <row r="1088" spans="1:16" x14ac:dyDescent="0.25">
      <c r="A1088">
        <v>1040</v>
      </c>
      <c r="B1088" s="25"/>
      <c r="C1088" s="26"/>
      <c r="D1088" s="2"/>
      <c r="E1088" s="25"/>
      <c r="F1088" s="25"/>
      <c r="G1088" s="25"/>
      <c r="H1088" s="26"/>
      <c r="I1088" s="26"/>
      <c r="J1088" s="2"/>
      <c r="K1088" s="25"/>
      <c r="L1088" s="25"/>
      <c r="M1088" s="25"/>
      <c r="N1088" s="25"/>
      <c r="O1088" s="25"/>
      <c r="P1088" s="25"/>
    </row>
    <row r="1089" spans="1:16" x14ac:dyDescent="0.25">
      <c r="A1089">
        <v>1041</v>
      </c>
      <c r="B1089" s="25"/>
      <c r="C1089" s="26"/>
      <c r="D1089" s="2"/>
      <c r="E1089" s="25"/>
      <c r="F1089" s="25"/>
      <c r="G1089" s="25"/>
      <c r="H1089" s="26"/>
      <c r="I1089" s="26"/>
      <c r="J1089" s="2"/>
      <c r="K1089" s="25"/>
      <c r="L1089" s="25"/>
      <c r="M1089" s="25"/>
      <c r="N1089" s="25"/>
      <c r="O1089" s="25"/>
      <c r="P1089" s="25"/>
    </row>
    <row r="1090" spans="1:16" x14ac:dyDescent="0.25">
      <c r="A1090">
        <v>1042</v>
      </c>
      <c r="B1090" s="25"/>
      <c r="C1090" s="26"/>
      <c r="D1090" s="2"/>
      <c r="E1090" s="25"/>
      <c r="F1090" s="25"/>
      <c r="G1090" s="25"/>
      <c r="H1090" s="26"/>
      <c r="I1090" s="26"/>
      <c r="J1090" s="2"/>
      <c r="K1090" s="25"/>
      <c r="L1090" s="25"/>
      <c r="M1090" s="25"/>
      <c r="N1090" s="25"/>
      <c r="O1090" s="25"/>
      <c r="P1090" s="25"/>
    </row>
    <row r="1091" spans="1:16" x14ac:dyDescent="0.25">
      <c r="A1091">
        <v>1043</v>
      </c>
      <c r="B1091" s="25" t="s">
        <v>341</v>
      </c>
      <c r="C1091" s="26">
        <v>0.89583333333333337</v>
      </c>
      <c r="D1091" s="2">
        <v>46098</v>
      </c>
      <c r="E1091" s="25" t="s">
        <v>143</v>
      </c>
      <c r="F1091" s="25" t="s">
        <v>18</v>
      </c>
      <c r="G1091" s="25" t="s">
        <v>1606</v>
      </c>
      <c r="H1091" s="26">
        <v>0.89583333333333337</v>
      </c>
      <c r="I1091" s="26">
        <v>0.91666666666666663</v>
      </c>
      <c r="J1091" s="2">
        <v>46098</v>
      </c>
      <c r="K1091" s="25" t="s">
        <v>25</v>
      </c>
      <c r="L1091" s="25" t="s">
        <v>1607</v>
      </c>
      <c r="M1091" s="25" t="s">
        <v>1608</v>
      </c>
      <c r="N1091" s="25" t="s">
        <v>22</v>
      </c>
      <c r="O1091" s="25" t="s">
        <v>112</v>
      </c>
      <c r="P1091" s="25" t="s">
        <v>23</v>
      </c>
    </row>
    <row r="1092" spans="1:16" x14ac:dyDescent="0.25">
      <c r="A1092">
        <v>1044</v>
      </c>
      <c r="B1092" s="25" t="s">
        <v>341</v>
      </c>
      <c r="C1092" s="26">
        <v>0.91666666666666663</v>
      </c>
      <c r="D1092" s="2">
        <v>46098</v>
      </c>
      <c r="E1092" s="25" t="s">
        <v>143</v>
      </c>
      <c r="F1092" s="25" t="s">
        <v>18</v>
      </c>
      <c r="G1092" s="25" t="s">
        <v>1609</v>
      </c>
      <c r="H1092" s="26">
        <v>0.91666666666666663</v>
      </c>
      <c r="I1092" s="26">
        <v>0.93055555555555558</v>
      </c>
      <c r="J1092" s="2">
        <v>46098</v>
      </c>
      <c r="K1092" s="25" t="s">
        <v>25</v>
      </c>
      <c r="L1092" s="25" t="s">
        <v>1610</v>
      </c>
      <c r="M1092" s="25" t="s">
        <v>22</v>
      </c>
      <c r="N1092" s="25" t="s">
        <v>1611</v>
      </c>
      <c r="O1092" s="25" t="s">
        <v>112</v>
      </c>
      <c r="P1092" s="25" t="s">
        <v>23</v>
      </c>
    </row>
    <row r="1093" spans="1:16" x14ac:dyDescent="0.25">
      <c r="A1093">
        <v>1045</v>
      </c>
      <c r="B1093" s="25" t="s">
        <v>187</v>
      </c>
      <c r="C1093" s="26">
        <v>0.75</v>
      </c>
      <c r="D1093" s="2">
        <v>46098</v>
      </c>
      <c r="E1093" s="25" t="s">
        <v>782</v>
      </c>
      <c r="F1093" s="25" t="s">
        <v>18</v>
      </c>
      <c r="G1093" s="25" t="s">
        <v>1612</v>
      </c>
      <c r="H1093" s="26">
        <v>0.75</v>
      </c>
      <c r="I1093" s="26">
        <v>0.77083333333333337</v>
      </c>
      <c r="J1093" s="2">
        <v>46098</v>
      </c>
      <c r="K1093" s="25" t="s">
        <v>25</v>
      </c>
      <c r="L1093" s="25" t="s">
        <v>1613</v>
      </c>
      <c r="M1093" s="25" t="s">
        <v>1614</v>
      </c>
      <c r="N1093" s="25" t="s">
        <v>22</v>
      </c>
      <c r="O1093" s="25" t="s">
        <v>112</v>
      </c>
      <c r="P1093" s="25" t="s">
        <v>23</v>
      </c>
    </row>
    <row r="1094" spans="1:16" x14ac:dyDescent="0.25">
      <c r="A1094">
        <v>1046</v>
      </c>
      <c r="B1094" s="25" t="s">
        <v>180</v>
      </c>
      <c r="C1094" s="26">
        <v>0.31944444444444442</v>
      </c>
      <c r="D1094" s="2">
        <v>46099</v>
      </c>
      <c r="E1094" s="25" t="s">
        <v>87</v>
      </c>
      <c r="F1094" s="25" t="s">
        <v>18</v>
      </c>
      <c r="G1094" s="25" t="s">
        <v>1615</v>
      </c>
      <c r="H1094" s="26">
        <v>0.31944444444444442</v>
      </c>
      <c r="I1094" s="26">
        <v>0.34027777777777779</v>
      </c>
      <c r="J1094" s="2">
        <v>46099</v>
      </c>
      <c r="K1094" s="25" t="s">
        <v>20</v>
      </c>
      <c r="L1094" s="25" t="s">
        <v>1616</v>
      </c>
      <c r="M1094" s="25" t="s">
        <v>22</v>
      </c>
      <c r="N1094" s="25" t="s">
        <v>22</v>
      </c>
      <c r="O1094" s="25" t="s">
        <v>44</v>
      </c>
      <c r="P1094" s="25" t="s">
        <v>23</v>
      </c>
    </row>
    <row r="1095" spans="1:16" x14ac:dyDescent="0.25">
      <c r="A1095">
        <v>1047</v>
      </c>
      <c r="B1095" s="25"/>
      <c r="C1095" s="26"/>
      <c r="D1095" s="2"/>
      <c r="E1095" s="25"/>
      <c r="F1095" s="25"/>
      <c r="G1095" s="25"/>
      <c r="H1095" s="26"/>
      <c r="I1095" s="26"/>
      <c r="J1095" s="2"/>
      <c r="K1095" s="25"/>
      <c r="L1095" s="25"/>
      <c r="M1095" s="25"/>
      <c r="N1095" s="25"/>
      <c r="O1095" s="25"/>
      <c r="P1095" s="25"/>
    </row>
    <row r="1096" spans="1:16" x14ac:dyDescent="0.25">
      <c r="A1096">
        <v>1048</v>
      </c>
      <c r="B1096" s="25"/>
      <c r="C1096" s="26"/>
      <c r="D1096" s="2"/>
      <c r="E1096" s="25"/>
      <c r="F1096" s="25"/>
      <c r="G1096" s="25"/>
      <c r="H1096" s="26"/>
      <c r="I1096" s="26"/>
      <c r="J1096" s="2"/>
      <c r="K1096" s="25"/>
      <c r="L1096" s="25"/>
      <c r="M1096" s="25"/>
      <c r="N1096" s="25"/>
      <c r="O1096" s="25"/>
      <c r="P1096" s="25"/>
    </row>
    <row r="1097" spans="1:16" x14ac:dyDescent="0.25">
      <c r="A1097">
        <v>1049</v>
      </c>
      <c r="B1097" s="25"/>
      <c r="C1097" s="26"/>
      <c r="D1097" s="2"/>
      <c r="E1097" s="25"/>
      <c r="F1097" s="25"/>
      <c r="G1097" s="25"/>
      <c r="H1097" s="26"/>
      <c r="I1097" s="26"/>
      <c r="J1097" s="2"/>
      <c r="K1097" s="25"/>
      <c r="L1097" s="25"/>
      <c r="M1097" s="25"/>
      <c r="N1097" s="25"/>
      <c r="O1097" s="25"/>
      <c r="P1097" s="25"/>
    </row>
    <row r="1098" spans="1:16" x14ac:dyDescent="0.25">
      <c r="A1098">
        <v>1050</v>
      </c>
      <c r="B1098" s="25"/>
      <c r="C1098" s="26"/>
      <c r="D1098" s="2"/>
      <c r="E1098" s="25"/>
      <c r="F1098" s="25"/>
      <c r="G1098" s="25"/>
      <c r="H1098" s="26"/>
      <c r="I1098" s="26"/>
      <c r="J1098" s="2"/>
      <c r="K1098" s="25"/>
      <c r="L1098" s="25"/>
      <c r="M1098" s="25"/>
      <c r="N1098" s="25"/>
      <c r="O1098" s="25"/>
      <c r="P1098" s="25"/>
    </row>
    <row r="1099" spans="1:16" x14ac:dyDescent="0.25">
      <c r="A1099">
        <v>1051</v>
      </c>
      <c r="B1099" s="25" t="s">
        <v>103</v>
      </c>
      <c r="C1099" s="26">
        <v>0.77083333333333337</v>
      </c>
      <c r="D1099" s="2">
        <v>46099</v>
      </c>
      <c r="E1099" s="25" t="s">
        <v>188</v>
      </c>
      <c r="F1099" s="25" t="s">
        <v>18</v>
      </c>
      <c r="G1099" s="25" t="s">
        <v>1617</v>
      </c>
      <c r="H1099" s="26">
        <v>0.77083333333333337</v>
      </c>
      <c r="I1099" s="26">
        <v>0.8125</v>
      </c>
      <c r="J1099" s="2">
        <v>46099</v>
      </c>
      <c r="K1099" s="25" t="s">
        <v>20</v>
      </c>
      <c r="L1099" s="25" t="s">
        <v>1618</v>
      </c>
      <c r="M1099" s="25" t="s">
        <v>22</v>
      </c>
      <c r="N1099" s="25" t="s">
        <v>22</v>
      </c>
      <c r="O1099" s="25" t="s">
        <v>661</v>
      </c>
      <c r="P1099" s="25" t="s">
        <v>23</v>
      </c>
    </row>
    <row r="1100" spans="1:16" x14ac:dyDescent="0.25">
      <c r="A1100">
        <v>1052</v>
      </c>
      <c r="B1100" s="25" t="s">
        <v>103</v>
      </c>
      <c r="C1100" s="26">
        <v>0.24305555555555555</v>
      </c>
      <c r="D1100" s="2">
        <v>46099</v>
      </c>
      <c r="E1100" s="25" t="s">
        <v>188</v>
      </c>
      <c r="F1100" s="25" t="s">
        <v>18</v>
      </c>
      <c r="G1100" s="25" t="s">
        <v>1629</v>
      </c>
      <c r="H1100" s="26">
        <v>0.2048611111111111</v>
      </c>
      <c r="I1100" s="26">
        <v>0.28819444444444442</v>
      </c>
      <c r="J1100" s="2">
        <v>46101</v>
      </c>
      <c r="K1100" s="25" t="s">
        <v>48</v>
      </c>
      <c r="L1100" s="25" t="s">
        <v>1630</v>
      </c>
      <c r="M1100" s="25" t="s">
        <v>22</v>
      </c>
      <c r="N1100" s="25" t="s">
        <v>22</v>
      </c>
      <c r="O1100" s="25" t="s">
        <v>661</v>
      </c>
      <c r="P1100" s="25" t="s">
        <v>23</v>
      </c>
    </row>
    <row r="1101" spans="1:16" x14ac:dyDescent="0.25">
      <c r="A1101">
        <v>1053</v>
      </c>
      <c r="B1101" s="25" t="s">
        <v>1358</v>
      </c>
      <c r="C1101" s="26">
        <v>0.88888888888888884</v>
      </c>
      <c r="D1101" s="2">
        <v>46099</v>
      </c>
      <c r="E1101" s="25" t="s">
        <v>154</v>
      </c>
      <c r="F1101" s="25" t="s">
        <v>18</v>
      </c>
      <c r="G1101" s="25" t="s">
        <v>1619</v>
      </c>
      <c r="H1101" s="26">
        <v>0.92361111111111116</v>
      </c>
      <c r="I1101" s="26">
        <v>0.97222222222222221</v>
      </c>
      <c r="J1101" s="2">
        <v>46099</v>
      </c>
      <c r="K1101" s="25" t="s">
        <v>20</v>
      </c>
      <c r="L1101" s="25" t="s">
        <v>1620</v>
      </c>
      <c r="M1101" s="25" t="s">
        <v>1621</v>
      </c>
      <c r="N1101" s="25" t="s">
        <v>22</v>
      </c>
      <c r="O1101" s="25" t="s">
        <v>661</v>
      </c>
      <c r="P1101" s="25" t="s">
        <v>23</v>
      </c>
    </row>
    <row r="1102" spans="1:16" x14ac:dyDescent="0.25">
      <c r="A1102">
        <v>1054</v>
      </c>
      <c r="B1102" s="25" t="s">
        <v>164</v>
      </c>
      <c r="C1102" s="26">
        <v>0.3888888888888889</v>
      </c>
      <c r="D1102" s="2">
        <v>46100</v>
      </c>
      <c r="E1102" s="25" t="s">
        <v>143</v>
      </c>
      <c r="F1102" s="25" t="s">
        <v>18</v>
      </c>
      <c r="G1102" s="25" t="s">
        <v>1622</v>
      </c>
      <c r="H1102" s="26"/>
      <c r="I1102" s="26"/>
      <c r="J1102" s="2"/>
      <c r="K1102" s="25"/>
      <c r="L1102" s="25"/>
      <c r="M1102" s="25"/>
      <c r="N1102" s="25"/>
      <c r="O1102" s="25"/>
      <c r="P1102" s="25" t="s">
        <v>33</v>
      </c>
    </row>
    <row r="1103" spans="1:16" x14ac:dyDescent="0.25">
      <c r="A1103">
        <v>1055</v>
      </c>
      <c r="B1103" s="25" t="s">
        <v>1623</v>
      </c>
      <c r="C1103" s="26">
        <v>0.29166666666666669</v>
      </c>
      <c r="D1103" s="2">
        <v>46100</v>
      </c>
      <c r="E1103" s="25" t="s">
        <v>1624</v>
      </c>
      <c r="F1103" s="25" t="s">
        <v>18</v>
      </c>
      <c r="G1103" s="25" t="s">
        <v>1625</v>
      </c>
      <c r="H1103" s="26"/>
      <c r="I1103" s="26"/>
      <c r="J1103" s="2"/>
      <c r="K1103" s="25"/>
      <c r="L1103" s="25"/>
      <c r="M1103" s="25"/>
      <c r="N1103" s="25"/>
      <c r="O1103" s="25"/>
      <c r="P1103" s="25" t="s">
        <v>33</v>
      </c>
    </row>
    <row r="1104" spans="1:16" x14ac:dyDescent="0.25">
      <c r="A1104">
        <v>1056</v>
      </c>
      <c r="B1104" s="25" t="s">
        <v>206</v>
      </c>
      <c r="C1104" s="26">
        <v>0.4375</v>
      </c>
      <c r="D1104" s="2">
        <v>46100</v>
      </c>
      <c r="E1104" s="25" t="s">
        <v>185</v>
      </c>
      <c r="F1104" s="25" t="s">
        <v>18</v>
      </c>
      <c r="G1104" s="25" t="s">
        <v>1631</v>
      </c>
      <c r="H1104" s="26">
        <v>0.4375</v>
      </c>
      <c r="I1104" s="26">
        <v>0.45833333333333331</v>
      </c>
      <c r="J1104" s="2">
        <v>46100</v>
      </c>
      <c r="K1104" s="25" t="s">
        <v>25</v>
      </c>
      <c r="L1104" s="25" t="s">
        <v>1632</v>
      </c>
      <c r="M1104" s="25" t="s">
        <v>22</v>
      </c>
      <c r="N1104" s="25" t="s">
        <v>22</v>
      </c>
      <c r="O1104" s="25" t="s">
        <v>112</v>
      </c>
      <c r="P1104" s="25" t="s">
        <v>23</v>
      </c>
    </row>
    <row r="1105" spans="1:16" x14ac:dyDescent="0.25">
      <c r="A1105">
        <v>1057</v>
      </c>
      <c r="B1105" s="25" t="s">
        <v>206</v>
      </c>
      <c r="C1105" s="26">
        <v>0.91666666666666663</v>
      </c>
      <c r="D1105" s="2">
        <v>46114</v>
      </c>
      <c r="E1105" s="25" t="s">
        <v>116</v>
      </c>
      <c r="F1105" s="25" t="s">
        <v>18</v>
      </c>
      <c r="G1105" s="25" t="s">
        <v>1728</v>
      </c>
      <c r="H1105" s="26">
        <v>0.91666666666666663</v>
      </c>
      <c r="I1105" s="26">
        <v>0.16666666666666666</v>
      </c>
      <c r="J1105" s="2">
        <v>46115</v>
      </c>
      <c r="K1105" s="25" t="s">
        <v>20</v>
      </c>
      <c r="L1105" s="25" t="s">
        <v>1729</v>
      </c>
      <c r="M1105" s="25" t="s">
        <v>22</v>
      </c>
      <c r="N1105" s="25" t="s">
        <v>22</v>
      </c>
      <c r="O1105" s="25" t="s">
        <v>108</v>
      </c>
      <c r="P1105" s="25" t="s">
        <v>23</v>
      </c>
    </row>
    <row r="1106" spans="1:16" x14ac:dyDescent="0.25">
      <c r="A1106">
        <v>1058</v>
      </c>
      <c r="B1106" s="25" t="s">
        <v>113</v>
      </c>
      <c r="C1106" s="26">
        <v>0.3125</v>
      </c>
      <c r="D1106" s="2">
        <v>46101</v>
      </c>
      <c r="E1106" s="25" t="s">
        <v>91</v>
      </c>
      <c r="F1106" s="25" t="s">
        <v>18</v>
      </c>
      <c r="G1106" s="25" t="s">
        <v>1633</v>
      </c>
      <c r="H1106" s="26">
        <v>0.31944444444444442</v>
      </c>
      <c r="I1106" s="26">
        <v>0.375</v>
      </c>
      <c r="J1106" s="2">
        <v>46101</v>
      </c>
      <c r="K1106" s="25" t="s">
        <v>20</v>
      </c>
      <c r="L1106" s="25" t="s">
        <v>1634</v>
      </c>
      <c r="M1106" s="25" t="s">
        <v>22</v>
      </c>
      <c r="N1106" s="25" t="s">
        <v>22</v>
      </c>
      <c r="O1106" s="25" t="s">
        <v>661</v>
      </c>
      <c r="P1106" s="25" t="s">
        <v>23</v>
      </c>
    </row>
    <row r="1107" spans="1:16" x14ac:dyDescent="0.25">
      <c r="A1107">
        <v>1059</v>
      </c>
      <c r="B1107" s="25" t="s">
        <v>1358</v>
      </c>
      <c r="C1107" s="26">
        <v>0.80208333333333337</v>
      </c>
      <c r="D1107" s="2">
        <v>46101</v>
      </c>
      <c r="E1107" s="25" t="s">
        <v>162</v>
      </c>
      <c r="F1107" s="25" t="s">
        <v>18</v>
      </c>
      <c r="G1107" s="25" t="s">
        <v>1635</v>
      </c>
      <c r="H1107" s="26">
        <v>0.80208333333333337</v>
      </c>
      <c r="I1107" s="26">
        <v>0.8125</v>
      </c>
      <c r="J1107" s="2">
        <v>46101</v>
      </c>
      <c r="K1107" s="25" t="s">
        <v>20</v>
      </c>
      <c r="L1107" s="25" t="s">
        <v>1636</v>
      </c>
      <c r="M1107" s="25" t="s">
        <v>22</v>
      </c>
      <c r="N1107" s="25" t="s">
        <v>22</v>
      </c>
      <c r="O1107" s="25" t="s">
        <v>112</v>
      </c>
      <c r="P1107" s="25" t="s">
        <v>23</v>
      </c>
    </row>
    <row r="1108" spans="1:16" x14ac:dyDescent="0.25">
      <c r="A1108">
        <v>1060</v>
      </c>
      <c r="B1108" s="25" t="s">
        <v>164</v>
      </c>
      <c r="C1108" s="26">
        <v>0.97847222222222219</v>
      </c>
      <c r="D1108" s="2">
        <v>46101</v>
      </c>
      <c r="E1108" s="25" t="s">
        <v>143</v>
      </c>
      <c r="F1108" s="25" t="s">
        <v>18</v>
      </c>
      <c r="G1108" s="25" t="s">
        <v>1637</v>
      </c>
      <c r="H1108" s="26">
        <v>0.97916666666666663</v>
      </c>
      <c r="I1108" s="26">
        <v>0.98958333333333337</v>
      </c>
      <c r="J1108" s="2">
        <v>46101</v>
      </c>
      <c r="K1108" s="25" t="s">
        <v>25</v>
      </c>
      <c r="L1108" s="25" t="s">
        <v>1638</v>
      </c>
      <c r="M1108" s="25" t="s">
        <v>1664</v>
      </c>
      <c r="N1108" s="25" t="s">
        <v>22</v>
      </c>
      <c r="O1108" s="25" t="s">
        <v>108</v>
      </c>
      <c r="P1108" s="25" t="s">
        <v>23</v>
      </c>
    </row>
    <row r="1109" spans="1:16" x14ac:dyDescent="0.25">
      <c r="A1109">
        <v>1061</v>
      </c>
      <c r="B1109" s="25" t="s">
        <v>526</v>
      </c>
      <c r="C1109" s="26">
        <v>0.31944444444444442</v>
      </c>
      <c r="D1109" s="2">
        <v>46102</v>
      </c>
      <c r="E1109" s="25" t="s">
        <v>188</v>
      </c>
      <c r="F1109" s="25" t="s">
        <v>18</v>
      </c>
      <c r="G1109" s="25" t="s">
        <v>1639</v>
      </c>
      <c r="H1109" s="26">
        <v>0.32500000000000001</v>
      </c>
      <c r="I1109" s="26">
        <v>0.375</v>
      </c>
      <c r="J1109" s="2">
        <v>46102</v>
      </c>
      <c r="K1109" s="25" t="s">
        <v>20</v>
      </c>
      <c r="L1109" s="25" t="s">
        <v>1640</v>
      </c>
      <c r="M1109" s="25" t="s">
        <v>1641</v>
      </c>
      <c r="N1109" s="25" t="s">
        <v>22</v>
      </c>
      <c r="O1109" s="25" t="s">
        <v>661</v>
      </c>
      <c r="P1109" s="25" t="s">
        <v>23</v>
      </c>
    </row>
    <row r="1110" spans="1:16" x14ac:dyDescent="0.25">
      <c r="A1110">
        <v>1062</v>
      </c>
      <c r="B1110" s="25" t="s">
        <v>206</v>
      </c>
      <c r="C1110" s="26">
        <v>0.4375</v>
      </c>
      <c r="D1110" s="2">
        <v>46102</v>
      </c>
      <c r="E1110" s="25" t="s">
        <v>116</v>
      </c>
      <c r="F1110" s="25" t="s">
        <v>18</v>
      </c>
      <c r="G1110" s="25" t="s">
        <v>2046</v>
      </c>
      <c r="H1110" s="26"/>
      <c r="I1110" s="26"/>
      <c r="J1110" s="2"/>
      <c r="K1110" s="25"/>
      <c r="L1110" s="25"/>
      <c r="M1110" s="25"/>
      <c r="N1110" s="25"/>
      <c r="O1110" s="25"/>
      <c r="P1110" s="25" t="s">
        <v>33</v>
      </c>
    </row>
    <row r="1111" spans="1:16" x14ac:dyDescent="0.25">
      <c r="A1111">
        <v>1063</v>
      </c>
      <c r="B1111" s="25" t="s">
        <v>1642</v>
      </c>
      <c r="C1111" s="26">
        <v>0.47569444444444442</v>
      </c>
      <c r="D1111" s="2">
        <v>46102</v>
      </c>
      <c r="E1111" s="25" t="s">
        <v>1624</v>
      </c>
      <c r="F1111" s="25" t="s">
        <v>18</v>
      </c>
      <c r="G1111" s="25" t="s">
        <v>1643</v>
      </c>
      <c r="H1111" s="26">
        <v>0.47916666666666669</v>
      </c>
      <c r="I1111" s="26">
        <v>0.5756944444444444</v>
      </c>
      <c r="J1111" s="2">
        <v>46102</v>
      </c>
      <c r="K1111" s="25" t="s">
        <v>25</v>
      </c>
      <c r="L1111" s="25" t="s">
        <v>1644</v>
      </c>
      <c r="M1111" s="25" t="s">
        <v>22</v>
      </c>
      <c r="N1111" s="25" t="s">
        <v>22</v>
      </c>
      <c r="O1111" s="25" t="s">
        <v>661</v>
      </c>
      <c r="P1111" s="25" t="s">
        <v>23</v>
      </c>
    </row>
    <row r="1112" spans="1:16" x14ac:dyDescent="0.25">
      <c r="A1112">
        <v>1064</v>
      </c>
      <c r="B1112" s="25" t="s">
        <v>341</v>
      </c>
      <c r="C1112" s="26">
        <v>0.54166666666666663</v>
      </c>
      <c r="D1112" s="2">
        <v>46102</v>
      </c>
      <c r="E1112" s="25" t="s">
        <v>143</v>
      </c>
      <c r="F1112" s="25" t="s">
        <v>18</v>
      </c>
      <c r="G1112" s="25" t="s">
        <v>1645</v>
      </c>
      <c r="H1112" s="26">
        <v>0.54166666666666663</v>
      </c>
      <c r="I1112" s="26">
        <v>0.57638888888888884</v>
      </c>
      <c r="J1112" s="2">
        <v>46102</v>
      </c>
      <c r="K1112" s="25" t="s">
        <v>25</v>
      </c>
      <c r="L1112" s="25" t="s">
        <v>1646</v>
      </c>
      <c r="M1112" s="25" t="s">
        <v>1647</v>
      </c>
      <c r="N1112" s="25" t="s">
        <v>22</v>
      </c>
      <c r="O1112" s="25" t="s">
        <v>661</v>
      </c>
      <c r="P1112" s="25" t="s">
        <v>23</v>
      </c>
    </row>
    <row r="1113" spans="1:16" x14ac:dyDescent="0.25">
      <c r="A1113">
        <v>1065</v>
      </c>
      <c r="B1113" s="25" t="s">
        <v>1648</v>
      </c>
      <c r="C1113" s="26">
        <v>0.80902777777777779</v>
      </c>
      <c r="D1113" s="2">
        <v>46102</v>
      </c>
      <c r="E1113" s="25" t="s">
        <v>143</v>
      </c>
      <c r="F1113" s="25" t="s">
        <v>650</v>
      </c>
      <c r="G1113" s="25" t="s">
        <v>1649</v>
      </c>
      <c r="H1113" s="26">
        <v>0.8125</v>
      </c>
      <c r="I1113" s="26">
        <v>0.84027777777777779</v>
      </c>
      <c r="J1113" s="2">
        <v>46102</v>
      </c>
      <c r="K1113" s="25" t="s">
        <v>25</v>
      </c>
      <c r="L1113" s="25" t="s">
        <v>1650</v>
      </c>
      <c r="M1113" s="25" t="s">
        <v>1689</v>
      </c>
      <c r="N1113" s="25" t="s">
        <v>22</v>
      </c>
      <c r="O1113" s="25" t="s">
        <v>44</v>
      </c>
      <c r="P1113" s="25" t="s">
        <v>23</v>
      </c>
    </row>
    <row r="1114" spans="1:16" x14ac:dyDescent="0.25">
      <c r="A1114">
        <v>1066</v>
      </c>
      <c r="B1114" s="25" t="s">
        <v>103</v>
      </c>
      <c r="C1114" s="26">
        <v>4.1666666666666664E-2</v>
      </c>
      <c r="D1114" s="2">
        <v>46103</v>
      </c>
      <c r="E1114" s="25" t="s">
        <v>188</v>
      </c>
      <c r="F1114" s="25" t="s">
        <v>18</v>
      </c>
      <c r="G1114" s="25" t="s">
        <v>1651</v>
      </c>
      <c r="H1114" s="26">
        <v>4.1666666666666664E-2</v>
      </c>
      <c r="I1114" s="26">
        <v>5.5555555555555552E-2</v>
      </c>
      <c r="J1114" s="2">
        <v>46103</v>
      </c>
      <c r="K1114" s="25" t="s">
        <v>25</v>
      </c>
      <c r="L1114" s="25" t="s">
        <v>1652</v>
      </c>
      <c r="M1114" s="25" t="s">
        <v>1653</v>
      </c>
      <c r="N1114" s="25" t="s">
        <v>22</v>
      </c>
      <c r="O1114" s="25" t="s">
        <v>112</v>
      </c>
      <c r="P1114" s="25" t="s">
        <v>23</v>
      </c>
    </row>
    <row r="1115" spans="1:16" x14ac:dyDescent="0.25">
      <c r="A1115">
        <v>1067</v>
      </c>
      <c r="B1115" s="25"/>
      <c r="C1115" s="26"/>
      <c r="D1115" s="2"/>
      <c r="E1115" s="25"/>
      <c r="F1115" s="25"/>
      <c r="G1115" s="25"/>
      <c r="H1115" s="26"/>
      <c r="I1115" s="26"/>
      <c r="J1115" s="2"/>
      <c r="K1115" s="25"/>
      <c r="L1115" s="25"/>
      <c r="M1115" s="25"/>
      <c r="N1115" s="25"/>
      <c r="O1115" s="25"/>
      <c r="P1115" s="25"/>
    </row>
    <row r="1116" spans="1:16" x14ac:dyDescent="0.25">
      <c r="A1116">
        <v>1068</v>
      </c>
      <c r="B1116" s="25"/>
      <c r="C1116" s="26"/>
      <c r="D1116" s="2"/>
      <c r="E1116" s="25"/>
      <c r="F1116" s="25"/>
      <c r="G1116" s="25"/>
      <c r="H1116" s="26"/>
      <c r="I1116" s="26"/>
      <c r="J1116" s="2"/>
      <c r="K1116" s="25"/>
      <c r="L1116" s="25"/>
      <c r="M1116" s="25"/>
      <c r="N1116" s="25"/>
      <c r="O1116" s="25"/>
      <c r="P1116" s="25"/>
    </row>
    <row r="1117" spans="1:16" x14ac:dyDescent="0.25">
      <c r="A1117">
        <v>1069</v>
      </c>
      <c r="B1117" s="25" t="s">
        <v>526</v>
      </c>
      <c r="C1117" s="26">
        <v>0.16666666666666666</v>
      </c>
      <c r="D1117" s="2">
        <v>46104</v>
      </c>
      <c r="E1117" s="25" t="s">
        <v>91</v>
      </c>
      <c r="F1117" s="25" t="s">
        <v>18</v>
      </c>
      <c r="G1117" s="25" t="s">
        <v>1654</v>
      </c>
      <c r="H1117" s="26">
        <v>0.16666666666666666</v>
      </c>
      <c r="I1117" s="26">
        <v>0.1875</v>
      </c>
      <c r="J1117" s="2">
        <v>46104</v>
      </c>
      <c r="K1117" s="25" t="s">
        <v>48</v>
      </c>
      <c r="L1117" s="25" t="s">
        <v>1655</v>
      </c>
      <c r="M1117" s="25" t="s">
        <v>22</v>
      </c>
      <c r="N1117" s="25" t="s">
        <v>22</v>
      </c>
      <c r="O1117" s="25" t="s">
        <v>112</v>
      </c>
      <c r="P1117" s="25" t="s">
        <v>23</v>
      </c>
    </row>
    <row r="1118" spans="1:16" x14ac:dyDescent="0.25">
      <c r="A1118">
        <v>1070</v>
      </c>
      <c r="B1118" s="25" t="s">
        <v>1648</v>
      </c>
      <c r="C1118" s="26">
        <v>8.3333333333333329E-2</v>
      </c>
      <c r="D1118" s="2">
        <v>46104</v>
      </c>
      <c r="E1118" s="25" t="s">
        <v>143</v>
      </c>
      <c r="F1118" s="25" t="s">
        <v>18</v>
      </c>
      <c r="G1118" s="25" t="s">
        <v>1656</v>
      </c>
      <c r="H1118" s="26"/>
      <c r="I1118" s="26"/>
      <c r="J1118" s="2"/>
      <c r="K1118" s="25"/>
      <c r="L1118" s="25"/>
      <c r="M1118" s="25"/>
      <c r="N1118" s="25"/>
      <c r="O1118" s="25"/>
      <c r="P1118" s="25"/>
    </row>
    <row r="1119" spans="1:16" x14ac:dyDescent="0.25">
      <c r="A1119">
        <v>1071</v>
      </c>
      <c r="B1119" s="25" t="s">
        <v>103</v>
      </c>
      <c r="C1119" s="26">
        <v>0.3576388888888889</v>
      </c>
      <c r="D1119" s="2">
        <v>46104</v>
      </c>
      <c r="E1119" s="25" t="s">
        <v>188</v>
      </c>
      <c r="F1119" s="25" t="s">
        <v>18</v>
      </c>
      <c r="G1119" s="25" t="s">
        <v>1657</v>
      </c>
      <c r="H1119" s="26">
        <v>0.35416666666666669</v>
      </c>
      <c r="I1119" s="26">
        <v>0.375</v>
      </c>
      <c r="J1119" s="2">
        <v>46104</v>
      </c>
      <c r="K1119" s="25" t="s">
        <v>20</v>
      </c>
      <c r="L1119" s="25" t="s">
        <v>1658</v>
      </c>
      <c r="M1119" s="25" t="s">
        <v>22</v>
      </c>
      <c r="N1119" s="25" t="s">
        <v>22</v>
      </c>
      <c r="O1119" s="25" t="s">
        <v>661</v>
      </c>
      <c r="P1119" s="25" t="s">
        <v>23</v>
      </c>
    </row>
    <row r="1120" spans="1:16" x14ac:dyDescent="0.25">
      <c r="A1120">
        <v>1072</v>
      </c>
      <c r="B1120" s="25" t="s">
        <v>256</v>
      </c>
      <c r="C1120" s="26">
        <v>0.35069444444444442</v>
      </c>
      <c r="D1120" s="2">
        <v>46104</v>
      </c>
      <c r="E1120" s="25" t="s">
        <v>215</v>
      </c>
      <c r="F1120" s="25" t="s">
        <v>18</v>
      </c>
      <c r="G1120" s="25" t="s">
        <v>1659</v>
      </c>
      <c r="H1120" s="26">
        <v>0.35069444444444442</v>
      </c>
      <c r="I1120" s="26">
        <v>0.72916666666666663</v>
      </c>
      <c r="J1120" s="2">
        <v>46104</v>
      </c>
      <c r="K1120" s="25" t="s">
        <v>25</v>
      </c>
      <c r="L1120" s="25" t="s">
        <v>1660</v>
      </c>
      <c r="M1120" s="25" t="s">
        <v>22</v>
      </c>
      <c r="N1120" s="25" t="s">
        <v>22</v>
      </c>
      <c r="O1120" s="25" t="s">
        <v>108</v>
      </c>
      <c r="P1120" s="25" t="s">
        <v>23</v>
      </c>
    </row>
    <row r="1121" spans="1:16" x14ac:dyDescent="0.25">
      <c r="A1121">
        <v>1073</v>
      </c>
      <c r="B1121" s="25" t="s">
        <v>385</v>
      </c>
      <c r="C1121" s="26">
        <v>0.47916666666666669</v>
      </c>
      <c r="D1121" s="2">
        <v>46104</v>
      </c>
      <c r="E1121" s="25" t="s">
        <v>116</v>
      </c>
      <c r="F1121" s="25" t="s">
        <v>18</v>
      </c>
      <c r="G1121" s="25" t="s">
        <v>1661</v>
      </c>
      <c r="H1121" s="26">
        <v>0.47916666666666669</v>
      </c>
      <c r="I1121" s="26">
        <v>0.52083333333333337</v>
      </c>
      <c r="J1121" s="2">
        <v>46104</v>
      </c>
      <c r="K1121" s="25" t="s">
        <v>1558</v>
      </c>
      <c r="L1121" s="25" t="s">
        <v>1662</v>
      </c>
      <c r="M1121" s="25" t="s">
        <v>1665</v>
      </c>
      <c r="N1121" s="25" t="s">
        <v>22</v>
      </c>
      <c r="O1121" s="25" t="s">
        <v>108</v>
      </c>
      <c r="P1121" s="25" t="s">
        <v>23</v>
      </c>
    </row>
    <row r="1122" spans="1:16" x14ac:dyDescent="0.25">
      <c r="A1122">
        <v>1074</v>
      </c>
      <c r="B1122" s="25" t="s">
        <v>385</v>
      </c>
      <c r="C1122" s="26">
        <v>0.3125</v>
      </c>
      <c r="D1122" s="2">
        <v>46105</v>
      </c>
      <c r="E1122" s="25" t="s">
        <v>94</v>
      </c>
      <c r="F1122" s="25" t="s">
        <v>18</v>
      </c>
      <c r="G1122" s="25" t="s">
        <v>1666</v>
      </c>
      <c r="H1122" s="26">
        <v>0.3125</v>
      </c>
      <c r="I1122" s="26">
        <v>0.33333333333333331</v>
      </c>
      <c r="J1122" s="2">
        <v>46105</v>
      </c>
      <c r="K1122" s="25" t="s">
        <v>25</v>
      </c>
      <c r="L1122" s="25" t="s">
        <v>1667</v>
      </c>
      <c r="M1122" s="25" t="s">
        <v>22</v>
      </c>
      <c r="N1122" s="25" t="s">
        <v>22</v>
      </c>
      <c r="O1122" s="25" t="s">
        <v>112</v>
      </c>
      <c r="P1122" s="25" t="s">
        <v>23</v>
      </c>
    </row>
    <row r="1123" spans="1:16" x14ac:dyDescent="0.25">
      <c r="A1123">
        <v>1075</v>
      </c>
      <c r="B1123" s="25" t="s">
        <v>199</v>
      </c>
      <c r="C1123" s="26">
        <v>0.13194444444444445</v>
      </c>
      <c r="D1123" s="2">
        <v>46105</v>
      </c>
      <c r="E1123" s="25" t="s">
        <v>188</v>
      </c>
      <c r="F1123" s="25" t="s">
        <v>18</v>
      </c>
      <c r="G1123" s="25" t="s">
        <v>1690</v>
      </c>
      <c r="H1123" s="26">
        <v>0.13194444444444445</v>
      </c>
      <c r="I1123" s="26">
        <v>0.35069444444444442</v>
      </c>
      <c r="J1123" s="2">
        <v>46105</v>
      </c>
      <c r="K1123" s="25" t="s">
        <v>20</v>
      </c>
      <c r="L1123" s="25" t="s">
        <v>1691</v>
      </c>
      <c r="M1123" s="25" t="s">
        <v>22</v>
      </c>
      <c r="N1123" s="25" t="s">
        <v>22</v>
      </c>
      <c r="O1123" s="25" t="s">
        <v>44</v>
      </c>
      <c r="P1123" s="25" t="s">
        <v>33</v>
      </c>
    </row>
    <row r="1124" spans="1:16" x14ac:dyDescent="0.25">
      <c r="A1124">
        <v>1076</v>
      </c>
      <c r="B1124" s="25" t="s">
        <v>526</v>
      </c>
      <c r="C1124" s="26">
        <v>0.37847222222222221</v>
      </c>
      <c r="D1124" s="2">
        <v>46105</v>
      </c>
      <c r="E1124" s="25" t="s">
        <v>147</v>
      </c>
      <c r="F1124" s="25" t="s">
        <v>18</v>
      </c>
      <c r="G1124" s="25" t="s">
        <v>1668</v>
      </c>
      <c r="H1124" s="26">
        <v>0.37847222222222221</v>
      </c>
      <c r="I1124" s="26">
        <v>0.3888888888888889</v>
      </c>
      <c r="J1124" s="2">
        <v>46105</v>
      </c>
      <c r="K1124" s="25" t="s">
        <v>1558</v>
      </c>
      <c r="L1124" s="25" t="s">
        <v>1669</v>
      </c>
      <c r="M1124" s="25" t="s">
        <v>22</v>
      </c>
      <c r="N1124" s="25" t="s">
        <v>22</v>
      </c>
      <c r="O1124" s="25" t="s">
        <v>112</v>
      </c>
      <c r="P1124" s="25" t="s">
        <v>23</v>
      </c>
    </row>
    <row r="1125" spans="1:16" x14ac:dyDescent="0.25">
      <c r="A1125">
        <v>1077</v>
      </c>
      <c r="B1125" s="25" t="s">
        <v>206</v>
      </c>
      <c r="C1125" s="26">
        <v>0.625</v>
      </c>
      <c r="D1125" s="2">
        <v>46105</v>
      </c>
      <c r="E1125" s="25" t="s">
        <v>116</v>
      </c>
      <c r="F1125" s="25" t="s">
        <v>18</v>
      </c>
      <c r="G1125" s="25" t="s">
        <v>1670</v>
      </c>
      <c r="H1125" s="26">
        <v>0.625</v>
      </c>
      <c r="I1125" s="26">
        <v>0.66666666666666663</v>
      </c>
      <c r="J1125" s="2">
        <v>46105</v>
      </c>
      <c r="K1125" s="25" t="s">
        <v>25</v>
      </c>
      <c r="L1125" s="25" t="s">
        <v>1671</v>
      </c>
      <c r="M1125" s="25" t="s">
        <v>1672</v>
      </c>
      <c r="N1125" s="25" t="s">
        <v>22</v>
      </c>
      <c r="O1125" s="25" t="s">
        <v>112</v>
      </c>
      <c r="P1125" s="25" t="s">
        <v>23</v>
      </c>
    </row>
    <row r="1126" spans="1:16" x14ac:dyDescent="0.25">
      <c r="A1126">
        <v>1078</v>
      </c>
      <c r="B1126" s="25" t="s">
        <v>206</v>
      </c>
      <c r="C1126" s="26">
        <v>0.79861111111111116</v>
      </c>
      <c r="D1126" s="2">
        <v>46105</v>
      </c>
      <c r="E1126" s="25" t="s">
        <v>116</v>
      </c>
      <c r="F1126" s="25" t="s">
        <v>18</v>
      </c>
      <c r="G1126" s="25" t="s">
        <v>1673</v>
      </c>
      <c r="H1126" s="26">
        <v>0.79861111111111116</v>
      </c>
      <c r="I1126" s="26">
        <v>0.80902777777777779</v>
      </c>
      <c r="J1126" s="2">
        <v>46105</v>
      </c>
      <c r="K1126" s="25" t="s">
        <v>25</v>
      </c>
      <c r="L1126" s="25" t="s">
        <v>1674</v>
      </c>
      <c r="M1126" s="25" t="s">
        <v>1675</v>
      </c>
      <c r="N1126" s="25" t="s">
        <v>22</v>
      </c>
      <c r="O1126" s="25" t="s">
        <v>44</v>
      </c>
      <c r="P1126" s="25" t="s">
        <v>23</v>
      </c>
    </row>
    <row r="1127" spans="1:16" x14ac:dyDescent="0.25">
      <c r="A1127">
        <v>1079</v>
      </c>
      <c r="B1127" s="25" t="s">
        <v>164</v>
      </c>
      <c r="C1127" s="26">
        <v>7.1527777777777773E-2</v>
      </c>
      <c r="D1127" s="2">
        <v>46106</v>
      </c>
      <c r="E1127" s="25" t="s">
        <v>143</v>
      </c>
      <c r="F1127" s="25" t="s">
        <v>18</v>
      </c>
      <c r="G1127" s="25" t="s">
        <v>1692</v>
      </c>
      <c r="H1127" s="26">
        <v>7.2916666666666671E-2</v>
      </c>
      <c r="I1127" s="26">
        <v>8.3333333333333329E-2</v>
      </c>
      <c r="J1127" s="2">
        <v>46106</v>
      </c>
      <c r="K1127" s="25" t="s">
        <v>48</v>
      </c>
      <c r="L1127" s="25" t="s">
        <v>1693</v>
      </c>
      <c r="M1127" s="25"/>
      <c r="N1127" s="25" t="s">
        <v>22</v>
      </c>
      <c r="O1127" s="25" t="s">
        <v>44</v>
      </c>
      <c r="P1127" s="25" t="s">
        <v>33</v>
      </c>
    </row>
    <row r="1128" spans="1:16" x14ac:dyDescent="0.25">
      <c r="A1128">
        <v>1080</v>
      </c>
      <c r="B1128" s="25" t="s">
        <v>1676</v>
      </c>
      <c r="C1128" s="26">
        <v>4.1666666666666664E-2</v>
      </c>
      <c r="D1128" s="2">
        <v>46106</v>
      </c>
      <c r="E1128" s="25" t="s">
        <v>17</v>
      </c>
      <c r="F1128" s="25" t="s">
        <v>18</v>
      </c>
      <c r="G1128" s="25" t="s">
        <v>1677</v>
      </c>
      <c r="H1128" s="26">
        <v>0.1111111111111111</v>
      </c>
      <c r="I1128" s="26">
        <v>0.125</v>
      </c>
      <c r="J1128" s="2">
        <v>46106</v>
      </c>
      <c r="K1128" s="25" t="s">
        <v>25</v>
      </c>
      <c r="L1128" s="25" t="s">
        <v>1678</v>
      </c>
      <c r="M1128" s="25" t="s">
        <v>1679</v>
      </c>
      <c r="N1128" s="25" t="s">
        <v>22</v>
      </c>
      <c r="O1128" s="25" t="s">
        <v>44</v>
      </c>
      <c r="P1128" s="25" t="s">
        <v>23</v>
      </c>
    </row>
    <row r="1129" spans="1:16" x14ac:dyDescent="0.25">
      <c r="A1129">
        <v>1081</v>
      </c>
      <c r="B1129" s="25" t="s">
        <v>1648</v>
      </c>
      <c r="C1129" s="26">
        <v>0.2638888888888889</v>
      </c>
      <c r="D1129" s="2">
        <v>46106</v>
      </c>
      <c r="E1129" s="25" t="s">
        <v>143</v>
      </c>
      <c r="F1129" s="25" t="s">
        <v>18</v>
      </c>
      <c r="G1129" s="25" t="s">
        <v>1680</v>
      </c>
      <c r="H1129" s="26">
        <v>0.2673611111111111</v>
      </c>
      <c r="I1129" s="26">
        <v>0.33333333333333331</v>
      </c>
      <c r="J1129" s="2">
        <v>46106</v>
      </c>
      <c r="K1129" s="25" t="s">
        <v>25</v>
      </c>
      <c r="L1129" s="25" t="s">
        <v>1681</v>
      </c>
      <c r="M1129" s="25" t="s">
        <v>22</v>
      </c>
      <c r="N1129" s="25" t="s">
        <v>22</v>
      </c>
      <c r="O1129" s="25" t="s">
        <v>661</v>
      </c>
      <c r="P1129" s="25" t="s">
        <v>23</v>
      </c>
    </row>
    <row r="1130" spans="1:16" x14ac:dyDescent="0.25">
      <c r="A1130">
        <v>1082</v>
      </c>
      <c r="B1130" s="25" t="s">
        <v>317</v>
      </c>
      <c r="C1130" s="26">
        <v>0.38541666666666669</v>
      </c>
      <c r="D1130" s="2">
        <v>46106</v>
      </c>
      <c r="E1130" s="25"/>
      <c r="F1130" s="25" t="s">
        <v>18</v>
      </c>
      <c r="G1130" s="25" t="s">
        <v>1694</v>
      </c>
      <c r="H1130" s="26">
        <v>0.39930555555555558</v>
      </c>
      <c r="I1130" s="26">
        <v>0.45833333333333331</v>
      </c>
      <c r="J1130" s="2">
        <v>46106</v>
      </c>
      <c r="K1130" s="25" t="s">
        <v>25</v>
      </c>
      <c r="L1130" s="25" t="s">
        <v>1695</v>
      </c>
      <c r="M1130" s="25"/>
      <c r="N1130" s="25"/>
      <c r="O1130" s="25" t="s">
        <v>661</v>
      </c>
      <c r="P1130" s="25" t="s">
        <v>33</v>
      </c>
    </row>
    <row r="1131" spans="1:16" x14ac:dyDescent="0.25">
      <c r="A1131">
        <v>1083</v>
      </c>
      <c r="B1131" s="25" t="s">
        <v>206</v>
      </c>
      <c r="C1131" s="26">
        <v>0.73750000000000004</v>
      </c>
      <c r="D1131" s="2">
        <v>46106</v>
      </c>
      <c r="E1131" s="25" t="s">
        <v>94</v>
      </c>
      <c r="F1131" s="25" t="s">
        <v>18</v>
      </c>
      <c r="G1131" s="25" t="s">
        <v>1682</v>
      </c>
      <c r="H1131" s="26">
        <v>0.75</v>
      </c>
      <c r="I1131" s="26">
        <v>0.80555555555555558</v>
      </c>
      <c r="J1131" s="2">
        <v>46106</v>
      </c>
      <c r="K1131" s="25" t="s">
        <v>25</v>
      </c>
      <c r="L1131" s="25" t="s">
        <v>1683</v>
      </c>
      <c r="M1131" s="25" t="s">
        <v>1684</v>
      </c>
      <c r="N1131" s="25" t="s">
        <v>22</v>
      </c>
      <c r="O1131" s="25" t="s">
        <v>112</v>
      </c>
      <c r="P1131" s="25" t="s">
        <v>23</v>
      </c>
    </row>
    <row r="1132" spans="1:16" x14ac:dyDescent="0.25">
      <c r="A1132">
        <v>1084</v>
      </c>
      <c r="B1132" s="25" t="s">
        <v>192</v>
      </c>
      <c r="C1132" s="26">
        <v>0.81944444444444442</v>
      </c>
      <c r="D1132" s="2">
        <v>46106</v>
      </c>
      <c r="E1132" s="25" t="s">
        <v>162</v>
      </c>
      <c r="F1132" s="25" t="s">
        <v>18</v>
      </c>
      <c r="G1132" s="25" t="s">
        <v>1685</v>
      </c>
      <c r="H1132" s="26">
        <v>0.81944444444444442</v>
      </c>
      <c r="I1132" s="26">
        <v>0.875</v>
      </c>
      <c r="J1132" s="2">
        <v>46106</v>
      </c>
      <c r="K1132" s="25" t="s">
        <v>48</v>
      </c>
      <c r="L1132" s="25" t="s">
        <v>1686</v>
      </c>
      <c r="M1132" s="25" t="s">
        <v>22</v>
      </c>
      <c r="N1132" s="25" t="s">
        <v>22</v>
      </c>
      <c r="O1132" s="25" t="s">
        <v>112</v>
      </c>
      <c r="P1132" s="25" t="s">
        <v>23</v>
      </c>
    </row>
    <row r="1133" spans="1:16" x14ac:dyDescent="0.25">
      <c r="A1133">
        <v>1085</v>
      </c>
      <c r="B1133" s="25" t="s">
        <v>341</v>
      </c>
      <c r="C1133" s="26">
        <v>0.875</v>
      </c>
      <c r="D1133" s="2">
        <v>46106</v>
      </c>
      <c r="E1133" s="25" t="s">
        <v>143</v>
      </c>
      <c r="F1133" s="25" t="s">
        <v>18</v>
      </c>
      <c r="G1133" s="25" t="s">
        <v>1687</v>
      </c>
      <c r="H1133" s="26">
        <v>0.875</v>
      </c>
      <c r="I1133" s="26">
        <v>0.90625</v>
      </c>
      <c r="J1133" s="2">
        <v>46106</v>
      </c>
      <c r="K1133" s="25" t="s">
        <v>20</v>
      </c>
      <c r="L1133" s="25" t="s">
        <v>1688</v>
      </c>
      <c r="M1133" s="25" t="s">
        <v>22</v>
      </c>
      <c r="N1133" s="25" t="s">
        <v>22</v>
      </c>
      <c r="O1133" s="25" t="s">
        <v>112</v>
      </c>
      <c r="P1133" s="25" t="s">
        <v>23</v>
      </c>
    </row>
    <row r="1134" spans="1:16" x14ac:dyDescent="0.25">
      <c r="A1134">
        <v>1086</v>
      </c>
      <c r="B1134" s="25" t="s">
        <v>164</v>
      </c>
      <c r="C1134" s="26">
        <v>0.375</v>
      </c>
      <c r="D1134" s="2">
        <v>46108</v>
      </c>
      <c r="E1134" s="25" t="s">
        <v>143</v>
      </c>
      <c r="F1134" s="25" t="s">
        <v>18</v>
      </c>
      <c r="G1134" s="25" t="s">
        <v>1707</v>
      </c>
      <c r="H1134" s="26">
        <v>0.375</v>
      </c>
      <c r="I1134" s="26">
        <v>0.4375</v>
      </c>
      <c r="J1134" s="2">
        <v>46108</v>
      </c>
      <c r="K1134" s="25" t="s">
        <v>25</v>
      </c>
      <c r="L1134" s="25" t="s">
        <v>1708</v>
      </c>
      <c r="M1134" s="25" t="s">
        <v>22</v>
      </c>
      <c r="N1134" s="25" t="s">
        <v>22</v>
      </c>
      <c r="O1134" s="25" t="s">
        <v>268</v>
      </c>
      <c r="P1134" s="25" t="s">
        <v>23</v>
      </c>
    </row>
    <row r="1135" spans="1:16" x14ac:dyDescent="0.25">
      <c r="A1135">
        <v>1087</v>
      </c>
      <c r="B1135" s="25" t="s">
        <v>93</v>
      </c>
      <c r="C1135" s="26">
        <v>0.4201388888888889</v>
      </c>
      <c r="D1135" s="2">
        <v>46106</v>
      </c>
      <c r="E1135" s="25" t="s">
        <v>116</v>
      </c>
      <c r="F1135" s="25" t="s">
        <v>18</v>
      </c>
      <c r="G1135" s="25" t="s">
        <v>1696</v>
      </c>
      <c r="H1135" s="26">
        <v>0.4201388888888889</v>
      </c>
      <c r="I1135" s="26">
        <v>0.91666666666666663</v>
      </c>
      <c r="J1135" s="2">
        <v>46106</v>
      </c>
      <c r="K1135" s="25" t="s">
        <v>48</v>
      </c>
      <c r="L1135" s="25" t="s">
        <v>1697</v>
      </c>
      <c r="M1135" s="25" t="s">
        <v>22</v>
      </c>
      <c r="N1135" s="25" t="s">
        <v>1698</v>
      </c>
      <c r="O1135" s="25" t="s">
        <v>108</v>
      </c>
      <c r="P1135" s="25" t="s">
        <v>23</v>
      </c>
    </row>
    <row r="1136" spans="1:16" x14ac:dyDescent="0.25">
      <c r="A1136">
        <v>1088</v>
      </c>
      <c r="B1136" s="25" t="s">
        <v>1642</v>
      </c>
      <c r="C1136" s="26">
        <v>0.21527777777777779</v>
      </c>
      <c r="D1136" s="2">
        <v>46107</v>
      </c>
      <c r="E1136" s="25" t="s">
        <v>17</v>
      </c>
      <c r="F1136" s="25" t="s">
        <v>18</v>
      </c>
      <c r="G1136" s="25" t="s">
        <v>1699</v>
      </c>
      <c r="H1136" s="26">
        <v>0.21527777777777779</v>
      </c>
      <c r="I1136" s="26">
        <v>0.23958333333333334</v>
      </c>
      <c r="J1136" s="2">
        <v>46107</v>
      </c>
      <c r="K1136" s="25" t="s">
        <v>25</v>
      </c>
      <c r="L1136" s="25" t="s">
        <v>1700</v>
      </c>
      <c r="M1136" s="25" t="s">
        <v>1701</v>
      </c>
      <c r="N1136" s="25" t="s">
        <v>22</v>
      </c>
      <c r="O1136" s="25" t="s">
        <v>108</v>
      </c>
      <c r="P1136" s="25" t="s">
        <v>23</v>
      </c>
    </row>
    <row r="1137" spans="1:16" x14ac:dyDescent="0.25">
      <c r="A1137">
        <v>1089</v>
      </c>
      <c r="B1137" s="25" t="s">
        <v>1720</v>
      </c>
      <c r="C1137" s="26">
        <v>0.58333333333333337</v>
      </c>
      <c r="D1137" s="2">
        <v>46107</v>
      </c>
      <c r="E1137" s="25" t="s">
        <v>162</v>
      </c>
      <c r="F1137" s="25" t="s">
        <v>18</v>
      </c>
      <c r="G1137" s="25" t="s">
        <v>1721</v>
      </c>
      <c r="H1137" s="26">
        <v>0.72916666666666663</v>
      </c>
      <c r="I1137" s="26">
        <v>0.75486111111111109</v>
      </c>
      <c r="J1137" s="2">
        <v>46107</v>
      </c>
      <c r="K1137" s="25" t="s">
        <v>25</v>
      </c>
      <c r="L1137" s="25" t="s">
        <v>1722</v>
      </c>
      <c r="M1137" s="25" t="s">
        <v>1723</v>
      </c>
      <c r="N1137" s="25" t="s">
        <v>22</v>
      </c>
      <c r="O1137" s="25" t="s">
        <v>661</v>
      </c>
      <c r="P1137" s="25" t="s">
        <v>23</v>
      </c>
    </row>
    <row r="1138" spans="1:16" x14ac:dyDescent="0.25">
      <c r="A1138">
        <v>1090</v>
      </c>
      <c r="B1138" s="25" t="s">
        <v>1676</v>
      </c>
      <c r="C1138" s="26">
        <v>0.88888888888888884</v>
      </c>
      <c r="D1138" s="2">
        <v>46107</v>
      </c>
      <c r="E1138" s="25" t="s">
        <v>17</v>
      </c>
      <c r="F1138" s="25" t="s">
        <v>18</v>
      </c>
      <c r="G1138" s="25" t="s">
        <v>1702</v>
      </c>
      <c r="H1138" s="26">
        <v>0.88888888888888884</v>
      </c>
      <c r="I1138" s="26">
        <v>0.90972222222222221</v>
      </c>
      <c r="J1138" s="2">
        <v>46107</v>
      </c>
      <c r="K1138" s="25" t="s">
        <v>25</v>
      </c>
      <c r="L1138" s="25" t="s">
        <v>1703</v>
      </c>
      <c r="M1138" s="25" t="s">
        <v>1704</v>
      </c>
      <c r="N1138" s="25" t="s">
        <v>22</v>
      </c>
      <c r="O1138" s="25" t="s">
        <v>661</v>
      </c>
      <c r="P1138" s="25" t="s">
        <v>23</v>
      </c>
    </row>
    <row r="1139" spans="1:16" x14ac:dyDescent="0.25">
      <c r="A1139">
        <v>1091</v>
      </c>
      <c r="B1139" s="25"/>
      <c r="C1139" s="26"/>
      <c r="D1139" s="2"/>
      <c r="E1139" s="25"/>
      <c r="F1139" s="25"/>
      <c r="G1139" s="25"/>
      <c r="H1139" s="26"/>
      <c r="I1139" s="26"/>
      <c r="J1139" s="2"/>
      <c r="K1139" s="25"/>
      <c r="L1139" s="25"/>
      <c r="M1139" s="25"/>
      <c r="N1139" s="25"/>
      <c r="O1139" s="25"/>
      <c r="P1139" s="25"/>
    </row>
    <row r="1140" spans="1:16" x14ac:dyDescent="0.25">
      <c r="A1140">
        <v>1092</v>
      </c>
      <c r="B1140" s="25" t="s">
        <v>164</v>
      </c>
      <c r="C1140" s="26">
        <v>0.77777777777777779</v>
      </c>
      <c r="D1140" s="2">
        <v>46125</v>
      </c>
      <c r="E1140" s="25" t="s">
        <v>143</v>
      </c>
      <c r="F1140" s="25" t="s">
        <v>18</v>
      </c>
      <c r="G1140" s="25" t="s">
        <v>1777</v>
      </c>
      <c r="H1140" s="26">
        <v>0.77777777777777779</v>
      </c>
      <c r="I1140" s="26">
        <v>0.8125</v>
      </c>
      <c r="J1140" s="2">
        <v>46125</v>
      </c>
      <c r="K1140" s="25" t="s">
        <v>25</v>
      </c>
      <c r="L1140" s="25" t="s">
        <v>1778</v>
      </c>
      <c r="M1140" s="25" t="s">
        <v>22</v>
      </c>
      <c r="N1140" s="25" t="s">
        <v>1779</v>
      </c>
      <c r="O1140" s="25" t="s">
        <v>661</v>
      </c>
      <c r="P1140" s="25" t="s">
        <v>23</v>
      </c>
    </row>
    <row r="1141" spans="1:16" x14ac:dyDescent="0.25">
      <c r="A1141">
        <v>1093</v>
      </c>
      <c r="B1141" s="25"/>
      <c r="C1141" s="26"/>
      <c r="D1141" s="2"/>
      <c r="E1141" s="25"/>
      <c r="F1141" s="25"/>
      <c r="G1141" s="25"/>
      <c r="H1141" s="26"/>
      <c r="I1141" s="26"/>
      <c r="J1141" s="2"/>
      <c r="K1141" s="25"/>
      <c r="L1141" s="25"/>
      <c r="M1141" s="25"/>
      <c r="N1141" s="25"/>
      <c r="O1141" s="25"/>
      <c r="P1141" s="25"/>
    </row>
    <row r="1142" spans="1:16" x14ac:dyDescent="0.25">
      <c r="A1142">
        <v>1094</v>
      </c>
      <c r="B1142" s="25" t="s">
        <v>113</v>
      </c>
      <c r="C1142" s="26">
        <v>0.84722222222222221</v>
      </c>
      <c r="D1142" s="2">
        <v>46108</v>
      </c>
      <c r="E1142" s="25" t="s">
        <v>91</v>
      </c>
      <c r="F1142" s="25" t="s">
        <v>18</v>
      </c>
      <c r="G1142" s="25" t="s">
        <v>1709</v>
      </c>
      <c r="H1142" s="26">
        <v>0.84722222222222221</v>
      </c>
      <c r="I1142" s="26">
        <v>0.86111111111111116</v>
      </c>
      <c r="J1142" s="2">
        <v>46108</v>
      </c>
      <c r="K1142" s="25" t="s">
        <v>48</v>
      </c>
      <c r="L1142" s="25" t="s">
        <v>1710</v>
      </c>
      <c r="M1142" s="25" t="s">
        <v>22</v>
      </c>
      <c r="N1142" s="25" t="s">
        <v>22</v>
      </c>
      <c r="O1142" s="25" t="s">
        <v>44</v>
      </c>
      <c r="P1142" s="25" t="s">
        <v>23</v>
      </c>
    </row>
    <row r="1143" spans="1:16" x14ac:dyDescent="0.25">
      <c r="A1143">
        <v>1095</v>
      </c>
      <c r="B1143" s="25" t="s">
        <v>93</v>
      </c>
      <c r="C1143" s="26">
        <v>2.7777777777777776E-2</v>
      </c>
      <c r="D1143" s="2">
        <v>46109</v>
      </c>
      <c r="E1143" s="25" t="s">
        <v>94</v>
      </c>
      <c r="F1143" s="25" t="s">
        <v>18</v>
      </c>
      <c r="G1143" s="25" t="s">
        <v>644</v>
      </c>
      <c r="H1143" s="26">
        <v>2.7777777777777776E-2</v>
      </c>
      <c r="I1143" s="26">
        <v>7.9861111111111105E-2</v>
      </c>
      <c r="J1143" s="2">
        <v>46110</v>
      </c>
      <c r="K1143" s="25" t="s">
        <v>20</v>
      </c>
      <c r="L1143" s="25" t="s">
        <v>1711</v>
      </c>
      <c r="M1143" s="25" t="s">
        <v>22</v>
      </c>
      <c r="N1143" s="25" t="s">
        <v>22</v>
      </c>
      <c r="O1143" s="25" t="s">
        <v>661</v>
      </c>
      <c r="P1143" s="25" t="s">
        <v>23</v>
      </c>
    </row>
    <row r="1144" spans="1:16" x14ac:dyDescent="0.25">
      <c r="A1144">
        <v>1096</v>
      </c>
      <c r="B1144" s="25" t="s">
        <v>113</v>
      </c>
      <c r="C1144" s="26">
        <v>0.22569444444444445</v>
      </c>
      <c r="D1144" s="2">
        <v>46109</v>
      </c>
      <c r="E1144" s="25" t="s">
        <v>91</v>
      </c>
      <c r="F1144" s="25" t="s">
        <v>18</v>
      </c>
      <c r="G1144" s="25" t="s">
        <v>1712</v>
      </c>
      <c r="H1144" s="26">
        <v>0.22638888888888889</v>
      </c>
      <c r="I1144" s="26">
        <v>0.25</v>
      </c>
      <c r="J1144" s="2">
        <v>46109</v>
      </c>
      <c r="K1144" s="25" t="s">
        <v>1713</v>
      </c>
      <c r="L1144" s="25" t="s">
        <v>1714</v>
      </c>
      <c r="M1144" s="25" t="s">
        <v>22</v>
      </c>
      <c r="N1144" s="25" t="s">
        <v>22</v>
      </c>
      <c r="O1144" s="25" t="s">
        <v>661</v>
      </c>
      <c r="P1144" s="25" t="s">
        <v>23</v>
      </c>
    </row>
    <row r="1145" spans="1:16" x14ac:dyDescent="0.25">
      <c r="A1145">
        <v>1097</v>
      </c>
      <c r="B1145" s="25"/>
      <c r="C1145" s="26"/>
      <c r="D1145" s="2"/>
      <c r="E1145" s="25"/>
      <c r="F1145" s="25"/>
      <c r="G1145" s="25"/>
      <c r="H1145" s="26"/>
      <c r="I1145" s="26"/>
      <c r="J1145" s="2"/>
      <c r="K1145" s="25"/>
      <c r="L1145" s="25"/>
      <c r="M1145" s="25"/>
      <c r="N1145" s="25"/>
      <c r="O1145" s="25"/>
      <c r="P1145" s="25"/>
    </row>
    <row r="1146" spans="1:16" x14ac:dyDescent="0.25">
      <c r="A1146">
        <v>1098</v>
      </c>
      <c r="B1146" s="25" t="s">
        <v>526</v>
      </c>
      <c r="C1146" s="26"/>
      <c r="D1146" s="2">
        <v>46110</v>
      </c>
      <c r="E1146" s="25" t="s">
        <v>188</v>
      </c>
      <c r="F1146" s="25" t="s">
        <v>18</v>
      </c>
      <c r="G1146" s="25" t="s">
        <v>1730</v>
      </c>
      <c r="H1146" s="26"/>
      <c r="I1146" s="26">
        <v>0.5625</v>
      </c>
      <c r="J1146" s="2">
        <v>46115</v>
      </c>
      <c r="K1146" s="25" t="s">
        <v>25</v>
      </c>
      <c r="L1146" s="25" t="s">
        <v>1731</v>
      </c>
      <c r="M1146" s="25" t="s">
        <v>22</v>
      </c>
      <c r="N1146" s="25" t="s">
        <v>22</v>
      </c>
      <c r="O1146" s="25" t="s">
        <v>112</v>
      </c>
      <c r="P1146" s="25" t="s">
        <v>23</v>
      </c>
    </row>
    <row r="1147" spans="1:16" x14ac:dyDescent="0.25">
      <c r="A1147">
        <v>1099</v>
      </c>
      <c r="B1147" s="25" t="s">
        <v>164</v>
      </c>
      <c r="C1147" s="26">
        <v>0.44791666666666669</v>
      </c>
      <c r="D1147" s="2">
        <v>46110</v>
      </c>
      <c r="E1147" s="25" t="s">
        <v>143</v>
      </c>
      <c r="F1147" s="25" t="s">
        <v>18</v>
      </c>
      <c r="G1147" s="25" t="s">
        <v>1715</v>
      </c>
      <c r="H1147" s="26">
        <v>0.44791666666666669</v>
      </c>
      <c r="I1147" s="26">
        <v>0.46875</v>
      </c>
      <c r="J1147" s="2">
        <v>46110</v>
      </c>
      <c r="K1147" s="25" t="s">
        <v>25</v>
      </c>
      <c r="L1147" s="25" t="s">
        <v>1716</v>
      </c>
      <c r="M1147" s="25" t="s">
        <v>22</v>
      </c>
      <c r="N1147" s="25" t="s">
        <v>22</v>
      </c>
      <c r="O1147" s="25" t="s">
        <v>44</v>
      </c>
      <c r="P1147" s="25" t="s">
        <v>23</v>
      </c>
    </row>
    <row r="1148" spans="1:16" x14ac:dyDescent="0.25">
      <c r="A1148">
        <v>1100</v>
      </c>
      <c r="B1148" s="25" t="s">
        <v>187</v>
      </c>
      <c r="C1148" s="26">
        <v>0.375</v>
      </c>
      <c r="D1148" s="2">
        <v>46111</v>
      </c>
      <c r="E1148" s="25" t="s">
        <v>154</v>
      </c>
      <c r="F1148" s="25" t="s">
        <v>18</v>
      </c>
      <c r="G1148" s="25" t="s">
        <v>1724</v>
      </c>
      <c r="H1148" s="26">
        <v>0.375</v>
      </c>
      <c r="I1148" s="26">
        <v>0.3888888888888889</v>
      </c>
      <c r="J1148" s="2">
        <v>46111</v>
      </c>
      <c r="K1148" s="25" t="s">
        <v>20</v>
      </c>
      <c r="L1148" s="25" t="s">
        <v>1725</v>
      </c>
      <c r="M1148" s="25" t="s">
        <v>22</v>
      </c>
      <c r="N1148" s="25" t="s">
        <v>22</v>
      </c>
      <c r="O1148" s="25" t="s">
        <v>112</v>
      </c>
      <c r="P1148" s="25" t="s">
        <v>23</v>
      </c>
    </row>
    <row r="1149" spans="1:16" x14ac:dyDescent="0.25">
      <c r="B1149" s="25"/>
      <c r="C1149" s="26"/>
      <c r="D1149" s="2"/>
      <c r="E1149" s="25"/>
      <c r="F1149" s="25"/>
      <c r="G1149" s="25"/>
      <c r="H1149" s="26"/>
      <c r="I1149" s="26"/>
      <c r="J1149" s="2"/>
      <c r="K1149" s="25"/>
      <c r="L1149" s="25"/>
      <c r="M1149" s="25"/>
      <c r="N1149" s="25"/>
      <c r="O1149" s="25"/>
      <c r="P1149" s="25"/>
    </row>
    <row r="1150" spans="1:16" x14ac:dyDescent="0.25">
      <c r="A1150" t="s">
        <v>0</v>
      </c>
      <c r="B1150" s="25" t="s">
        <v>1</v>
      </c>
      <c r="C1150" s="26"/>
      <c r="D1150" s="2"/>
      <c r="E1150" s="25" t="s">
        <v>4</v>
      </c>
      <c r="F1150" s="25" t="s">
        <v>5</v>
      </c>
      <c r="G1150" s="25" t="s">
        <v>6</v>
      </c>
      <c r="H1150" s="26"/>
      <c r="I1150" s="26"/>
      <c r="J1150" s="2"/>
      <c r="K1150" s="25" t="s">
        <v>10</v>
      </c>
      <c r="L1150" s="25" t="s">
        <v>11</v>
      </c>
      <c r="M1150" s="25" t="s">
        <v>12</v>
      </c>
      <c r="N1150" s="25" t="s">
        <v>13</v>
      </c>
      <c r="O1150" s="25" t="s">
        <v>14</v>
      </c>
      <c r="P1150" s="25" t="s">
        <v>15</v>
      </c>
    </row>
    <row r="1151" spans="1:16" x14ac:dyDescent="0.25">
      <c r="A1151">
        <v>1101</v>
      </c>
      <c r="B1151" s="25"/>
      <c r="C1151" s="26"/>
      <c r="D1151" s="2"/>
      <c r="E1151" s="25"/>
      <c r="F1151" s="25"/>
      <c r="G1151" s="25"/>
      <c r="H1151" s="26"/>
      <c r="I1151" s="26"/>
      <c r="J1151" s="2"/>
      <c r="K1151" s="25"/>
      <c r="L1151" s="25"/>
      <c r="M1151" s="25"/>
      <c r="N1151" s="25"/>
      <c r="O1151" s="25"/>
      <c r="P1151" s="25"/>
    </row>
    <row r="1152" spans="1:16" x14ac:dyDescent="0.25">
      <c r="A1152">
        <v>1102</v>
      </c>
      <c r="B1152" s="25"/>
      <c r="C1152" s="26"/>
      <c r="D1152" s="2"/>
      <c r="E1152" s="25"/>
      <c r="F1152" s="25"/>
      <c r="G1152" s="25"/>
      <c r="H1152" s="26"/>
      <c r="I1152" s="26"/>
      <c r="J1152" s="2"/>
      <c r="K1152" s="25"/>
      <c r="L1152" s="25"/>
      <c r="M1152" s="25"/>
      <c r="N1152" s="25"/>
      <c r="O1152" s="25"/>
      <c r="P1152" s="25"/>
    </row>
    <row r="1153" spans="1:16" x14ac:dyDescent="0.25">
      <c r="A1153">
        <v>1103</v>
      </c>
      <c r="B1153" s="25" t="s">
        <v>113</v>
      </c>
      <c r="C1153" s="26">
        <v>0.4861111111111111</v>
      </c>
      <c r="D1153" s="2">
        <v>46123</v>
      </c>
      <c r="E1153" s="25" t="s">
        <v>188</v>
      </c>
      <c r="F1153" s="25" t="s">
        <v>18</v>
      </c>
      <c r="G1153" s="25" t="s">
        <v>1780</v>
      </c>
      <c r="H1153" s="26"/>
      <c r="I1153" s="26"/>
      <c r="J1153" s="2"/>
      <c r="K1153" s="25"/>
      <c r="L1153" s="25"/>
      <c r="M1153" s="25"/>
      <c r="N1153" s="25"/>
      <c r="O1153" s="25"/>
      <c r="P1153" s="25" t="s">
        <v>33</v>
      </c>
    </row>
    <row r="1154" spans="1:16" x14ac:dyDescent="0.25">
      <c r="A1154">
        <v>1104</v>
      </c>
      <c r="B1154" s="25" t="s">
        <v>317</v>
      </c>
      <c r="C1154" s="26">
        <v>0.58333333333333337</v>
      </c>
      <c r="D1154" s="2">
        <v>46123</v>
      </c>
      <c r="E1154" s="25" t="s">
        <v>91</v>
      </c>
      <c r="F1154" s="25" t="s">
        <v>18</v>
      </c>
      <c r="G1154" s="25" t="s">
        <v>1781</v>
      </c>
      <c r="H1154" s="26">
        <v>0.625</v>
      </c>
      <c r="I1154" s="26">
        <v>0.65138888888888891</v>
      </c>
      <c r="J1154" s="2">
        <v>46123</v>
      </c>
      <c r="K1154" s="25" t="s">
        <v>20</v>
      </c>
      <c r="L1154" s="25" t="s">
        <v>1782</v>
      </c>
      <c r="M1154" s="25" t="s">
        <v>22</v>
      </c>
      <c r="N1154" s="25" t="s">
        <v>22</v>
      </c>
      <c r="O1154" s="25" t="s">
        <v>661</v>
      </c>
      <c r="P1154" s="25" t="s">
        <v>23</v>
      </c>
    </row>
    <row r="1155" spans="1:16" x14ac:dyDescent="0.25">
      <c r="A1155">
        <v>1105</v>
      </c>
      <c r="B1155" s="25" t="s">
        <v>192</v>
      </c>
      <c r="C1155" s="26">
        <v>0.90277777777777779</v>
      </c>
      <c r="D1155" s="2">
        <v>46123</v>
      </c>
      <c r="E1155" s="25" t="s">
        <v>162</v>
      </c>
      <c r="F1155" s="25" t="s">
        <v>18</v>
      </c>
      <c r="G1155" s="25" t="s">
        <v>1783</v>
      </c>
      <c r="H1155" s="26">
        <v>0.90277777777777779</v>
      </c>
      <c r="I1155" s="26">
        <v>0.95138888888888884</v>
      </c>
      <c r="J1155" s="2">
        <v>46123</v>
      </c>
      <c r="K1155" s="25" t="s">
        <v>25</v>
      </c>
      <c r="L1155" s="25" t="s">
        <v>1784</v>
      </c>
      <c r="M1155" s="25" t="s">
        <v>22</v>
      </c>
      <c r="N1155" s="25" t="s">
        <v>22</v>
      </c>
      <c r="O1155" s="25" t="s">
        <v>108</v>
      </c>
      <c r="P1155" s="25" t="s">
        <v>23</v>
      </c>
    </row>
    <row r="1156" spans="1:16" x14ac:dyDescent="0.25">
      <c r="A1156">
        <v>1106</v>
      </c>
      <c r="B1156" s="25" t="s">
        <v>261</v>
      </c>
      <c r="C1156" s="26">
        <v>0.28472222222222221</v>
      </c>
      <c r="D1156" s="2">
        <v>46124</v>
      </c>
      <c r="E1156" s="25" t="s">
        <v>91</v>
      </c>
      <c r="F1156" s="25" t="s">
        <v>18</v>
      </c>
      <c r="G1156" s="25" t="s">
        <v>1785</v>
      </c>
      <c r="H1156" s="26">
        <v>0.29166666666666669</v>
      </c>
      <c r="I1156" s="26">
        <v>0.3298611111111111</v>
      </c>
      <c r="J1156" s="2">
        <v>46124</v>
      </c>
      <c r="K1156" s="25" t="s">
        <v>20</v>
      </c>
      <c r="L1156" s="25" t="s">
        <v>1786</v>
      </c>
      <c r="M1156" s="25" t="s">
        <v>22</v>
      </c>
      <c r="N1156" s="25" t="s">
        <v>22</v>
      </c>
      <c r="O1156" s="25" t="s">
        <v>661</v>
      </c>
      <c r="P1156" s="25" t="s">
        <v>23</v>
      </c>
    </row>
    <row r="1157" spans="1:16" x14ac:dyDescent="0.25">
      <c r="A1157">
        <v>1107</v>
      </c>
      <c r="B1157" s="25"/>
      <c r="C1157" s="26"/>
      <c r="D1157" s="2"/>
      <c r="E1157" s="25"/>
      <c r="F1157" s="25"/>
      <c r="G1157" s="25"/>
      <c r="H1157" s="26"/>
      <c r="I1157" s="26"/>
      <c r="J1157" s="2"/>
      <c r="K1157" s="25"/>
      <c r="L1157" s="25"/>
      <c r="M1157" s="25"/>
      <c r="N1157" s="25"/>
      <c r="O1157" s="25"/>
      <c r="P1157" s="25"/>
    </row>
    <row r="1158" spans="1:16" x14ac:dyDescent="0.25">
      <c r="A1158">
        <v>1108</v>
      </c>
      <c r="B1158" s="25"/>
      <c r="C1158" s="26"/>
      <c r="D1158" s="2"/>
      <c r="E1158" s="25"/>
      <c r="F1158" s="25"/>
      <c r="G1158" s="25"/>
      <c r="H1158" s="26"/>
      <c r="I1158" s="26"/>
      <c r="J1158" s="2"/>
      <c r="K1158" s="25"/>
      <c r="L1158" s="25"/>
      <c r="M1158" s="25"/>
      <c r="N1158" s="25"/>
      <c r="O1158" s="25"/>
      <c r="P1158" s="25"/>
    </row>
    <row r="1159" spans="1:16" x14ac:dyDescent="0.25">
      <c r="A1159">
        <v>1109</v>
      </c>
      <c r="B1159" s="25"/>
      <c r="C1159" s="26"/>
      <c r="D1159" s="2"/>
      <c r="E1159" s="25"/>
      <c r="F1159" s="25"/>
      <c r="G1159" s="25"/>
      <c r="H1159" s="26"/>
      <c r="I1159" s="26"/>
      <c r="J1159" s="2"/>
      <c r="K1159" s="25"/>
      <c r="L1159" s="25"/>
      <c r="M1159" s="25"/>
      <c r="N1159" s="25"/>
      <c r="O1159" s="25"/>
      <c r="P1159" s="25"/>
    </row>
    <row r="1160" spans="1:16" x14ac:dyDescent="0.25">
      <c r="A1160">
        <v>1110</v>
      </c>
      <c r="B1160" s="25"/>
      <c r="C1160" s="26"/>
      <c r="D1160" s="2"/>
      <c r="E1160" s="25"/>
      <c r="F1160" s="25"/>
      <c r="G1160" s="25"/>
      <c r="H1160" s="26"/>
      <c r="I1160" s="26"/>
      <c r="J1160" s="2"/>
      <c r="K1160" s="25"/>
      <c r="L1160" s="25"/>
      <c r="M1160" s="25"/>
      <c r="N1160" s="25"/>
      <c r="O1160" s="25"/>
      <c r="P1160" s="25"/>
    </row>
    <row r="1161" spans="1:16" x14ac:dyDescent="0.25">
      <c r="A1161">
        <v>1111</v>
      </c>
      <c r="B1161" s="25" t="s">
        <v>199</v>
      </c>
      <c r="C1161" s="26">
        <v>0.25</v>
      </c>
      <c r="D1161" s="2">
        <v>46125</v>
      </c>
      <c r="E1161" s="25" t="s">
        <v>307</v>
      </c>
      <c r="F1161" s="25" t="s">
        <v>18</v>
      </c>
      <c r="G1161" s="25" t="s">
        <v>1947</v>
      </c>
      <c r="H1161" s="26">
        <v>0.83333333333333337</v>
      </c>
      <c r="I1161" s="26">
        <v>0.89583333333333337</v>
      </c>
      <c r="J1161" s="2">
        <v>46127</v>
      </c>
      <c r="K1161" s="25" t="s">
        <v>20</v>
      </c>
      <c r="L1161" s="25" t="s">
        <v>1948</v>
      </c>
      <c r="M1161" s="25" t="s">
        <v>22</v>
      </c>
      <c r="N1161" s="25" t="s">
        <v>22</v>
      </c>
      <c r="O1161" s="25" t="s">
        <v>112</v>
      </c>
      <c r="P1161" s="25" t="s">
        <v>23</v>
      </c>
    </row>
    <row r="1162" spans="1:16" x14ac:dyDescent="0.25">
      <c r="A1162">
        <v>1112</v>
      </c>
      <c r="B1162" s="25" t="s">
        <v>341</v>
      </c>
      <c r="C1162" s="26">
        <v>0.57638888888888884</v>
      </c>
      <c r="D1162" s="2">
        <v>46125</v>
      </c>
      <c r="E1162" s="25" t="s">
        <v>143</v>
      </c>
      <c r="F1162" s="25" t="s">
        <v>18</v>
      </c>
      <c r="G1162" s="25" t="s">
        <v>1787</v>
      </c>
      <c r="H1162" s="26">
        <v>0.60416666666666663</v>
      </c>
      <c r="I1162" s="26">
        <v>0.625</v>
      </c>
      <c r="J1162" s="2">
        <v>46125</v>
      </c>
      <c r="K1162" s="25" t="s">
        <v>48</v>
      </c>
      <c r="L1162" s="25" t="s">
        <v>1788</v>
      </c>
      <c r="M1162" s="25" t="s">
        <v>22</v>
      </c>
      <c r="N1162" s="25" t="s">
        <v>50</v>
      </c>
      <c r="O1162" s="25" t="s">
        <v>112</v>
      </c>
      <c r="P1162" s="25" t="s">
        <v>23</v>
      </c>
    </row>
    <row r="1163" spans="1:16" x14ac:dyDescent="0.25">
      <c r="A1163">
        <v>1113</v>
      </c>
      <c r="B1163" s="25" t="s">
        <v>317</v>
      </c>
      <c r="C1163" s="26">
        <v>0.61111111111111116</v>
      </c>
      <c r="D1163" s="2">
        <v>46125</v>
      </c>
      <c r="E1163" s="25" t="s">
        <v>91</v>
      </c>
      <c r="F1163" s="25" t="s">
        <v>18</v>
      </c>
      <c r="G1163" s="25" t="s">
        <v>1789</v>
      </c>
      <c r="H1163" s="26">
        <v>0.61111111111111116</v>
      </c>
      <c r="I1163" s="26">
        <v>0.61805555555555558</v>
      </c>
      <c r="J1163" s="2">
        <v>46125</v>
      </c>
      <c r="K1163" s="25" t="s">
        <v>48</v>
      </c>
      <c r="L1163" s="25" t="s">
        <v>1790</v>
      </c>
      <c r="M1163" s="25" t="s">
        <v>22</v>
      </c>
      <c r="N1163" s="25" t="s">
        <v>22</v>
      </c>
      <c r="O1163" s="25" t="s">
        <v>268</v>
      </c>
      <c r="P1163" s="25" t="s">
        <v>23</v>
      </c>
    </row>
    <row r="1164" spans="1:16" x14ac:dyDescent="0.25">
      <c r="A1164">
        <v>1114</v>
      </c>
      <c r="B1164" s="25" t="s">
        <v>113</v>
      </c>
      <c r="C1164" s="26">
        <v>0.2013888888888889</v>
      </c>
      <c r="D1164" s="2">
        <v>46126</v>
      </c>
      <c r="E1164" s="25" t="s">
        <v>147</v>
      </c>
      <c r="F1164" s="25" t="s">
        <v>18</v>
      </c>
      <c r="G1164" s="25" t="s">
        <v>1791</v>
      </c>
      <c r="H1164" s="26">
        <v>0.2048611111111111</v>
      </c>
      <c r="I1164" s="26">
        <v>0.22569444444444445</v>
      </c>
      <c r="J1164" s="2">
        <v>46126</v>
      </c>
      <c r="K1164" s="25" t="s">
        <v>20</v>
      </c>
      <c r="L1164" s="25" t="s">
        <v>1792</v>
      </c>
      <c r="M1164" s="25" t="s">
        <v>22</v>
      </c>
      <c r="N1164" s="25" t="s">
        <v>22</v>
      </c>
      <c r="O1164" s="25" t="s">
        <v>661</v>
      </c>
      <c r="P1164" s="25" t="s">
        <v>23</v>
      </c>
    </row>
    <row r="1165" spans="1:16" x14ac:dyDescent="0.25">
      <c r="A1165">
        <v>1115</v>
      </c>
      <c r="B1165" s="25"/>
      <c r="C1165" s="26"/>
      <c r="D1165" s="2"/>
      <c r="E1165" s="25"/>
      <c r="F1165" s="25"/>
      <c r="G1165" s="25"/>
      <c r="H1165" s="26"/>
      <c r="I1165" s="26"/>
      <c r="J1165" s="2"/>
      <c r="K1165" s="25"/>
      <c r="L1165" s="25"/>
      <c r="M1165" s="25"/>
      <c r="N1165" s="25"/>
      <c r="O1165" s="25"/>
      <c r="P1165" s="25"/>
    </row>
    <row r="1166" spans="1:16" x14ac:dyDescent="0.25">
      <c r="A1166">
        <v>1116</v>
      </c>
      <c r="B1166" s="25" t="s">
        <v>113</v>
      </c>
      <c r="C1166" s="26">
        <v>1.7361111111111112E-2</v>
      </c>
      <c r="D1166" s="2">
        <v>46125</v>
      </c>
      <c r="E1166" s="25" t="s">
        <v>154</v>
      </c>
      <c r="F1166" s="25" t="s">
        <v>18</v>
      </c>
      <c r="G1166" s="25" t="s">
        <v>1949</v>
      </c>
      <c r="H1166" s="26">
        <v>1.7361111111111112E-2</v>
      </c>
      <c r="I1166" s="26">
        <v>4.1666666666666664E-2</v>
      </c>
      <c r="J1166" s="2">
        <v>46125</v>
      </c>
      <c r="K1166" s="25" t="s">
        <v>25</v>
      </c>
      <c r="L1166" s="25" t="s">
        <v>1950</v>
      </c>
      <c r="M1166" s="25" t="s">
        <v>1951</v>
      </c>
      <c r="N1166" s="25" t="s">
        <v>22</v>
      </c>
      <c r="O1166" s="25" t="s">
        <v>108</v>
      </c>
      <c r="P1166" s="25" t="s">
        <v>23</v>
      </c>
    </row>
    <row r="1167" spans="1:16" x14ac:dyDescent="0.25">
      <c r="A1167">
        <v>1117</v>
      </c>
      <c r="B1167" s="25"/>
      <c r="C1167" s="26"/>
      <c r="D1167" s="2"/>
      <c r="E1167" s="25"/>
      <c r="F1167" s="25"/>
      <c r="G1167" s="25"/>
      <c r="H1167" s="26"/>
      <c r="I1167" s="26"/>
      <c r="J1167" s="2"/>
      <c r="K1167" s="25"/>
      <c r="L1167" s="25"/>
      <c r="M1167" s="25"/>
      <c r="N1167" s="25"/>
      <c r="O1167" s="25"/>
      <c r="P1167" s="25"/>
    </row>
    <row r="1168" spans="1:16" x14ac:dyDescent="0.25">
      <c r="A1168">
        <v>1118</v>
      </c>
      <c r="B1168" s="25"/>
      <c r="C1168" s="26"/>
      <c r="D1168" s="2"/>
      <c r="E1168" s="25"/>
      <c r="F1168" s="25"/>
      <c r="G1168" s="25"/>
      <c r="H1168" s="26"/>
      <c r="I1168" s="26"/>
      <c r="J1168" s="2"/>
      <c r="K1168" s="25"/>
      <c r="L1168" s="25"/>
      <c r="M1168" s="25"/>
      <c r="N1168" s="25"/>
      <c r="O1168" s="25"/>
      <c r="P1168" s="25"/>
    </row>
    <row r="1169" spans="1:16" x14ac:dyDescent="0.25">
      <c r="A1169">
        <v>1119</v>
      </c>
      <c r="B1169" s="25"/>
      <c r="C1169" s="26"/>
      <c r="D1169" s="2"/>
      <c r="E1169" s="25"/>
      <c r="F1169" s="25"/>
      <c r="G1169" s="25"/>
      <c r="H1169" s="26"/>
      <c r="I1169" s="26"/>
      <c r="J1169" s="2"/>
      <c r="K1169" s="25"/>
      <c r="L1169" s="25"/>
      <c r="M1169" s="25"/>
      <c r="N1169" s="25"/>
      <c r="O1169" s="25"/>
      <c r="P1169" s="25"/>
    </row>
    <row r="1170" spans="1:16" x14ac:dyDescent="0.25">
      <c r="A1170">
        <v>1120</v>
      </c>
      <c r="B1170" s="25" t="s">
        <v>385</v>
      </c>
      <c r="C1170" s="26">
        <v>0.35416666666666669</v>
      </c>
      <c r="D1170" s="2">
        <v>46125</v>
      </c>
      <c r="E1170" s="25" t="s">
        <v>307</v>
      </c>
      <c r="F1170" s="25" t="s">
        <v>18</v>
      </c>
      <c r="G1170" s="25" t="s">
        <v>2011</v>
      </c>
      <c r="H1170" s="26">
        <v>0.35416666666666669</v>
      </c>
      <c r="I1170" s="26">
        <v>0.38819444444444445</v>
      </c>
      <c r="J1170" s="2">
        <v>46125</v>
      </c>
      <c r="K1170" s="25" t="s">
        <v>20</v>
      </c>
      <c r="L1170" s="25" t="s">
        <v>2012</v>
      </c>
      <c r="M1170" s="25" t="s">
        <v>22</v>
      </c>
      <c r="N1170" s="25" t="s">
        <v>22</v>
      </c>
      <c r="O1170" s="25" t="s">
        <v>108</v>
      </c>
      <c r="P1170" s="25" t="s">
        <v>23</v>
      </c>
    </row>
    <row r="1171" spans="1:16" x14ac:dyDescent="0.25">
      <c r="A1171">
        <v>1121</v>
      </c>
      <c r="B1171" s="25" t="s">
        <v>161</v>
      </c>
      <c r="C1171" s="26">
        <v>0.20833333333333334</v>
      </c>
      <c r="D1171" s="2">
        <v>46128</v>
      </c>
      <c r="E1171" s="25" t="s">
        <v>94</v>
      </c>
      <c r="F1171" s="25" t="s">
        <v>18</v>
      </c>
      <c r="G1171" s="25" t="s">
        <v>1952</v>
      </c>
      <c r="H1171" s="26">
        <v>0.20833333333333334</v>
      </c>
      <c r="I1171" s="26">
        <v>0.22222222222222221</v>
      </c>
      <c r="J1171" s="2">
        <v>46128</v>
      </c>
      <c r="K1171" s="25" t="s">
        <v>25</v>
      </c>
      <c r="L1171" s="25" t="s">
        <v>1953</v>
      </c>
      <c r="M1171" s="25" t="s">
        <v>1954</v>
      </c>
      <c r="N1171" s="25" t="s">
        <v>22</v>
      </c>
      <c r="O1171" s="25" t="s">
        <v>112</v>
      </c>
      <c r="P1171" s="25" t="s">
        <v>23</v>
      </c>
    </row>
    <row r="1172" spans="1:16" x14ac:dyDescent="0.25">
      <c r="A1172">
        <v>1122</v>
      </c>
      <c r="B1172" s="25" t="s">
        <v>103</v>
      </c>
      <c r="C1172" s="26">
        <v>0.95833333333333337</v>
      </c>
      <c r="D1172" s="2">
        <v>46128</v>
      </c>
      <c r="E1172" s="25" t="s">
        <v>147</v>
      </c>
      <c r="F1172" s="25" t="s">
        <v>18</v>
      </c>
      <c r="G1172" s="25" t="s">
        <v>1955</v>
      </c>
      <c r="H1172" s="26">
        <v>0.96180555555555558</v>
      </c>
      <c r="I1172" s="26">
        <v>0.97916666666666663</v>
      </c>
      <c r="J1172" s="2">
        <v>46128</v>
      </c>
      <c r="K1172" s="25" t="s">
        <v>25</v>
      </c>
      <c r="L1172" s="25" t="s">
        <v>1956</v>
      </c>
      <c r="M1172" s="25" t="s">
        <v>1417</v>
      </c>
      <c r="N1172" s="25" t="s">
        <v>22</v>
      </c>
      <c r="O1172" s="25" t="s">
        <v>661</v>
      </c>
      <c r="P1172" s="25" t="s">
        <v>23</v>
      </c>
    </row>
    <row r="1173" spans="1:16" x14ac:dyDescent="0.25">
      <c r="A1173">
        <v>1123</v>
      </c>
      <c r="B1173" s="25"/>
      <c r="C1173" s="26"/>
      <c r="D1173" s="2"/>
      <c r="E1173" s="25"/>
      <c r="F1173" s="25"/>
      <c r="G1173" s="25"/>
      <c r="H1173" s="26"/>
      <c r="I1173" s="26"/>
      <c r="J1173" s="2"/>
      <c r="K1173" s="25"/>
      <c r="L1173" s="25"/>
      <c r="M1173" s="25"/>
      <c r="N1173" s="25"/>
      <c r="O1173" s="25"/>
      <c r="P1173" s="25"/>
    </row>
    <row r="1174" spans="1:16" x14ac:dyDescent="0.25">
      <c r="A1174">
        <v>1124</v>
      </c>
      <c r="B1174" s="25" t="s">
        <v>164</v>
      </c>
      <c r="C1174" s="26">
        <v>0.78472222222222221</v>
      </c>
      <c r="D1174" s="2">
        <v>46129</v>
      </c>
      <c r="E1174" s="25" t="s">
        <v>143</v>
      </c>
      <c r="F1174" s="25" t="s">
        <v>18</v>
      </c>
      <c r="G1174" s="25" t="s">
        <v>1959</v>
      </c>
      <c r="H1174" s="26">
        <v>0.81874999999999998</v>
      </c>
      <c r="I1174" s="26">
        <v>0.81319444444444444</v>
      </c>
      <c r="J1174" s="2">
        <v>46129</v>
      </c>
      <c r="K1174" s="25" t="s">
        <v>25</v>
      </c>
      <c r="L1174" s="25" t="s">
        <v>1960</v>
      </c>
      <c r="M1174" s="25" t="s">
        <v>22</v>
      </c>
      <c r="N1174" s="25" t="s">
        <v>22</v>
      </c>
      <c r="O1174" s="25" t="s">
        <v>661</v>
      </c>
      <c r="P1174" s="25" t="s">
        <v>23</v>
      </c>
    </row>
    <row r="1175" spans="1:16" x14ac:dyDescent="0.25">
      <c r="A1175">
        <v>1125</v>
      </c>
      <c r="B1175" s="25" t="s">
        <v>164</v>
      </c>
      <c r="C1175" s="26">
        <v>0.84375</v>
      </c>
      <c r="D1175" s="2">
        <v>46129</v>
      </c>
      <c r="E1175" s="25" t="s">
        <v>143</v>
      </c>
      <c r="F1175" s="25" t="s">
        <v>18</v>
      </c>
      <c r="G1175" s="25" t="s">
        <v>1961</v>
      </c>
      <c r="H1175" s="26">
        <v>0.84722222222222221</v>
      </c>
      <c r="I1175" s="26">
        <v>0.9375</v>
      </c>
      <c r="J1175" s="2">
        <v>46129</v>
      </c>
      <c r="K1175" s="25" t="s">
        <v>25</v>
      </c>
      <c r="L1175" s="25" t="s">
        <v>1962</v>
      </c>
      <c r="M1175" s="25" t="s">
        <v>22</v>
      </c>
      <c r="N1175" s="25" t="s">
        <v>22</v>
      </c>
      <c r="O1175" s="25" t="s">
        <v>661</v>
      </c>
      <c r="P1175" s="25" t="s">
        <v>23</v>
      </c>
    </row>
    <row r="1176" spans="1:16" x14ac:dyDescent="0.25">
      <c r="A1176">
        <v>1126</v>
      </c>
      <c r="B1176" s="25" t="s">
        <v>161</v>
      </c>
      <c r="C1176" s="26">
        <v>0.9375</v>
      </c>
      <c r="D1176" s="2">
        <v>46129</v>
      </c>
      <c r="E1176" s="25" t="s">
        <v>116</v>
      </c>
      <c r="F1176" s="25" t="s">
        <v>18</v>
      </c>
      <c r="G1176" s="25" t="s">
        <v>1963</v>
      </c>
      <c r="H1176" s="26">
        <v>0.27083333333333331</v>
      </c>
      <c r="I1176" s="26">
        <v>0.375</v>
      </c>
      <c r="J1176" s="2">
        <v>46130</v>
      </c>
      <c r="K1176" s="25" t="s">
        <v>25</v>
      </c>
      <c r="L1176" s="25" t="s">
        <v>1964</v>
      </c>
      <c r="M1176" s="25" t="s">
        <v>1965</v>
      </c>
      <c r="N1176" s="25" t="s">
        <v>22</v>
      </c>
      <c r="O1176" s="25" t="s">
        <v>112</v>
      </c>
      <c r="P1176" s="25" t="s">
        <v>23</v>
      </c>
    </row>
    <row r="1177" spans="1:16" x14ac:dyDescent="0.25">
      <c r="A1177">
        <v>1127</v>
      </c>
      <c r="B1177" s="25" t="s">
        <v>526</v>
      </c>
      <c r="C1177" s="26">
        <v>0.3125</v>
      </c>
      <c r="D1177" s="2">
        <v>46130</v>
      </c>
      <c r="E1177" s="25" t="s">
        <v>188</v>
      </c>
      <c r="F1177" s="25" t="s">
        <v>18</v>
      </c>
      <c r="G1177" s="25" t="s">
        <v>1966</v>
      </c>
      <c r="H1177" s="26">
        <v>0.3125</v>
      </c>
      <c r="I1177" s="26">
        <v>0.33333333333333331</v>
      </c>
      <c r="J1177" s="2">
        <v>46130</v>
      </c>
      <c r="K1177" s="25" t="s">
        <v>20</v>
      </c>
      <c r="L1177" s="25" t="s">
        <v>1967</v>
      </c>
      <c r="M1177" s="25" t="s">
        <v>1968</v>
      </c>
      <c r="N1177" s="25" t="s">
        <v>22</v>
      </c>
      <c r="O1177" s="25" t="s">
        <v>112</v>
      </c>
      <c r="P1177" s="25" t="s">
        <v>23</v>
      </c>
    </row>
    <row r="1178" spans="1:16" x14ac:dyDescent="0.25">
      <c r="A1178">
        <v>1128</v>
      </c>
      <c r="B1178" s="25" t="s">
        <v>526</v>
      </c>
      <c r="C1178" s="26">
        <v>0.39583333333333331</v>
      </c>
      <c r="D1178" s="2">
        <v>46130</v>
      </c>
      <c r="E1178" s="25" t="s">
        <v>188</v>
      </c>
      <c r="F1178" s="25" t="s">
        <v>18</v>
      </c>
      <c r="G1178" s="25" t="s">
        <v>1969</v>
      </c>
      <c r="H1178" s="26">
        <v>0.39583333333333331</v>
      </c>
      <c r="I1178" s="26">
        <v>0.41666666666666669</v>
      </c>
      <c r="J1178" s="2">
        <v>46130</v>
      </c>
      <c r="K1178" s="25" t="s">
        <v>20</v>
      </c>
      <c r="L1178" s="25" t="s">
        <v>1970</v>
      </c>
      <c r="M1178" s="25" t="s">
        <v>22</v>
      </c>
      <c r="N1178" s="25" t="s">
        <v>22</v>
      </c>
      <c r="O1178" s="25" t="s">
        <v>112</v>
      </c>
      <c r="P1178" s="25" t="s">
        <v>23</v>
      </c>
    </row>
    <row r="1179" spans="1:16" x14ac:dyDescent="0.25">
      <c r="A1179">
        <v>1129</v>
      </c>
      <c r="B1179" s="25"/>
      <c r="C1179" s="26"/>
      <c r="D1179" s="2"/>
      <c r="E1179" s="25"/>
      <c r="F1179" s="25"/>
      <c r="G1179" s="25"/>
      <c r="H1179" s="26"/>
      <c r="I1179" s="26"/>
      <c r="J1179" s="2"/>
      <c r="K1179" s="25"/>
      <c r="L1179" s="25"/>
      <c r="M1179" s="25"/>
      <c r="N1179" s="25"/>
      <c r="O1179" s="25"/>
      <c r="P1179" s="25"/>
    </row>
    <row r="1180" spans="1:16" x14ac:dyDescent="0.25">
      <c r="A1180">
        <v>1130</v>
      </c>
      <c r="B1180" s="25" t="s">
        <v>526</v>
      </c>
      <c r="C1180" s="26">
        <v>0.54166666666666663</v>
      </c>
      <c r="D1180" s="2">
        <v>46130</v>
      </c>
      <c r="E1180" s="25" t="s">
        <v>188</v>
      </c>
      <c r="F1180" s="25" t="s">
        <v>18</v>
      </c>
      <c r="G1180" s="25" t="s">
        <v>1971</v>
      </c>
      <c r="H1180" s="26">
        <v>0.54166666666666663</v>
      </c>
      <c r="I1180" s="26">
        <v>0.55555555555555558</v>
      </c>
      <c r="J1180" s="2">
        <v>46130</v>
      </c>
      <c r="K1180" s="25" t="s">
        <v>20</v>
      </c>
      <c r="L1180" s="25" t="s">
        <v>1972</v>
      </c>
      <c r="M1180" s="25" t="s">
        <v>22</v>
      </c>
      <c r="N1180" s="25" t="s">
        <v>22</v>
      </c>
      <c r="O1180" s="25" t="s">
        <v>112</v>
      </c>
      <c r="P1180" s="25" t="s">
        <v>23</v>
      </c>
    </row>
    <row r="1181" spans="1:16" x14ac:dyDescent="0.25">
      <c r="A1181">
        <v>1131</v>
      </c>
      <c r="B1181" s="25" t="s">
        <v>526</v>
      </c>
      <c r="C1181" s="26">
        <v>0.66666666666666663</v>
      </c>
      <c r="D1181" s="2">
        <v>46130</v>
      </c>
      <c r="E1181" s="25" t="s">
        <v>188</v>
      </c>
      <c r="F1181" s="25" t="s">
        <v>18</v>
      </c>
      <c r="G1181" s="25" t="s">
        <v>1973</v>
      </c>
      <c r="H1181" s="26">
        <v>0.66666666666666663</v>
      </c>
      <c r="I1181" s="26">
        <v>0.70833333333333337</v>
      </c>
      <c r="J1181" s="2">
        <v>46130</v>
      </c>
      <c r="K1181" s="25" t="s">
        <v>25</v>
      </c>
      <c r="L1181" s="25" t="s">
        <v>1974</v>
      </c>
      <c r="M1181" s="25" t="s">
        <v>22</v>
      </c>
      <c r="N1181" s="25" t="s">
        <v>22</v>
      </c>
      <c r="O1181" s="25" t="s">
        <v>112</v>
      </c>
      <c r="P1181" s="25" t="s">
        <v>23</v>
      </c>
    </row>
    <row r="1182" spans="1:16" x14ac:dyDescent="0.25">
      <c r="A1182">
        <v>1132</v>
      </c>
      <c r="B1182" s="25" t="s">
        <v>199</v>
      </c>
      <c r="C1182" s="26">
        <v>0.4375</v>
      </c>
      <c r="D1182" s="2">
        <v>46132</v>
      </c>
      <c r="E1182" s="25" t="s">
        <v>91</v>
      </c>
      <c r="F1182" s="25" t="s">
        <v>18</v>
      </c>
      <c r="G1182" s="25" t="s">
        <v>1975</v>
      </c>
      <c r="H1182" s="26">
        <v>0.4375</v>
      </c>
      <c r="I1182" s="26">
        <v>0.47222222222222221</v>
      </c>
      <c r="J1182" s="2">
        <v>46132</v>
      </c>
      <c r="K1182" s="25" t="s">
        <v>20</v>
      </c>
      <c r="L1182" s="25" t="s">
        <v>1976</v>
      </c>
      <c r="M1182" s="25" t="s">
        <v>22</v>
      </c>
      <c r="N1182" s="25" t="s">
        <v>22</v>
      </c>
      <c r="O1182" s="25" t="s">
        <v>108</v>
      </c>
      <c r="P1182" s="25" t="s">
        <v>23</v>
      </c>
    </row>
    <row r="1183" spans="1:16" x14ac:dyDescent="0.25">
      <c r="A1183">
        <v>1133</v>
      </c>
      <c r="B1183" s="25" t="s">
        <v>341</v>
      </c>
      <c r="C1183" s="26">
        <v>0.5</v>
      </c>
      <c r="D1183" s="2">
        <v>46132</v>
      </c>
      <c r="E1183" s="25" t="s">
        <v>143</v>
      </c>
      <c r="F1183" s="25" t="s">
        <v>18</v>
      </c>
      <c r="G1183" s="25" t="s">
        <v>1977</v>
      </c>
      <c r="H1183" s="26">
        <v>0.5</v>
      </c>
      <c r="I1183" s="26">
        <v>0.58333333333333337</v>
      </c>
      <c r="J1183" s="2">
        <v>46132</v>
      </c>
      <c r="K1183" s="25" t="s">
        <v>20</v>
      </c>
      <c r="L1183" s="25" t="s">
        <v>1978</v>
      </c>
      <c r="M1183" s="25" t="s">
        <v>1979</v>
      </c>
      <c r="N1183" s="25" t="s">
        <v>22</v>
      </c>
      <c r="O1183" s="25" t="s">
        <v>108</v>
      </c>
      <c r="P1183" s="25" t="s">
        <v>23</v>
      </c>
    </row>
    <row r="1184" spans="1:16" x14ac:dyDescent="0.25">
      <c r="A1184">
        <v>1134</v>
      </c>
      <c r="B1184" s="25"/>
      <c r="C1184" s="26"/>
      <c r="D1184" s="2"/>
      <c r="E1184" s="25"/>
      <c r="F1184" s="25"/>
      <c r="G1184" s="25"/>
      <c r="H1184" s="26"/>
      <c r="I1184" s="26"/>
      <c r="J1184" s="2"/>
      <c r="K1184" s="25"/>
      <c r="L1184" s="25"/>
      <c r="M1184" s="25"/>
      <c r="N1184" s="25"/>
      <c r="O1184" s="25"/>
      <c r="P1184" s="25"/>
    </row>
    <row r="1185" spans="1:16" x14ac:dyDescent="0.25">
      <c r="A1185">
        <v>1135</v>
      </c>
      <c r="B1185" s="25" t="s">
        <v>603</v>
      </c>
      <c r="C1185" s="26">
        <v>5.9027777777777776E-2</v>
      </c>
      <c r="D1185" s="2">
        <v>46141</v>
      </c>
      <c r="E1185" s="25" t="s">
        <v>185</v>
      </c>
      <c r="F1185" s="25" t="s">
        <v>18</v>
      </c>
      <c r="G1185" s="25" t="s">
        <v>2047</v>
      </c>
      <c r="H1185" s="26">
        <v>5.9027777777777776E-2</v>
      </c>
      <c r="I1185" s="26">
        <v>0.11458333333333333</v>
      </c>
      <c r="J1185" s="2">
        <v>46141</v>
      </c>
      <c r="K1185" s="25" t="s">
        <v>20</v>
      </c>
      <c r="L1185" s="25" t="s">
        <v>2048</v>
      </c>
      <c r="M1185" s="25" t="s">
        <v>22</v>
      </c>
      <c r="N1185" s="25" t="s">
        <v>22</v>
      </c>
      <c r="O1185" s="25" t="s">
        <v>108</v>
      </c>
      <c r="P1185" s="25" t="s">
        <v>23</v>
      </c>
    </row>
    <row r="1186" spans="1:16" x14ac:dyDescent="0.25">
      <c r="A1186">
        <v>1136</v>
      </c>
      <c r="B1186" s="25" t="s">
        <v>199</v>
      </c>
      <c r="C1186" s="26">
        <v>0.74305555555555558</v>
      </c>
      <c r="D1186" s="2">
        <v>46132</v>
      </c>
      <c r="E1186" s="25" t="s">
        <v>188</v>
      </c>
      <c r="F1186" s="25" t="s">
        <v>18</v>
      </c>
      <c r="G1186" s="25" t="s">
        <v>1980</v>
      </c>
      <c r="H1186" s="26">
        <v>0.75694444444444442</v>
      </c>
      <c r="I1186" s="26">
        <v>0.79166666666666663</v>
      </c>
      <c r="J1186" s="2">
        <v>46132</v>
      </c>
      <c r="K1186" s="25" t="s">
        <v>20</v>
      </c>
      <c r="L1186" s="25" t="s">
        <v>1981</v>
      </c>
      <c r="M1186" s="25" t="s">
        <v>1982</v>
      </c>
      <c r="N1186" s="25" t="s">
        <v>22</v>
      </c>
      <c r="O1186" s="25" t="s">
        <v>112</v>
      </c>
      <c r="P1186" s="25" t="s">
        <v>23</v>
      </c>
    </row>
    <row r="1187" spans="1:16" x14ac:dyDescent="0.25">
      <c r="A1187">
        <v>1137</v>
      </c>
      <c r="B1187" s="25"/>
      <c r="C1187" s="26"/>
      <c r="D1187" s="2"/>
      <c r="E1187" s="25"/>
      <c r="F1187" s="25"/>
      <c r="G1187" s="25"/>
      <c r="H1187" s="26"/>
      <c r="I1187" s="26"/>
      <c r="J1187" s="2"/>
      <c r="K1187" s="25"/>
      <c r="L1187" s="25"/>
      <c r="M1187" s="25"/>
      <c r="N1187" s="25"/>
      <c r="O1187" s="25"/>
      <c r="P1187" s="25"/>
    </row>
    <row r="1188" spans="1:16" x14ac:dyDescent="0.25">
      <c r="A1188">
        <v>1138</v>
      </c>
      <c r="B1188" s="25" t="s">
        <v>1515</v>
      </c>
      <c r="C1188" s="26">
        <v>5.2083333333333336E-2</v>
      </c>
      <c r="D1188" s="2">
        <v>46133</v>
      </c>
      <c r="E1188" s="25" t="s">
        <v>143</v>
      </c>
      <c r="F1188" s="25" t="s">
        <v>18</v>
      </c>
      <c r="G1188" s="25" t="s">
        <v>1983</v>
      </c>
      <c r="H1188" s="26">
        <v>0.43055555555555558</v>
      </c>
      <c r="I1188" s="26">
        <v>0.125</v>
      </c>
      <c r="J1188" s="2">
        <v>46134</v>
      </c>
      <c r="K1188" s="25" t="s">
        <v>20</v>
      </c>
      <c r="L1188" s="25" t="s">
        <v>1984</v>
      </c>
      <c r="M1188" s="25" t="s">
        <v>1985</v>
      </c>
      <c r="N1188" s="25" t="s">
        <v>22</v>
      </c>
      <c r="O1188" s="25" t="s">
        <v>112</v>
      </c>
      <c r="P1188" s="25" t="s">
        <v>23</v>
      </c>
    </row>
    <row r="1189" spans="1:16" x14ac:dyDescent="0.25">
      <c r="A1189">
        <v>1139</v>
      </c>
      <c r="B1189" s="25" t="s">
        <v>176</v>
      </c>
      <c r="C1189" s="26">
        <v>0.57291666666666663</v>
      </c>
      <c r="D1189" s="2">
        <v>46133</v>
      </c>
      <c r="E1189" s="25" t="s">
        <v>185</v>
      </c>
      <c r="F1189" s="25" t="s">
        <v>18</v>
      </c>
      <c r="G1189" s="25" t="s">
        <v>1986</v>
      </c>
      <c r="H1189" s="26">
        <v>0.57291666666666663</v>
      </c>
      <c r="I1189" s="26">
        <v>0.75</v>
      </c>
      <c r="J1189" s="2">
        <v>46133</v>
      </c>
      <c r="K1189" s="25" t="s">
        <v>48</v>
      </c>
      <c r="L1189" s="25" t="s">
        <v>1987</v>
      </c>
      <c r="M1189" s="25" t="s">
        <v>22</v>
      </c>
      <c r="N1189" s="25" t="s">
        <v>22</v>
      </c>
      <c r="O1189" s="25" t="s">
        <v>108</v>
      </c>
      <c r="P1189" s="25" t="s">
        <v>23</v>
      </c>
    </row>
    <row r="1190" spans="1:16" x14ac:dyDescent="0.25">
      <c r="A1190">
        <v>1140</v>
      </c>
      <c r="B1190" s="25"/>
      <c r="C1190" s="26"/>
      <c r="D1190" s="2"/>
      <c r="E1190" s="25"/>
      <c r="F1190" s="25"/>
      <c r="G1190" s="25"/>
      <c r="H1190" s="26"/>
      <c r="I1190" s="26"/>
      <c r="J1190" s="2"/>
      <c r="K1190" s="25"/>
      <c r="L1190" s="25"/>
      <c r="M1190" s="25"/>
      <c r="N1190" s="25"/>
      <c r="O1190" s="25"/>
      <c r="P1190" s="25"/>
    </row>
    <row r="1191" spans="1:16" x14ac:dyDescent="0.25">
      <c r="A1191">
        <v>1141</v>
      </c>
      <c r="B1191" s="25" t="s">
        <v>103</v>
      </c>
      <c r="C1191" s="26">
        <v>0.33333333333333331</v>
      </c>
      <c r="D1191" s="2">
        <v>46134</v>
      </c>
      <c r="E1191" s="25" t="s">
        <v>147</v>
      </c>
      <c r="F1191" s="25" t="s">
        <v>18</v>
      </c>
      <c r="G1191" s="25" t="s">
        <v>2013</v>
      </c>
      <c r="H1191" s="26">
        <v>0.33333333333333331</v>
      </c>
      <c r="I1191" s="26"/>
      <c r="J1191" s="2">
        <v>46134</v>
      </c>
      <c r="K1191" s="25" t="s">
        <v>25</v>
      </c>
      <c r="L1191" s="25" t="s">
        <v>2014</v>
      </c>
      <c r="M1191" s="25" t="s">
        <v>1389</v>
      </c>
      <c r="N1191" s="25" t="s">
        <v>22</v>
      </c>
      <c r="O1191" s="25" t="s">
        <v>108</v>
      </c>
      <c r="P1191" s="25" t="s">
        <v>23</v>
      </c>
    </row>
    <row r="1192" spans="1:16" x14ac:dyDescent="0.25">
      <c r="A1192">
        <v>1142</v>
      </c>
      <c r="B1192" s="25" t="s">
        <v>103</v>
      </c>
      <c r="C1192" s="26">
        <v>0.5</v>
      </c>
      <c r="D1192" s="2">
        <v>46135</v>
      </c>
      <c r="E1192" s="25" t="s">
        <v>104</v>
      </c>
      <c r="F1192" s="25" t="s">
        <v>18</v>
      </c>
      <c r="G1192" s="25" t="s">
        <v>1988</v>
      </c>
      <c r="H1192" s="26"/>
      <c r="I1192" s="26"/>
      <c r="J1192" s="2"/>
      <c r="K1192" s="25"/>
      <c r="L1192" s="25"/>
      <c r="M1192" s="25"/>
      <c r="N1192" s="25"/>
      <c r="O1192" s="25"/>
      <c r="P1192" s="25" t="s">
        <v>1989</v>
      </c>
    </row>
    <row r="1193" spans="1:16" x14ac:dyDescent="0.25">
      <c r="A1193">
        <v>1143</v>
      </c>
      <c r="B1193" s="25" t="s">
        <v>164</v>
      </c>
      <c r="C1193" s="26">
        <v>0.60972222222222228</v>
      </c>
      <c r="D1193" s="2">
        <v>46134</v>
      </c>
      <c r="E1193" s="25" t="s">
        <v>143</v>
      </c>
      <c r="F1193" s="25" t="s">
        <v>18</v>
      </c>
      <c r="G1193" s="25" t="s">
        <v>1990</v>
      </c>
      <c r="H1193" s="26">
        <v>0.60972222222222228</v>
      </c>
      <c r="I1193" s="26">
        <v>0.63888888888888884</v>
      </c>
      <c r="J1193" s="2">
        <v>46134</v>
      </c>
      <c r="K1193" s="25" t="s">
        <v>25</v>
      </c>
      <c r="L1193" s="25" t="s">
        <v>1991</v>
      </c>
      <c r="M1193" s="25" t="s">
        <v>1992</v>
      </c>
      <c r="N1193" s="25" t="s">
        <v>22</v>
      </c>
      <c r="O1193" s="25" t="s">
        <v>108</v>
      </c>
      <c r="P1193" s="25" t="s">
        <v>23</v>
      </c>
    </row>
    <row r="1194" spans="1:16" x14ac:dyDescent="0.25">
      <c r="A1194">
        <v>1144</v>
      </c>
      <c r="B1194" s="25" t="s">
        <v>164</v>
      </c>
      <c r="C1194" s="26">
        <v>0.25</v>
      </c>
      <c r="D1194" s="2">
        <v>46135</v>
      </c>
      <c r="E1194" s="25" t="s">
        <v>143</v>
      </c>
      <c r="F1194" s="25" t="s">
        <v>18</v>
      </c>
      <c r="G1194" s="25" t="s">
        <v>2015</v>
      </c>
      <c r="H1194" s="26">
        <v>0.25</v>
      </c>
      <c r="I1194" s="26">
        <v>0.28125</v>
      </c>
      <c r="J1194" s="2">
        <v>46135</v>
      </c>
      <c r="K1194" s="25" t="s">
        <v>20</v>
      </c>
      <c r="L1194" s="25" t="s">
        <v>2016</v>
      </c>
      <c r="M1194" s="25" t="s">
        <v>22</v>
      </c>
      <c r="N1194" s="25" t="s">
        <v>22</v>
      </c>
      <c r="O1194" s="25" t="s">
        <v>108</v>
      </c>
      <c r="P1194" s="25" t="s">
        <v>23</v>
      </c>
    </row>
    <row r="1195" spans="1:16" x14ac:dyDescent="0.25">
      <c r="A1195">
        <v>1145</v>
      </c>
      <c r="B1195" s="25" t="s">
        <v>206</v>
      </c>
      <c r="C1195" s="26">
        <v>0.125</v>
      </c>
      <c r="D1195" s="2">
        <v>46135</v>
      </c>
      <c r="E1195" s="25" t="s">
        <v>116</v>
      </c>
      <c r="F1195" s="25" t="s">
        <v>18</v>
      </c>
      <c r="G1195" s="25" t="s">
        <v>1993</v>
      </c>
      <c r="H1195" s="26">
        <v>0.125</v>
      </c>
      <c r="I1195" s="26">
        <v>0.16666666666666666</v>
      </c>
      <c r="J1195" s="2">
        <v>46135</v>
      </c>
      <c r="K1195" s="25" t="s">
        <v>20</v>
      </c>
      <c r="L1195" s="25" t="s">
        <v>1994</v>
      </c>
      <c r="M1195" s="25" t="s">
        <v>1995</v>
      </c>
      <c r="N1195" s="25" t="s">
        <v>22</v>
      </c>
      <c r="O1195" s="25" t="s">
        <v>112</v>
      </c>
      <c r="P1195" s="25" t="s">
        <v>23</v>
      </c>
    </row>
    <row r="1196" spans="1:16" x14ac:dyDescent="0.25">
      <c r="A1196">
        <v>1146</v>
      </c>
      <c r="B1196" s="25"/>
      <c r="C1196" s="26"/>
      <c r="D1196" s="2"/>
      <c r="E1196" s="25"/>
      <c r="F1196" s="25"/>
      <c r="G1196" s="25"/>
      <c r="H1196" s="26"/>
      <c r="I1196" s="26"/>
      <c r="J1196" s="2"/>
      <c r="K1196" s="25"/>
      <c r="L1196" s="25"/>
      <c r="M1196" s="25"/>
      <c r="N1196" s="25"/>
      <c r="O1196" s="25"/>
      <c r="P1196" s="25"/>
    </row>
    <row r="1197" spans="1:16" x14ac:dyDescent="0.25">
      <c r="A1197">
        <v>1147</v>
      </c>
      <c r="B1197" s="25"/>
      <c r="C1197" s="26"/>
      <c r="D1197" s="2"/>
      <c r="E1197" s="25"/>
      <c r="F1197" s="25"/>
      <c r="G1197" s="25"/>
      <c r="H1197" s="26"/>
      <c r="I1197" s="26"/>
      <c r="J1197" s="2"/>
      <c r="K1197" s="25"/>
      <c r="L1197" s="25"/>
      <c r="M1197" s="25"/>
      <c r="N1197" s="25"/>
      <c r="O1197" s="25"/>
      <c r="P1197" s="25"/>
    </row>
    <row r="1198" spans="1:16" x14ac:dyDescent="0.25">
      <c r="A1198">
        <v>1148</v>
      </c>
      <c r="B1198" s="25"/>
      <c r="C1198" s="26"/>
      <c r="D1198" s="2"/>
      <c r="E1198" s="25"/>
      <c r="F1198" s="25"/>
      <c r="G1198" s="25"/>
      <c r="H1198" s="26"/>
      <c r="I1198" s="26"/>
      <c r="J1198" s="2"/>
      <c r="K1198" s="25"/>
      <c r="L1198" s="25"/>
      <c r="M1198" s="25"/>
      <c r="N1198" s="25"/>
      <c r="O1198" s="25"/>
      <c r="P1198" s="25"/>
    </row>
    <row r="1199" spans="1:16" x14ac:dyDescent="0.25">
      <c r="A1199">
        <v>1149</v>
      </c>
      <c r="B1199" s="25"/>
      <c r="C1199" s="26"/>
      <c r="D1199" s="2"/>
      <c r="E1199" s="25"/>
      <c r="F1199" s="25"/>
      <c r="G1199" s="25"/>
      <c r="H1199" s="26"/>
      <c r="I1199" s="26"/>
      <c r="J1199" s="2"/>
      <c r="K1199" s="25"/>
      <c r="L1199" s="25"/>
      <c r="M1199" s="25"/>
      <c r="N1199" s="25"/>
      <c r="O1199" s="25"/>
      <c r="P1199" s="25"/>
    </row>
    <row r="1200" spans="1:16" x14ac:dyDescent="0.25">
      <c r="A1200">
        <v>1150</v>
      </c>
      <c r="B1200" s="25"/>
      <c r="C1200" s="26"/>
      <c r="D1200" s="2"/>
      <c r="E1200" s="25"/>
      <c r="F1200" s="25"/>
      <c r="G1200" s="25"/>
      <c r="H1200" s="26"/>
      <c r="I1200" s="26"/>
      <c r="J1200" s="2"/>
      <c r="K1200" s="25"/>
      <c r="L1200" s="25"/>
      <c r="M1200" s="25"/>
      <c r="N1200" s="25"/>
      <c r="O1200" s="25"/>
      <c r="P1200" s="25"/>
    </row>
    <row r="1201" spans="1:16" x14ac:dyDescent="0.25">
      <c r="A1201">
        <v>1151</v>
      </c>
      <c r="B1201" s="25"/>
      <c r="C1201" s="26"/>
      <c r="D1201" s="2"/>
      <c r="E1201" s="25"/>
      <c r="F1201" s="25"/>
      <c r="G1201" s="25"/>
      <c r="H1201" s="26"/>
      <c r="I1201" s="26"/>
      <c r="J1201" s="2"/>
      <c r="K1201" s="25"/>
      <c r="L1201" s="25"/>
      <c r="M1201" s="25"/>
      <c r="N1201" s="25"/>
      <c r="O1201" s="25"/>
      <c r="P1201" s="25"/>
    </row>
    <row r="1202" spans="1:16" x14ac:dyDescent="0.25">
      <c r="A1202">
        <v>1152</v>
      </c>
      <c r="B1202" s="25" t="s">
        <v>161</v>
      </c>
      <c r="C1202" s="26">
        <v>0.40625</v>
      </c>
      <c r="D1202" s="2">
        <v>46135</v>
      </c>
      <c r="E1202" s="25" t="s">
        <v>116</v>
      </c>
      <c r="F1202" s="25" t="s">
        <v>18</v>
      </c>
      <c r="G1202" s="25" t="s">
        <v>2025</v>
      </c>
      <c r="H1202" s="26">
        <v>0.40625</v>
      </c>
      <c r="I1202" s="26">
        <v>0.42708333333333331</v>
      </c>
      <c r="J1202" s="2">
        <v>46135</v>
      </c>
      <c r="K1202" s="25" t="s">
        <v>25</v>
      </c>
      <c r="L1202" s="25" t="s">
        <v>2026</v>
      </c>
      <c r="M1202" s="25" t="s">
        <v>22</v>
      </c>
      <c r="N1202" s="25" t="s">
        <v>22</v>
      </c>
      <c r="O1202" s="25" t="s">
        <v>108</v>
      </c>
      <c r="P1202" s="25" t="s">
        <v>33</v>
      </c>
    </row>
    <row r="1203" spans="1:16" x14ac:dyDescent="0.25">
      <c r="A1203">
        <v>1153</v>
      </c>
      <c r="B1203" s="25" t="s">
        <v>161</v>
      </c>
      <c r="C1203" s="26">
        <v>0.50624999999999998</v>
      </c>
      <c r="D1203" s="2">
        <v>46135</v>
      </c>
      <c r="E1203" s="25" t="s">
        <v>94</v>
      </c>
      <c r="F1203" s="25" t="s">
        <v>18</v>
      </c>
      <c r="G1203" s="25" t="s">
        <v>2027</v>
      </c>
      <c r="H1203" s="26">
        <v>0.50624999999999998</v>
      </c>
      <c r="I1203" s="26">
        <v>0.55208333333333337</v>
      </c>
      <c r="J1203" s="2">
        <v>46135</v>
      </c>
      <c r="K1203" s="25" t="s">
        <v>20</v>
      </c>
      <c r="L1203" s="25" t="s">
        <v>2028</v>
      </c>
      <c r="M1203" s="25" t="s">
        <v>22</v>
      </c>
      <c r="N1203" s="25" t="s">
        <v>22</v>
      </c>
      <c r="O1203" s="25" t="s">
        <v>108</v>
      </c>
      <c r="P1203" s="25" t="s">
        <v>23</v>
      </c>
    </row>
    <row r="1204" spans="1:16" x14ac:dyDescent="0.25">
      <c r="A1204">
        <v>1154</v>
      </c>
      <c r="B1204" s="25" t="s">
        <v>103</v>
      </c>
      <c r="C1204" s="26">
        <v>0.50694444444444442</v>
      </c>
      <c r="D1204" s="2">
        <v>46135</v>
      </c>
      <c r="E1204" s="25" t="s">
        <v>104</v>
      </c>
      <c r="F1204" s="25" t="s">
        <v>18</v>
      </c>
      <c r="G1204" s="25" t="s">
        <v>2017</v>
      </c>
      <c r="H1204" s="26"/>
      <c r="I1204" s="26"/>
      <c r="J1204" s="2"/>
      <c r="K1204" s="25"/>
      <c r="L1204" s="25"/>
      <c r="M1204" s="25"/>
      <c r="N1204" s="25"/>
      <c r="O1204" s="25"/>
      <c r="P1204" s="25" t="s">
        <v>33</v>
      </c>
    </row>
    <row r="1205" spans="1:16" x14ac:dyDescent="0.25">
      <c r="A1205">
        <v>1155</v>
      </c>
      <c r="B1205" s="25" t="s">
        <v>2018</v>
      </c>
      <c r="C1205" s="26">
        <v>0.6875</v>
      </c>
      <c r="D1205" s="2">
        <v>46135</v>
      </c>
      <c r="E1205" s="25" t="s">
        <v>353</v>
      </c>
      <c r="F1205" s="25" t="s">
        <v>18</v>
      </c>
      <c r="G1205" s="25" t="s">
        <v>1996</v>
      </c>
      <c r="H1205" s="26">
        <v>0.6875</v>
      </c>
      <c r="I1205" s="26">
        <v>0.72013888888888888</v>
      </c>
      <c r="J1205" s="2">
        <v>46135</v>
      </c>
      <c r="K1205" s="25" t="s">
        <v>25</v>
      </c>
      <c r="L1205" s="25" t="s">
        <v>1997</v>
      </c>
      <c r="M1205" s="25" t="s">
        <v>1998</v>
      </c>
      <c r="N1205" s="25" t="s">
        <v>22</v>
      </c>
      <c r="O1205" s="25" t="s">
        <v>108</v>
      </c>
      <c r="P1205" s="25" t="s">
        <v>33</v>
      </c>
    </row>
    <row r="1206" spans="1:16" x14ac:dyDescent="0.25">
      <c r="A1206">
        <v>1156</v>
      </c>
      <c r="B1206" s="25" t="s">
        <v>199</v>
      </c>
      <c r="C1206" s="26">
        <v>0.85416666666666663</v>
      </c>
      <c r="D1206" s="2">
        <v>46135</v>
      </c>
      <c r="E1206" s="25" t="s">
        <v>91</v>
      </c>
      <c r="F1206" s="25" t="s">
        <v>18</v>
      </c>
      <c r="G1206" s="25" t="s">
        <v>1999</v>
      </c>
      <c r="H1206" s="26">
        <v>0.85555555555555551</v>
      </c>
      <c r="I1206" s="26">
        <v>0.875</v>
      </c>
      <c r="J1206" s="2">
        <v>46135</v>
      </c>
      <c r="K1206" s="25" t="s">
        <v>48</v>
      </c>
      <c r="L1206" s="25"/>
      <c r="M1206" s="25"/>
      <c r="N1206" s="25"/>
      <c r="O1206" s="25"/>
      <c r="P1206" s="25" t="s">
        <v>23</v>
      </c>
    </row>
    <row r="1207" spans="1:16" x14ac:dyDescent="0.25">
      <c r="A1207">
        <v>1157</v>
      </c>
      <c r="B1207" s="25" t="s">
        <v>526</v>
      </c>
      <c r="C1207" s="26">
        <v>0.92361111111111116</v>
      </c>
      <c r="D1207" s="2">
        <v>46135</v>
      </c>
      <c r="E1207" s="25" t="s">
        <v>188</v>
      </c>
      <c r="F1207" s="25" t="s">
        <v>18</v>
      </c>
      <c r="G1207" s="25" t="s">
        <v>2000</v>
      </c>
      <c r="H1207" s="26">
        <v>0.92361111111111116</v>
      </c>
      <c r="I1207" s="26">
        <v>0.94444444444444442</v>
      </c>
      <c r="J1207" s="2">
        <v>46135</v>
      </c>
      <c r="K1207" s="25" t="s">
        <v>20</v>
      </c>
      <c r="L1207" s="25" t="s">
        <v>2001</v>
      </c>
      <c r="M1207" s="25" t="s">
        <v>22</v>
      </c>
      <c r="N1207" s="25" t="s">
        <v>22</v>
      </c>
      <c r="O1207" s="25" t="s">
        <v>661</v>
      </c>
      <c r="P1207" s="25" t="s">
        <v>23</v>
      </c>
    </row>
    <row r="1208" spans="1:16" x14ac:dyDescent="0.25">
      <c r="A1208">
        <v>1158</v>
      </c>
      <c r="B1208" s="25" t="s">
        <v>341</v>
      </c>
      <c r="C1208" s="26">
        <v>0.83333333333333337</v>
      </c>
      <c r="D1208" s="2">
        <v>46135</v>
      </c>
      <c r="E1208" s="25" t="s">
        <v>143</v>
      </c>
      <c r="F1208" s="25" t="s">
        <v>18</v>
      </c>
      <c r="G1208" s="25" t="s">
        <v>2115</v>
      </c>
      <c r="H1208" s="26"/>
      <c r="I1208" s="26"/>
      <c r="J1208" s="2"/>
      <c r="K1208" s="25"/>
      <c r="L1208" s="25"/>
      <c r="M1208" s="25"/>
      <c r="N1208" s="25"/>
      <c r="O1208" s="25"/>
      <c r="P1208" s="25" t="s">
        <v>33</v>
      </c>
    </row>
    <row r="1209" spans="1:16" x14ac:dyDescent="0.25">
      <c r="A1209">
        <v>1159</v>
      </c>
      <c r="B1209" s="25" t="s">
        <v>526</v>
      </c>
      <c r="C1209" s="26">
        <v>0.75694444444444442</v>
      </c>
      <c r="D1209" s="2">
        <v>46135</v>
      </c>
      <c r="E1209" s="25" t="s">
        <v>104</v>
      </c>
      <c r="F1209" s="25" t="s">
        <v>650</v>
      </c>
      <c r="G1209" s="25" t="s">
        <v>2002</v>
      </c>
      <c r="H1209" s="26">
        <v>0.77083333333333337</v>
      </c>
      <c r="I1209" s="26">
        <v>0.83125000000000004</v>
      </c>
      <c r="J1209" s="2">
        <v>46135</v>
      </c>
      <c r="K1209" s="25" t="s">
        <v>25</v>
      </c>
      <c r="L1209" s="25" t="s">
        <v>2003</v>
      </c>
      <c r="M1209" s="25" t="s">
        <v>22</v>
      </c>
      <c r="N1209" s="25" t="s">
        <v>22</v>
      </c>
      <c r="O1209" s="25" t="s">
        <v>661</v>
      </c>
      <c r="P1209" s="25" t="s">
        <v>23</v>
      </c>
    </row>
    <row r="1210" spans="1:16" x14ac:dyDescent="0.25">
      <c r="A1210">
        <v>1160</v>
      </c>
      <c r="B1210" s="25"/>
      <c r="C1210" s="26"/>
      <c r="D1210" s="2"/>
      <c r="E1210" s="25"/>
      <c r="F1210" s="25"/>
      <c r="G1210" s="25"/>
      <c r="H1210" s="26"/>
      <c r="I1210" s="26"/>
      <c r="J1210" s="2"/>
      <c r="K1210" s="25"/>
      <c r="L1210" s="25"/>
      <c r="M1210" s="25"/>
      <c r="N1210" s="25"/>
      <c r="O1210" s="25"/>
      <c r="P1210" s="25"/>
    </row>
    <row r="1211" spans="1:16" x14ac:dyDescent="0.25">
      <c r="A1211">
        <v>1161</v>
      </c>
      <c r="B1211" s="25" t="s">
        <v>103</v>
      </c>
      <c r="C1211" s="26">
        <v>0.61111111111111116</v>
      </c>
      <c r="D1211" s="2">
        <v>46136</v>
      </c>
      <c r="E1211" s="25" t="s">
        <v>147</v>
      </c>
      <c r="F1211" s="25" t="s">
        <v>650</v>
      </c>
      <c r="G1211" s="25" t="s">
        <v>2019</v>
      </c>
      <c r="H1211" s="26">
        <v>0.61111111111111116</v>
      </c>
      <c r="I1211" s="26">
        <v>0.66666666666666663</v>
      </c>
      <c r="J1211" s="2">
        <v>46136</v>
      </c>
      <c r="K1211" s="25" t="s">
        <v>25</v>
      </c>
      <c r="L1211" s="25" t="s">
        <v>2020</v>
      </c>
      <c r="M1211" s="25" t="s">
        <v>22</v>
      </c>
      <c r="N1211" s="25" t="s">
        <v>2021</v>
      </c>
      <c r="O1211" s="25" t="s">
        <v>108</v>
      </c>
      <c r="P1211" s="25" t="s">
        <v>23</v>
      </c>
    </row>
    <row r="1212" spans="1:16" x14ac:dyDescent="0.25">
      <c r="A1212">
        <v>1162</v>
      </c>
      <c r="B1212" s="25" t="s">
        <v>192</v>
      </c>
      <c r="C1212" s="26">
        <v>0.33333333333333331</v>
      </c>
      <c r="D1212" s="2">
        <v>46137</v>
      </c>
      <c r="E1212" s="25" t="s">
        <v>154</v>
      </c>
      <c r="F1212" s="25" t="s">
        <v>18</v>
      </c>
      <c r="G1212" s="25" t="s">
        <v>2022</v>
      </c>
      <c r="H1212" s="26">
        <v>0.33333333333333331</v>
      </c>
      <c r="I1212" s="26">
        <v>0.375</v>
      </c>
      <c r="J1212" s="2">
        <v>46137</v>
      </c>
      <c r="K1212" s="25" t="s">
        <v>20</v>
      </c>
      <c r="L1212" s="25" t="s">
        <v>2023</v>
      </c>
      <c r="M1212" s="25" t="s">
        <v>2024</v>
      </c>
      <c r="N1212" s="25" t="s">
        <v>22</v>
      </c>
      <c r="O1212" s="25" t="s">
        <v>112</v>
      </c>
      <c r="P1212" s="25" t="s">
        <v>23</v>
      </c>
    </row>
    <row r="1213" spans="1:16" x14ac:dyDescent="0.25">
      <c r="A1213">
        <v>1163</v>
      </c>
      <c r="B1213" s="25" t="s">
        <v>103</v>
      </c>
      <c r="C1213" s="26">
        <v>0.27083333333333331</v>
      </c>
      <c r="D1213" s="2">
        <v>46139</v>
      </c>
      <c r="E1213" s="25" t="s">
        <v>188</v>
      </c>
      <c r="F1213" s="25" t="s">
        <v>18</v>
      </c>
      <c r="G1213" s="25" t="s">
        <v>2029</v>
      </c>
      <c r="H1213" s="26">
        <v>0.27083333333333331</v>
      </c>
      <c r="I1213" s="26">
        <v>0.375</v>
      </c>
      <c r="J1213" s="2">
        <v>46139</v>
      </c>
      <c r="K1213" s="25" t="s">
        <v>20</v>
      </c>
      <c r="L1213" s="25" t="s">
        <v>2030</v>
      </c>
      <c r="M1213" s="25" t="s">
        <v>22</v>
      </c>
      <c r="N1213" s="25" t="s">
        <v>22</v>
      </c>
      <c r="O1213" s="25" t="s">
        <v>661</v>
      </c>
      <c r="P1213" s="25" t="s">
        <v>23</v>
      </c>
    </row>
    <row r="1214" spans="1:16" x14ac:dyDescent="0.25">
      <c r="A1214">
        <v>1164</v>
      </c>
      <c r="B1214" s="25" t="s">
        <v>268</v>
      </c>
      <c r="C1214" s="26">
        <v>0.625</v>
      </c>
      <c r="D1214" s="2">
        <v>46139</v>
      </c>
      <c r="E1214" s="25" t="s">
        <v>17</v>
      </c>
      <c r="F1214" s="25" t="s">
        <v>18</v>
      </c>
      <c r="G1214" s="25" t="s">
        <v>2049</v>
      </c>
      <c r="H1214" s="26"/>
      <c r="I1214" s="26"/>
      <c r="J1214" s="2"/>
      <c r="K1214" s="25"/>
      <c r="L1214" s="25"/>
      <c r="M1214" s="25"/>
      <c r="N1214" s="25"/>
      <c r="O1214" s="25"/>
      <c r="P1214" s="25" t="s">
        <v>33</v>
      </c>
    </row>
    <row r="1215" spans="1:16" x14ac:dyDescent="0.25">
      <c r="A1215">
        <v>1165</v>
      </c>
      <c r="B1215" s="25"/>
      <c r="C1215" s="26"/>
      <c r="D1215" s="2"/>
      <c r="E1215" s="25"/>
      <c r="F1215" s="25"/>
      <c r="G1215" s="25"/>
      <c r="H1215" s="26"/>
      <c r="I1215" s="26"/>
      <c r="J1215" s="2"/>
      <c r="K1215" s="25"/>
      <c r="L1215" s="25"/>
      <c r="M1215" s="25"/>
      <c r="N1215" s="25"/>
      <c r="O1215" s="25"/>
      <c r="P1215" s="25"/>
    </row>
    <row r="1216" spans="1:16" x14ac:dyDescent="0.25">
      <c r="A1216">
        <v>1166</v>
      </c>
      <c r="B1216" s="25"/>
      <c r="C1216" s="26"/>
      <c r="D1216" s="2"/>
      <c r="E1216" s="25"/>
      <c r="F1216" s="25"/>
      <c r="G1216" s="25"/>
      <c r="H1216" s="26"/>
      <c r="I1216" s="26"/>
      <c r="J1216" s="2"/>
      <c r="K1216" s="25"/>
      <c r="L1216" s="25"/>
      <c r="M1216" s="25"/>
      <c r="N1216" s="25"/>
      <c r="O1216" s="25"/>
      <c r="P1216" s="25"/>
    </row>
    <row r="1217" spans="1:16" x14ac:dyDescent="0.25">
      <c r="A1217">
        <v>1167</v>
      </c>
      <c r="B1217" s="25" t="s">
        <v>120</v>
      </c>
      <c r="C1217" s="26">
        <v>0.90972222222222221</v>
      </c>
      <c r="D1217" s="2">
        <v>46139</v>
      </c>
      <c r="E1217" s="25" t="s">
        <v>116</v>
      </c>
      <c r="F1217" s="25" t="s">
        <v>18</v>
      </c>
      <c r="G1217" s="25" t="s">
        <v>2031</v>
      </c>
      <c r="H1217" s="26">
        <v>0.90972222222222221</v>
      </c>
      <c r="I1217" s="26">
        <v>0.94444444444444442</v>
      </c>
      <c r="J1217" s="2">
        <v>46139</v>
      </c>
      <c r="K1217" s="25" t="s">
        <v>48</v>
      </c>
      <c r="L1217" s="25" t="s">
        <v>2032</v>
      </c>
      <c r="M1217" s="25" t="s">
        <v>2033</v>
      </c>
      <c r="N1217" s="25" t="s">
        <v>22</v>
      </c>
      <c r="O1217" s="25" t="s">
        <v>108</v>
      </c>
      <c r="P1217" s="25" t="s">
        <v>23</v>
      </c>
    </row>
    <row r="1218" spans="1:16" x14ac:dyDescent="0.25">
      <c r="A1218">
        <v>1168</v>
      </c>
      <c r="B1218" s="25"/>
      <c r="C1218" s="26"/>
      <c r="D1218" s="2"/>
      <c r="E1218" s="25"/>
      <c r="F1218" s="25"/>
      <c r="G1218" s="25"/>
      <c r="H1218" s="26"/>
      <c r="I1218" s="26"/>
      <c r="J1218" s="2"/>
      <c r="K1218" s="25"/>
      <c r="L1218" s="25"/>
      <c r="M1218" s="25"/>
      <c r="N1218" s="25"/>
      <c r="O1218" s="25"/>
      <c r="P1218" s="25"/>
    </row>
    <row r="1219" spans="1:16" x14ac:dyDescent="0.25">
      <c r="A1219">
        <v>1169</v>
      </c>
      <c r="B1219" s="25" t="s">
        <v>1705</v>
      </c>
      <c r="C1219" s="26">
        <v>0.17708333333333334</v>
      </c>
      <c r="D1219" s="2">
        <v>46140</v>
      </c>
      <c r="E1219" s="25" t="s">
        <v>143</v>
      </c>
      <c r="F1219" s="25" t="s">
        <v>18</v>
      </c>
      <c r="G1219" s="25" t="s">
        <v>2116</v>
      </c>
      <c r="H1219" s="26">
        <v>0.17708333333333334</v>
      </c>
      <c r="I1219" s="26">
        <v>0.20833333333333334</v>
      </c>
      <c r="J1219" s="2">
        <v>46140</v>
      </c>
      <c r="K1219" s="25" t="s">
        <v>25</v>
      </c>
      <c r="L1219" s="25" t="s">
        <v>2117</v>
      </c>
      <c r="M1219" s="25" t="s">
        <v>22</v>
      </c>
      <c r="N1219" s="25" t="s">
        <v>2118</v>
      </c>
      <c r="O1219" s="25" t="s">
        <v>108</v>
      </c>
      <c r="P1219" s="25" t="s">
        <v>33</v>
      </c>
    </row>
    <row r="1220" spans="1:16" x14ac:dyDescent="0.25">
      <c r="A1220">
        <v>1170</v>
      </c>
      <c r="B1220" s="25"/>
      <c r="C1220" s="26"/>
      <c r="D1220" s="2"/>
      <c r="E1220" s="25"/>
      <c r="F1220" s="25"/>
      <c r="G1220" s="25"/>
      <c r="H1220" s="26"/>
      <c r="I1220" s="26"/>
      <c r="J1220" s="2"/>
      <c r="K1220" s="25"/>
      <c r="L1220" s="25"/>
      <c r="M1220" s="25"/>
      <c r="N1220" s="25"/>
      <c r="O1220" s="25"/>
      <c r="P1220" s="25"/>
    </row>
    <row r="1221" spans="1:16" x14ac:dyDescent="0.25">
      <c r="A1221">
        <v>1171</v>
      </c>
      <c r="B1221" s="25"/>
      <c r="C1221" s="26"/>
      <c r="D1221" s="2"/>
      <c r="E1221" s="25"/>
      <c r="F1221" s="25"/>
      <c r="G1221" s="25"/>
      <c r="H1221" s="26"/>
      <c r="I1221" s="26"/>
      <c r="J1221" s="2"/>
      <c r="K1221" s="25"/>
      <c r="L1221" s="25"/>
      <c r="M1221" s="25"/>
      <c r="N1221" s="25"/>
      <c r="O1221" s="25"/>
      <c r="P1221" s="25"/>
    </row>
    <row r="1222" spans="1:16" x14ac:dyDescent="0.25">
      <c r="A1222">
        <v>1172</v>
      </c>
      <c r="B1222" s="25" t="s">
        <v>103</v>
      </c>
      <c r="C1222" s="26">
        <v>0.68958333333333333</v>
      </c>
      <c r="D1222" s="2">
        <v>46140</v>
      </c>
      <c r="E1222" s="25" t="s">
        <v>104</v>
      </c>
      <c r="F1222" s="25" t="s">
        <v>18</v>
      </c>
      <c r="G1222" s="25" t="s">
        <v>2050</v>
      </c>
      <c r="H1222" s="26">
        <v>0.68958333333333333</v>
      </c>
      <c r="I1222" s="26">
        <v>0.70833333333333337</v>
      </c>
      <c r="J1222" s="2">
        <v>46140</v>
      </c>
      <c r="K1222" s="25" t="s">
        <v>25</v>
      </c>
      <c r="L1222" s="25" t="s">
        <v>2051</v>
      </c>
      <c r="M1222" s="25" t="s">
        <v>22</v>
      </c>
      <c r="N1222" s="25" t="s">
        <v>22</v>
      </c>
      <c r="O1222" s="25" t="s">
        <v>112</v>
      </c>
      <c r="P1222" s="25" t="s">
        <v>23</v>
      </c>
    </row>
    <row r="1223" spans="1:16" x14ac:dyDescent="0.25">
      <c r="A1223">
        <v>1173</v>
      </c>
      <c r="B1223" s="25" t="s">
        <v>206</v>
      </c>
      <c r="C1223" s="26">
        <v>0.70833333333333337</v>
      </c>
      <c r="D1223" s="2">
        <v>46140</v>
      </c>
      <c r="E1223" s="25" t="s">
        <v>94</v>
      </c>
      <c r="F1223" s="25" t="s">
        <v>18</v>
      </c>
      <c r="G1223" s="25" t="s">
        <v>2052</v>
      </c>
      <c r="H1223" s="26">
        <v>0.70833333333333337</v>
      </c>
      <c r="I1223" s="26">
        <v>0.72916666666666663</v>
      </c>
      <c r="J1223" s="2">
        <v>46140</v>
      </c>
      <c r="K1223" s="25" t="s">
        <v>20</v>
      </c>
      <c r="L1223" s="25" t="s">
        <v>2053</v>
      </c>
      <c r="M1223" s="25" t="s">
        <v>22</v>
      </c>
      <c r="N1223" s="25" t="s">
        <v>22</v>
      </c>
      <c r="O1223" s="25" t="s">
        <v>112</v>
      </c>
      <c r="P1223" s="25" t="s">
        <v>23</v>
      </c>
    </row>
    <row r="1224" spans="1:16" x14ac:dyDescent="0.25">
      <c r="A1224">
        <v>1174</v>
      </c>
      <c r="B1224" s="25" t="s">
        <v>630</v>
      </c>
      <c r="C1224" s="26">
        <v>0.72916666666666663</v>
      </c>
      <c r="D1224" s="2">
        <v>46140</v>
      </c>
      <c r="E1224" s="25" t="s">
        <v>162</v>
      </c>
      <c r="F1224" s="25" t="s">
        <v>18</v>
      </c>
      <c r="G1224" s="25" t="s">
        <v>2054</v>
      </c>
      <c r="H1224" s="26">
        <v>0.72916666666666663</v>
      </c>
      <c r="I1224" s="26">
        <v>0.73611111111111116</v>
      </c>
      <c r="J1224" s="2">
        <v>46140</v>
      </c>
      <c r="K1224" s="25" t="s">
        <v>25</v>
      </c>
      <c r="L1224" s="25" t="s">
        <v>2055</v>
      </c>
      <c r="M1224" s="25" t="s">
        <v>22</v>
      </c>
      <c r="N1224" s="25" t="s">
        <v>22</v>
      </c>
      <c r="O1224" s="25" t="s">
        <v>112</v>
      </c>
      <c r="P1224" s="25" t="s">
        <v>23</v>
      </c>
    </row>
    <row r="1225" spans="1:16" x14ac:dyDescent="0.25">
      <c r="A1225">
        <v>1175</v>
      </c>
      <c r="B1225" s="25" t="s">
        <v>120</v>
      </c>
      <c r="C1225" s="26">
        <v>3.125E-2</v>
      </c>
      <c r="D1225" s="2">
        <v>46141</v>
      </c>
      <c r="E1225" s="25" t="s">
        <v>94</v>
      </c>
      <c r="F1225" s="25" t="s">
        <v>18</v>
      </c>
      <c r="G1225" s="25" t="s">
        <v>2056</v>
      </c>
      <c r="H1225" s="26">
        <v>3.125E-2</v>
      </c>
      <c r="I1225" s="26">
        <v>0.20833333333333334</v>
      </c>
      <c r="J1225" s="2">
        <v>46141</v>
      </c>
      <c r="K1225" s="25" t="s">
        <v>25</v>
      </c>
      <c r="L1225" s="25" t="s">
        <v>2057</v>
      </c>
      <c r="M1225" s="25"/>
      <c r="N1225" s="25"/>
      <c r="O1225" s="25" t="s">
        <v>108</v>
      </c>
      <c r="P1225" s="25" t="s">
        <v>33</v>
      </c>
    </row>
    <row r="1226" spans="1:16" x14ac:dyDescent="0.25">
      <c r="A1226">
        <v>1176</v>
      </c>
      <c r="B1226" s="25" t="s">
        <v>161</v>
      </c>
      <c r="C1226" s="26">
        <v>0.2986111111111111</v>
      </c>
      <c r="D1226" s="2">
        <v>46141</v>
      </c>
      <c r="E1226" s="25" t="s">
        <v>94</v>
      </c>
      <c r="F1226" s="25" t="s">
        <v>18</v>
      </c>
      <c r="G1226" s="25" t="s">
        <v>2058</v>
      </c>
      <c r="H1226" s="26">
        <v>0.3</v>
      </c>
      <c r="I1226" s="26">
        <v>0.32291666666666669</v>
      </c>
      <c r="J1226" s="2">
        <v>46141</v>
      </c>
      <c r="K1226" s="25" t="s">
        <v>25</v>
      </c>
      <c r="L1226" s="25" t="s">
        <v>2059</v>
      </c>
      <c r="M1226" s="25" t="s">
        <v>22</v>
      </c>
      <c r="N1226" s="25" t="s">
        <v>22</v>
      </c>
      <c r="O1226" s="25" t="s">
        <v>661</v>
      </c>
      <c r="P1226" s="25" t="s">
        <v>33</v>
      </c>
    </row>
    <row r="1227" spans="1:16" x14ac:dyDescent="0.25">
      <c r="A1227">
        <v>1177</v>
      </c>
      <c r="B1227" s="25"/>
      <c r="C1227" s="26"/>
      <c r="D1227" s="2"/>
      <c r="E1227" s="25"/>
      <c r="F1227" s="25"/>
      <c r="G1227" s="25"/>
      <c r="H1227" s="26"/>
      <c r="I1227" s="26"/>
      <c r="J1227" s="2"/>
      <c r="K1227" s="25"/>
      <c r="L1227" s="25"/>
      <c r="M1227" s="25"/>
      <c r="N1227" s="25"/>
      <c r="O1227" s="25"/>
      <c r="P1227" s="25"/>
    </row>
    <row r="1228" spans="1:16" x14ac:dyDescent="0.25">
      <c r="A1228">
        <v>1178</v>
      </c>
      <c r="B1228" s="25" t="s">
        <v>113</v>
      </c>
      <c r="C1228" s="26">
        <v>0.34375</v>
      </c>
      <c r="D1228" s="2">
        <v>46142</v>
      </c>
      <c r="E1228" s="25" t="s">
        <v>91</v>
      </c>
      <c r="F1228" s="25" t="s">
        <v>18</v>
      </c>
      <c r="G1228" s="25" t="s">
        <v>2060</v>
      </c>
      <c r="H1228" s="26">
        <v>0.34375</v>
      </c>
      <c r="I1228" s="26">
        <v>0.35416666666666669</v>
      </c>
      <c r="J1228" s="2">
        <v>46142</v>
      </c>
      <c r="K1228" s="25" t="s">
        <v>25</v>
      </c>
      <c r="L1228" s="25" t="s">
        <v>2061</v>
      </c>
      <c r="M1228" s="25" t="s">
        <v>22</v>
      </c>
      <c r="N1228" s="25" t="s">
        <v>22</v>
      </c>
      <c r="O1228" s="25" t="s">
        <v>112</v>
      </c>
      <c r="P1228" s="25" t="s">
        <v>23</v>
      </c>
    </row>
    <row r="1229" spans="1:16" x14ac:dyDescent="0.25">
      <c r="A1229">
        <v>1179</v>
      </c>
      <c r="B1229" s="25" t="s">
        <v>103</v>
      </c>
      <c r="C1229" s="26">
        <v>0.24652777777777779</v>
      </c>
      <c r="D1229" s="2">
        <v>46142</v>
      </c>
      <c r="E1229" s="25" t="s">
        <v>104</v>
      </c>
      <c r="F1229" s="25" t="s">
        <v>18</v>
      </c>
      <c r="G1229" s="25" t="s">
        <v>2062</v>
      </c>
      <c r="H1229" s="26">
        <v>0.3125</v>
      </c>
      <c r="I1229" s="26">
        <v>0.34375</v>
      </c>
      <c r="J1229" s="2">
        <v>46142</v>
      </c>
      <c r="K1229" s="25" t="s">
        <v>20</v>
      </c>
      <c r="L1229" s="25" t="s">
        <v>2063</v>
      </c>
      <c r="M1229" s="25" t="s">
        <v>22</v>
      </c>
      <c r="N1229" s="25" t="s">
        <v>22</v>
      </c>
      <c r="O1229" s="25" t="s">
        <v>112</v>
      </c>
      <c r="P1229" s="25" t="s">
        <v>23</v>
      </c>
    </row>
    <row r="1230" spans="1:16" x14ac:dyDescent="0.25">
      <c r="A1230">
        <v>1180</v>
      </c>
      <c r="B1230" s="25" t="s">
        <v>268</v>
      </c>
      <c r="C1230" s="26">
        <v>0.45833333333333331</v>
      </c>
      <c r="D1230" s="2">
        <v>46142</v>
      </c>
      <c r="E1230" s="25" t="s">
        <v>147</v>
      </c>
      <c r="F1230" s="25" t="s">
        <v>18</v>
      </c>
      <c r="G1230" s="25" t="s">
        <v>2064</v>
      </c>
      <c r="H1230" s="26"/>
      <c r="I1230" s="26"/>
      <c r="J1230" s="2"/>
      <c r="K1230" s="25"/>
      <c r="L1230" s="25"/>
      <c r="M1230" s="25"/>
      <c r="N1230" s="25"/>
      <c r="O1230" s="25"/>
      <c r="P1230" s="25" t="s">
        <v>33</v>
      </c>
    </row>
    <row r="1231" spans="1:16" x14ac:dyDescent="0.25">
      <c r="A1231">
        <v>1181</v>
      </c>
      <c r="B1231" s="25"/>
      <c r="C1231" s="26"/>
      <c r="D1231" s="2"/>
      <c r="E1231" s="25"/>
      <c r="F1231" s="25"/>
      <c r="G1231" s="25"/>
      <c r="H1231" s="26"/>
      <c r="I1231" s="26"/>
      <c r="J1231" s="2"/>
      <c r="K1231" s="25"/>
      <c r="L1231" s="25"/>
      <c r="M1231" s="25"/>
      <c r="N1231" s="25"/>
      <c r="O1231" s="25"/>
      <c r="P1231" s="25"/>
    </row>
    <row r="1232" spans="1:16" x14ac:dyDescent="0.25">
      <c r="A1232">
        <v>1182</v>
      </c>
      <c r="B1232" s="25" t="s">
        <v>124</v>
      </c>
      <c r="C1232" s="26">
        <v>0.56944444444444442</v>
      </c>
      <c r="D1232" s="2">
        <v>46142</v>
      </c>
      <c r="E1232" s="25" t="s">
        <v>94</v>
      </c>
      <c r="F1232" s="25" t="s">
        <v>18</v>
      </c>
      <c r="G1232" s="25" t="s">
        <v>2065</v>
      </c>
      <c r="H1232" s="26">
        <v>0.56944444444444442</v>
      </c>
      <c r="I1232" s="26">
        <v>0.58333333333333337</v>
      </c>
      <c r="J1232" s="2">
        <v>46142</v>
      </c>
      <c r="K1232" s="25" t="s">
        <v>20</v>
      </c>
      <c r="L1232" s="25" t="s">
        <v>2066</v>
      </c>
      <c r="M1232" s="25" t="s">
        <v>22</v>
      </c>
      <c r="N1232" s="25" t="s">
        <v>22</v>
      </c>
      <c r="O1232" s="25" t="s">
        <v>112</v>
      </c>
      <c r="P1232" s="25" t="s">
        <v>23</v>
      </c>
    </row>
    <row r="1233" spans="1:16" x14ac:dyDescent="0.25">
      <c r="A1233">
        <v>1183</v>
      </c>
      <c r="B1233" s="25" t="s">
        <v>526</v>
      </c>
      <c r="C1233" s="26">
        <v>0.35416666666666669</v>
      </c>
      <c r="D1233" s="2">
        <v>46142</v>
      </c>
      <c r="E1233" s="25" t="s">
        <v>104</v>
      </c>
      <c r="F1233" s="25" t="s">
        <v>18</v>
      </c>
      <c r="G1233" s="25" t="s">
        <v>2067</v>
      </c>
      <c r="H1233" s="26">
        <v>0.35416666666666669</v>
      </c>
      <c r="I1233" s="26">
        <v>0.375</v>
      </c>
      <c r="J1233" s="2">
        <v>46142</v>
      </c>
      <c r="K1233" s="25" t="s">
        <v>20</v>
      </c>
      <c r="L1233" s="25" t="s">
        <v>2068</v>
      </c>
      <c r="M1233" s="25" t="s">
        <v>2069</v>
      </c>
      <c r="N1233" s="25" t="s">
        <v>22</v>
      </c>
      <c r="O1233" s="25" t="s">
        <v>112</v>
      </c>
      <c r="P1233" s="25" t="s">
        <v>23</v>
      </c>
    </row>
    <row r="1234" spans="1:16" x14ac:dyDescent="0.25">
      <c r="A1234">
        <v>1184</v>
      </c>
      <c r="B1234" s="25" t="s">
        <v>103</v>
      </c>
      <c r="C1234" s="26">
        <v>0.81597222222222221</v>
      </c>
      <c r="D1234" s="2">
        <v>46142</v>
      </c>
      <c r="E1234" s="25" t="s">
        <v>147</v>
      </c>
      <c r="F1234" s="25" t="s">
        <v>18</v>
      </c>
      <c r="G1234" s="25" t="s">
        <v>2070</v>
      </c>
      <c r="H1234" s="26">
        <v>0.81597222222222221</v>
      </c>
      <c r="I1234" s="26">
        <v>0.98611111111111116</v>
      </c>
      <c r="J1234" s="2">
        <v>46142</v>
      </c>
      <c r="K1234" s="25" t="s">
        <v>20</v>
      </c>
      <c r="L1234" s="25" t="s">
        <v>2071</v>
      </c>
      <c r="M1234" s="25" t="s">
        <v>2072</v>
      </c>
      <c r="N1234" s="25" t="s">
        <v>22</v>
      </c>
      <c r="O1234" s="25" t="s">
        <v>661</v>
      </c>
      <c r="P1234" s="25" t="s">
        <v>23</v>
      </c>
    </row>
    <row r="1235" spans="1:16" x14ac:dyDescent="0.25">
      <c r="A1235">
        <v>1185</v>
      </c>
      <c r="B1235" s="25" t="s">
        <v>113</v>
      </c>
      <c r="C1235" s="26">
        <v>0.74305555555555558</v>
      </c>
      <c r="D1235" s="2">
        <v>46142</v>
      </c>
      <c r="E1235" s="25" t="s">
        <v>91</v>
      </c>
      <c r="F1235" s="25" t="s">
        <v>18</v>
      </c>
      <c r="G1235" s="25" t="s">
        <v>2073</v>
      </c>
      <c r="H1235" s="26">
        <v>0.76388888888888884</v>
      </c>
      <c r="I1235" s="26">
        <v>0.90277777777777779</v>
      </c>
      <c r="J1235" s="2">
        <v>46142</v>
      </c>
      <c r="K1235" s="25" t="s">
        <v>25</v>
      </c>
      <c r="L1235" s="25" t="s">
        <v>2074</v>
      </c>
      <c r="M1235" s="25" t="s">
        <v>22</v>
      </c>
      <c r="N1235" s="25" t="s">
        <v>22</v>
      </c>
      <c r="O1235" s="25" t="s">
        <v>661</v>
      </c>
      <c r="P1235" s="25" t="s">
        <v>23</v>
      </c>
    </row>
    <row r="1236" spans="1:16" x14ac:dyDescent="0.25">
      <c r="A1236">
        <v>1186</v>
      </c>
      <c r="B1236" s="25"/>
      <c r="C1236" s="26"/>
      <c r="D1236" s="2"/>
      <c r="E1236" s="25"/>
      <c r="F1236" s="25"/>
      <c r="G1236" s="25"/>
      <c r="H1236" s="26"/>
      <c r="I1236" s="26"/>
      <c r="J1236" s="2"/>
      <c r="K1236" s="25"/>
      <c r="L1236" s="25"/>
      <c r="M1236" s="25"/>
      <c r="N1236" s="25"/>
      <c r="O1236" s="25"/>
      <c r="P1236" s="25"/>
    </row>
    <row r="1237" spans="1:16" x14ac:dyDescent="0.25">
      <c r="A1237">
        <v>1187</v>
      </c>
      <c r="B1237" s="25" t="s">
        <v>603</v>
      </c>
      <c r="C1237" s="26">
        <v>1.9444444444444445E-2</v>
      </c>
      <c r="D1237" s="2">
        <v>46143</v>
      </c>
      <c r="E1237" s="25" t="s">
        <v>116</v>
      </c>
      <c r="F1237" s="25" t="s">
        <v>18</v>
      </c>
      <c r="G1237" s="25" t="s">
        <v>2075</v>
      </c>
      <c r="H1237" s="26">
        <v>2.0833333333333332E-2</v>
      </c>
      <c r="I1237" s="26">
        <v>4.1666666666666664E-2</v>
      </c>
      <c r="J1237" s="2">
        <v>46143</v>
      </c>
      <c r="K1237" s="25" t="s">
        <v>25</v>
      </c>
      <c r="L1237" s="25" t="s">
        <v>2076</v>
      </c>
      <c r="M1237" s="25" t="s">
        <v>22</v>
      </c>
      <c r="N1237" s="25" t="s">
        <v>22</v>
      </c>
      <c r="O1237" s="25" t="s">
        <v>661</v>
      </c>
      <c r="P1237" s="25" t="s">
        <v>23</v>
      </c>
    </row>
    <row r="1238" spans="1:16" x14ac:dyDescent="0.25">
      <c r="A1238">
        <v>1188</v>
      </c>
      <c r="B1238" s="25" t="s">
        <v>164</v>
      </c>
      <c r="C1238" s="26"/>
      <c r="D1238" s="2">
        <v>46143</v>
      </c>
      <c r="E1238" s="25" t="s">
        <v>143</v>
      </c>
      <c r="F1238" s="25" t="s">
        <v>18</v>
      </c>
      <c r="G1238" s="25" t="s">
        <v>2077</v>
      </c>
      <c r="H1238" s="26"/>
      <c r="I1238" s="26"/>
      <c r="J1238" s="2"/>
      <c r="K1238" s="25"/>
      <c r="L1238" s="25" t="s">
        <v>2078</v>
      </c>
      <c r="M1238" s="25" t="s">
        <v>22</v>
      </c>
      <c r="N1238" s="25" t="s">
        <v>22</v>
      </c>
      <c r="O1238" s="25" t="s">
        <v>661</v>
      </c>
      <c r="P1238" s="25" t="s">
        <v>23</v>
      </c>
    </row>
    <row r="1239" spans="1:16" x14ac:dyDescent="0.25">
      <c r="A1239">
        <v>1189</v>
      </c>
      <c r="B1239" s="25" t="s">
        <v>279</v>
      </c>
      <c r="C1239" s="26">
        <v>3.4722222222222224E-2</v>
      </c>
      <c r="D1239" s="2">
        <v>46143</v>
      </c>
      <c r="E1239" s="25" t="s">
        <v>109</v>
      </c>
      <c r="F1239" s="25" t="s">
        <v>18</v>
      </c>
      <c r="G1239" s="25" t="s">
        <v>2079</v>
      </c>
      <c r="H1239" s="26">
        <v>3.8194444444444448E-2</v>
      </c>
      <c r="I1239" s="26">
        <v>4.8611111111111112E-2</v>
      </c>
      <c r="J1239" s="2">
        <v>46143</v>
      </c>
      <c r="K1239" s="25" t="s">
        <v>25</v>
      </c>
      <c r="L1239" s="25" t="s">
        <v>2080</v>
      </c>
      <c r="M1239" s="25" t="s">
        <v>2081</v>
      </c>
      <c r="N1239" s="25" t="s">
        <v>22</v>
      </c>
      <c r="O1239" s="25" t="s">
        <v>661</v>
      </c>
      <c r="P1239" s="25" t="s">
        <v>23</v>
      </c>
    </row>
    <row r="1240" spans="1:16" x14ac:dyDescent="0.25">
      <c r="A1240">
        <v>1190</v>
      </c>
      <c r="B1240" s="25" t="s">
        <v>161</v>
      </c>
      <c r="C1240" s="26">
        <v>0.41666666666666669</v>
      </c>
      <c r="D1240" s="2">
        <v>46143</v>
      </c>
      <c r="E1240" s="25" t="s">
        <v>94</v>
      </c>
      <c r="F1240" s="25" t="s">
        <v>18</v>
      </c>
      <c r="G1240" s="25" t="s">
        <v>2082</v>
      </c>
      <c r="H1240" s="26">
        <v>0.41666666666666669</v>
      </c>
      <c r="I1240" s="26">
        <v>0.52152777777777781</v>
      </c>
      <c r="J1240" s="2">
        <v>46143</v>
      </c>
      <c r="K1240" s="25" t="s">
        <v>25</v>
      </c>
      <c r="L1240" s="25" t="s">
        <v>2083</v>
      </c>
      <c r="M1240" s="25" t="s">
        <v>22</v>
      </c>
      <c r="N1240" s="25" t="s">
        <v>22</v>
      </c>
      <c r="O1240" s="25" t="s">
        <v>108</v>
      </c>
      <c r="P1240" s="25" t="s">
        <v>23</v>
      </c>
    </row>
    <row r="1241" spans="1:16" x14ac:dyDescent="0.25">
      <c r="A1241">
        <v>1191</v>
      </c>
      <c r="B1241" s="25"/>
      <c r="C1241" s="26"/>
      <c r="D1241" s="2"/>
      <c r="E1241" s="25"/>
      <c r="F1241" s="25"/>
      <c r="G1241" s="25"/>
      <c r="H1241" s="26"/>
      <c r="I1241" s="26"/>
      <c r="J1241" s="2"/>
      <c r="K1241" s="25"/>
      <c r="L1241" s="25"/>
      <c r="M1241" s="25"/>
      <c r="N1241" s="25"/>
      <c r="O1241" s="25"/>
      <c r="P1241" s="25"/>
    </row>
    <row r="1242" spans="1:16" x14ac:dyDescent="0.25">
      <c r="A1242">
        <v>1192</v>
      </c>
      <c r="B1242" s="25" t="s">
        <v>120</v>
      </c>
      <c r="C1242" s="26">
        <v>6.9444444444444441E-3</v>
      </c>
      <c r="D1242" s="2">
        <v>46144</v>
      </c>
      <c r="E1242" s="25" t="s">
        <v>116</v>
      </c>
      <c r="F1242" s="25" t="s">
        <v>18</v>
      </c>
      <c r="G1242" s="25" t="s">
        <v>2084</v>
      </c>
      <c r="H1242" s="26">
        <v>6.9444444444444441E-3</v>
      </c>
      <c r="I1242" s="26">
        <v>5.5555555555555552E-2</v>
      </c>
      <c r="J1242" s="2">
        <v>46144</v>
      </c>
      <c r="K1242" s="25" t="s">
        <v>25</v>
      </c>
      <c r="L1242" s="25" t="s">
        <v>2085</v>
      </c>
      <c r="M1242" s="25" t="s">
        <v>22</v>
      </c>
      <c r="N1242" s="25" t="s">
        <v>22</v>
      </c>
      <c r="O1242" s="25" t="s">
        <v>112</v>
      </c>
      <c r="P1242" s="25" t="s">
        <v>23</v>
      </c>
    </row>
    <row r="1243" spans="1:16" x14ac:dyDescent="0.25">
      <c r="A1243">
        <v>1193</v>
      </c>
      <c r="B1243" s="25"/>
      <c r="C1243" s="26"/>
      <c r="D1243" s="2"/>
      <c r="E1243" s="25"/>
      <c r="F1243" s="25"/>
      <c r="G1243" s="25"/>
      <c r="H1243" s="26"/>
      <c r="I1243" s="26"/>
      <c r="J1243" s="2"/>
      <c r="K1243" s="25"/>
      <c r="L1243" s="25"/>
      <c r="M1243" s="25"/>
      <c r="N1243" s="25"/>
      <c r="O1243" s="25"/>
      <c r="P1243" s="25"/>
    </row>
    <row r="1244" spans="1:16" x14ac:dyDescent="0.25">
      <c r="A1244">
        <v>1194</v>
      </c>
      <c r="B1244" s="25"/>
      <c r="C1244" s="26"/>
      <c r="D1244" s="2"/>
      <c r="E1244" s="25"/>
      <c r="F1244" s="25"/>
      <c r="G1244" s="25"/>
      <c r="H1244" s="26"/>
      <c r="I1244" s="26"/>
      <c r="J1244" s="2"/>
      <c r="K1244" s="25"/>
      <c r="L1244" s="25"/>
      <c r="M1244" s="25"/>
      <c r="N1244" s="25"/>
      <c r="O1244" s="25"/>
      <c r="P1244" s="25"/>
    </row>
    <row r="1245" spans="1:16" x14ac:dyDescent="0.25">
      <c r="A1245">
        <v>1195</v>
      </c>
      <c r="B1245" s="25" t="s">
        <v>113</v>
      </c>
      <c r="C1245" s="26">
        <v>0.79166666666666663</v>
      </c>
      <c r="D1245" s="2">
        <v>46143</v>
      </c>
      <c r="E1245" s="25" t="s">
        <v>91</v>
      </c>
      <c r="F1245" s="25" t="s">
        <v>18</v>
      </c>
      <c r="G1245" s="25" t="s">
        <v>2086</v>
      </c>
      <c r="H1245" s="26">
        <v>0.79166666666666663</v>
      </c>
      <c r="I1245" s="26">
        <v>0.81944444444444442</v>
      </c>
      <c r="J1245" s="2">
        <v>46143</v>
      </c>
      <c r="K1245" s="25" t="s">
        <v>25</v>
      </c>
      <c r="L1245" s="25" t="s">
        <v>2087</v>
      </c>
      <c r="M1245" s="25" t="s">
        <v>22</v>
      </c>
      <c r="N1245" s="25" t="s">
        <v>22</v>
      </c>
      <c r="O1245" s="25" t="s">
        <v>112</v>
      </c>
      <c r="P1245" s="25" t="s">
        <v>23</v>
      </c>
    </row>
    <row r="1246" spans="1:16" x14ac:dyDescent="0.25">
      <c r="A1246">
        <v>1196</v>
      </c>
      <c r="B1246" s="25"/>
      <c r="C1246" s="26"/>
      <c r="D1246" s="2"/>
      <c r="E1246" s="25"/>
      <c r="F1246" s="25"/>
      <c r="G1246" s="25"/>
      <c r="H1246" s="26"/>
      <c r="I1246" s="26"/>
      <c r="J1246" s="2"/>
      <c r="K1246" s="25"/>
      <c r="L1246" s="25"/>
      <c r="M1246" s="25"/>
      <c r="N1246" s="25"/>
      <c r="O1246" s="25"/>
      <c r="P1246" s="25"/>
    </row>
    <row r="1247" spans="1:16" x14ac:dyDescent="0.25">
      <c r="A1247">
        <v>1197</v>
      </c>
      <c r="B1247" s="25" t="s">
        <v>161</v>
      </c>
      <c r="C1247" s="26">
        <v>0.3263888888888889</v>
      </c>
      <c r="D1247" s="2">
        <v>46144</v>
      </c>
      <c r="E1247" s="25" t="s">
        <v>116</v>
      </c>
      <c r="F1247" s="25" t="s">
        <v>18</v>
      </c>
      <c r="G1247" s="25" t="s">
        <v>2088</v>
      </c>
      <c r="H1247" s="26">
        <v>0.3263888888888889</v>
      </c>
      <c r="I1247" s="26">
        <v>0.3611111111111111</v>
      </c>
      <c r="J1247" s="2">
        <v>46144</v>
      </c>
      <c r="K1247" s="25" t="s">
        <v>25</v>
      </c>
      <c r="L1247" s="25" t="s">
        <v>2089</v>
      </c>
      <c r="M1247" s="25" t="s">
        <v>22</v>
      </c>
      <c r="N1247" s="25" t="s">
        <v>22</v>
      </c>
      <c r="O1247" s="25" t="s">
        <v>108</v>
      </c>
      <c r="P1247" s="25" t="s">
        <v>23</v>
      </c>
    </row>
    <row r="1248" spans="1:16" x14ac:dyDescent="0.25">
      <c r="A1248">
        <v>1198</v>
      </c>
      <c r="B1248" s="25" t="s">
        <v>161</v>
      </c>
      <c r="C1248" s="26">
        <v>0.41666666666666669</v>
      </c>
      <c r="D1248" s="2">
        <v>46144</v>
      </c>
      <c r="E1248" s="25" t="s">
        <v>116</v>
      </c>
      <c r="F1248" s="25" t="s">
        <v>18</v>
      </c>
      <c r="G1248" s="25" t="s">
        <v>2090</v>
      </c>
      <c r="H1248" s="26">
        <v>0.41666666666666669</v>
      </c>
      <c r="I1248" s="26">
        <v>0.47916666666666669</v>
      </c>
      <c r="J1248" s="2">
        <v>46144</v>
      </c>
      <c r="K1248" s="25" t="s">
        <v>25</v>
      </c>
      <c r="L1248" s="25" t="s">
        <v>2091</v>
      </c>
      <c r="M1248" s="25" t="s">
        <v>22</v>
      </c>
      <c r="N1248" s="25" t="s">
        <v>2092</v>
      </c>
      <c r="O1248" s="25" t="s">
        <v>108</v>
      </c>
      <c r="P1248" s="25" t="s">
        <v>23</v>
      </c>
    </row>
    <row r="1249" spans="1:16" x14ac:dyDescent="0.25">
      <c r="A1249">
        <v>1199</v>
      </c>
      <c r="B1249" s="25" t="s">
        <v>603</v>
      </c>
      <c r="C1249" s="26">
        <v>0.92847222222222225</v>
      </c>
      <c r="D1249" s="2">
        <v>46144</v>
      </c>
      <c r="E1249" s="25" t="s">
        <v>94</v>
      </c>
      <c r="F1249" s="25" t="s">
        <v>18</v>
      </c>
      <c r="G1249" s="25" t="s">
        <v>2093</v>
      </c>
      <c r="H1249" s="26">
        <v>0.93055555555555558</v>
      </c>
      <c r="I1249" s="26">
        <v>0.94444444444444442</v>
      </c>
      <c r="J1249" s="2">
        <v>46144</v>
      </c>
      <c r="K1249" s="25" t="s">
        <v>20</v>
      </c>
      <c r="L1249" s="25" t="s">
        <v>2094</v>
      </c>
      <c r="M1249" s="25" t="s">
        <v>2095</v>
      </c>
      <c r="N1249" s="25" t="s">
        <v>22</v>
      </c>
      <c r="O1249" s="25" t="s">
        <v>112</v>
      </c>
      <c r="P1249" s="25" t="s">
        <v>23</v>
      </c>
    </row>
    <row r="1250" spans="1:16" x14ac:dyDescent="0.25">
      <c r="A1250">
        <v>1200</v>
      </c>
      <c r="B1250" s="25" t="s">
        <v>199</v>
      </c>
      <c r="C1250" s="26">
        <v>0.41666666666666669</v>
      </c>
      <c r="D1250" s="2">
        <v>46115</v>
      </c>
      <c r="E1250" s="25" t="s">
        <v>91</v>
      </c>
      <c r="F1250" s="25" t="s">
        <v>18</v>
      </c>
      <c r="G1250" s="25" t="s">
        <v>2119</v>
      </c>
      <c r="H1250" s="26">
        <v>0.41666666666666669</v>
      </c>
      <c r="I1250" s="26">
        <v>0.5</v>
      </c>
      <c r="J1250" s="2">
        <v>46115</v>
      </c>
      <c r="K1250" s="25" t="s">
        <v>20</v>
      </c>
      <c r="L1250" s="25" t="s">
        <v>2120</v>
      </c>
      <c r="M1250" s="25" t="s">
        <v>22</v>
      </c>
      <c r="N1250" s="25" t="s">
        <v>22</v>
      </c>
      <c r="O1250" s="25" t="s">
        <v>108</v>
      </c>
      <c r="P1250" s="25" t="s">
        <v>33</v>
      </c>
    </row>
    <row r="1251" spans="1:16" x14ac:dyDescent="0.25">
      <c r="B1251" s="25"/>
      <c r="C1251" s="26"/>
      <c r="D1251" s="2"/>
      <c r="E1251" s="25"/>
      <c r="F1251" s="25"/>
      <c r="G1251" s="25"/>
      <c r="H1251" s="26"/>
      <c r="I1251" s="26"/>
      <c r="J1251" s="2"/>
      <c r="K1251" s="25"/>
      <c r="L1251" s="25"/>
      <c r="M1251" s="25"/>
      <c r="N1251" s="25"/>
      <c r="O1251" s="25"/>
      <c r="P1251" s="25"/>
    </row>
    <row r="1252" spans="1:16" x14ac:dyDescent="0.25">
      <c r="A1252" t="s">
        <v>0</v>
      </c>
      <c r="B1252" s="25" t="s">
        <v>1</v>
      </c>
      <c r="C1252" s="26"/>
      <c r="D1252" s="2"/>
      <c r="E1252" s="25" t="s">
        <v>4</v>
      </c>
      <c r="F1252" s="25" t="s">
        <v>5</v>
      </c>
      <c r="G1252" s="25" t="s">
        <v>6</v>
      </c>
      <c r="H1252" s="26"/>
      <c r="I1252" s="26"/>
      <c r="J1252" s="2"/>
      <c r="K1252" s="25" t="s">
        <v>10</v>
      </c>
      <c r="L1252" s="25" t="s">
        <v>11</v>
      </c>
      <c r="M1252" s="25" t="s">
        <v>12</v>
      </c>
      <c r="N1252" s="25" t="s">
        <v>13</v>
      </c>
      <c r="O1252" s="25" t="s">
        <v>14</v>
      </c>
      <c r="P1252" s="25" t="s">
        <v>15</v>
      </c>
    </row>
    <row r="1253" spans="1:16" x14ac:dyDescent="0.25">
      <c r="A1253">
        <v>1201</v>
      </c>
      <c r="B1253" s="25" t="s">
        <v>161</v>
      </c>
      <c r="C1253" s="26">
        <v>0.33333333333333331</v>
      </c>
      <c r="D1253" s="2">
        <v>46146</v>
      </c>
      <c r="E1253" s="25" t="s">
        <v>116</v>
      </c>
      <c r="F1253" s="25" t="s">
        <v>18</v>
      </c>
      <c r="G1253" s="25" t="s">
        <v>2096</v>
      </c>
      <c r="H1253" s="26"/>
      <c r="I1253" s="26"/>
      <c r="J1253" s="2"/>
      <c r="K1253" s="25"/>
      <c r="L1253" s="25"/>
      <c r="M1253" s="25"/>
      <c r="N1253" s="25"/>
      <c r="O1253" s="25"/>
      <c r="P1253" s="25" t="s">
        <v>33</v>
      </c>
    </row>
    <row r="1254" spans="1:16" x14ac:dyDescent="0.25">
      <c r="A1254">
        <v>1202</v>
      </c>
      <c r="B1254" s="25" t="s">
        <v>268</v>
      </c>
      <c r="C1254" s="26">
        <v>0.3347222222222222</v>
      </c>
      <c r="D1254" s="2">
        <v>46146</v>
      </c>
      <c r="E1254" s="25" t="s">
        <v>104</v>
      </c>
      <c r="F1254" s="25"/>
      <c r="G1254" s="25" t="s">
        <v>2097</v>
      </c>
      <c r="H1254" s="26"/>
      <c r="I1254" s="26"/>
      <c r="J1254" s="2"/>
      <c r="K1254" s="25"/>
      <c r="L1254" s="25"/>
      <c r="M1254" s="25"/>
      <c r="N1254" s="25"/>
      <c r="O1254" s="25"/>
      <c r="P1254" s="25" t="s">
        <v>33</v>
      </c>
    </row>
    <row r="1255" spans="1:16" x14ac:dyDescent="0.25">
      <c r="A1255">
        <v>1203</v>
      </c>
      <c r="B1255" s="25" t="s">
        <v>268</v>
      </c>
      <c r="C1255" s="26">
        <v>0.29444444444444445</v>
      </c>
      <c r="D1255" s="2">
        <v>46146</v>
      </c>
      <c r="E1255" s="25" t="s">
        <v>17</v>
      </c>
      <c r="F1255" s="25"/>
      <c r="G1255" s="25" t="s">
        <v>2098</v>
      </c>
      <c r="H1255" s="26"/>
      <c r="I1255" s="26"/>
      <c r="J1255" s="2"/>
      <c r="K1255" s="25"/>
      <c r="L1255" s="25"/>
      <c r="M1255" s="25"/>
      <c r="N1255" s="25"/>
      <c r="O1255" s="25"/>
      <c r="P1255" s="25" t="s">
        <v>33</v>
      </c>
    </row>
    <row r="1256" spans="1:16" x14ac:dyDescent="0.25">
      <c r="A1256">
        <v>1204</v>
      </c>
      <c r="B1256" s="25" t="s">
        <v>268</v>
      </c>
      <c r="C1256" s="26">
        <v>0.32083333333333336</v>
      </c>
      <c r="D1256" s="2">
        <v>46147</v>
      </c>
      <c r="E1256" s="25" t="s">
        <v>94</v>
      </c>
      <c r="F1256" s="25"/>
      <c r="G1256" s="25" t="s">
        <v>2099</v>
      </c>
      <c r="H1256" s="26"/>
      <c r="I1256" s="26"/>
      <c r="J1256" s="2"/>
      <c r="K1256" s="25"/>
      <c r="L1256" s="25"/>
      <c r="M1256" s="25"/>
      <c r="N1256" s="25"/>
      <c r="O1256" s="25"/>
      <c r="P1256" s="25" t="s">
        <v>33</v>
      </c>
    </row>
    <row r="1257" spans="1:16" x14ac:dyDescent="0.25">
      <c r="A1257">
        <v>1205</v>
      </c>
      <c r="B1257" s="25" t="s">
        <v>103</v>
      </c>
      <c r="C1257" s="26">
        <v>0.58333333333333337</v>
      </c>
      <c r="D1257" s="2">
        <v>46146</v>
      </c>
      <c r="E1257" s="25" t="s">
        <v>147</v>
      </c>
      <c r="F1257" s="25" t="s">
        <v>18</v>
      </c>
      <c r="G1257" s="25" t="s">
        <v>2143</v>
      </c>
      <c r="H1257" s="26">
        <v>0.58333333333333337</v>
      </c>
      <c r="I1257" s="26">
        <v>0.6875</v>
      </c>
      <c r="J1257" s="2">
        <v>46146</v>
      </c>
      <c r="K1257" s="25" t="s">
        <v>25</v>
      </c>
      <c r="L1257" s="25" t="s">
        <v>2144</v>
      </c>
      <c r="M1257" s="25"/>
      <c r="N1257" s="25" t="s">
        <v>22</v>
      </c>
      <c r="O1257" s="25" t="s">
        <v>108</v>
      </c>
      <c r="P1257" s="25" t="s">
        <v>23</v>
      </c>
    </row>
    <row r="1258" spans="1:16" x14ac:dyDescent="0.25">
      <c r="A1258">
        <v>1206</v>
      </c>
      <c r="B1258" s="25"/>
      <c r="C1258" s="26"/>
      <c r="D1258" s="2"/>
      <c r="E1258" s="25"/>
      <c r="F1258" s="25"/>
      <c r="G1258" s="25"/>
      <c r="H1258" s="26"/>
      <c r="I1258" s="26"/>
      <c r="J1258" s="2"/>
      <c r="K1258" s="25"/>
      <c r="L1258" s="25"/>
      <c r="M1258" s="25"/>
      <c r="N1258" s="25"/>
      <c r="O1258" s="25"/>
      <c r="P1258" s="25"/>
    </row>
    <row r="1259" spans="1:16" x14ac:dyDescent="0.25">
      <c r="A1259">
        <v>1207</v>
      </c>
      <c r="B1259" s="25" t="s">
        <v>164</v>
      </c>
      <c r="C1259" s="26">
        <v>0.4861111111111111</v>
      </c>
      <c r="D1259" s="2">
        <v>46146</v>
      </c>
      <c r="E1259" s="25" t="s">
        <v>143</v>
      </c>
      <c r="F1259" s="25" t="s">
        <v>18</v>
      </c>
      <c r="G1259" s="25" t="s">
        <v>2100</v>
      </c>
      <c r="H1259" s="26">
        <v>0.4861111111111111</v>
      </c>
      <c r="I1259" s="26">
        <v>0.58333333333333337</v>
      </c>
      <c r="J1259" s="2">
        <v>46146</v>
      </c>
      <c r="K1259" s="25" t="s">
        <v>20</v>
      </c>
      <c r="L1259" s="25" t="s">
        <v>2101</v>
      </c>
      <c r="M1259" s="25" t="s">
        <v>22</v>
      </c>
      <c r="N1259" s="25" t="s">
        <v>22</v>
      </c>
      <c r="O1259" s="25" t="s">
        <v>268</v>
      </c>
      <c r="P1259" s="25" t="s">
        <v>23</v>
      </c>
    </row>
    <row r="1260" spans="1:16" x14ac:dyDescent="0.25">
      <c r="A1260">
        <v>1208</v>
      </c>
      <c r="B1260" s="25" t="s">
        <v>238</v>
      </c>
      <c r="C1260" s="26">
        <v>0.65972222222222221</v>
      </c>
      <c r="D1260" s="2">
        <v>46146</v>
      </c>
      <c r="E1260" s="25" t="s">
        <v>185</v>
      </c>
      <c r="F1260" s="25" t="s">
        <v>18</v>
      </c>
      <c r="G1260" s="25" t="s">
        <v>2102</v>
      </c>
      <c r="H1260" s="26">
        <v>0.65972222222222221</v>
      </c>
      <c r="I1260" s="26">
        <v>0.70138888888888884</v>
      </c>
      <c r="J1260" s="2">
        <v>46146</v>
      </c>
      <c r="K1260" s="25" t="s">
        <v>20</v>
      </c>
      <c r="L1260" s="25" t="s">
        <v>2103</v>
      </c>
      <c r="M1260" s="25" t="s">
        <v>22</v>
      </c>
      <c r="N1260" s="25" t="s">
        <v>22</v>
      </c>
      <c r="O1260" s="25" t="s">
        <v>108</v>
      </c>
      <c r="P1260" s="25" t="s">
        <v>23</v>
      </c>
    </row>
    <row r="1261" spans="1:16" x14ac:dyDescent="0.25">
      <c r="A1261">
        <v>1209</v>
      </c>
      <c r="B1261" s="25" t="s">
        <v>341</v>
      </c>
      <c r="C1261" s="26">
        <v>0.79166666666666663</v>
      </c>
      <c r="D1261" s="2">
        <v>46146</v>
      </c>
      <c r="E1261" s="25" t="s">
        <v>143</v>
      </c>
      <c r="F1261" s="25" t="s">
        <v>18</v>
      </c>
      <c r="G1261" s="25" t="s">
        <v>2104</v>
      </c>
      <c r="H1261" s="26">
        <v>0.27083333333333331</v>
      </c>
      <c r="I1261" s="26">
        <v>0.33333333333333331</v>
      </c>
      <c r="J1261" s="2">
        <v>46147</v>
      </c>
      <c r="K1261" s="25" t="s">
        <v>20</v>
      </c>
      <c r="L1261" s="25" t="s">
        <v>2105</v>
      </c>
      <c r="M1261" s="25" t="s">
        <v>2106</v>
      </c>
      <c r="N1261" s="25" t="s">
        <v>22</v>
      </c>
      <c r="O1261" s="25" t="s">
        <v>268</v>
      </c>
      <c r="P1261" s="25" t="s">
        <v>23</v>
      </c>
    </row>
    <row r="1262" spans="1:16" x14ac:dyDescent="0.25">
      <c r="A1262">
        <v>1210</v>
      </c>
      <c r="B1262" s="25" t="s">
        <v>206</v>
      </c>
      <c r="C1262" s="26">
        <v>0.88194444444444442</v>
      </c>
      <c r="D1262" s="2">
        <v>46146</v>
      </c>
      <c r="E1262" s="25" t="s">
        <v>185</v>
      </c>
      <c r="F1262" s="25" t="s">
        <v>18</v>
      </c>
      <c r="G1262" s="25" t="s">
        <v>379</v>
      </c>
      <c r="H1262" s="26">
        <v>0.88194444444444442</v>
      </c>
      <c r="I1262" s="26">
        <v>0.90625</v>
      </c>
      <c r="J1262" s="2">
        <v>46146</v>
      </c>
      <c r="K1262" s="25" t="s">
        <v>25</v>
      </c>
      <c r="L1262" s="25" t="s">
        <v>2107</v>
      </c>
      <c r="M1262" s="25" t="s">
        <v>22</v>
      </c>
      <c r="N1262" s="25" t="s">
        <v>22</v>
      </c>
      <c r="O1262" s="25" t="s">
        <v>661</v>
      </c>
      <c r="P1262" s="25" t="s">
        <v>23</v>
      </c>
    </row>
    <row r="1263" spans="1:16" x14ac:dyDescent="0.25">
      <c r="A1263">
        <v>1211</v>
      </c>
      <c r="B1263" s="25" t="s">
        <v>206</v>
      </c>
      <c r="C1263" s="26">
        <v>0.94374999999999998</v>
      </c>
      <c r="D1263" s="2">
        <v>46146</v>
      </c>
      <c r="E1263" s="25" t="s">
        <v>116</v>
      </c>
      <c r="F1263" s="25" t="s">
        <v>18</v>
      </c>
      <c r="G1263" s="25" t="s">
        <v>2108</v>
      </c>
      <c r="H1263" s="26">
        <v>0.94374999999999998</v>
      </c>
      <c r="I1263" s="26">
        <v>0.99305555555555558</v>
      </c>
      <c r="J1263" s="2">
        <v>46146</v>
      </c>
      <c r="K1263" s="25" t="s">
        <v>25</v>
      </c>
      <c r="L1263" s="25" t="s">
        <v>2109</v>
      </c>
      <c r="M1263" s="25" t="s">
        <v>22</v>
      </c>
      <c r="N1263" s="25" t="s">
        <v>22</v>
      </c>
      <c r="O1263" s="25" t="s">
        <v>661</v>
      </c>
      <c r="P1263" s="25" t="s">
        <v>23</v>
      </c>
    </row>
    <row r="1264" spans="1:16" x14ac:dyDescent="0.25">
      <c r="A1264">
        <v>1212</v>
      </c>
      <c r="B1264" s="25" t="s">
        <v>2110</v>
      </c>
      <c r="C1264" s="26">
        <v>4.1666666666666664E-2</v>
      </c>
      <c r="D1264" s="2">
        <v>46147</v>
      </c>
      <c r="E1264" s="25" t="s">
        <v>87</v>
      </c>
      <c r="F1264" s="25" t="s">
        <v>18</v>
      </c>
      <c r="G1264" s="25" t="s">
        <v>2111</v>
      </c>
      <c r="H1264" s="26">
        <v>5.5555555555555552E-2</v>
      </c>
      <c r="I1264" s="26">
        <v>0.125</v>
      </c>
      <c r="J1264" s="2">
        <v>46147</v>
      </c>
      <c r="K1264" s="25" t="s">
        <v>25</v>
      </c>
      <c r="L1264" s="25" t="s">
        <v>2112</v>
      </c>
      <c r="M1264" s="25" t="s">
        <v>22</v>
      </c>
      <c r="N1264" s="25" t="s">
        <v>22</v>
      </c>
      <c r="O1264" s="25" t="s">
        <v>661</v>
      </c>
      <c r="P1264" s="25" t="s">
        <v>23</v>
      </c>
    </row>
    <row r="1265" spans="1:16" x14ac:dyDescent="0.25">
      <c r="A1265">
        <v>1213</v>
      </c>
      <c r="B1265" s="25" t="s">
        <v>268</v>
      </c>
      <c r="C1265" s="26">
        <v>0.33333333333333331</v>
      </c>
      <c r="D1265" s="2">
        <v>46147</v>
      </c>
      <c r="E1265" s="25" t="s">
        <v>147</v>
      </c>
      <c r="F1265" s="25" t="s">
        <v>18</v>
      </c>
      <c r="G1265" s="25" t="s">
        <v>2113</v>
      </c>
      <c r="H1265" s="26"/>
      <c r="I1265" s="26"/>
      <c r="J1265" s="2"/>
      <c r="K1265" s="25"/>
      <c r="L1265" s="25"/>
      <c r="M1265" s="25"/>
      <c r="N1265" s="25"/>
      <c r="O1265" s="25"/>
      <c r="P1265" s="25" t="s">
        <v>33</v>
      </c>
    </row>
    <row r="1266" spans="1:16" x14ac:dyDescent="0.25">
      <c r="A1266">
        <v>1214</v>
      </c>
      <c r="B1266" s="25"/>
      <c r="C1266" s="26"/>
      <c r="D1266" s="2"/>
      <c r="E1266" s="25"/>
      <c r="F1266" s="25"/>
      <c r="G1266" s="25"/>
      <c r="H1266" s="26"/>
      <c r="I1266" s="26"/>
      <c r="J1266" s="2"/>
      <c r="K1266" s="25"/>
      <c r="L1266" s="25"/>
      <c r="M1266" s="25"/>
      <c r="N1266" s="25"/>
      <c r="O1266" s="25"/>
      <c r="P1266" s="25"/>
    </row>
    <row r="1267" spans="1:16" x14ac:dyDescent="0.25">
      <c r="A1267">
        <v>1215</v>
      </c>
      <c r="B1267" s="25" t="s">
        <v>2121</v>
      </c>
      <c r="C1267" s="26">
        <v>0.54166666666666663</v>
      </c>
      <c r="D1267" s="2">
        <v>46147</v>
      </c>
      <c r="E1267" s="25" t="s">
        <v>17</v>
      </c>
      <c r="F1267" s="25" t="s">
        <v>18</v>
      </c>
      <c r="G1267" s="25" t="s">
        <v>2122</v>
      </c>
      <c r="H1267" s="26">
        <v>0.54166666666666663</v>
      </c>
      <c r="I1267" s="26">
        <v>0.66666666666666663</v>
      </c>
      <c r="J1267" s="2">
        <v>46147</v>
      </c>
      <c r="K1267" s="25" t="s">
        <v>25</v>
      </c>
      <c r="L1267" s="25" t="s">
        <v>2123</v>
      </c>
      <c r="M1267" s="25" t="s">
        <v>22</v>
      </c>
      <c r="N1267" s="25" t="s">
        <v>22</v>
      </c>
      <c r="O1267" s="25" t="s">
        <v>112</v>
      </c>
      <c r="P1267" s="25" t="s">
        <v>23</v>
      </c>
    </row>
    <row r="1268" spans="1:16" x14ac:dyDescent="0.25">
      <c r="A1268">
        <v>1216</v>
      </c>
      <c r="B1268" s="25" t="s">
        <v>2124</v>
      </c>
      <c r="C1268" s="26">
        <v>0.625</v>
      </c>
      <c r="D1268" s="2">
        <v>46147</v>
      </c>
      <c r="E1268" s="25" t="s">
        <v>109</v>
      </c>
      <c r="F1268" s="25" t="s">
        <v>18</v>
      </c>
      <c r="G1268" s="25" t="s">
        <v>2125</v>
      </c>
      <c r="H1268" s="26">
        <v>0.70833333333333337</v>
      </c>
      <c r="I1268" s="26">
        <v>0.74652777777777779</v>
      </c>
      <c r="J1268" s="2">
        <v>46147</v>
      </c>
      <c r="K1268" s="25" t="s">
        <v>25</v>
      </c>
      <c r="L1268" s="25" t="s">
        <v>2126</v>
      </c>
      <c r="M1268" s="25" t="s">
        <v>2127</v>
      </c>
      <c r="N1268" s="25" t="s">
        <v>22</v>
      </c>
      <c r="O1268" s="25" t="s">
        <v>112</v>
      </c>
      <c r="P1268" s="25" t="s">
        <v>33</v>
      </c>
    </row>
    <row r="1269" spans="1:16" x14ac:dyDescent="0.25">
      <c r="A1269">
        <v>1217</v>
      </c>
      <c r="B1269" s="25" t="s">
        <v>124</v>
      </c>
      <c r="C1269" s="26">
        <v>0.70138888888888884</v>
      </c>
      <c r="D1269" s="2">
        <v>46147</v>
      </c>
      <c r="E1269" s="25" t="s">
        <v>185</v>
      </c>
      <c r="F1269" s="25" t="s">
        <v>18</v>
      </c>
      <c r="G1269" s="25" t="s">
        <v>2128</v>
      </c>
      <c r="H1269" s="26">
        <v>0.70138888888888884</v>
      </c>
      <c r="I1269" s="26">
        <v>0.72916666666666663</v>
      </c>
      <c r="J1269" s="2">
        <v>46147</v>
      </c>
      <c r="K1269" s="25" t="s">
        <v>25</v>
      </c>
      <c r="L1269" s="25" t="s">
        <v>2129</v>
      </c>
      <c r="M1269" s="25" t="s">
        <v>22</v>
      </c>
      <c r="N1269" s="25" t="s">
        <v>22</v>
      </c>
      <c r="O1269" s="25" t="s">
        <v>112</v>
      </c>
      <c r="P1269" s="25" t="s">
        <v>23</v>
      </c>
    </row>
    <row r="1270" spans="1:16" x14ac:dyDescent="0.25">
      <c r="A1270">
        <v>1218</v>
      </c>
      <c r="B1270" s="25" t="s">
        <v>124</v>
      </c>
      <c r="C1270" s="26">
        <v>0.82638888888888884</v>
      </c>
      <c r="D1270" s="2">
        <v>46147</v>
      </c>
      <c r="E1270" s="25" t="s">
        <v>185</v>
      </c>
      <c r="F1270" s="25" t="s">
        <v>18</v>
      </c>
      <c r="G1270" s="25" t="s">
        <v>2130</v>
      </c>
      <c r="H1270" s="26">
        <v>0.82708333333333328</v>
      </c>
      <c r="I1270" s="26">
        <v>0.85763888888888884</v>
      </c>
      <c r="J1270" s="2">
        <v>46147</v>
      </c>
      <c r="K1270" s="25" t="s">
        <v>48</v>
      </c>
      <c r="L1270" s="25" t="s">
        <v>2131</v>
      </c>
      <c r="M1270" s="25" t="s">
        <v>2132</v>
      </c>
      <c r="N1270" s="25" t="s">
        <v>22</v>
      </c>
      <c r="O1270" s="25" t="s">
        <v>661</v>
      </c>
      <c r="P1270" s="25" t="s">
        <v>23</v>
      </c>
    </row>
    <row r="1271" spans="1:16" x14ac:dyDescent="0.25">
      <c r="A1271">
        <v>1219</v>
      </c>
      <c r="B1271" s="25" t="s">
        <v>206</v>
      </c>
      <c r="C1271" s="26">
        <v>0.13333333333333333</v>
      </c>
      <c r="D1271" s="2">
        <v>46148</v>
      </c>
      <c r="E1271" s="25" t="s">
        <v>94</v>
      </c>
      <c r="F1271" s="25" t="s">
        <v>18</v>
      </c>
      <c r="G1271" s="25" t="s">
        <v>2133</v>
      </c>
      <c r="H1271" s="26">
        <v>0.13541666666666666</v>
      </c>
      <c r="I1271" s="26">
        <v>0.16666666666666666</v>
      </c>
      <c r="J1271" s="2">
        <v>46148</v>
      </c>
      <c r="K1271" s="25" t="s">
        <v>48</v>
      </c>
      <c r="L1271" s="25" t="s">
        <v>2134</v>
      </c>
      <c r="M1271" s="25" t="s">
        <v>22</v>
      </c>
      <c r="N1271" s="25" t="s">
        <v>22</v>
      </c>
      <c r="O1271" s="25" t="s">
        <v>661</v>
      </c>
      <c r="P1271" s="25" t="s">
        <v>23</v>
      </c>
    </row>
    <row r="1272" spans="1:16" x14ac:dyDescent="0.25">
      <c r="A1272">
        <v>1220</v>
      </c>
      <c r="B1272" s="25"/>
      <c r="C1272" s="26"/>
      <c r="D1272" s="2"/>
      <c r="E1272" s="25"/>
      <c r="F1272" s="25"/>
      <c r="G1272" s="25"/>
      <c r="H1272" s="26"/>
      <c r="I1272" s="26"/>
      <c r="J1272" s="2"/>
      <c r="K1272" s="25"/>
      <c r="L1272" s="25"/>
      <c r="M1272" s="25"/>
      <c r="N1272" s="25"/>
      <c r="O1272" s="25"/>
      <c r="P1272" s="25"/>
    </row>
    <row r="1273" spans="1:16" x14ac:dyDescent="0.25">
      <c r="A1273">
        <v>1221</v>
      </c>
      <c r="B1273" s="25"/>
      <c r="C1273" s="26"/>
      <c r="D1273" s="2"/>
      <c r="E1273" s="25"/>
      <c r="F1273" s="25"/>
      <c r="G1273" s="25"/>
      <c r="H1273" s="26"/>
      <c r="I1273" s="26"/>
      <c r="J1273" s="2"/>
      <c r="K1273" s="25"/>
      <c r="L1273" s="25"/>
      <c r="M1273" s="25"/>
      <c r="N1273" s="25"/>
      <c r="O1273" s="25"/>
      <c r="P1273" s="25"/>
    </row>
    <row r="1274" spans="1:16" x14ac:dyDescent="0.25">
      <c r="A1274">
        <v>1222</v>
      </c>
      <c r="B1274" s="25" t="s">
        <v>103</v>
      </c>
      <c r="C1274" s="26">
        <v>0.80902777777777779</v>
      </c>
      <c r="D1274" s="2">
        <v>46148</v>
      </c>
      <c r="E1274" s="25" t="s">
        <v>104</v>
      </c>
      <c r="F1274" s="25" t="s">
        <v>18</v>
      </c>
      <c r="G1274" s="25" t="s">
        <v>2135</v>
      </c>
      <c r="H1274" s="26">
        <v>0.875</v>
      </c>
      <c r="I1274" s="26">
        <v>0.9375</v>
      </c>
      <c r="J1274" s="2">
        <v>46148</v>
      </c>
      <c r="K1274" s="25" t="s">
        <v>20</v>
      </c>
      <c r="L1274" s="25" t="s">
        <v>2136</v>
      </c>
      <c r="M1274" s="25" t="s">
        <v>22</v>
      </c>
      <c r="N1274" s="25" t="s">
        <v>22</v>
      </c>
      <c r="O1274" s="25" t="s">
        <v>661</v>
      </c>
      <c r="P1274" s="25" t="s">
        <v>33</v>
      </c>
    </row>
    <row r="1275" spans="1:16" x14ac:dyDescent="0.25">
      <c r="A1275">
        <v>1223</v>
      </c>
      <c r="B1275" s="25" t="s">
        <v>103</v>
      </c>
      <c r="C1275" s="26">
        <v>0.5</v>
      </c>
      <c r="D1275" s="2">
        <v>46148</v>
      </c>
      <c r="E1275" s="25" t="s">
        <v>147</v>
      </c>
      <c r="F1275" s="25" t="s">
        <v>18</v>
      </c>
      <c r="G1275" s="25" t="s">
        <v>2137</v>
      </c>
      <c r="H1275" s="26">
        <v>0.51388888888888884</v>
      </c>
      <c r="I1275" s="26">
        <v>6.5972222222222224E-2</v>
      </c>
      <c r="J1275" s="2">
        <v>46148</v>
      </c>
      <c r="K1275" s="25" t="s">
        <v>20</v>
      </c>
      <c r="L1275" s="25" t="s">
        <v>2138</v>
      </c>
      <c r="M1275" s="25" t="s">
        <v>22</v>
      </c>
      <c r="N1275" s="25" t="s">
        <v>22</v>
      </c>
      <c r="O1275" s="25" t="s">
        <v>661</v>
      </c>
      <c r="P1275" s="25" t="s">
        <v>33</v>
      </c>
    </row>
    <row r="1276" spans="1:16" x14ac:dyDescent="0.25">
      <c r="A1276">
        <v>1224</v>
      </c>
      <c r="B1276" s="25" t="s">
        <v>120</v>
      </c>
      <c r="C1276" s="26">
        <v>0.97361111111111109</v>
      </c>
      <c r="D1276" s="2">
        <v>46150</v>
      </c>
      <c r="E1276" s="25" t="s">
        <v>207</v>
      </c>
      <c r="F1276" s="25" t="s">
        <v>18</v>
      </c>
      <c r="G1276" s="25" t="s">
        <v>2145</v>
      </c>
      <c r="H1276" s="26">
        <v>0.97916666666666663</v>
      </c>
      <c r="I1276" s="26">
        <v>2.0833333333333332E-2</v>
      </c>
      <c r="J1276" s="2">
        <v>46151</v>
      </c>
      <c r="K1276" s="25" t="s">
        <v>25</v>
      </c>
      <c r="L1276" s="25" t="s">
        <v>2146</v>
      </c>
      <c r="M1276" s="25" t="s">
        <v>22</v>
      </c>
      <c r="N1276" s="25" t="s">
        <v>22</v>
      </c>
      <c r="O1276" s="25" t="s">
        <v>112</v>
      </c>
      <c r="P1276" s="25" t="s">
        <v>23</v>
      </c>
    </row>
    <row r="1277" spans="1:16" x14ac:dyDescent="0.25">
      <c r="A1277">
        <v>1225</v>
      </c>
      <c r="B1277" s="25"/>
      <c r="C1277" s="26"/>
      <c r="D1277" s="2"/>
      <c r="E1277" s="25"/>
      <c r="F1277" s="25"/>
      <c r="G1277" s="25"/>
      <c r="H1277" s="26"/>
      <c r="I1277" s="26"/>
      <c r="J1277" s="2"/>
      <c r="K1277" s="25"/>
      <c r="L1277" s="25"/>
      <c r="M1277" s="25"/>
      <c r="N1277" s="25"/>
      <c r="O1277" s="25"/>
      <c r="P1277" s="25"/>
    </row>
    <row r="1278" spans="1:16" x14ac:dyDescent="0.25">
      <c r="A1278">
        <v>1226</v>
      </c>
      <c r="B1278" s="25" t="s">
        <v>120</v>
      </c>
      <c r="C1278" s="26">
        <v>0.60416666666666663</v>
      </c>
      <c r="D1278" s="2">
        <v>46149</v>
      </c>
      <c r="E1278" s="25" t="s">
        <v>116</v>
      </c>
      <c r="F1278" s="25" t="s">
        <v>650</v>
      </c>
      <c r="G1278" s="25" t="s">
        <v>2139</v>
      </c>
      <c r="H1278" s="26">
        <v>0.60416666666666663</v>
      </c>
      <c r="I1278" s="26">
        <v>0.61805555555555558</v>
      </c>
      <c r="J1278" s="2">
        <v>46149</v>
      </c>
      <c r="K1278" s="25" t="s">
        <v>25</v>
      </c>
      <c r="L1278" s="25" t="s">
        <v>2140</v>
      </c>
      <c r="M1278" s="25" t="s">
        <v>22</v>
      </c>
      <c r="N1278" s="25" t="s">
        <v>22</v>
      </c>
      <c r="O1278" s="25" t="s">
        <v>108</v>
      </c>
      <c r="P1278" s="25" t="s">
        <v>23</v>
      </c>
    </row>
    <row r="1279" spans="1:16" x14ac:dyDescent="0.25">
      <c r="A1279">
        <v>1227</v>
      </c>
      <c r="B1279" s="25" t="s">
        <v>526</v>
      </c>
      <c r="C1279" s="26">
        <v>0.5</v>
      </c>
      <c r="D1279" s="2">
        <v>46149</v>
      </c>
      <c r="E1279" s="25" t="s">
        <v>188</v>
      </c>
      <c r="F1279" s="25" t="s">
        <v>18</v>
      </c>
      <c r="G1279" s="25" t="s">
        <v>2141</v>
      </c>
      <c r="H1279" s="26">
        <v>0.5</v>
      </c>
      <c r="I1279" s="26">
        <v>0.625</v>
      </c>
      <c r="J1279" s="2">
        <v>46149</v>
      </c>
      <c r="K1279" s="25" t="s">
        <v>25</v>
      </c>
      <c r="L1279" s="25" t="s">
        <v>2142</v>
      </c>
      <c r="M1279" s="25" t="s">
        <v>22</v>
      </c>
      <c r="N1279" s="25" t="s">
        <v>22</v>
      </c>
      <c r="O1279" s="25" t="s">
        <v>108</v>
      </c>
      <c r="P1279" s="25" t="s">
        <v>23</v>
      </c>
    </row>
    <row r="1280" spans="1:16" x14ac:dyDescent="0.25">
      <c r="A1280">
        <v>1228</v>
      </c>
      <c r="B1280" s="25" t="s">
        <v>199</v>
      </c>
      <c r="C1280" s="26">
        <v>0.27083333333333331</v>
      </c>
      <c r="D1280" s="2">
        <v>46150</v>
      </c>
      <c r="E1280" s="25" t="s">
        <v>91</v>
      </c>
      <c r="F1280" s="25" t="s">
        <v>18</v>
      </c>
      <c r="G1280" s="25" t="s">
        <v>2147</v>
      </c>
      <c r="H1280" s="26">
        <v>0.27083333333333331</v>
      </c>
      <c r="I1280" s="26">
        <v>0.375</v>
      </c>
      <c r="J1280" s="2">
        <v>46150</v>
      </c>
      <c r="K1280" s="25" t="s">
        <v>25</v>
      </c>
      <c r="L1280" s="25" t="s">
        <v>2148</v>
      </c>
      <c r="M1280" s="25" t="s">
        <v>22</v>
      </c>
      <c r="N1280" s="25" t="s">
        <v>22</v>
      </c>
      <c r="O1280" s="25" t="s">
        <v>108</v>
      </c>
      <c r="P1280" s="25" t="s">
        <v>23</v>
      </c>
    </row>
    <row r="1281" spans="1:16" x14ac:dyDescent="0.25">
      <c r="A1281">
        <v>1229</v>
      </c>
      <c r="B1281" s="25" t="s">
        <v>108</v>
      </c>
      <c r="C1281" s="26">
        <v>0.41666666666666669</v>
      </c>
      <c r="D1281" s="2">
        <v>46150</v>
      </c>
      <c r="E1281" s="25" t="s">
        <v>91</v>
      </c>
      <c r="F1281" s="25" t="s">
        <v>18</v>
      </c>
      <c r="G1281" s="25" t="s">
        <v>2149</v>
      </c>
      <c r="H1281" s="26"/>
      <c r="I1281" s="26"/>
      <c r="J1281" s="2"/>
      <c r="K1281" s="25"/>
      <c r="L1281" s="25"/>
      <c r="M1281" s="25"/>
      <c r="N1281" s="25"/>
      <c r="O1281" s="25"/>
      <c r="P1281" s="25" t="s">
        <v>33</v>
      </c>
    </row>
    <row r="1282" spans="1:16" x14ac:dyDescent="0.25">
      <c r="A1282">
        <v>1230</v>
      </c>
      <c r="B1282" s="25"/>
      <c r="C1282" s="26"/>
      <c r="D1282" s="2"/>
      <c r="E1282" s="25"/>
      <c r="F1282" s="25"/>
      <c r="G1282" s="25"/>
      <c r="H1282" s="26"/>
      <c r="I1282" s="26"/>
      <c r="J1282" s="2"/>
      <c r="K1282" s="25"/>
      <c r="L1282" s="25"/>
      <c r="M1282" s="25"/>
      <c r="N1282" s="25"/>
      <c r="O1282" s="25"/>
      <c r="P1282" s="25"/>
    </row>
    <row r="1283" spans="1:16" x14ac:dyDescent="0.25">
      <c r="A1283">
        <v>1231</v>
      </c>
      <c r="B1283" s="25" t="s">
        <v>120</v>
      </c>
      <c r="C1283" s="26">
        <v>0.16319444444444445</v>
      </c>
      <c r="D1283" s="2">
        <v>46151</v>
      </c>
      <c r="E1283" s="25" t="s">
        <v>207</v>
      </c>
      <c r="F1283" s="25" t="s">
        <v>18</v>
      </c>
      <c r="G1283" s="25" t="s">
        <v>2150</v>
      </c>
      <c r="H1283" s="26">
        <v>0.16319444444444445</v>
      </c>
      <c r="I1283" s="26">
        <v>0.18402777777777779</v>
      </c>
      <c r="J1283" s="2">
        <v>46151</v>
      </c>
      <c r="K1283" s="25" t="s">
        <v>25</v>
      </c>
      <c r="L1283" s="25" t="s">
        <v>2151</v>
      </c>
      <c r="M1283" s="25" t="s">
        <v>2152</v>
      </c>
      <c r="N1283" s="25" t="s">
        <v>22</v>
      </c>
      <c r="O1283" s="25" t="s">
        <v>112</v>
      </c>
      <c r="P1283" s="25" t="s">
        <v>23</v>
      </c>
    </row>
    <row r="1284" spans="1:16" x14ac:dyDescent="0.25">
      <c r="A1284">
        <v>1232</v>
      </c>
      <c r="B1284" s="25" t="s">
        <v>103</v>
      </c>
      <c r="C1284" s="26">
        <v>0.70833333333333337</v>
      </c>
      <c r="D1284" s="2">
        <v>46151</v>
      </c>
      <c r="E1284" s="25" t="s">
        <v>188</v>
      </c>
      <c r="F1284" s="25" t="s">
        <v>18</v>
      </c>
      <c r="G1284" s="25" t="s">
        <v>2153</v>
      </c>
      <c r="H1284" s="26">
        <v>0.70833333333333337</v>
      </c>
      <c r="I1284" s="26">
        <v>0.83333333333333337</v>
      </c>
      <c r="J1284" s="2">
        <v>46151</v>
      </c>
      <c r="K1284" s="25" t="s">
        <v>20</v>
      </c>
      <c r="L1284" s="25" t="s">
        <v>2154</v>
      </c>
      <c r="M1284" s="25" t="s">
        <v>22</v>
      </c>
      <c r="N1284" s="25" t="s">
        <v>22</v>
      </c>
      <c r="O1284" s="25" t="s">
        <v>108</v>
      </c>
      <c r="P1284" s="25" t="s">
        <v>23</v>
      </c>
    </row>
    <row r="1285" spans="1:16" x14ac:dyDescent="0.25">
      <c r="A1285">
        <v>1233</v>
      </c>
      <c r="B1285" s="25" t="s">
        <v>103</v>
      </c>
      <c r="C1285" s="26">
        <v>0</v>
      </c>
      <c r="D1285" s="2">
        <v>46151</v>
      </c>
      <c r="E1285" s="25" t="s">
        <v>147</v>
      </c>
      <c r="F1285" s="25" t="s">
        <v>18</v>
      </c>
      <c r="G1285" s="25" t="s">
        <v>2155</v>
      </c>
      <c r="H1285" s="26">
        <v>0</v>
      </c>
      <c r="I1285" s="26">
        <v>8.3333333333333329E-2</v>
      </c>
      <c r="J1285" s="2">
        <v>46151</v>
      </c>
      <c r="K1285" s="25" t="s">
        <v>20</v>
      </c>
      <c r="L1285" s="25" t="s">
        <v>2156</v>
      </c>
      <c r="M1285" s="25" t="s">
        <v>2157</v>
      </c>
      <c r="N1285" s="25" t="s">
        <v>2158</v>
      </c>
      <c r="O1285" s="25" t="s">
        <v>108</v>
      </c>
      <c r="P1285" s="25" t="s">
        <v>33</v>
      </c>
    </row>
    <row r="1286" spans="1:16" x14ac:dyDescent="0.25">
      <c r="A1286">
        <v>1234</v>
      </c>
      <c r="B1286" s="25" t="s">
        <v>695</v>
      </c>
      <c r="C1286" s="26">
        <v>0.125</v>
      </c>
      <c r="D1286" s="2">
        <v>46152</v>
      </c>
      <c r="E1286" s="25" t="s">
        <v>17</v>
      </c>
      <c r="F1286" s="25" t="s">
        <v>18</v>
      </c>
      <c r="G1286" s="25" t="s">
        <v>2159</v>
      </c>
      <c r="H1286" s="26">
        <v>0.125</v>
      </c>
      <c r="I1286" s="26">
        <v>0.15277777777777779</v>
      </c>
      <c r="J1286" s="2">
        <v>46152</v>
      </c>
      <c r="K1286" s="25" t="s">
        <v>25</v>
      </c>
      <c r="L1286" s="25" t="s">
        <v>2160</v>
      </c>
      <c r="M1286" s="25" t="s">
        <v>2161</v>
      </c>
      <c r="N1286" s="25" t="s">
        <v>22</v>
      </c>
      <c r="O1286" s="25" t="s">
        <v>108</v>
      </c>
      <c r="P1286" s="25" t="s">
        <v>33</v>
      </c>
    </row>
    <row r="1287" spans="1:16" x14ac:dyDescent="0.25">
      <c r="A1287">
        <v>1235</v>
      </c>
      <c r="B1287" s="25"/>
      <c r="C1287" s="26"/>
      <c r="D1287" s="2"/>
      <c r="E1287" s="25"/>
      <c r="F1287" s="25"/>
      <c r="G1287" s="25"/>
      <c r="H1287" s="26"/>
      <c r="I1287" s="26"/>
      <c r="J1287" s="2"/>
      <c r="K1287" s="25"/>
      <c r="L1287" s="25"/>
      <c r="M1287" s="25"/>
      <c r="N1287" s="25"/>
      <c r="O1287" s="25"/>
      <c r="P1287" s="25"/>
    </row>
    <row r="1288" spans="1:16" x14ac:dyDescent="0.25">
      <c r="A1288">
        <v>1236</v>
      </c>
      <c r="B1288" s="25"/>
      <c r="C1288" s="26"/>
      <c r="D1288" s="2"/>
      <c r="E1288" s="25"/>
      <c r="F1288" s="25"/>
      <c r="G1288" s="25"/>
      <c r="H1288" s="26"/>
      <c r="I1288" s="26"/>
      <c r="J1288" s="2"/>
      <c r="K1288" s="25"/>
      <c r="L1288" s="25"/>
      <c r="M1288" s="25"/>
      <c r="N1288" s="25"/>
      <c r="O1288" s="25"/>
      <c r="P1288" s="25"/>
    </row>
    <row r="1289" spans="1:16" x14ac:dyDescent="0.25">
      <c r="A1289">
        <v>1237</v>
      </c>
      <c r="B1289" s="25"/>
      <c r="C1289" s="26"/>
      <c r="D1289" s="2"/>
      <c r="E1289" s="25"/>
      <c r="F1289" s="25"/>
      <c r="G1289" s="25"/>
      <c r="H1289" s="26"/>
      <c r="I1289" s="26"/>
      <c r="J1289" s="2"/>
      <c r="K1289" s="25"/>
      <c r="L1289" s="25"/>
      <c r="M1289" s="25"/>
      <c r="N1289" s="25"/>
      <c r="O1289" s="25"/>
      <c r="P1289" s="25"/>
    </row>
    <row r="1290" spans="1:16" x14ac:dyDescent="0.25">
      <c r="A1290">
        <v>1238</v>
      </c>
      <c r="B1290" s="25"/>
      <c r="C1290" s="26"/>
      <c r="D1290" s="2"/>
      <c r="E1290" s="25"/>
      <c r="F1290" s="25"/>
      <c r="G1290" s="25"/>
      <c r="H1290" s="26"/>
      <c r="I1290" s="26"/>
      <c r="J1290" s="2"/>
      <c r="K1290" s="25"/>
      <c r="L1290" s="25"/>
      <c r="M1290" s="25"/>
      <c r="N1290" s="25"/>
      <c r="O1290" s="25"/>
      <c r="P1290" s="25"/>
    </row>
    <row r="1291" spans="1:16" x14ac:dyDescent="0.25">
      <c r="A1291">
        <v>1239</v>
      </c>
      <c r="B1291" s="25"/>
      <c r="C1291" s="26"/>
      <c r="D1291" s="2"/>
      <c r="E1291" s="25"/>
      <c r="F1291" s="25"/>
      <c r="G1291" s="25"/>
      <c r="H1291" s="26"/>
      <c r="I1291" s="26"/>
      <c r="J1291" s="2"/>
      <c r="K1291" s="25"/>
      <c r="L1291" s="25"/>
      <c r="M1291" s="25"/>
      <c r="N1291" s="25"/>
      <c r="O1291" s="25"/>
      <c r="P1291" s="25"/>
    </row>
    <row r="1292" spans="1:16" x14ac:dyDescent="0.25">
      <c r="A1292">
        <v>1240</v>
      </c>
      <c r="B1292" s="25"/>
      <c r="C1292" s="26"/>
      <c r="D1292" s="2"/>
      <c r="E1292" s="25"/>
      <c r="F1292" s="25"/>
      <c r="G1292" s="25"/>
      <c r="H1292" s="26"/>
      <c r="I1292" s="26"/>
      <c r="J1292" s="2"/>
      <c r="K1292" s="25"/>
      <c r="L1292" s="25"/>
      <c r="M1292" s="25"/>
      <c r="N1292" s="25"/>
      <c r="O1292" s="25"/>
      <c r="P1292" s="25"/>
    </row>
    <row r="1293" spans="1:16" x14ac:dyDescent="0.25">
      <c r="A1293">
        <v>1241</v>
      </c>
      <c r="B1293" s="25"/>
      <c r="C1293" s="26"/>
      <c r="D1293" s="2"/>
      <c r="E1293" s="25"/>
      <c r="F1293" s="25"/>
      <c r="G1293" s="25"/>
      <c r="H1293" s="26"/>
      <c r="I1293" s="26"/>
      <c r="J1293" s="2"/>
      <c r="K1293" s="25"/>
      <c r="L1293" s="25"/>
      <c r="M1293" s="25"/>
      <c r="N1293" s="25"/>
      <c r="O1293" s="25"/>
      <c r="P1293" s="25"/>
    </row>
    <row r="1294" spans="1:16" x14ac:dyDescent="0.25">
      <c r="A1294">
        <v>1242</v>
      </c>
      <c r="B1294" s="25"/>
      <c r="C1294" s="26"/>
      <c r="D1294" s="2"/>
      <c r="E1294" s="25"/>
      <c r="F1294" s="25"/>
      <c r="G1294" s="25"/>
      <c r="H1294" s="26"/>
      <c r="I1294" s="26"/>
      <c r="J1294" s="2"/>
      <c r="K1294" s="25"/>
      <c r="L1294" s="25"/>
      <c r="M1294" s="25"/>
      <c r="N1294" s="25"/>
      <c r="O1294" s="25"/>
      <c r="P1294" s="25"/>
    </row>
    <row r="1295" spans="1:16" x14ac:dyDescent="0.25">
      <c r="A1295">
        <v>1243</v>
      </c>
      <c r="B1295" s="25"/>
      <c r="C1295" s="26"/>
      <c r="D1295" s="2"/>
      <c r="E1295" s="25"/>
      <c r="F1295" s="25"/>
      <c r="G1295" s="25"/>
      <c r="H1295" s="26"/>
      <c r="I1295" s="26"/>
      <c r="J1295" s="2"/>
      <c r="K1295" s="25"/>
      <c r="L1295" s="25"/>
      <c r="M1295" s="25"/>
      <c r="N1295" s="25"/>
      <c r="O1295" s="25"/>
      <c r="P1295" s="25"/>
    </row>
    <row r="1296" spans="1:16" x14ac:dyDescent="0.25">
      <c r="A1296">
        <v>1244</v>
      </c>
      <c r="B1296" s="25"/>
      <c r="C1296" s="26"/>
      <c r="D1296" s="2"/>
      <c r="E1296" s="25"/>
      <c r="F1296" s="25"/>
      <c r="G1296" s="25"/>
      <c r="H1296" s="26"/>
      <c r="I1296" s="26"/>
      <c r="J1296" s="2"/>
      <c r="K1296" s="25"/>
      <c r="L1296" s="25"/>
      <c r="M1296" s="25"/>
      <c r="N1296" s="25"/>
      <c r="O1296" s="25"/>
      <c r="P1296" s="25"/>
    </row>
    <row r="1297" spans="1:16" x14ac:dyDescent="0.25">
      <c r="A1297">
        <v>1245</v>
      </c>
      <c r="B1297" s="25"/>
      <c r="C1297" s="26"/>
      <c r="D1297" s="2"/>
      <c r="E1297" s="25"/>
      <c r="F1297" s="25"/>
      <c r="G1297" s="25"/>
      <c r="H1297" s="26"/>
      <c r="I1297" s="26"/>
      <c r="J1297" s="2"/>
      <c r="K1297" s="25"/>
      <c r="L1297" s="25"/>
      <c r="M1297" s="25"/>
      <c r="N1297" s="25"/>
      <c r="O1297" s="25"/>
      <c r="P1297" s="25"/>
    </row>
    <row r="1298" spans="1:16" x14ac:dyDescent="0.25">
      <c r="A1298">
        <v>1246</v>
      </c>
      <c r="B1298" s="25"/>
      <c r="C1298" s="26"/>
      <c r="D1298" s="2"/>
      <c r="E1298" s="25"/>
      <c r="F1298" s="25"/>
      <c r="G1298" s="25"/>
      <c r="H1298" s="26"/>
      <c r="I1298" s="26"/>
      <c r="J1298" s="2"/>
      <c r="K1298" s="25"/>
      <c r="L1298" s="25"/>
      <c r="M1298" s="25"/>
      <c r="N1298" s="25"/>
      <c r="O1298" s="25"/>
      <c r="P1298" s="25"/>
    </row>
    <row r="1299" spans="1:16" x14ac:dyDescent="0.25">
      <c r="A1299">
        <v>1247</v>
      </c>
      <c r="B1299" s="25"/>
      <c r="C1299" s="26"/>
      <c r="D1299" s="2"/>
      <c r="E1299" s="25"/>
      <c r="F1299" s="25"/>
      <c r="G1299" s="25"/>
      <c r="H1299" s="26"/>
      <c r="I1299" s="26"/>
      <c r="J1299" s="2"/>
      <c r="K1299" s="25"/>
      <c r="L1299" s="25"/>
      <c r="M1299" s="25"/>
      <c r="N1299" s="25"/>
      <c r="O1299" s="25"/>
      <c r="P1299" s="25"/>
    </row>
    <row r="1300" spans="1:16" x14ac:dyDescent="0.25">
      <c r="A1300">
        <v>1248</v>
      </c>
      <c r="B1300" s="25"/>
      <c r="C1300" s="26"/>
      <c r="D1300" s="2"/>
      <c r="E1300" s="25"/>
      <c r="F1300" s="25"/>
      <c r="G1300" s="25"/>
      <c r="H1300" s="26"/>
      <c r="I1300" s="26"/>
      <c r="J1300" s="2"/>
      <c r="K1300" s="25"/>
      <c r="L1300" s="25"/>
      <c r="M1300" s="25"/>
      <c r="N1300" s="25"/>
      <c r="O1300" s="25"/>
      <c r="P1300" s="25"/>
    </row>
    <row r="1301" spans="1:16" x14ac:dyDescent="0.25">
      <c r="A1301">
        <v>1249</v>
      </c>
      <c r="B1301" s="25"/>
      <c r="C1301" s="26"/>
      <c r="D1301" s="2"/>
      <c r="E1301" s="25"/>
      <c r="F1301" s="25"/>
      <c r="G1301" s="25"/>
      <c r="H1301" s="26"/>
      <c r="I1301" s="26"/>
      <c r="J1301" s="2"/>
      <c r="K1301" s="25"/>
      <c r="L1301" s="25"/>
      <c r="M1301" s="25"/>
      <c r="N1301" s="25"/>
      <c r="O1301" s="25"/>
      <c r="P1301" s="25"/>
    </row>
    <row r="1302" spans="1:16" x14ac:dyDescent="0.25">
      <c r="A1302">
        <v>1250</v>
      </c>
      <c r="B1302" s="25"/>
      <c r="C1302" s="26"/>
      <c r="D1302" s="2"/>
      <c r="E1302" s="25"/>
      <c r="F1302" s="25"/>
      <c r="G1302" s="25"/>
      <c r="H1302" s="26"/>
      <c r="I1302" s="26"/>
      <c r="J1302" s="2"/>
      <c r="K1302" s="25"/>
      <c r="L1302" s="25"/>
      <c r="M1302" s="25"/>
      <c r="N1302" s="25"/>
      <c r="O1302" s="25"/>
      <c r="P1302" s="25"/>
    </row>
    <row r="1303" spans="1:16" x14ac:dyDescent="0.25">
      <c r="A1303">
        <v>1251</v>
      </c>
      <c r="B1303" s="25"/>
      <c r="C1303" s="26"/>
      <c r="D1303" s="2"/>
      <c r="E1303" s="25"/>
      <c r="F1303" s="25"/>
      <c r="G1303" s="25"/>
      <c r="H1303" s="26"/>
      <c r="I1303" s="26"/>
      <c r="J1303" s="2"/>
      <c r="K1303" s="25"/>
      <c r="L1303" s="25"/>
      <c r="M1303" s="25"/>
      <c r="N1303" s="25"/>
      <c r="O1303" s="25"/>
      <c r="P1303" s="25"/>
    </row>
    <row r="1304" spans="1:16" x14ac:dyDescent="0.25">
      <c r="A1304">
        <v>1252</v>
      </c>
      <c r="B1304" s="25"/>
      <c r="C1304" s="26"/>
      <c r="D1304" s="2"/>
      <c r="E1304" s="25"/>
      <c r="F1304" s="25"/>
      <c r="G1304" s="25"/>
      <c r="H1304" s="26"/>
      <c r="I1304" s="26"/>
      <c r="J1304" s="2"/>
      <c r="K1304" s="25"/>
      <c r="L1304" s="25"/>
      <c r="M1304" s="25"/>
      <c r="N1304" s="25"/>
      <c r="O1304" s="25"/>
      <c r="P1304" s="25"/>
    </row>
    <row r="1305" spans="1:16" x14ac:dyDescent="0.25">
      <c r="A1305">
        <v>1253</v>
      </c>
      <c r="B1305" s="25"/>
      <c r="C1305" s="26"/>
      <c r="D1305" s="2"/>
      <c r="E1305" s="25"/>
      <c r="F1305" s="25"/>
      <c r="G1305" s="25"/>
      <c r="H1305" s="26"/>
      <c r="I1305" s="26"/>
      <c r="J1305" s="2"/>
      <c r="K1305" s="25"/>
      <c r="L1305" s="25"/>
      <c r="M1305" s="25"/>
      <c r="N1305" s="25"/>
      <c r="O1305" s="25"/>
      <c r="P1305" s="25"/>
    </row>
    <row r="1306" spans="1:16" x14ac:dyDescent="0.25">
      <c r="A1306">
        <v>1254</v>
      </c>
      <c r="B1306" s="25"/>
      <c r="C1306" s="26"/>
      <c r="D1306" s="2"/>
      <c r="E1306" s="25"/>
      <c r="F1306" s="25"/>
      <c r="G1306" s="25"/>
      <c r="H1306" s="26"/>
      <c r="I1306" s="26"/>
      <c r="J1306" s="2"/>
      <c r="K1306" s="25"/>
      <c r="L1306" s="25"/>
      <c r="M1306" s="25"/>
      <c r="N1306" s="25"/>
      <c r="O1306" s="25"/>
      <c r="P1306" s="25"/>
    </row>
    <row r="1307" spans="1:16" x14ac:dyDescent="0.25">
      <c r="A1307">
        <v>1255</v>
      </c>
      <c r="B1307" s="25"/>
      <c r="C1307" s="26"/>
      <c r="D1307" s="2"/>
      <c r="E1307" s="25"/>
      <c r="F1307" s="25"/>
      <c r="G1307" s="25"/>
      <c r="H1307" s="26"/>
      <c r="I1307" s="26"/>
      <c r="J1307" s="2"/>
      <c r="K1307" s="25"/>
      <c r="L1307" s="25"/>
      <c r="M1307" s="25"/>
      <c r="N1307" s="25"/>
      <c r="O1307" s="25"/>
      <c r="P1307" s="25"/>
    </row>
    <row r="1308" spans="1:16" x14ac:dyDescent="0.25">
      <c r="A1308">
        <v>1256</v>
      </c>
      <c r="B1308" s="25"/>
      <c r="C1308" s="26"/>
      <c r="D1308" s="2"/>
      <c r="E1308" s="25"/>
      <c r="F1308" s="25"/>
      <c r="G1308" s="25"/>
      <c r="H1308" s="26"/>
      <c r="I1308" s="26"/>
      <c r="J1308" s="2"/>
      <c r="K1308" s="25"/>
      <c r="L1308" s="25"/>
      <c r="M1308" s="25"/>
      <c r="N1308" s="25"/>
      <c r="O1308" s="25"/>
      <c r="P1308" s="25"/>
    </row>
    <row r="1309" spans="1:16" x14ac:dyDescent="0.25">
      <c r="A1309">
        <v>1257</v>
      </c>
      <c r="B1309" s="25"/>
      <c r="C1309" s="26"/>
      <c r="D1309" s="2"/>
      <c r="E1309" s="25"/>
      <c r="F1309" s="25"/>
      <c r="G1309" s="25"/>
      <c r="H1309" s="26"/>
      <c r="I1309" s="26"/>
      <c r="J1309" s="2"/>
      <c r="K1309" s="25"/>
      <c r="L1309" s="25"/>
      <c r="M1309" s="25"/>
      <c r="N1309" s="25"/>
      <c r="O1309" s="25"/>
      <c r="P1309" s="25"/>
    </row>
    <row r="1310" spans="1:16" x14ac:dyDescent="0.25">
      <c r="A1310">
        <v>1258</v>
      </c>
      <c r="B1310" s="25"/>
      <c r="C1310" s="26"/>
      <c r="D1310" s="2"/>
      <c r="E1310" s="25"/>
      <c r="F1310" s="25"/>
      <c r="G1310" s="25"/>
      <c r="H1310" s="26"/>
      <c r="I1310" s="26"/>
      <c r="J1310" s="2"/>
      <c r="K1310" s="25"/>
      <c r="L1310" s="25"/>
      <c r="M1310" s="25"/>
      <c r="N1310" s="25"/>
      <c r="O1310" s="25"/>
      <c r="P1310" s="25"/>
    </row>
    <row r="1311" spans="1:16" x14ac:dyDescent="0.25">
      <c r="A1311">
        <v>1259</v>
      </c>
      <c r="B1311" s="25"/>
      <c r="C1311" s="26"/>
      <c r="D1311" s="2"/>
      <c r="E1311" s="25"/>
      <c r="F1311" s="25"/>
      <c r="G1311" s="25"/>
      <c r="H1311" s="26"/>
      <c r="I1311" s="26"/>
      <c r="J1311" s="2"/>
      <c r="K1311" s="25"/>
      <c r="L1311" s="25"/>
      <c r="M1311" s="25"/>
      <c r="N1311" s="25"/>
      <c r="O1311" s="25"/>
      <c r="P1311" s="25"/>
    </row>
    <row r="1312" spans="1:16" x14ac:dyDescent="0.25">
      <c r="A1312">
        <v>1260</v>
      </c>
      <c r="B1312" s="25"/>
      <c r="C1312" s="26"/>
      <c r="D1312" s="2"/>
      <c r="E1312" s="25"/>
      <c r="F1312" s="25"/>
      <c r="G1312" s="25"/>
      <c r="H1312" s="26"/>
      <c r="I1312" s="26"/>
      <c r="J1312" s="2"/>
      <c r="K1312" s="25"/>
      <c r="L1312" s="25"/>
      <c r="M1312" s="25"/>
      <c r="N1312" s="25"/>
      <c r="O1312" s="25"/>
      <c r="P1312" s="25"/>
    </row>
    <row r="1313" spans="1:16" x14ac:dyDescent="0.25">
      <c r="A1313">
        <v>1261</v>
      </c>
      <c r="B1313" s="25"/>
      <c r="C1313" s="26"/>
      <c r="D1313" s="2"/>
      <c r="E1313" s="25"/>
      <c r="F1313" s="25"/>
      <c r="G1313" s="25"/>
      <c r="H1313" s="26"/>
      <c r="I1313" s="26"/>
      <c r="J1313" s="2"/>
      <c r="K1313" s="25"/>
      <c r="L1313" s="25"/>
      <c r="M1313" s="25"/>
      <c r="N1313" s="25"/>
      <c r="O1313" s="25"/>
      <c r="P1313" s="25"/>
    </row>
    <row r="1314" spans="1:16" x14ac:dyDescent="0.25">
      <c r="A1314">
        <v>1262</v>
      </c>
      <c r="B1314" s="25"/>
      <c r="C1314" s="26"/>
      <c r="D1314" s="2"/>
      <c r="E1314" s="25"/>
      <c r="F1314" s="25"/>
      <c r="G1314" s="25"/>
      <c r="H1314" s="26"/>
      <c r="I1314" s="26"/>
      <c r="J1314" s="2"/>
      <c r="K1314" s="25"/>
      <c r="L1314" s="25"/>
      <c r="M1314" s="25"/>
      <c r="N1314" s="25"/>
      <c r="O1314" s="25"/>
      <c r="P1314" s="25"/>
    </row>
    <row r="1315" spans="1:16" x14ac:dyDescent="0.25">
      <c r="A1315">
        <v>1263</v>
      </c>
      <c r="B1315" s="25"/>
      <c r="C1315" s="26"/>
      <c r="D1315" s="2"/>
      <c r="E1315" s="25"/>
      <c r="F1315" s="25"/>
      <c r="G1315" s="25"/>
      <c r="H1315" s="26"/>
      <c r="I1315" s="26"/>
      <c r="J1315" s="2"/>
      <c r="K1315" s="25"/>
      <c r="L1315" s="25"/>
      <c r="M1315" s="25"/>
      <c r="N1315" s="25"/>
      <c r="O1315" s="25"/>
      <c r="P1315" s="25"/>
    </row>
    <row r="1316" spans="1:16" x14ac:dyDescent="0.25">
      <c r="A1316">
        <v>1264</v>
      </c>
      <c r="B1316" s="25"/>
      <c r="C1316" s="26"/>
      <c r="D1316" s="2"/>
      <c r="E1316" s="25"/>
      <c r="F1316" s="25"/>
      <c r="G1316" s="25"/>
      <c r="H1316" s="26"/>
      <c r="I1316" s="26"/>
      <c r="J1316" s="2"/>
      <c r="K1316" s="25"/>
      <c r="L1316" s="25"/>
      <c r="M1316" s="25"/>
      <c r="N1316" s="25"/>
      <c r="O1316" s="25"/>
      <c r="P1316" s="25"/>
    </row>
    <row r="1317" spans="1:16" x14ac:dyDescent="0.25">
      <c r="A1317">
        <v>1265</v>
      </c>
      <c r="B1317" s="25"/>
      <c r="C1317" s="26"/>
      <c r="D1317" s="2"/>
      <c r="E1317" s="25"/>
      <c r="F1317" s="25"/>
      <c r="G1317" s="25"/>
      <c r="H1317" s="26"/>
      <c r="I1317" s="26"/>
      <c r="J1317" s="2"/>
      <c r="K1317" s="25"/>
      <c r="L1317" s="25"/>
      <c r="M1317" s="25"/>
      <c r="N1317" s="25"/>
      <c r="O1317" s="25"/>
      <c r="P1317" s="25"/>
    </row>
    <row r="1318" spans="1:16" x14ac:dyDescent="0.25">
      <c r="A1318">
        <v>1266</v>
      </c>
      <c r="B1318" s="25"/>
      <c r="C1318" s="26"/>
      <c r="D1318" s="2"/>
      <c r="E1318" s="25"/>
      <c r="F1318" s="25"/>
      <c r="G1318" s="25"/>
      <c r="H1318" s="26"/>
      <c r="I1318" s="26"/>
      <c r="J1318" s="2"/>
      <c r="K1318" s="25"/>
      <c r="L1318" s="25"/>
      <c r="M1318" s="25"/>
      <c r="N1318" s="25"/>
      <c r="O1318" s="25"/>
      <c r="P1318" s="25"/>
    </row>
    <row r="1319" spans="1:16" x14ac:dyDescent="0.25">
      <c r="A1319">
        <v>1267</v>
      </c>
      <c r="B1319" s="25"/>
      <c r="C1319" s="26"/>
      <c r="D1319" s="2"/>
      <c r="E1319" s="25"/>
      <c r="F1319" s="25"/>
      <c r="G1319" s="25"/>
      <c r="H1319" s="26"/>
      <c r="I1319" s="26"/>
      <c r="J1319" s="2"/>
      <c r="K1319" s="25"/>
      <c r="L1319" s="25"/>
      <c r="M1319" s="25"/>
      <c r="N1319" s="25"/>
      <c r="O1319" s="25"/>
      <c r="P1319" s="25"/>
    </row>
    <row r="1320" spans="1:16" x14ac:dyDescent="0.25">
      <c r="A1320">
        <v>1268</v>
      </c>
      <c r="B1320" s="25"/>
      <c r="C1320" s="26"/>
      <c r="D1320" s="2"/>
      <c r="E1320" s="25"/>
      <c r="F1320" s="25"/>
      <c r="G1320" s="25"/>
      <c r="H1320" s="26"/>
      <c r="I1320" s="26"/>
      <c r="J1320" s="2"/>
      <c r="K1320" s="25"/>
      <c r="L1320" s="25"/>
      <c r="M1320" s="25"/>
      <c r="N1320" s="25"/>
      <c r="O1320" s="25"/>
      <c r="P1320" s="25"/>
    </row>
    <row r="1321" spans="1:16" x14ac:dyDescent="0.25">
      <c r="A1321">
        <v>1269</v>
      </c>
      <c r="B1321" s="25"/>
      <c r="C1321" s="26"/>
      <c r="D1321" s="2"/>
      <c r="E1321" s="25"/>
      <c r="F1321" s="25"/>
      <c r="G1321" s="25"/>
      <c r="H1321" s="26"/>
      <c r="I1321" s="26"/>
      <c r="J1321" s="2"/>
      <c r="K1321" s="25"/>
      <c r="L1321" s="25"/>
      <c r="M1321" s="25"/>
      <c r="N1321" s="25"/>
      <c r="O1321" s="25"/>
      <c r="P1321" s="25"/>
    </row>
    <row r="1322" spans="1:16" x14ac:dyDescent="0.25">
      <c r="A1322">
        <v>1270</v>
      </c>
      <c r="B1322" s="25"/>
      <c r="C1322" s="26"/>
      <c r="D1322" s="2"/>
      <c r="E1322" s="25"/>
      <c r="F1322" s="25"/>
      <c r="G1322" s="25"/>
      <c r="H1322" s="26"/>
      <c r="I1322" s="26"/>
      <c r="J1322" s="2"/>
      <c r="K1322" s="25"/>
      <c r="L1322" s="25"/>
      <c r="M1322" s="25"/>
      <c r="N1322" s="25"/>
      <c r="O1322" s="25"/>
      <c r="P1322" s="25"/>
    </row>
    <row r="1323" spans="1:16" x14ac:dyDescent="0.25">
      <c r="A1323">
        <v>1271</v>
      </c>
      <c r="B1323" s="25"/>
      <c r="C1323" s="26"/>
      <c r="D1323" s="2"/>
      <c r="E1323" s="25"/>
      <c r="F1323" s="25"/>
      <c r="G1323" s="25"/>
      <c r="H1323" s="26"/>
      <c r="I1323" s="26"/>
      <c r="J1323" s="2"/>
      <c r="K1323" s="25"/>
      <c r="L1323" s="25"/>
      <c r="M1323" s="25"/>
      <c r="N1323" s="25"/>
      <c r="O1323" s="25"/>
      <c r="P1323" s="25"/>
    </row>
    <row r="1324" spans="1:16" x14ac:dyDescent="0.25">
      <c r="A1324">
        <v>1272</v>
      </c>
      <c r="B1324" s="25"/>
      <c r="C1324" s="26"/>
      <c r="D1324" s="2"/>
      <c r="E1324" s="25"/>
      <c r="F1324" s="25"/>
      <c r="G1324" s="25"/>
      <c r="H1324" s="26"/>
      <c r="I1324" s="26"/>
      <c r="J1324" s="2"/>
      <c r="K1324" s="25"/>
      <c r="L1324" s="25"/>
      <c r="M1324" s="25"/>
      <c r="N1324" s="25"/>
      <c r="O1324" s="25"/>
      <c r="P1324" s="25"/>
    </row>
    <row r="1325" spans="1:16" x14ac:dyDescent="0.25">
      <c r="A1325">
        <v>1273</v>
      </c>
      <c r="B1325" s="25"/>
      <c r="C1325" s="26"/>
      <c r="D1325" s="2"/>
      <c r="E1325" s="25"/>
      <c r="F1325" s="25"/>
      <c r="G1325" s="25"/>
      <c r="H1325" s="26"/>
      <c r="I1325" s="26"/>
      <c r="J1325" s="2"/>
      <c r="K1325" s="25"/>
      <c r="L1325" s="25"/>
      <c r="M1325" s="25"/>
      <c r="N1325" s="25"/>
      <c r="O1325" s="25"/>
      <c r="P1325" s="25"/>
    </row>
    <row r="1326" spans="1:16" x14ac:dyDescent="0.25">
      <c r="A1326">
        <v>1274</v>
      </c>
      <c r="B1326" s="25"/>
      <c r="C1326" s="26"/>
      <c r="D1326" s="2"/>
      <c r="E1326" s="25"/>
      <c r="F1326" s="25"/>
      <c r="G1326" s="25"/>
      <c r="H1326" s="26"/>
      <c r="I1326" s="26"/>
      <c r="J1326" s="2"/>
      <c r="K1326" s="25"/>
      <c r="L1326" s="25"/>
      <c r="M1326" s="25"/>
      <c r="N1326" s="25"/>
      <c r="O1326" s="25"/>
      <c r="P1326" s="25"/>
    </row>
    <row r="1327" spans="1:16" x14ac:dyDescent="0.25">
      <c r="A1327">
        <v>1275</v>
      </c>
      <c r="B1327" s="25"/>
      <c r="C1327" s="26"/>
      <c r="D1327" s="2"/>
      <c r="E1327" s="25"/>
      <c r="F1327" s="25"/>
      <c r="G1327" s="25"/>
      <c r="H1327" s="26"/>
      <c r="I1327" s="26"/>
      <c r="J1327" s="2"/>
      <c r="K1327" s="25"/>
      <c r="L1327" s="25"/>
      <c r="M1327" s="25"/>
      <c r="N1327" s="25"/>
      <c r="O1327" s="25"/>
      <c r="P1327" s="25"/>
    </row>
    <row r="1328" spans="1:16" x14ac:dyDescent="0.25">
      <c r="A1328">
        <v>1276</v>
      </c>
      <c r="B1328" s="25"/>
      <c r="C1328" s="26"/>
      <c r="D1328" s="2"/>
      <c r="E1328" s="25"/>
      <c r="F1328" s="25"/>
      <c r="G1328" s="25"/>
      <c r="H1328" s="26"/>
      <c r="I1328" s="26"/>
      <c r="J1328" s="2"/>
      <c r="K1328" s="25"/>
      <c r="L1328" s="25"/>
      <c r="M1328" s="25"/>
      <c r="N1328" s="25"/>
      <c r="O1328" s="25"/>
      <c r="P1328" s="25"/>
    </row>
    <row r="1329" spans="1:16" x14ac:dyDescent="0.25">
      <c r="A1329">
        <v>1277</v>
      </c>
      <c r="B1329" s="25"/>
      <c r="C1329" s="26"/>
      <c r="D1329" s="2"/>
      <c r="E1329" s="25"/>
      <c r="F1329" s="25"/>
      <c r="G1329" s="25"/>
      <c r="H1329" s="26"/>
      <c r="I1329" s="26"/>
      <c r="J1329" s="2"/>
      <c r="K1329" s="25"/>
      <c r="L1329" s="25"/>
      <c r="M1329" s="25"/>
      <c r="N1329" s="25"/>
      <c r="O1329" s="25"/>
      <c r="P1329" s="25"/>
    </row>
    <row r="1330" spans="1:16" x14ac:dyDescent="0.25">
      <c r="A1330">
        <v>1278</v>
      </c>
      <c r="B1330" s="25"/>
      <c r="C1330" s="26"/>
      <c r="D1330" s="2"/>
      <c r="E1330" s="25"/>
      <c r="F1330" s="25"/>
      <c r="G1330" s="25"/>
      <c r="H1330" s="26"/>
      <c r="I1330" s="26"/>
      <c r="J1330" s="2"/>
      <c r="K1330" s="25"/>
      <c r="L1330" s="25"/>
      <c r="M1330" s="25"/>
      <c r="N1330" s="25"/>
      <c r="O1330" s="25"/>
      <c r="P1330" s="25"/>
    </row>
    <row r="1331" spans="1:16" x14ac:dyDescent="0.25">
      <c r="A1331">
        <v>1279</v>
      </c>
      <c r="B1331" s="25"/>
      <c r="C1331" s="26"/>
      <c r="D1331" s="2"/>
      <c r="E1331" s="25"/>
      <c r="F1331" s="25"/>
      <c r="G1331" s="25"/>
      <c r="H1331" s="26"/>
      <c r="I1331" s="26"/>
      <c r="J1331" s="2"/>
      <c r="K1331" s="25"/>
      <c r="L1331" s="25"/>
      <c r="M1331" s="25"/>
      <c r="N1331" s="25"/>
      <c r="O1331" s="25"/>
      <c r="P1331" s="25"/>
    </row>
    <row r="1332" spans="1:16" x14ac:dyDescent="0.25">
      <c r="A1332">
        <v>1280</v>
      </c>
      <c r="B1332" s="25"/>
      <c r="C1332" s="26"/>
      <c r="D1332" s="2"/>
      <c r="E1332" s="25"/>
      <c r="F1332" s="25"/>
      <c r="G1332" s="25"/>
      <c r="H1332" s="26"/>
      <c r="I1332" s="26"/>
      <c r="J1332" s="2"/>
      <c r="K1332" s="25"/>
      <c r="L1332" s="25"/>
      <c r="M1332" s="25"/>
      <c r="N1332" s="25"/>
      <c r="O1332" s="25"/>
      <c r="P1332" s="25"/>
    </row>
    <row r="1333" spans="1:16" x14ac:dyDescent="0.25">
      <c r="A1333">
        <v>1281</v>
      </c>
      <c r="B1333" s="25"/>
      <c r="C1333" s="26"/>
      <c r="D1333" s="2"/>
      <c r="E1333" s="25"/>
      <c r="F1333" s="25"/>
      <c r="G1333" s="25"/>
      <c r="H1333" s="26"/>
      <c r="I1333" s="26"/>
      <c r="J1333" s="2"/>
      <c r="K1333" s="25"/>
      <c r="L1333" s="25"/>
      <c r="M1333" s="25"/>
      <c r="N1333" s="25"/>
      <c r="O1333" s="25"/>
      <c r="P1333" s="25"/>
    </row>
    <row r="1334" spans="1:16" x14ac:dyDescent="0.25">
      <c r="A1334">
        <v>1282</v>
      </c>
      <c r="B1334" s="25"/>
      <c r="C1334" s="26"/>
      <c r="D1334" s="2"/>
      <c r="E1334" s="25"/>
      <c r="F1334" s="25"/>
      <c r="G1334" s="25"/>
      <c r="H1334" s="26"/>
      <c r="I1334" s="26"/>
      <c r="J1334" s="2"/>
      <c r="K1334" s="25"/>
      <c r="L1334" s="25"/>
      <c r="M1334" s="25"/>
      <c r="N1334" s="25"/>
      <c r="O1334" s="25"/>
      <c r="P1334" s="25"/>
    </row>
    <row r="1335" spans="1:16" x14ac:dyDescent="0.25">
      <c r="A1335">
        <v>1283</v>
      </c>
      <c r="B1335" s="25"/>
      <c r="C1335" s="26"/>
      <c r="D1335" s="2"/>
      <c r="E1335" s="25"/>
      <c r="F1335" s="25"/>
      <c r="G1335" s="25"/>
      <c r="H1335" s="26"/>
      <c r="I1335" s="26"/>
      <c r="J1335" s="2"/>
      <c r="K1335" s="25"/>
      <c r="L1335" s="25"/>
      <c r="M1335" s="25"/>
      <c r="N1335" s="25"/>
      <c r="O1335" s="25"/>
      <c r="P1335" s="25"/>
    </row>
    <row r="1336" spans="1:16" x14ac:dyDescent="0.25">
      <c r="A1336">
        <v>1284</v>
      </c>
      <c r="B1336" s="25"/>
      <c r="C1336" s="26"/>
      <c r="D1336" s="2"/>
      <c r="E1336" s="25"/>
      <c r="F1336" s="25"/>
      <c r="G1336" s="25"/>
      <c r="H1336" s="26"/>
      <c r="I1336" s="26"/>
      <c r="J1336" s="2"/>
      <c r="K1336" s="25"/>
      <c r="L1336" s="25"/>
      <c r="M1336" s="25"/>
      <c r="N1336" s="25"/>
      <c r="O1336" s="25"/>
      <c r="P1336" s="25"/>
    </row>
    <row r="1337" spans="1:16" x14ac:dyDescent="0.25">
      <c r="A1337">
        <v>1285</v>
      </c>
      <c r="B1337" s="25"/>
      <c r="C1337" s="26"/>
      <c r="D1337" s="2"/>
      <c r="E1337" s="25"/>
      <c r="F1337" s="25"/>
      <c r="G1337" s="25"/>
      <c r="H1337" s="26"/>
      <c r="I1337" s="26"/>
      <c r="J1337" s="2"/>
      <c r="K1337" s="25"/>
      <c r="L1337" s="25"/>
      <c r="M1337" s="25"/>
      <c r="N1337" s="25"/>
      <c r="O1337" s="25"/>
      <c r="P1337" s="25"/>
    </row>
    <row r="1338" spans="1:16" x14ac:dyDescent="0.25">
      <c r="A1338">
        <v>1286</v>
      </c>
      <c r="B1338" s="25"/>
      <c r="C1338" s="26"/>
      <c r="D1338" s="2"/>
      <c r="E1338" s="25"/>
      <c r="F1338" s="25"/>
      <c r="G1338" s="25"/>
      <c r="H1338" s="26"/>
      <c r="I1338" s="26"/>
      <c r="J1338" s="2"/>
      <c r="K1338" s="25"/>
      <c r="L1338" s="25"/>
      <c r="M1338" s="25"/>
      <c r="N1338" s="25"/>
      <c r="O1338" s="25"/>
      <c r="P1338" s="25"/>
    </row>
    <row r="1339" spans="1:16" x14ac:dyDescent="0.25">
      <c r="A1339">
        <v>1287</v>
      </c>
      <c r="B1339" s="25"/>
      <c r="C1339" s="26"/>
      <c r="D1339" s="2"/>
      <c r="E1339" s="25"/>
      <c r="F1339" s="25"/>
      <c r="G1339" s="25"/>
      <c r="H1339" s="26"/>
      <c r="I1339" s="26"/>
      <c r="J1339" s="2"/>
      <c r="K1339" s="25"/>
      <c r="L1339" s="25"/>
      <c r="M1339" s="25"/>
      <c r="N1339" s="25"/>
      <c r="O1339" s="25"/>
      <c r="P1339" s="25"/>
    </row>
    <row r="1340" spans="1:16" x14ac:dyDescent="0.25">
      <c r="A1340">
        <v>1288</v>
      </c>
      <c r="B1340" s="25"/>
      <c r="C1340" s="26"/>
      <c r="D1340" s="2"/>
      <c r="E1340" s="25"/>
      <c r="F1340" s="25"/>
      <c r="G1340" s="25"/>
      <c r="H1340" s="26"/>
      <c r="I1340" s="26"/>
      <c r="J1340" s="2"/>
      <c r="K1340" s="25"/>
      <c r="L1340" s="25"/>
      <c r="M1340" s="25"/>
      <c r="N1340" s="25"/>
      <c r="O1340" s="25"/>
      <c r="P1340" s="25"/>
    </row>
    <row r="1341" spans="1:16" x14ac:dyDescent="0.25">
      <c r="A1341">
        <v>1289</v>
      </c>
      <c r="B1341" s="25"/>
      <c r="C1341" s="26"/>
      <c r="D1341" s="2"/>
      <c r="E1341" s="25"/>
      <c r="F1341" s="25"/>
      <c r="G1341" s="25"/>
      <c r="H1341" s="26"/>
      <c r="I1341" s="26"/>
      <c r="J1341" s="2"/>
      <c r="K1341" s="25"/>
      <c r="L1341" s="25"/>
      <c r="M1341" s="25"/>
      <c r="N1341" s="25"/>
      <c r="O1341" s="25"/>
      <c r="P1341" s="25"/>
    </row>
    <row r="1342" spans="1:16" x14ac:dyDescent="0.25">
      <c r="A1342">
        <v>1290</v>
      </c>
      <c r="B1342" s="25"/>
      <c r="C1342" s="26"/>
      <c r="D1342" s="2"/>
      <c r="E1342" s="25"/>
      <c r="F1342" s="25"/>
      <c r="G1342" s="25"/>
      <c r="H1342" s="26"/>
      <c r="I1342" s="26"/>
      <c r="J1342" s="2"/>
      <c r="K1342" s="25"/>
      <c r="L1342" s="25"/>
      <c r="M1342" s="25"/>
      <c r="N1342" s="25"/>
      <c r="O1342" s="25"/>
      <c r="P1342" s="25"/>
    </row>
    <row r="1343" spans="1:16" x14ac:dyDescent="0.25">
      <c r="A1343">
        <v>1291</v>
      </c>
      <c r="B1343" s="25"/>
      <c r="C1343" s="26"/>
      <c r="D1343" s="2"/>
      <c r="E1343" s="25"/>
      <c r="F1343" s="25"/>
      <c r="G1343" s="25"/>
      <c r="H1343" s="26"/>
      <c r="I1343" s="26"/>
      <c r="J1343" s="2"/>
      <c r="K1343" s="25"/>
      <c r="L1343" s="25"/>
      <c r="M1343" s="25"/>
      <c r="N1343" s="25"/>
      <c r="O1343" s="25"/>
      <c r="P1343" s="25"/>
    </row>
    <row r="1344" spans="1:16" x14ac:dyDescent="0.25">
      <c r="A1344">
        <v>1292</v>
      </c>
      <c r="B1344" s="25"/>
      <c r="C1344" s="26"/>
      <c r="D1344" s="2"/>
      <c r="E1344" s="25"/>
      <c r="F1344" s="25"/>
      <c r="G1344" s="25"/>
      <c r="H1344" s="26"/>
      <c r="I1344" s="26"/>
      <c r="J1344" s="2"/>
      <c r="K1344" s="25"/>
      <c r="L1344" s="25"/>
      <c r="M1344" s="25"/>
      <c r="N1344" s="25"/>
      <c r="O1344" s="25"/>
      <c r="P1344" s="25"/>
    </row>
    <row r="1345" spans="1:16" x14ac:dyDescent="0.25">
      <c r="A1345">
        <v>1293</v>
      </c>
      <c r="B1345" s="25"/>
      <c r="C1345" s="26"/>
      <c r="D1345" s="2"/>
      <c r="E1345" s="25"/>
      <c r="F1345" s="25"/>
      <c r="G1345" s="25"/>
      <c r="H1345" s="26"/>
      <c r="I1345" s="26"/>
      <c r="J1345" s="2"/>
      <c r="K1345" s="25"/>
      <c r="L1345" s="25"/>
      <c r="M1345" s="25"/>
      <c r="N1345" s="25"/>
      <c r="O1345" s="25"/>
      <c r="P1345" s="25"/>
    </row>
    <row r="1346" spans="1:16" x14ac:dyDescent="0.25">
      <c r="A1346">
        <v>1294</v>
      </c>
      <c r="B1346" s="25"/>
      <c r="C1346" s="26"/>
      <c r="D1346" s="2"/>
      <c r="E1346" s="25"/>
      <c r="F1346" s="25"/>
      <c r="G1346" s="25"/>
      <c r="H1346" s="26"/>
      <c r="I1346" s="26"/>
      <c r="J1346" s="2"/>
      <c r="K1346" s="25"/>
      <c r="L1346" s="25"/>
      <c r="M1346" s="25"/>
      <c r="N1346" s="25"/>
      <c r="O1346" s="25"/>
      <c r="P1346" s="25"/>
    </row>
    <row r="1347" spans="1:16" x14ac:dyDescent="0.25">
      <c r="A1347">
        <v>1295</v>
      </c>
      <c r="B1347" s="25"/>
      <c r="C1347" s="26"/>
      <c r="D1347" s="2"/>
      <c r="E1347" s="25"/>
      <c r="F1347" s="25"/>
      <c r="G1347" s="25"/>
      <c r="H1347" s="26"/>
      <c r="I1347" s="26"/>
      <c r="J1347" s="2"/>
      <c r="K1347" s="25"/>
      <c r="L1347" s="25"/>
      <c r="M1347" s="25"/>
      <c r="N1347" s="25"/>
      <c r="O1347" s="25"/>
      <c r="P1347" s="25"/>
    </row>
    <row r="1348" spans="1:16" x14ac:dyDescent="0.25">
      <c r="A1348">
        <v>1296</v>
      </c>
      <c r="B1348" s="25"/>
      <c r="C1348" s="26"/>
      <c r="D1348" s="2"/>
      <c r="E1348" s="25"/>
      <c r="F1348" s="25"/>
      <c r="G1348" s="25"/>
      <c r="H1348" s="26"/>
      <c r="I1348" s="26"/>
      <c r="J1348" s="2"/>
      <c r="K1348" s="25"/>
      <c r="L1348" s="25"/>
      <c r="M1348" s="25"/>
      <c r="N1348" s="25"/>
      <c r="O1348" s="25"/>
      <c r="P1348" s="25"/>
    </row>
    <row r="1349" spans="1:16" x14ac:dyDescent="0.25">
      <c r="A1349">
        <v>1297</v>
      </c>
      <c r="B1349" s="25"/>
      <c r="C1349" s="26"/>
      <c r="D1349" s="2"/>
      <c r="E1349" s="25"/>
      <c r="F1349" s="25"/>
      <c r="G1349" s="25"/>
      <c r="H1349" s="26"/>
      <c r="I1349" s="26"/>
      <c r="J1349" s="2"/>
      <c r="K1349" s="25"/>
      <c r="L1349" s="25"/>
      <c r="M1349" s="25"/>
      <c r="N1349" s="25"/>
      <c r="O1349" s="25"/>
      <c r="P1349" s="25"/>
    </row>
    <row r="1350" spans="1:16" x14ac:dyDescent="0.25">
      <c r="A1350">
        <v>1298</v>
      </c>
      <c r="B1350" s="25"/>
      <c r="C1350" s="26"/>
      <c r="D1350" s="2"/>
      <c r="E1350" s="25"/>
      <c r="F1350" s="25"/>
      <c r="G1350" s="25"/>
      <c r="H1350" s="26"/>
      <c r="I1350" s="26"/>
      <c r="J1350" s="2"/>
      <c r="K1350" s="25"/>
      <c r="L1350" s="25"/>
      <c r="M1350" s="25"/>
      <c r="N1350" s="25"/>
      <c r="O1350" s="25"/>
      <c r="P1350" s="25"/>
    </row>
    <row r="1351" spans="1:16" x14ac:dyDescent="0.25">
      <c r="A1351">
        <v>1299</v>
      </c>
      <c r="B1351" s="25"/>
      <c r="C1351" s="26"/>
      <c r="D1351" s="2"/>
      <c r="E1351" s="25"/>
      <c r="F1351" s="25"/>
      <c r="G1351" s="25"/>
      <c r="H1351" s="26"/>
      <c r="I1351" s="26"/>
      <c r="J1351" s="2"/>
      <c r="K1351" s="25"/>
      <c r="L1351" s="25"/>
      <c r="M1351" s="25"/>
      <c r="N1351" s="25"/>
      <c r="O1351" s="25"/>
      <c r="P1351" s="25"/>
    </row>
    <row r="1352" spans="1:16" x14ac:dyDescent="0.25">
      <c r="A1352">
        <v>1300</v>
      </c>
      <c r="B1352" s="25"/>
      <c r="C1352" s="26"/>
      <c r="D1352" s="2"/>
      <c r="E1352" s="25"/>
      <c r="F1352" s="25"/>
      <c r="G1352" s="25"/>
      <c r="H1352" s="26"/>
      <c r="I1352" s="26"/>
      <c r="J1352" s="2"/>
      <c r="K1352" s="25"/>
      <c r="L1352" s="25"/>
      <c r="M1352" s="25"/>
      <c r="N1352" s="25"/>
      <c r="O1352" s="25"/>
      <c r="P1352" s="25"/>
    </row>
    <row r="1353" spans="1:16" x14ac:dyDescent="0.25">
      <c r="B1353" s="25"/>
      <c r="C1353" s="26"/>
      <c r="D1353" s="2"/>
      <c r="E1353" s="25"/>
      <c r="F1353" s="25"/>
      <c r="G1353" s="25"/>
      <c r="H1353" s="26"/>
      <c r="I1353" s="26"/>
      <c r="J1353" s="2"/>
      <c r="K1353" s="25"/>
      <c r="L1353" s="25"/>
      <c r="M1353" s="25"/>
      <c r="N1353" s="25"/>
      <c r="O1353" s="25"/>
      <c r="P1353" s="25"/>
    </row>
    <row r="1354" spans="1:16" x14ac:dyDescent="0.25">
      <c r="A1354" t="s">
        <v>0</v>
      </c>
      <c r="B1354" s="25" t="s">
        <v>1</v>
      </c>
      <c r="C1354" s="26"/>
      <c r="D1354" s="2"/>
      <c r="E1354" s="25" t="s">
        <v>4</v>
      </c>
      <c r="F1354" s="25" t="s">
        <v>5</v>
      </c>
      <c r="G1354" s="25" t="s">
        <v>6</v>
      </c>
      <c r="H1354" s="26"/>
      <c r="I1354" s="26"/>
      <c r="J1354" s="2"/>
      <c r="K1354" s="25" t="s">
        <v>10</v>
      </c>
      <c r="L1354" s="25" t="s">
        <v>11</v>
      </c>
      <c r="M1354" s="25" t="s">
        <v>12</v>
      </c>
      <c r="N1354" s="25" t="s">
        <v>13</v>
      </c>
      <c r="O1354" s="25" t="s">
        <v>14</v>
      </c>
      <c r="P1354" s="25" t="s">
        <v>15</v>
      </c>
    </row>
    <row r="1355" spans="1:16" x14ac:dyDescent="0.25">
      <c r="A1355" t="s">
        <v>1793</v>
      </c>
      <c r="B1355" s="25"/>
      <c r="C1355" s="26"/>
      <c r="D1355" s="2"/>
      <c r="E1355" s="25"/>
      <c r="F1355" s="25"/>
      <c r="G1355" s="25"/>
      <c r="H1355" s="26"/>
      <c r="I1355" s="26"/>
      <c r="J1355" s="2"/>
      <c r="K1355" s="25"/>
      <c r="L1355" s="25"/>
      <c r="M1355" s="25"/>
      <c r="N1355" s="25"/>
      <c r="O1355" s="25"/>
      <c r="P1355" s="25"/>
    </row>
    <row r="1356" spans="1:16" x14ac:dyDescent="0.25">
      <c r="A1356" t="s">
        <v>1794</v>
      </c>
      <c r="B1356" s="25"/>
      <c r="C1356" s="26"/>
      <c r="D1356" s="2"/>
      <c r="E1356" s="25"/>
      <c r="F1356" s="25"/>
      <c r="G1356" s="25"/>
      <c r="H1356" s="26"/>
      <c r="I1356" s="26"/>
      <c r="J1356" s="2"/>
      <c r="K1356" s="25"/>
      <c r="L1356" s="25"/>
      <c r="M1356" s="25"/>
      <c r="N1356" s="25"/>
      <c r="O1356" s="25"/>
      <c r="P1356" s="25"/>
    </row>
    <row r="1357" spans="1:16" x14ac:dyDescent="0.25">
      <c r="A1357" t="s">
        <v>1795</v>
      </c>
      <c r="B1357" s="25"/>
      <c r="C1357" s="26"/>
      <c r="D1357" s="2"/>
      <c r="E1357" s="25"/>
      <c r="F1357" s="25"/>
      <c r="G1357" s="25"/>
      <c r="H1357" s="26"/>
      <c r="I1357" s="26"/>
      <c r="J1357" s="2"/>
      <c r="K1357" s="25"/>
      <c r="L1357" s="25"/>
      <c r="M1357" s="25"/>
      <c r="N1357" s="25"/>
      <c r="O1357" s="25"/>
      <c r="P1357" s="25"/>
    </row>
    <row r="1358" spans="1:16" x14ac:dyDescent="0.25">
      <c r="A1358" t="s">
        <v>1796</v>
      </c>
      <c r="B1358" s="25"/>
      <c r="C1358" s="26"/>
      <c r="D1358" s="2"/>
      <c r="E1358" s="25"/>
      <c r="F1358" s="25"/>
      <c r="G1358" s="25"/>
      <c r="H1358" s="26"/>
      <c r="I1358" s="26"/>
      <c r="J1358" s="2"/>
      <c r="K1358" s="25"/>
      <c r="L1358" s="25"/>
      <c r="M1358" s="25"/>
      <c r="N1358" s="25"/>
      <c r="O1358" s="25"/>
      <c r="P1358" s="25"/>
    </row>
    <row r="1359" spans="1:16" x14ac:dyDescent="0.25">
      <c r="A1359" t="s">
        <v>1797</v>
      </c>
      <c r="B1359" s="25"/>
      <c r="C1359" s="26"/>
      <c r="D1359" s="2"/>
      <c r="E1359" s="25"/>
      <c r="F1359" s="25"/>
      <c r="G1359" s="25"/>
      <c r="H1359" s="26"/>
      <c r="I1359" s="26"/>
      <c r="J1359" s="2"/>
      <c r="K1359" s="25"/>
      <c r="L1359" s="25"/>
      <c r="M1359" s="25"/>
      <c r="N1359" s="25"/>
      <c r="O1359" s="25"/>
      <c r="P1359" s="25"/>
    </row>
    <row r="1360" spans="1:16" x14ac:dyDescent="0.25">
      <c r="A1360" t="s">
        <v>1798</v>
      </c>
      <c r="B1360" s="25"/>
      <c r="C1360" s="26"/>
      <c r="D1360" s="2"/>
      <c r="E1360" s="25"/>
      <c r="F1360" s="25"/>
      <c r="G1360" s="25"/>
      <c r="H1360" s="26"/>
      <c r="I1360" s="26"/>
      <c r="J1360" s="2"/>
      <c r="K1360" s="25"/>
      <c r="L1360" s="25"/>
      <c r="M1360" s="25"/>
      <c r="N1360" s="25"/>
      <c r="O1360" s="25"/>
      <c r="P1360" s="25"/>
    </row>
    <row r="1361" spans="1:16" x14ac:dyDescent="0.25">
      <c r="A1361" t="s">
        <v>1799</v>
      </c>
      <c r="B1361" s="25" t="s">
        <v>93</v>
      </c>
      <c r="C1361" s="26">
        <v>0.39583333333333331</v>
      </c>
      <c r="D1361" s="2">
        <v>46111</v>
      </c>
      <c r="E1361" s="25" t="s">
        <v>116</v>
      </c>
      <c r="F1361" s="25" t="s">
        <v>18</v>
      </c>
      <c r="G1361" s="25" t="s">
        <v>1908</v>
      </c>
      <c r="H1361" s="26">
        <v>0.39583333333333331</v>
      </c>
      <c r="I1361" s="26">
        <v>0.41666666666666669</v>
      </c>
      <c r="J1361" s="2">
        <v>46111</v>
      </c>
      <c r="K1361" s="25" t="s">
        <v>25</v>
      </c>
      <c r="L1361" s="25" t="s">
        <v>1909</v>
      </c>
      <c r="M1361" s="25" t="s">
        <v>1910</v>
      </c>
      <c r="N1361" s="25" t="s">
        <v>22</v>
      </c>
      <c r="O1361" s="25" t="s">
        <v>112</v>
      </c>
      <c r="P1361" s="25" t="s">
        <v>23</v>
      </c>
    </row>
    <row r="1362" spans="1:16" x14ac:dyDescent="0.25">
      <c r="A1362" t="s">
        <v>1800</v>
      </c>
      <c r="B1362" s="25"/>
      <c r="C1362" s="26"/>
      <c r="D1362" s="2"/>
      <c r="E1362" s="25"/>
      <c r="F1362" s="25"/>
      <c r="G1362" s="25"/>
      <c r="H1362" s="26"/>
      <c r="I1362" s="26"/>
      <c r="J1362" s="2"/>
      <c r="K1362" s="25"/>
      <c r="L1362" s="25"/>
      <c r="M1362" s="25"/>
      <c r="N1362" s="25"/>
      <c r="O1362" s="25"/>
      <c r="P1362" s="25"/>
    </row>
    <row r="1363" spans="1:16" x14ac:dyDescent="0.25">
      <c r="A1363" t="s">
        <v>1801</v>
      </c>
      <c r="B1363" s="25"/>
      <c r="C1363" s="26"/>
      <c r="D1363" s="2"/>
      <c r="E1363" s="25"/>
      <c r="F1363" s="25"/>
      <c r="G1363" s="25"/>
      <c r="H1363" s="26"/>
      <c r="I1363" s="26"/>
      <c r="J1363" s="2"/>
      <c r="K1363" s="25"/>
      <c r="L1363" s="25"/>
      <c r="M1363" s="25"/>
      <c r="N1363" s="25"/>
      <c r="O1363" s="25"/>
      <c r="P1363" s="25"/>
    </row>
    <row r="1364" spans="1:16" x14ac:dyDescent="0.25">
      <c r="A1364" t="s">
        <v>1802</v>
      </c>
      <c r="B1364" s="25" t="s">
        <v>103</v>
      </c>
      <c r="C1364" s="26">
        <v>0.49305555555555558</v>
      </c>
      <c r="D1364" s="2">
        <v>46122</v>
      </c>
      <c r="E1364" s="25" t="s">
        <v>188</v>
      </c>
      <c r="F1364" s="25" t="s">
        <v>18</v>
      </c>
      <c r="G1364" s="25" t="s">
        <v>1803</v>
      </c>
      <c r="H1364" s="26">
        <v>0.49652777777777779</v>
      </c>
      <c r="I1364" s="26">
        <v>0.50694444444444442</v>
      </c>
      <c r="J1364" s="2">
        <v>46122</v>
      </c>
      <c r="K1364" s="25" t="s">
        <v>20</v>
      </c>
      <c r="L1364" s="25" t="s">
        <v>1804</v>
      </c>
      <c r="M1364" s="25" t="s">
        <v>1805</v>
      </c>
      <c r="N1364" s="25" t="s">
        <v>22</v>
      </c>
      <c r="O1364" s="25" t="s">
        <v>661</v>
      </c>
      <c r="P1364" s="25" t="s">
        <v>23</v>
      </c>
    </row>
    <row r="1365" spans="1:16" x14ac:dyDescent="0.25">
      <c r="A1365" t="s">
        <v>1806</v>
      </c>
      <c r="B1365" s="25" t="s">
        <v>199</v>
      </c>
      <c r="C1365" s="26">
        <v>0.26041666666666669</v>
      </c>
      <c r="D1365" s="2">
        <v>46122</v>
      </c>
      <c r="E1365" s="25" t="s">
        <v>91</v>
      </c>
      <c r="F1365" s="25" t="s">
        <v>18</v>
      </c>
      <c r="G1365" s="25" t="s">
        <v>1911</v>
      </c>
      <c r="H1365" s="26">
        <v>0.27083333333333331</v>
      </c>
      <c r="I1365" s="26">
        <v>0.28125</v>
      </c>
      <c r="J1365" s="2">
        <v>46122</v>
      </c>
      <c r="K1365" s="25" t="s">
        <v>20</v>
      </c>
      <c r="L1365" s="25" t="s">
        <v>1912</v>
      </c>
      <c r="M1365" s="25" t="s">
        <v>22</v>
      </c>
      <c r="N1365" s="25" t="s">
        <v>22</v>
      </c>
      <c r="O1365" s="25" t="s">
        <v>661</v>
      </c>
      <c r="P1365" s="25" t="s">
        <v>23</v>
      </c>
    </row>
    <row r="1366" spans="1:16" x14ac:dyDescent="0.25">
      <c r="A1366" t="s">
        <v>1807</v>
      </c>
      <c r="B1366" s="25"/>
      <c r="C1366" s="26"/>
      <c r="D1366" s="2"/>
      <c r="E1366" s="25"/>
      <c r="F1366" s="25"/>
      <c r="G1366" s="25"/>
      <c r="H1366" s="26"/>
      <c r="I1366" s="26"/>
      <c r="J1366" s="2"/>
      <c r="K1366" s="25"/>
      <c r="L1366" s="25"/>
      <c r="M1366" s="25"/>
      <c r="N1366" s="25"/>
      <c r="O1366" s="25"/>
      <c r="P1366" s="25"/>
    </row>
    <row r="1367" spans="1:16" x14ac:dyDescent="0.25">
      <c r="A1367" t="s">
        <v>1808</v>
      </c>
      <c r="B1367" s="25" t="s">
        <v>661</v>
      </c>
      <c r="C1367" s="26">
        <v>0.68402777777777779</v>
      </c>
      <c r="D1367" s="2">
        <v>46111</v>
      </c>
      <c r="E1367" s="25" t="s">
        <v>147</v>
      </c>
      <c r="F1367" s="25" t="s">
        <v>18</v>
      </c>
      <c r="G1367" s="25" t="s">
        <v>1913</v>
      </c>
      <c r="H1367" s="26"/>
      <c r="I1367" s="26"/>
      <c r="J1367" s="2"/>
      <c r="K1367" s="25"/>
      <c r="L1367" s="25" t="s">
        <v>1914</v>
      </c>
      <c r="M1367" s="25"/>
      <c r="N1367" s="25"/>
      <c r="O1367" s="25"/>
      <c r="P1367" s="25" t="s">
        <v>33</v>
      </c>
    </row>
    <row r="1368" spans="1:16" x14ac:dyDescent="0.25">
      <c r="A1368" t="s">
        <v>1809</v>
      </c>
      <c r="B1368" s="25"/>
      <c r="C1368" s="26"/>
      <c r="D1368" s="2"/>
      <c r="E1368" s="25"/>
      <c r="F1368" s="25"/>
      <c r="G1368" s="25"/>
      <c r="H1368" s="26"/>
      <c r="I1368" s="26"/>
      <c r="J1368" s="2"/>
      <c r="K1368" s="25"/>
      <c r="L1368" s="25"/>
      <c r="M1368" s="25"/>
      <c r="N1368" s="25"/>
      <c r="O1368" s="25"/>
      <c r="P1368" s="25"/>
    </row>
    <row r="1369" spans="1:16" x14ac:dyDescent="0.25">
      <c r="A1369" t="s">
        <v>1810</v>
      </c>
      <c r="B1369" s="25"/>
      <c r="C1369" s="26"/>
      <c r="D1369" s="2"/>
      <c r="E1369" s="25"/>
      <c r="F1369" s="25"/>
      <c r="G1369" s="25"/>
      <c r="H1369" s="26"/>
      <c r="I1369" s="26"/>
      <c r="J1369" s="2"/>
      <c r="K1369" s="25"/>
      <c r="L1369" s="25"/>
      <c r="M1369" s="25"/>
      <c r="N1369" s="25"/>
      <c r="O1369" s="25"/>
      <c r="P1369" s="25"/>
    </row>
    <row r="1370" spans="1:16" x14ac:dyDescent="0.25">
      <c r="A1370" t="s">
        <v>1811</v>
      </c>
      <c r="B1370" s="25"/>
      <c r="C1370" s="26"/>
      <c r="D1370" s="2"/>
      <c r="E1370" s="25"/>
      <c r="F1370" s="25"/>
      <c r="G1370" s="25"/>
      <c r="H1370" s="26"/>
      <c r="I1370" s="26"/>
      <c r="J1370" s="2"/>
      <c r="K1370" s="25"/>
      <c r="L1370" s="25"/>
      <c r="M1370" s="25"/>
      <c r="N1370" s="25"/>
      <c r="O1370" s="25"/>
      <c r="P1370" s="25"/>
    </row>
    <row r="1371" spans="1:16" x14ac:dyDescent="0.25">
      <c r="A1371" t="s">
        <v>1812</v>
      </c>
      <c r="B1371" s="25"/>
      <c r="C1371" s="26"/>
      <c r="D1371" s="2"/>
      <c r="E1371" s="25"/>
      <c r="F1371" s="25"/>
      <c r="G1371" s="25"/>
      <c r="H1371" s="26"/>
      <c r="I1371" s="26"/>
      <c r="J1371" s="2"/>
      <c r="K1371" s="25"/>
      <c r="L1371" s="25"/>
      <c r="M1371" s="25"/>
      <c r="N1371" s="25"/>
      <c r="O1371" s="25"/>
      <c r="P1371" s="25"/>
    </row>
    <row r="1372" spans="1:16" x14ac:dyDescent="0.25">
      <c r="A1372" t="s">
        <v>1813</v>
      </c>
      <c r="B1372" s="25"/>
      <c r="C1372" s="26"/>
      <c r="D1372" s="2"/>
      <c r="E1372" s="25"/>
      <c r="F1372" s="25"/>
      <c r="G1372" s="25"/>
      <c r="H1372" s="26"/>
      <c r="I1372" s="26"/>
      <c r="J1372" s="2"/>
      <c r="K1372" s="25"/>
      <c r="L1372" s="25"/>
      <c r="M1372" s="25"/>
      <c r="N1372" s="25"/>
      <c r="O1372" s="25"/>
      <c r="P1372" s="25"/>
    </row>
    <row r="1373" spans="1:16" x14ac:dyDescent="0.25">
      <c r="A1373" t="s">
        <v>1814</v>
      </c>
      <c r="B1373" s="25"/>
      <c r="C1373" s="26"/>
      <c r="D1373" s="2"/>
      <c r="E1373" s="25"/>
      <c r="F1373" s="25"/>
      <c r="G1373" s="25"/>
      <c r="H1373" s="26"/>
      <c r="I1373" s="26"/>
      <c r="J1373" s="2"/>
      <c r="K1373" s="25"/>
      <c r="L1373" s="25"/>
      <c r="M1373" s="25"/>
      <c r="N1373" s="25"/>
      <c r="O1373" s="25"/>
      <c r="P1373" s="25"/>
    </row>
    <row r="1374" spans="1:16" x14ac:dyDescent="0.25">
      <c r="A1374" t="s">
        <v>1815</v>
      </c>
      <c r="B1374" s="25" t="s">
        <v>1515</v>
      </c>
      <c r="C1374" s="26">
        <v>0.77777777777777779</v>
      </c>
      <c r="D1374" s="2">
        <v>46120</v>
      </c>
      <c r="E1374" s="25" t="s">
        <v>143</v>
      </c>
      <c r="F1374" s="25" t="s">
        <v>18</v>
      </c>
      <c r="G1374" s="25" t="s">
        <v>1915</v>
      </c>
      <c r="H1374" s="26">
        <v>0.77777777777777779</v>
      </c>
      <c r="I1374" s="26">
        <v>4.1666666666666664E-2</v>
      </c>
      <c r="J1374" s="2">
        <v>46121</v>
      </c>
      <c r="K1374" s="25" t="s">
        <v>25</v>
      </c>
      <c r="L1374" s="25" t="s">
        <v>1916</v>
      </c>
      <c r="M1374" s="25" t="s">
        <v>1917</v>
      </c>
      <c r="N1374" s="25" t="s">
        <v>22</v>
      </c>
      <c r="O1374" s="25" t="s">
        <v>112</v>
      </c>
      <c r="P1374" s="25" t="s">
        <v>23</v>
      </c>
    </row>
    <row r="1375" spans="1:16" x14ac:dyDescent="0.25">
      <c r="A1375" t="s">
        <v>1816</v>
      </c>
      <c r="B1375" s="25" t="s">
        <v>206</v>
      </c>
      <c r="C1375" s="26">
        <v>0.14305555555555555</v>
      </c>
      <c r="D1375" s="2">
        <v>46113</v>
      </c>
      <c r="E1375" s="25" t="s">
        <v>116</v>
      </c>
      <c r="F1375" s="25" t="s">
        <v>18</v>
      </c>
      <c r="G1375" s="25" t="s">
        <v>1918</v>
      </c>
      <c r="H1375" s="26">
        <v>0.14374999999999999</v>
      </c>
      <c r="I1375" s="26">
        <v>0.16666666666666666</v>
      </c>
      <c r="J1375" s="2">
        <v>46113</v>
      </c>
      <c r="K1375" s="25" t="s">
        <v>20</v>
      </c>
      <c r="L1375" s="25" t="s">
        <v>1919</v>
      </c>
      <c r="M1375" s="25" t="s">
        <v>22</v>
      </c>
      <c r="N1375" s="25" t="s">
        <v>22</v>
      </c>
      <c r="O1375" s="25" t="s">
        <v>661</v>
      </c>
      <c r="P1375" s="25" t="s">
        <v>23</v>
      </c>
    </row>
    <row r="1376" spans="1:16" x14ac:dyDescent="0.25">
      <c r="A1376" t="s">
        <v>1817</v>
      </c>
      <c r="B1376" s="25" t="s">
        <v>206</v>
      </c>
      <c r="C1376" s="26">
        <v>0.20833333333333334</v>
      </c>
      <c r="D1376" s="2">
        <v>46115</v>
      </c>
      <c r="E1376" s="25" t="s">
        <v>185</v>
      </c>
      <c r="F1376" s="25" t="s">
        <v>18</v>
      </c>
      <c r="G1376" s="25" t="s">
        <v>1920</v>
      </c>
      <c r="H1376" s="26">
        <v>0.20833333333333334</v>
      </c>
      <c r="I1376" s="26">
        <v>0.21875</v>
      </c>
      <c r="J1376" s="2">
        <v>46115</v>
      </c>
      <c r="K1376" s="25" t="s">
        <v>48</v>
      </c>
      <c r="L1376" s="25" t="s">
        <v>1921</v>
      </c>
      <c r="M1376" s="25" t="s">
        <v>1922</v>
      </c>
      <c r="N1376" s="25" t="s">
        <v>22</v>
      </c>
      <c r="O1376" s="25" t="s">
        <v>108</v>
      </c>
      <c r="P1376" s="25" t="s">
        <v>23</v>
      </c>
    </row>
    <row r="1377" spans="1:16" x14ac:dyDescent="0.25">
      <c r="A1377" t="s">
        <v>1818</v>
      </c>
      <c r="B1377" s="25"/>
      <c r="C1377" s="26"/>
      <c r="D1377" s="2"/>
      <c r="E1377" s="25"/>
      <c r="F1377" s="25"/>
      <c r="G1377" s="25"/>
      <c r="H1377" s="26"/>
      <c r="I1377" s="26"/>
      <c r="J1377" s="2"/>
      <c r="K1377" s="25"/>
      <c r="L1377" s="25"/>
      <c r="M1377" s="25"/>
      <c r="N1377" s="25"/>
      <c r="O1377" s="25"/>
      <c r="P1377" s="25"/>
    </row>
    <row r="1378" spans="1:16" x14ac:dyDescent="0.25">
      <c r="A1378" t="s">
        <v>1819</v>
      </c>
      <c r="B1378" s="25"/>
      <c r="C1378" s="26"/>
      <c r="D1378" s="2"/>
      <c r="E1378" s="25"/>
      <c r="F1378" s="25"/>
      <c r="G1378" s="25"/>
      <c r="H1378" s="26"/>
      <c r="I1378" s="26"/>
      <c r="J1378" s="2"/>
      <c r="K1378" s="25"/>
      <c r="L1378" s="25"/>
      <c r="M1378" s="25"/>
      <c r="N1378" s="25"/>
      <c r="O1378" s="25"/>
      <c r="P1378" s="25"/>
    </row>
    <row r="1379" spans="1:16" x14ac:dyDescent="0.25">
      <c r="A1379" t="s">
        <v>1820</v>
      </c>
      <c r="B1379" s="25"/>
      <c r="C1379" s="26"/>
      <c r="D1379" s="2"/>
      <c r="E1379" s="25"/>
      <c r="F1379" s="25"/>
      <c r="G1379" s="25"/>
      <c r="H1379" s="26"/>
      <c r="I1379" s="26"/>
      <c r="J1379" s="2"/>
      <c r="K1379" s="25"/>
      <c r="L1379" s="25"/>
      <c r="M1379" s="25"/>
      <c r="N1379" s="25"/>
      <c r="O1379" s="25"/>
      <c r="P1379" s="25"/>
    </row>
    <row r="1380" spans="1:16" x14ac:dyDescent="0.25">
      <c r="A1380" t="s">
        <v>1821</v>
      </c>
      <c r="B1380" s="25"/>
      <c r="C1380" s="26"/>
      <c r="D1380" s="2"/>
      <c r="E1380" s="25"/>
      <c r="F1380" s="25"/>
      <c r="G1380" s="25"/>
      <c r="H1380" s="26"/>
      <c r="I1380" s="26"/>
      <c r="J1380" s="2"/>
      <c r="K1380" s="25"/>
      <c r="L1380" s="25"/>
      <c r="M1380" s="25"/>
      <c r="N1380" s="25"/>
      <c r="O1380" s="25"/>
      <c r="P1380" s="25"/>
    </row>
    <row r="1381" spans="1:16" x14ac:dyDescent="0.25">
      <c r="A1381" t="s">
        <v>1822</v>
      </c>
      <c r="B1381" s="25"/>
      <c r="C1381" s="26"/>
      <c r="D1381" s="2"/>
      <c r="E1381" s="25"/>
      <c r="F1381" s="25"/>
      <c r="G1381" s="25"/>
      <c r="H1381" s="26"/>
      <c r="I1381" s="26"/>
      <c r="J1381" s="2"/>
      <c r="K1381" s="25"/>
      <c r="L1381" s="25"/>
      <c r="M1381" s="25"/>
      <c r="N1381" s="25"/>
      <c r="O1381" s="25"/>
      <c r="P1381" s="25"/>
    </row>
    <row r="1382" spans="1:16" x14ac:dyDescent="0.25">
      <c r="A1382" t="s">
        <v>1823</v>
      </c>
      <c r="B1382" s="25"/>
      <c r="C1382" s="26"/>
      <c r="D1382" s="2"/>
      <c r="E1382" s="25"/>
      <c r="F1382" s="25"/>
      <c r="G1382" s="25"/>
      <c r="H1382" s="26"/>
      <c r="I1382" s="26"/>
      <c r="J1382" s="2"/>
      <c r="K1382" s="25"/>
      <c r="L1382" s="25"/>
      <c r="M1382" s="25"/>
      <c r="N1382" s="25"/>
      <c r="O1382" s="25"/>
      <c r="P1382" s="25"/>
    </row>
    <row r="1383" spans="1:16" x14ac:dyDescent="0.25">
      <c r="A1383" t="s">
        <v>1824</v>
      </c>
      <c r="B1383" s="25"/>
      <c r="C1383" s="26"/>
      <c r="D1383" s="2"/>
      <c r="E1383" s="25"/>
      <c r="F1383" s="25"/>
      <c r="G1383" s="25"/>
      <c r="H1383" s="26"/>
      <c r="I1383" s="26"/>
      <c r="J1383" s="2"/>
      <c r="K1383" s="25"/>
      <c r="L1383" s="25"/>
      <c r="M1383" s="25"/>
      <c r="N1383" s="25"/>
      <c r="O1383" s="25"/>
      <c r="P1383" s="25"/>
    </row>
    <row r="1384" spans="1:16" x14ac:dyDescent="0.25">
      <c r="A1384" t="s">
        <v>1825</v>
      </c>
      <c r="B1384" s="25"/>
      <c r="C1384" s="26"/>
      <c r="D1384" s="2"/>
      <c r="E1384" s="25"/>
      <c r="F1384" s="25"/>
      <c r="G1384" s="25"/>
      <c r="H1384" s="26"/>
      <c r="I1384" s="26"/>
      <c r="J1384" s="2"/>
      <c r="K1384" s="25"/>
      <c r="L1384" s="25"/>
      <c r="M1384" s="25"/>
      <c r="N1384" s="25"/>
      <c r="O1384" s="25"/>
      <c r="P1384" s="25"/>
    </row>
    <row r="1385" spans="1:16" x14ac:dyDescent="0.25">
      <c r="A1385" t="s">
        <v>1826</v>
      </c>
      <c r="B1385" s="25"/>
      <c r="C1385" s="26"/>
      <c r="D1385" s="2"/>
      <c r="E1385" s="25"/>
      <c r="F1385" s="25"/>
      <c r="G1385" s="25"/>
      <c r="H1385" s="26"/>
      <c r="I1385" s="26"/>
      <c r="J1385" s="2"/>
      <c r="K1385" s="25"/>
      <c r="L1385" s="25"/>
      <c r="M1385" s="25"/>
      <c r="N1385" s="25"/>
      <c r="O1385" s="25"/>
      <c r="P1385" s="25"/>
    </row>
    <row r="1386" spans="1:16" x14ac:dyDescent="0.25">
      <c r="A1386" t="s">
        <v>1827</v>
      </c>
      <c r="B1386" s="25" t="s">
        <v>176</v>
      </c>
      <c r="C1386" s="26">
        <v>0.5</v>
      </c>
      <c r="D1386" s="2">
        <v>46115</v>
      </c>
      <c r="E1386" s="25" t="s">
        <v>185</v>
      </c>
      <c r="F1386" s="25" t="s">
        <v>18</v>
      </c>
      <c r="G1386" s="25" t="s">
        <v>2114</v>
      </c>
      <c r="H1386" s="26"/>
      <c r="I1386" s="26"/>
      <c r="J1386" s="2"/>
      <c r="K1386" s="25"/>
      <c r="L1386" s="25"/>
      <c r="M1386" s="25"/>
      <c r="N1386" s="25"/>
      <c r="O1386" s="25"/>
      <c r="P1386" s="25" t="s">
        <v>33</v>
      </c>
    </row>
    <row r="1387" spans="1:16" x14ac:dyDescent="0.25">
      <c r="A1387" t="s">
        <v>1828</v>
      </c>
      <c r="B1387" s="25" t="s">
        <v>176</v>
      </c>
      <c r="C1387" s="26">
        <v>0.38194444444444442</v>
      </c>
      <c r="D1387" s="2">
        <v>46116</v>
      </c>
      <c r="E1387" s="25" t="s">
        <v>116</v>
      </c>
      <c r="F1387" s="25" t="s">
        <v>18</v>
      </c>
      <c r="G1387" s="25" t="s">
        <v>1584</v>
      </c>
      <c r="H1387" s="26">
        <v>0.39791666666666664</v>
      </c>
      <c r="I1387" s="26">
        <v>0.40416666666666667</v>
      </c>
      <c r="J1387" s="2">
        <v>46116</v>
      </c>
      <c r="K1387" s="25" t="s">
        <v>25</v>
      </c>
      <c r="L1387" s="25" t="s">
        <v>1923</v>
      </c>
      <c r="M1387" s="25" t="s">
        <v>22</v>
      </c>
      <c r="N1387" s="25" t="s">
        <v>22</v>
      </c>
      <c r="O1387" s="25" t="s">
        <v>661</v>
      </c>
      <c r="P1387" s="25" t="s">
        <v>23</v>
      </c>
    </row>
    <row r="1388" spans="1:16" x14ac:dyDescent="0.25">
      <c r="A1388" t="s">
        <v>1829</v>
      </c>
      <c r="B1388" s="25"/>
      <c r="C1388" s="26"/>
      <c r="D1388" s="2"/>
      <c r="E1388" s="25"/>
      <c r="F1388" s="25"/>
      <c r="G1388" s="25"/>
      <c r="H1388" s="26"/>
      <c r="I1388" s="26"/>
      <c r="J1388" s="2"/>
      <c r="K1388" s="25"/>
      <c r="L1388" s="25"/>
      <c r="M1388" s="25"/>
      <c r="N1388" s="25"/>
      <c r="O1388" s="25"/>
      <c r="P1388" s="25"/>
    </row>
    <row r="1389" spans="1:16" x14ac:dyDescent="0.25">
      <c r="A1389" t="s">
        <v>1830</v>
      </c>
      <c r="B1389" s="25"/>
      <c r="C1389" s="26"/>
      <c r="D1389" s="2"/>
      <c r="E1389" s="25"/>
      <c r="F1389" s="25"/>
      <c r="G1389" s="25"/>
      <c r="H1389" s="26"/>
      <c r="I1389" s="26"/>
      <c r="J1389" s="2"/>
      <c r="K1389" s="25"/>
      <c r="L1389" s="25"/>
      <c r="M1389" s="25"/>
      <c r="N1389" s="25"/>
      <c r="O1389" s="25"/>
      <c r="P1389" s="25"/>
    </row>
    <row r="1390" spans="1:16" x14ac:dyDescent="0.25">
      <c r="A1390" t="s">
        <v>1831</v>
      </c>
      <c r="B1390" s="25"/>
      <c r="C1390" s="26"/>
      <c r="D1390" s="2"/>
      <c r="E1390" s="25"/>
      <c r="F1390" s="25"/>
      <c r="G1390" s="25"/>
      <c r="H1390" s="26"/>
      <c r="I1390" s="26"/>
      <c r="J1390" s="2"/>
      <c r="K1390" s="25"/>
      <c r="L1390" s="25"/>
      <c r="M1390" s="25"/>
      <c r="N1390" s="25"/>
      <c r="O1390" s="25"/>
      <c r="P1390" s="25"/>
    </row>
    <row r="1391" spans="1:16" x14ac:dyDescent="0.25">
      <c r="A1391" t="s">
        <v>1832</v>
      </c>
      <c r="B1391" s="25" t="s">
        <v>317</v>
      </c>
      <c r="C1391" s="26">
        <v>0.76388888888888884</v>
      </c>
      <c r="D1391" s="2">
        <v>46116</v>
      </c>
      <c r="E1391" s="25" t="s">
        <v>188</v>
      </c>
      <c r="F1391" s="25" t="s">
        <v>18</v>
      </c>
      <c r="G1391" s="25" t="s">
        <v>1924</v>
      </c>
      <c r="H1391" s="26"/>
      <c r="I1391" s="26"/>
      <c r="J1391" s="2"/>
      <c r="K1391" s="25"/>
      <c r="L1391" s="25" t="s">
        <v>1925</v>
      </c>
      <c r="M1391" s="25"/>
      <c r="N1391" s="25"/>
      <c r="O1391" s="25"/>
      <c r="P1391" s="25" t="s">
        <v>33</v>
      </c>
    </row>
    <row r="1392" spans="1:16" x14ac:dyDescent="0.25">
      <c r="A1392" t="s">
        <v>1833</v>
      </c>
      <c r="B1392" s="25" t="s">
        <v>164</v>
      </c>
      <c r="C1392" s="26">
        <v>0.83888888888888891</v>
      </c>
      <c r="D1392" s="2">
        <v>46115</v>
      </c>
      <c r="E1392" s="25" t="s">
        <v>143</v>
      </c>
      <c r="F1392" s="25" t="s">
        <v>18</v>
      </c>
      <c r="G1392" s="25" t="s">
        <v>1926</v>
      </c>
      <c r="H1392" s="26">
        <v>0.83888888888888891</v>
      </c>
      <c r="I1392" s="26">
        <v>0.85416666666666663</v>
      </c>
      <c r="J1392" s="2">
        <v>46115</v>
      </c>
      <c r="K1392" s="25" t="s">
        <v>25</v>
      </c>
      <c r="L1392" s="25" t="s">
        <v>1927</v>
      </c>
      <c r="M1392" s="25" t="s">
        <v>1928</v>
      </c>
      <c r="N1392" s="25" t="s">
        <v>22</v>
      </c>
      <c r="O1392" s="25" t="s">
        <v>108</v>
      </c>
      <c r="P1392" s="25" t="s">
        <v>23</v>
      </c>
    </row>
    <row r="1393" spans="1:16" x14ac:dyDescent="0.25">
      <c r="A1393" t="s">
        <v>1834</v>
      </c>
      <c r="B1393" s="25" t="s">
        <v>164</v>
      </c>
      <c r="C1393" s="26">
        <v>0.875</v>
      </c>
      <c r="D1393" s="2">
        <v>46117</v>
      </c>
      <c r="E1393" s="25" t="s">
        <v>143</v>
      </c>
      <c r="F1393" s="25" t="s">
        <v>18</v>
      </c>
      <c r="G1393" s="25" t="s">
        <v>1929</v>
      </c>
      <c r="H1393" s="26">
        <v>0.875</v>
      </c>
      <c r="I1393" s="26">
        <v>0.89583333333333337</v>
      </c>
      <c r="J1393" s="2">
        <v>46117</v>
      </c>
      <c r="K1393" s="25" t="s">
        <v>25</v>
      </c>
      <c r="L1393" s="25" t="s">
        <v>1930</v>
      </c>
      <c r="M1393" s="25" t="s">
        <v>1931</v>
      </c>
      <c r="N1393" s="25" t="s">
        <v>22</v>
      </c>
      <c r="O1393" s="25" t="s">
        <v>112</v>
      </c>
      <c r="P1393" s="25" t="s">
        <v>23</v>
      </c>
    </row>
    <row r="1394" spans="1:16" x14ac:dyDescent="0.25">
      <c r="A1394" t="s">
        <v>1835</v>
      </c>
      <c r="B1394" s="25" t="s">
        <v>385</v>
      </c>
      <c r="C1394" s="26">
        <v>4.1666666666666664E-2</v>
      </c>
      <c r="D1394" s="2">
        <v>46119</v>
      </c>
      <c r="E1394" s="25" t="s">
        <v>116</v>
      </c>
      <c r="F1394" s="25" t="s">
        <v>18</v>
      </c>
      <c r="G1394" s="25" t="s">
        <v>1932</v>
      </c>
      <c r="H1394" s="26">
        <v>4.8611111111111112E-2</v>
      </c>
      <c r="I1394" s="26">
        <v>7.6388888888888895E-2</v>
      </c>
      <c r="J1394" s="2">
        <v>46119</v>
      </c>
      <c r="K1394" s="25" t="s">
        <v>25</v>
      </c>
      <c r="L1394" s="25" t="s">
        <v>1933</v>
      </c>
      <c r="M1394" s="25" t="s">
        <v>22</v>
      </c>
      <c r="N1394" s="25" t="s">
        <v>22</v>
      </c>
      <c r="O1394" s="25" t="s">
        <v>661</v>
      </c>
      <c r="P1394" s="25" t="s">
        <v>23</v>
      </c>
    </row>
    <row r="1395" spans="1:16" x14ac:dyDescent="0.25">
      <c r="A1395" t="s">
        <v>1836</v>
      </c>
      <c r="B1395" s="25" t="s">
        <v>164</v>
      </c>
      <c r="C1395" s="26">
        <v>0.6875</v>
      </c>
      <c r="D1395" s="2">
        <v>46119</v>
      </c>
      <c r="E1395" s="25" t="s">
        <v>143</v>
      </c>
      <c r="F1395" s="25" t="s">
        <v>18</v>
      </c>
      <c r="G1395" s="25" t="s">
        <v>1934</v>
      </c>
      <c r="H1395" s="26">
        <v>0.6875</v>
      </c>
      <c r="I1395" s="26">
        <v>0.71736111111111112</v>
      </c>
      <c r="J1395" s="2">
        <v>46119</v>
      </c>
      <c r="K1395" s="25" t="s">
        <v>25</v>
      </c>
      <c r="L1395" s="25" t="s">
        <v>1935</v>
      </c>
      <c r="M1395" s="25" t="s">
        <v>22</v>
      </c>
      <c r="N1395" s="25" t="s">
        <v>22</v>
      </c>
      <c r="O1395" s="25" t="s">
        <v>112</v>
      </c>
      <c r="P1395" s="25" t="s">
        <v>23</v>
      </c>
    </row>
    <row r="1396" spans="1:16" x14ac:dyDescent="0.25">
      <c r="A1396" t="s">
        <v>1837</v>
      </c>
      <c r="B1396" s="25" t="s">
        <v>161</v>
      </c>
      <c r="C1396" s="26">
        <v>0.27500000000000002</v>
      </c>
      <c r="D1396" s="2">
        <v>46120</v>
      </c>
      <c r="E1396" s="25" t="s">
        <v>154</v>
      </c>
      <c r="F1396" s="25" t="s">
        <v>18</v>
      </c>
      <c r="G1396" s="25" t="s">
        <v>1619</v>
      </c>
      <c r="H1396" s="26">
        <v>0.27500000000000002</v>
      </c>
      <c r="I1396" s="26">
        <v>0.375</v>
      </c>
      <c r="J1396" s="2">
        <v>46120</v>
      </c>
      <c r="K1396" s="25" t="s">
        <v>20</v>
      </c>
      <c r="L1396" s="25" t="s">
        <v>1936</v>
      </c>
      <c r="M1396" s="25" t="s">
        <v>22</v>
      </c>
      <c r="N1396" s="25" t="s">
        <v>22</v>
      </c>
      <c r="O1396" s="25" t="s">
        <v>108</v>
      </c>
      <c r="P1396" s="25" t="s">
        <v>23</v>
      </c>
    </row>
    <row r="1397" spans="1:16" x14ac:dyDescent="0.25">
      <c r="A1397" t="s">
        <v>1838</v>
      </c>
      <c r="B1397" s="25"/>
      <c r="C1397" s="26"/>
      <c r="D1397" s="2"/>
      <c r="E1397" s="25"/>
      <c r="F1397" s="25"/>
      <c r="G1397" s="25"/>
      <c r="H1397" s="26"/>
      <c r="I1397" s="26"/>
      <c r="J1397" s="2"/>
      <c r="K1397" s="25"/>
      <c r="L1397" s="25"/>
      <c r="M1397" s="25"/>
      <c r="N1397" s="25"/>
      <c r="O1397" s="25"/>
      <c r="P1397" s="25"/>
    </row>
    <row r="1398" spans="1:16" x14ac:dyDescent="0.25">
      <c r="A1398" t="s">
        <v>1839</v>
      </c>
      <c r="B1398" s="25"/>
      <c r="C1398" s="26"/>
      <c r="D1398" s="2"/>
      <c r="E1398" s="25"/>
      <c r="F1398" s="25"/>
      <c r="G1398" s="25"/>
      <c r="H1398" s="26"/>
      <c r="I1398" s="26"/>
      <c r="J1398" s="2"/>
      <c r="K1398" s="25"/>
      <c r="L1398" s="25"/>
      <c r="M1398" s="25"/>
      <c r="N1398" s="25"/>
      <c r="O1398" s="25"/>
      <c r="P1398" s="25"/>
    </row>
    <row r="1399" spans="1:16" x14ac:dyDescent="0.25">
      <c r="A1399" t="s">
        <v>1840</v>
      </c>
      <c r="B1399" s="25"/>
      <c r="C1399" s="26"/>
      <c r="D1399" s="2"/>
      <c r="E1399" s="25"/>
      <c r="F1399" s="25"/>
      <c r="G1399" s="25"/>
      <c r="H1399" s="26"/>
      <c r="I1399" s="26"/>
      <c r="J1399" s="2"/>
      <c r="K1399" s="25"/>
      <c r="L1399" s="25"/>
      <c r="M1399" s="25"/>
      <c r="N1399" s="25"/>
      <c r="O1399" s="25"/>
      <c r="P1399" s="25"/>
    </row>
    <row r="1400" spans="1:16" x14ac:dyDescent="0.25">
      <c r="A1400" t="s">
        <v>1841</v>
      </c>
      <c r="B1400" s="25" t="s">
        <v>385</v>
      </c>
      <c r="C1400" s="26">
        <v>4.1666666666666664E-2</v>
      </c>
      <c r="D1400" s="2">
        <v>46122</v>
      </c>
      <c r="E1400" s="25" t="s">
        <v>116</v>
      </c>
      <c r="F1400" s="25" t="s">
        <v>18</v>
      </c>
      <c r="G1400" s="25" t="s">
        <v>1937</v>
      </c>
      <c r="H1400" s="26">
        <v>4.1666666666666664E-2</v>
      </c>
      <c r="I1400" s="26">
        <v>0.10416666666666667</v>
      </c>
      <c r="J1400" s="2">
        <v>46122</v>
      </c>
      <c r="K1400" s="25" t="s">
        <v>25</v>
      </c>
      <c r="L1400" s="25" t="s">
        <v>1938</v>
      </c>
      <c r="M1400" s="25" t="s">
        <v>22</v>
      </c>
      <c r="N1400" s="25" t="s">
        <v>22</v>
      </c>
      <c r="O1400" s="25" t="s">
        <v>112</v>
      </c>
      <c r="P1400" s="25" t="s">
        <v>23</v>
      </c>
    </row>
    <row r="1401" spans="1:16" x14ac:dyDescent="0.25">
      <c r="A1401" t="s">
        <v>1842</v>
      </c>
      <c r="B1401" s="25" t="s">
        <v>103</v>
      </c>
      <c r="C1401" s="26">
        <v>0.55763888888888891</v>
      </c>
      <c r="D1401" s="2">
        <v>46119</v>
      </c>
      <c r="E1401" s="25" t="s">
        <v>188</v>
      </c>
      <c r="F1401" s="25" t="s">
        <v>18</v>
      </c>
      <c r="G1401" s="25" t="s">
        <v>1939</v>
      </c>
      <c r="H1401" s="26">
        <v>0.5625</v>
      </c>
      <c r="I1401" s="26">
        <v>0.57638888888888884</v>
      </c>
      <c r="J1401" s="2">
        <v>46119</v>
      </c>
      <c r="K1401" s="25" t="s">
        <v>20</v>
      </c>
      <c r="L1401" s="25" t="s">
        <v>1940</v>
      </c>
      <c r="M1401" s="25" t="s">
        <v>22</v>
      </c>
      <c r="N1401" s="25" t="s">
        <v>22</v>
      </c>
      <c r="O1401" s="25" t="s">
        <v>268</v>
      </c>
      <c r="P1401" s="25" t="s">
        <v>23</v>
      </c>
    </row>
    <row r="1402" spans="1:16" x14ac:dyDescent="0.25">
      <c r="A1402" t="s">
        <v>1843</v>
      </c>
      <c r="B1402" s="25" t="s">
        <v>16</v>
      </c>
      <c r="C1402" s="26">
        <v>0.80208333333333337</v>
      </c>
      <c r="D1402" s="2">
        <v>46121</v>
      </c>
      <c r="E1402" s="25" t="s">
        <v>116</v>
      </c>
      <c r="F1402" s="25" t="s">
        <v>18</v>
      </c>
      <c r="G1402" s="25" t="s">
        <v>1941</v>
      </c>
      <c r="H1402" s="26">
        <v>0.80208333333333337</v>
      </c>
      <c r="I1402" s="26">
        <v>0.84027777777777779</v>
      </c>
      <c r="J1402" s="2">
        <v>46121</v>
      </c>
      <c r="K1402" s="25" t="s">
        <v>25</v>
      </c>
      <c r="L1402" s="25" t="s">
        <v>1942</v>
      </c>
      <c r="M1402" s="25" t="s">
        <v>22</v>
      </c>
      <c r="N1402" s="25" t="s">
        <v>22</v>
      </c>
      <c r="O1402" s="25" t="s">
        <v>112</v>
      </c>
      <c r="P1402" s="25" t="s">
        <v>23</v>
      </c>
    </row>
    <row r="1403" spans="1:16" x14ac:dyDescent="0.25">
      <c r="A1403" t="s">
        <v>1844</v>
      </c>
      <c r="B1403" s="25" t="s">
        <v>184</v>
      </c>
      <c r="C1403" s="26">
        <v>0.25</v>
      </c>
      <c r="D1403" s="2">
        <v>46112</v>
      </c>
      <c r="E1403" s="25" t="s">
        <v>1943</v>
      </c>
      <c r="F1403" s="25" t="s">
        <v>18</v>
      </c>
      <c r="G1403" s="25" t="s">
        <v>1944</v>
      </c>
      <c r="H1403" s="26">
        <v>0.2638888888888889</v>
      </c>
      <c r="I1403" s="26">
        <v>0.30902777777777779</v>
      </c>
      <c r="J1403" s="2"/>
      <c r="K1403" s="25" t="s">
        <v>25</v>
      </c>
      <c r="L1403" s="25" t="s">
        <v>1945</v>
      </c>
      <c r="M1403" s="25" t="s">
        <v>1946</v>
      </c>
      <c r="N1403" s="25" t="s">
        <v>22</v>
      </c>
      <c r="O1403" s="25" t="s">
        <v>112</v>
      </c>
      <c r="P1403" s="25" t="s">
        <v>23</v>
      </c>
    </row>
    <row r="1404" spans="1:16" x14ac:dyDescent="0.25">
      <c r="A1404" t="s">
        <v>1845</v>
      </c>
      <c r="B1404" s="25"/>
      <c r="C1404" s="26"/>
      <c r="D1404" s="2"/>
      <c r="E1404" s="25"/>
      <c r="F1404" s="25"/>
      <c r="G1404" s="25"/>
      <c r="H1404" s="26"/>
      <c r="I1404" s="26"/>
      <c r="J1404" s="2"/>
      <c r="K1404" s="25"/>
      <c r="L1404" s="25"/>
      <c r="M1404" s="25"/>
      <c r="N1404" s="25"/>
      <c r="O1404" s="25"/>
      <c r="P1404" s="25"/>
    </row>
    <row r="1405" spans="1:16" x14ac:dyDescent="0.25">
      <c r="A1405" t="s">
        <v>1846</v>
      </c>
      <c r="B1405" s="25"/>
      <c r="C1405" s="26"/>
      <c r="D1405" s="2"/>
      <c r="E1405" s="25"/>
      <c r="F1405" s="25"/>
      <c r="G1405" s="25"/>
      <c r="H1405" s="26"/>
      <c r="I1405" s="26"/>
      <c r="J1405" s="2"/>
      <c r="K1405" s="25"/>
      <c r="L1405" s="25"/>
      <c r="M1405" s="25"/>
      <c r="N1405" s="25"/>
      <c r="O1405" s="25"/>
      <c r="P1405" s="25"/>
    </row>
    <row r="1406" spans="1:16" x14ac:dyDescent="0.25">
      <c r="A1406" t="s">
        <v>1847</v>
      </c>
      <c r="B1406" s="25"/>
      <c r="C1406" s="26"/>
      <c r="D1406" s="2"/>
      <c r="E1406" s="25"/>
      <c r="F1406" s="25"/>
      <c r="G1406" s="25"/>
      <c r="H1406" s="26"/>
      <c r="I1406" s="26"/>
      <c r="J1406" s="2"/>
      <c r="K1406" s="25"/>
      <c r="L1406" s="25"/>
      <c r="M1406" s="25"/>
      <c r="N1406" s="25"/>
      <c r="O1406" s="25"/>
      <c r="P1406" s="25"/>
    </row>
    <row r="1407" spans="1:16" x14ac:dyDescent="0.25">
      <c r="A1407" t="s">
        <v>1848</v>
      </c>
      <c r="B1407" s="25"/>
      <c r="C1407" s="26"/>
      <c r="D1407" s="2"/>
      <c r="E1407" s="25"/>
      <c r="F1407" s="25"/>
      <c r="G1407" s="25"/>
      <c r="H1407" s="26"/>
      <c r="I1407" s="26"/>
      <c r="J1407" s="2"/>
      <c r="K1407" s="25"/>
      <c r="L1407" s="25"/>
      <c r="M1407" s="25"/>
      <c r="N1407" s="25"/>
      <c r="O1407" s="25"/>
      <c r="P1407" s="25"/>
    </row>
    <row r="1408" spans="1:16" x14ac:dyDescent="0.25">
      <c r="A1408" t="s">
        <v>1849</v>
      </c>
      <c r="B1408" s="25"/>
      <c r="C1408" s="26"/>
      <c r="D1408" s="2"/>
      <c r="E1408" s="25"/>
      <c r="F1408" s="25"/>
      <c r="G1408" s="25"/>
      <c r="H1408" s="26"/>
      <c r="I1408" s="26"/>
      <c r="J1408" s="2"/>
      <c r="K1408" s="25"/>
      <c r="L1408" s="25"/>
      <c r="M1408" s="25"/>
      <c r="N1408" s="25"/>
      <c r="O1408" s="25"/>
      <c r="P1408" s="25"/>
    </row>
    <row r="1409" spans="1:16" x14ac:dyDescent="0.25">
      <c r="A1409" t="s">
        <v>1850</v>
      </c>
      <c r="B1409" s="25"/>
      <c r="C1409" s="26"/>
      <c r="D1409" s="2"/>
      <c r="E1409" s="25"/>
      <c r="F1409" s="25"/>
      <c r="G1409" s="25"/>
      <c r="H1409" s="26"/>
      <c r="I1409" s="26"/>
      <c r="J1409" s="2"/>
      <c r="K1409" s="25"/>
      <c r="L1409" s="25"/>
      <c r="M1409" s="25"/>
      <c r="N1409" s="25"/>
      <c r="O1409" s="25"/>
      <c r="P1409" s="25"/>
    </row>
    <row r="1410" spans="1:16" x14ac:dyDescent="0.25">
      <c r="A1410" t="s">
        <v>1851</v>
      </c>
      <c r="B1410" s="25"/>
      <c r="C1410" s="26"/>
      <c r="D1410" s="2"/>
      <c r="E1410" s="25"/>
      <c r="F1410" s="25"/>
      <c r="G1410" s="25"/>
      <c r="H1410" s="26"/>
      <c r="I1410" s="26"/>
      <c r="J1410" s="2"/>
      <c r="K1410" s="25"/>
      <c r="L1410" s="25"/>
      <c r="M1410" s="25"/>
      <c r="N1410" s="25"/>
      <c r="O1410" s="25"/>
      <c r="P1410" s="25"/>
    </row>
    <row r="1411" spans="1:16" x14ac:dyDescent="0.25">
      <c r="A1411" t="s">
        <v>1852</v>
      </c>
      <c r="B1411" s="25"/>
      <c r="C1411" s="26"/>
      <c r="D1411" s="2"/>
      <c r="E1411" s="25"/>
      <c r="F1411" s="25"/>
      <c r="G1411" s="25"/>
      <c r="H1411" s="26"/>
      <c r="I1411" s="26"/>
      <c r="J1411" s="2"/>
      <c r="K1411" s="25"/>
      <c r="L1411" s="25"/>
      <c r="M1411" s="25"/>
      <c r="N1411" s="25"/>
      <c r="O1411" s="25"/>
      <c r="P1411" s="25"/>
    </row>
    <row r="1412" spans="1:16" x14ac:dyDescent="0.25">
      <c r="A1412" t="s">
        <v>1853</v>
      </c>
      <c r="B1412" s="25"/>
      <c r="C1412" s="26"/>
      <c r="D1412" s="2"/>
      <c r="E1412" s="25"/>
      <c r="F1412" s="25"/>
      <c r="G1412" s="25"/>
      <c r="H1412" s="26"/>
      <c r="I1412" s="26"/>
      <c r="J1412" s="2"/>
      <c r="K1412" s="25"/>
      <c r="L1412" s="25"/>
      <c r="M1412" s="25"/>
      <c r="N1412" s="25"/>
      <c r="O1412" s="25"/>
      <c r="P1412" s="25"/>
    </row>
    <row r="1413" spans="1:16" x14ac:dyDescent="0.25">
      <c r="A1413" t="s">
        <v>1854</v>
      </c>
      <c r="B1413" s="25"/>
      <c r="C1413" s="26"/>
      <c r="D1413" s="2"/>
      <c r="E1413" s="25"/>
      <c r="F1413" s="25"/>
      <c r="G1413" s="25"/>
      <c r="H1413" s="26"/>
      <c r="I1413" s="26"/>
      <c r="J1413" s="2"/>
      <c r="K1413" s="25"/>
      <c r="L1413" s="25"/>
      <c r="M1413" s="25"/>
      <c r="N1413" s="25"/>
      <c r="O1413" s="25"/>
      <c r="P1413" s="25"/>
    </row>
    <row r="1414" spans="1:16" x14ac:dyDescent="0.25">
      <c r="A1414" t="s">
        <v>1855</v>
      </c>
      <c r="B1414" s="25"/>
      <c r="C1414" s="26"/>
      <c r="D1414" s="2"/>
      <c r="E1414" s="25"/>
      <c r="F1414" s="25"/>
      <c r="G1414" s="25"/>
      <c r="H1414" s="26"/>
      <c r="I1414" s="26"/>
      <c r="J1414" s="2"/>
      <c r="K1414" s="25"/>
      <c r="L1414" s="25"/>
      <c r="M1414" s="25"/>
      <c r="N1414" s="25"/>
      <c r="O1414" s="25"/>
      <c r="P1414" s="25"/>
    </row>
    <row r="1415" spans="1:16" x14ac:dyDescent="0.25">
      <c r="A1415" t="s">
        <v>1856</v>
      </c>
      <c r="B1415" s="25"/>
      <c r="C1415" s="26"/>
      <c r="D1415" s="2"/>
      <c r="E1415" s="25"/>
      <c r="F1415" s="25"/>
      <c r="G1415" s="25"/>
      <c r="H1415" s="26"/>
      <c r="I1415" s="26"/>
      <c r="J1415" s="2"/>
      <c r="K1415" s="25"/>
      <c r="L1415" s="25"/>
      <c r="M1415" s="25"/>
      <c r="N1415" s="25"/>
      <c r="O1415" s="25"/>
      <c r="P1415" s="25"/>
    </row>
    <row r="1416" spans="1:16" x14ac:dyDescent="0.25">
      <c r="A1416" t="s">
        <v>1857</v>
      </c>
      <c r="B1416" s="25"/>
      <c r="C1416" s="26"/>
      <c r="D1416" s="2"/>
      <c r="E1416" s="25"/>
      <c r="F1416" s="25"/>
      <c r="G1416" s="25"/>
      <c r="H1416" s="26"/>
      <c r="I1416" s="26"/>
      <c r="J1416" s="2"/>
      <c r="K1416" s="25"/>
      <c r="L1416" s="25"/>
      <c r="M1416" s="25"/>
      <c r="N1416" s="25"/>
      <c r="O1416" s="25"/>
      <c r="P1416" s="25"/>
    </row>
    <row r="1417" spans="1:16" x14ac:dyDescent="0.25">
      <c r="A1417" t="s">
        <v>1858</v>
      </c>
      <c r="B1417" s="25"/>
      <c r="C1417" s="26"/>
      <c r="D1417" s="2"/>
      <c r="E1417" s="25"/>
      <c r="F1417" s="25"/>
      <c r="G1417" s="25"/>
      <c r="H1417" s="26"/>
      <c r="I1417" s="26"/>
      <c r="J1417" s="2"/>
      <c r="K1417" s="25"/>
      <c r="L1417" s="25"/>
      <c r="M1417" s="25"/>
      <c r="N1417" s="25"/>
      <c r="O1417" s="25"/>
      <c r="P1417" s="25"/>
    </row>
    <row r="1418" spans="1:16" x14ac:dyDescent="0.25">
      <c r="A1418" t="s">
        <v>1859</v>
      </c>
      <c r="B1418" s="25"/>
      <c r="C1418" s="26"/>
      <c r="D1418" s="2"/>
      <c r="E1418" s="25"/>
      <c r="F1418" s="25"/>
      <c r="G1418" s="25"/>
      <c r="H1418" s="26"/>
      <c r="I1418" s="26"/>
      <c r="J1418" s="2"/>
      <c r="K1418" s="25"/>
      <c r="L1418" s="25"/>
      <c r="M1418" s="25"/>
      <c r="N1418" s="25"/>
      <c r="O1418" s="25"/>
      <c r="P1418" s="25"/>
    </row>
    <row r="1419" spans="1:16" x14ac:dyDescent="0.25">
      <c r="A1419" t="s">
        <v>1860</v>
      </c>
      <c r="B1419" s="25"/>
      <c r="C1419" s="26"/>
      <c r="D1419" s="2"/>
      <c r="E1419" s="25"/>
      <c r="F1419" s="25"/>
      <c r="G1419" s="25"/>
      <c r="H1419" s="26"/>
      <c r="I1419" s="26"/>
      <c r="J1419" s="2"/>
      <c r="K1419" s="25"/>
      <c r="L1419" s="25"/>
      <c r="M1419" s="25"/>
      <c r="N1419" s="25"/>
      <c r="O1419" s="25"/>
      <c r="P1419" s="25"/>
    </row>
    <row r="1420" spans="1:16" x14ac:dyDescent="0.25">
      <c r="A1420" t="s">
        <v>1861</v>
      </c>
      <c r="B1420" s="25"/>
      <c r="C1420" s="26"/>
      <c r="D1420" s="2"/>
      <c r="E1420" s="25"/>
      <c r="F1420" s="25"/>
      <c r="G1420" s="25"/>
      <c r="H1420" s="26"/>
      <c r="I1420" s="26"/>
      <c r="J1420" s="2"/>
      <c r="K1420" s="25"/>
      <c r="L1420" s="25"/>
      <c r="M1420" s="25"/>
      <c r="N1420" s="25"/>
      <c r="O1420" s="25"/>
      <c r="P1420" s="25"/>
    </row>
    <row r="1421" spans="1:16" x14ac:dyDescent="0.25">
      <c r="A1421" t="s">
        <v>1862</v>
      </c>
      <c r="B1421" s="25"/>
      <c r="C1421" s="26"/>
      <c r="D1421" s="2"/>
      <c r="E1421" s="25"/>
      <c r="F1421" s="25"/>
      <c r="G1421" s="25"/>
      <c r="H1421" s="26"/>
      <c r="I1421" s="26"/>
      <c r="J1421" s="2"/>
      <c r="K1421" s="25"/>
      <c r="L1421" s="25"/>
      <c r="M1421" s="25"/>
      <c r="N1421" s="25"/>
      <c r="O1421" s="25"/>
      <c r="P1421" s="25"/>
    </row>
    <row r="1422" spans="1:16" x14ac:dyDescent="0.25">
      <c r="A1422" t="s">
        <v>1863</v>
      </c>
      <c r="B1422" s="25"/>
      <c r="C1422" s="26"/>
      <c r="D1422" s="2"/>
      <c r="E1422" s="25"/>
      <c r="F1422" s="25"/>
      <c r="G1422" s="25"/>
      <c r="H1422" s="26"/>
      <c r="I1422" s="26"/>
      <c r="J1422" s="2"/>
      <c r="K1422" s="25"/>
      <c r="L1422" s="25"/>
      <c r="M1422" s="25"/>
      <c r="N1422" s="25"/>
      <c r="O1422" s="25"/>
      <c r="P1422" s="25"/>
    </row>
    <row r="1423" spans="1:16" x14ac:dyDescent="0.25">
      <c r="A1423" t="s">
        <v>1864</v>
      </c>
      <c r="B1423" s="25"/>
      <c r="C1423" s="26"/>
      <c r="D1423" s="2"/>
      <c r="E1423" s="25"/>
      <c r="F1423" s="25"/>
      <c r="G1423" s="25"/>
      <c r="H1423" s="26"/>
      <c r="I1423" s="26"/>
      <c r="J1423" s="2"/>
      <c r="K1423" s="25"/>
      <c r="L1423" s="25"/>
      <c r="M1423" s="25"/>
      <c r="N1423" s="25"/>
      <c r="O1423" s="25"/>
      <c r="P1423" s="25"/>
    </row>
    <row r="1424" spans="1:16" x14ac:dyDescent="0.25">
      <c r="A1424" t="s">
        <v>1865</v>
      </c>
      <c r="B1424" s="25"/>
      <c r="C1424" s="26"/>
      <c r="D1424" s="2"/>
      <c r="E1424" s="25"/>
      <c r="F1424" s="25"/>
      <c r="G1424" s="25"/>
      <c r="H1424" s="26"/>
      <c r="I1424" s="26"/>
      <c r="J1424" s="2"/>
      <c r="K1424" s="25"/>
      <c r="L1424" s="25"/>
      <c r="M1424" s="25"/>
      <c r="N1424" s="25"/>
      <c r="O1424" s="25"/>
      <c r="P1424" s="25"/>
    </row>
    <row r="1425" spans="1:16" x14ac:dyDescent="0.25">
      <c r="A1425" t="s">
        <v>1866</v>
      </c>
      <c r="B1425" s="25"/>
      <c r="C1425" s="26"/>
      <c r="D1425" s="2"/>
      <c r="E1425" s="25"/>
      <c r="F1425" s="25"/>
      <c r="G1425" s="25"/>
      <c r="H1425" s="26"/>
      <c r="I1425" s="26"/>
      <c r="J1425" s="2"/>
      <c r="K1425" s="25"/>
      <c r="L1425" s="25"/>
      <c r="M1425" s="25"/>
      <c r="N1425" s="25"/>
      <c r="O1425" s="25"/>
      <c r="P1425" s="25"/>
    </row>
    <row r="1426" spans="1:16" x14ac:dyDescent="0.25">
      <c r="A1426" t="s">
        <v>1867</v>
      </c>
      <c r="B1426" s="25"/>
      <c r="C1426" s="26"/>
      <c r="D1426" s="2"/>
      <c r="E1426" s="25"/>
      <c r="F1426" s="25"/>
      <c r="G1426" s="25"/>
      <c r="H1426" s="26"/>
      <c r="I1426" s="26"/>
      <c r="J1426" s="2"/>
      <c r="K1426" s="25"/>
      <c r="L1426" s="25"/>
      <c r="M1426" s="25"/>
      <c r="N1426" s="25"/>
      <c r="O1426" s="25"/>
      <c r="P1426" s="25"/>
    </row>
    <row r="1427" spans="1:16" x14ac:dyDescent="0.25">
      <c r="A1427" t="s">
        <v>1868</v>
      </c>
      <c r="B1427" s="25"/>
      <c r="C1427" s="26"/>
      <c r="D1427" s="2"/>
      <c r="E1427" s="25"/>
      <c r="F1427" s="25"/>
      <c r="G1427" s="25"/>
      <c r="H1427" s="26"/>
      <c r="I1427" s="26"/>
      <c r="J1427" s="2"/>
      <c r="K1427" s="25"/>
      <c r="L1427" s="25"/>
      <c r="M1427" s="25"/>
      <c r="N1427" s="25"/>
      <c r="O1427" s="25"/>
      <c r="P1427" s="25"/>
    </row>
    <row r="1428" spans="1:16" x14ac:dyDescent="0.25">
      <c r="A1428" t="s">
        <v>1869</v>
      </c>
      <c r="B1428" s="25"/>
      <c r="C1428" s="26"/>
      <c r="D1428" s="2"/>
      <c r="E1428" s="25"/>
      <c r="F1428" s="25"/>
      <c r="G1428" s="25"/>
      <c r="H1428" s="26"/>
      <c r="I1428" s="26"/>
      <c r="J1428" s="2"/>
      <c r="K1428" s="25"/>
      <c r="L1428" s="25"/>
      <c r="M1428" s="25"/>
      <c r="N1428" s="25"/>
      <c r="O1428" s="25"/>
      <c r="P1428" s="25"/>
    </row>
    <row r="1429" spans="1:16" x14ac:dyDescent="0.25">
      <c r="A1429" t="s">
        <v>1870</v>
      </c>
      <c r="B1429" s="25"/>
      <c r="C1429" s="26"/>
      <c r="D1429" s="2"/>
      <c r="E1429" s="25"/>
      <c r="F1429" s="25"/>
      <c r="G1429" s="25"/>
      <c r="H1429" s="26"/>
      <c r="I1429" s="26"/>
      <c r="J1429" s="2"/>
      <c r="K1429" s="25"/>
      <c r="L1429" s="25"/>
      <c r="M1429" s="25"/>
      <c r="N1429" s="25"/>
      <c r="O1429" s="25"/>
      <c r="P1429" s="25"/>
    </row>
    <row r="1430" spans="1:16" x14ac:dyDescent="0.25">
      <c r="A1430" t="s">
        <v>1871</v>
      </c>
      <c r="B1430" s="25"/>
      <c r="C1430" s="26"/>
      <c r="D1430" s="2"/>
      <c r="E1430" s="25"/>
      <c r="F1430" s="25"/>
      <c r="G1430" s="25"/>
      <c r="H1430" s="26"/>
      <c r="I1430" s="26"/>
      <c r="J1430" s="2"/>
      <c r="K1430" s="25"/>
      <c r="L1430" s="25"/>
      <c r="M1430" s="25"/>
      <c r="N1430" s="25"/>
      <c r="O1430" s="25"/>
      <c r="P1430" s="25"/>
    </row>
    <row r="1431" spans="1:16" x14ac:dyDescent="0.25">
      <c r="A1431" t="s">
        <v>1872</v>
      </c>
      <c r="B1431" s="25"/>
      <c r="C1431" s="26"/>
      <c r="D1431" s="2"/>
      <c r="E1431" s="25"/>
      <c r="F1431" s="25"/>
      <c r="G1431" s="25"/>
      <c r="H1431" s="26"/>
      <c r="I1431" s="26"/>
      <c r="J1431" s="2"/>
      <c r="K1431" s="25"/>
      <c r="L1431" s="25"/>
      <c r="M1431" s="25"/>
      <c r="N1431" s="25"/>
      <c r="O1431" s="25"/>
      <c r="P1431" s="25"/>
    </row>
    <row r="1432" spans="1:16" x14ac:dyDescent="0.25">
      <c r="A1432" t="s">
        <v>1873</v>
      </c>
      <c r="B1432" s="25"/>
      <c r="C1432" s="26"/>
      <c r="D1432" s="2"/>
      <c r="E1432" s="25"/>
      <c r="F1432" s="25"/>
      <c r="G1432" s="25"/>
      <c r="H1432" s="26"/>
      <c r="I1432" s="26"/>
      <c r="J1432" s="2"/>
      <c r="K1432" s="25"/>
      <c r="L1432" s="25"/>
      <c r="M1432" s="25"/>
      <c r="N1432" s="25"/>
      <c r="O1432" s="25"/>
      <c r="P1432" s="25"/>
    </row>
    <row r="1433" spans="1:16" x14ac:dyDescent="0.25">
      <c r="A1433" t="s">
        <v>1874</v>
      </c>
      <c r="B1433" s="25"/>
      <c r="C1433" s="26"/>
      <c r="D1433" s="2"/>
      <c r="E1433" s="25"/>
      <c r="F1433" s="25"/>
      <c r="G1433" s="25"/>
      <c r="H1433" s="26"/>
      <c r="I1433" s="26"/>
      <c r="J1433" s="2"/>
      <c r="K1433" s="25"/>
      <c r="L1433" s="25"/>
      <c r="M1433" s="25"/>
      <c r="N1433" s="25"/>
      <c r="O1433" s="25"/>
      <c r="P1433" s="25"/>
    </row>
    <row r="1434" spans="1:16" x14ac:dyDescent="0.25">
      <c r="A1434" t="s">
        <v>1875</v>
      </c>
      <c r="B1434" s="25"/>
      <c r="C1434" s="26"/>
      <c r="D1434" s="2"/>
      <c r="E1434" s="25"/>
      <c r="F1434" s="25"/>
      <c r="G1434" s="25"/>
      <c r="H1434" s="26"/>
      <c r="I1434" s="26"/>
      <c r="J1434" s="2"/>
      <c r="K1434" s="25"/>
      <c r="L1434" s="25"/>
      <c r="M1434" s="25"/>
      <c r="N1434" s="25"/>
      <c r="O1434" s="25"/>
      <c r="P1434" s="25"/>
    </row>
    <row r="1435" spans="1:16" x14ac:dyDescent="0.25">
      <c r="A1435" t="s">
        <v>1876</v>
      </c>
      <c r="B1435" s="25"/>
      <c r="C1435" s="26"/>
      <c r="D1435" s="2"/>
      <c r="E1435" s="25"/>
      <c r="F1435" s="25"/>
      <c r="G1435" s="25"/>
      <c r="H1435" s="26"/>
      <c r="I1435" s="26"/>
      <c r="J1435" s="2"/>
      <c r="K1435" s="25"/>
      <c r="L1435" s="25"/>
      <c r="M1435" s="25"/>
      <c r="N1435" s="25"/>
      <c r="O1435" s="25"/>
      <c r="P1435" s="25"/>
    </row>
    <row r="1436" spans="1:16" x14ac:dyDescent="0.25">
      <c r="A1436" t="s">
        <v>1877</v>
      </c>
      <c r="B1436" s="25"/>
      <c r="C1436" s="26"/>
      <c r="D1436" s="2"/>
      <c r="E1436" s="25"/>
      <c r="F1436" s="25"/>
      <c r="G1436" s="25"/>
      <c r="H1436" s="26"/>
      <c r="I1436" s="26"/>
      <c r="J1436" s="2"/>
      <c r="K1436" s="25"/>
      <c r="L1436" s="25"/>
      <c r="M1436" s="25"/>
      <c r="N1436" s="25"/>
      <c r="O1436" s="25"/>
      <c r="P1436" s="25"/>
    </row>
    <row r="1437" spans="1:16" x14ac:dyDescent="0.25">
      <c r="A1437" t="s">
        <v>1878</v>
      </c>
      <c r="B1437" s="25"/>
      <c r="C1437" s="26"/>
      <c r="D1437" s="2"/>
      <c r="E1437" s="25"/>
      <c r="F1437" s="25"/>
      <c r="G1437" s="25"/>
      <c r="H1437" s="26"/>
      <c r="I1437" s="26"/>
      <c r="J1437" s="2"/>
      <c r="K1437" s="25"/>
      <c r="L1437" s="25"/>
      <c r="M1437" s="25"/>
      <c r="N1437" s="25"/>
      <c r="O1437" s="25"/>
      <c r="P1437" s="25"/>
    </row>
    <row r="1438" spans="1:16" x14ac:dyDescent="0.25">
      <c r="A1438" t="s">
        <v>1879</v>
      </c>
      <c r="B1438" s="25"/>
      <c r="C1438" s="26"/>
      <c r="D1438" s="2"/>
      <c r="E1438" s="25"/>
      <c r="F1438" s="25"/>
      <c r="G1438" s="25"/>
      <c r="H1438" s="26"/>
      <c r="I1438" s="26"/>
      <c r="J1438" s="2"/>
      <c r="K1438" s="25"/>
      <c r="L1438" s="25"/>
      <c r="M1438" s="25"/>
      <c r="N1438" s="25"/>
      <c r="O1438" s="25"/>
      <c r="P1438" s="25"/>
    </row>
    <row r="1439" spans="1:16" x14ac:dyDescent="0.25">
      <c r="A1439" t="s">
        <v>1880</v>
      </c>
      <c r="B1439" s="25"/>
      <c r="C1439" s="26"/>
      <c r="D1439" s="2"/>
      <c r="E1439" s="25"/>
      <c r="F1439" s="25"/>
      <c r="G1439" s="25"/>
      <c r="H1439" s="26"/>
      <c r="I1439" s="26"/>
      <c r="J1439" s="2"/>
      <c r="K1439" s="25"/>
      <c r="L1439" s="25"/>
      <c r="M1439" s="25"/>
      <c r="N1439" s="25"/>
      <c r="O1439" s="25"/>
      <c r="P1439" s="25"/>
    </row>
    <row r="1440" spans="1:16" x14ac:dyDescent="0.25">
      <c r="A1440" t="s">
        <v>1881</v>
      </c>
      <c r="B1440" s="25"/>
      <c r="C1440" s="26"/>
      <c r="D1440" s="2"/>
      <c r="E1440" s="25"/>
      <c r="F1440" s="25"/>
      <c r="G1440" s="25"/>
      <c r="H1440" s="26"/>
      <c r="I1440" s="26"/>
      <c r="J1440" s="2"/>
      <c r="K1440" s="25"/>
      <c r="L1440" s="25"/>
      <c r="M1440" s="25"/>
      <c r="N1440" s="25"/>
      <c r="O1440" s="25"/>
      <c r="P1440" s="25"/>
    </row>
    <row r="1441" spans="1:16" x14ac:dyDescent="0.25">
      <c r="A1441" t="s">
        <v>1882</v>
      </c>
      <c r="B1441" s="25"/>
      <c r="C1441" s="26"/>
      <c r="D1441" s="2"/>
      <c r="E1441" s="25"/>
      <c r="F1441" s="25"/>
      <c r="G1441" s="25"/>
      <c r="H1441" s="26"/>
      <c r="I1441" s="26"/>
      <c r="J1441" s="2"/>
      <c r="K1441" s="25"/>
      <c r="L1441" s="25"/>
      <c r="M1441" s="25"/>
      <c r="N1441" s="25"/>
      <c r="O1441" s="25"/>
      <c r="P1441" s="25"/>
    </row>
    <row r="1442" spans="1:16" x14ac:dyDescent="0.25">
      <c r="A1442" t="s">
        <v>1883</v>
      </c>
      <c r="B1442" s="25"/>
      <c r="C1442" s="26"/>
      <c r="D1442" s="2"/>
      <c r="E1442" s="25"/>
      <c r="F1442" s="25"/>
      <c r="G1442" s="25"/>
      <c r="H1442" s="26"/>
      <c r="I1442" s="26"/>
      <c r="J1442" s="2"/>
      <c r="K1442" s="25"/>
      <c r="L1442" s="25"/>
      <c r="M1442" s="25"/>
      <c r="N1442" s="25"/>
      <c r="O1442" s="25"/>
      <c r="P1442" s="25"/>
    </row>
    <row r="1443" spans="1:16" x14ac:dyDescent="0.25">
      <c r="A1443" t="s">
        <v>1884</v>
      </c>
      <c r="B1443" s="25"/>
      <c r="C1443" s="26"/>
      <c r="D1443" s="2"/>
      <c r="E1443" s="25"/>
      <c r="F1443" s="25"/>
      <c r="G1443" s="25"/>
      <c r="H1443" s="26"/>
      <c r="I1443" s="26"/>
      <c r="J1443" s="2"/>
      <c r="K1443" s="25"/>
      <c r="L1443" s="25"/>
      <c r="M1443" s="25"/>
      <c r="N1443" s="25"/>
      <c r="O1443" s="25"/>
      <c r="P1443" s="25"/>
    </row>
    <row r="1444" spans="1:16" x14ac:dyDescent="0.25">
      <c r="A1444" t="s">
        <v>1885</v>
      </c>
      <c r="B1444" s="25"/>
      <c r="C1444" s="26"/>
      <c r="D1444" s="2"/>
      <c r="E1444" s="25"/>
      <c r="F1444" s="25"/>
      <c r="G1444" s="25"/>
      <c r="H1444" s="26"/>
      <c r="I1444" s="26"/>
      <c r="J1444" s="2"/>
      <c r="K1444" s="25"/>
      <c r="L1444" s="25"/>
      <c r="M1444" s="25"/>
      <c r="N1444" s="25"/>
      <c r="O1444" s="25"/>
      <c r="P1444" s="25"/>
    </row>
    <row r="1445" spans="1:16" x14ac:dyDescent="0.25">
      <c r="A1445" t="s">
        <v>1886</v>
      </c>
      <c r="B1445" s="25"/>
      <c r="C1445" s="26"/>
      <c r="D1445" s="2"/>
      <c r="E1445" s="25"/>
      <c r="F1445" s="25"/>
      <c r="G1445" s="25"/>
      <c r="H1445" s="26"/>
      <c r="I1445" s="26"/>
      <c r="J1445" s="2"/>
      <c r="K1445" s="25"/>
      <c r="L1445" s="25"/>
      <c r="M1445" s="25"/>
      <c r="N1445" s="25"/>
      <c r="O1445" s="25"/>
      <c r="P1445" s="25"/>
    </row>
    <row r="1446" spans="1:16" x14ac:dyDescent="0.25">
      <c r="A1446" t="s">
        <v>1887</v>
      </c>
      <c r="B1446" s="25"/>
      <c r="C1446" s="26"/>
      <c r="D1446" s="2"/>
      <c r="E1446" s="25"/>
      <c r="F1446" s="25"/>
      <c r="G1446" s="25"/>
      <c r="H1446" s="26"/>
      <c r="I1446" s="26"/>
      <c r="J1446" s="2"/>
      <c r="K1446" s="25"/>
      <c r="L1446" s="25"/>
      <c r="M1446" s="25"/>
      <c r="N1446" s="25"/>
      <c r="O1446" s="25"/>
      <c r="P1446" s="25"/>
    </row>
    <row r="1447" spans="1:16" x14ac:dyDescent="0.25">
      <c r="A1447" t="s">
        <v>1888</v>
      </c>
      <c r="B1447" s="25"/>
      <c r="C1447" s="26"/>
      <c r="D1447" s="2"/>
      <c r="E1447" s="25"/>
      <c r="F1447" s="25"/>
      <c r="G1447" s="25"/>
      <c r="H1447" s="26"/>
      <c r="I1447" s="26"/>
      <c r="J1447" s="2"/>
      <c r="K1447" s="25"/>
      <c r="L1447" s="25"/>
      <c r="M1447" s="25"/>
      <c r="N1447" s="25"/>
      <c r="O1447" s="25"/>
      <c r="P1447" s="25"/>
    </row>
    <row r="1448" spans="1:16" x14ac:dyDescent="0.25">
      <c r="A1448" t="s">
        <v>1889</v>
      </c>
      <c r="B1448" s="25"/>
      <c r="C1448" s="26"/>
      <c r="D1448" s="2"/>
      <c r="E1448" s="25"/>
      <c r="F1448" s="25"/>
      <c r="G1448" s="25"/>
      <c r="H1448" s="26"/>
      <c r="I1448" s="26"/>
      <c r="J1448" s="2"/>
      <c r="K1448" s="25"/>
      <c r="L1448" s="25"/>
      <c r="M1448" s="25"/>
      <c r="N1448" s="25"/>
      <c r="O1448" s="25"/>
      <c r="P1448" s="25"/>
    </row>
    <row r="1449" spans="1:16" x14ac:dyDescent="0.25">
      <c r="A1449" t="s">
        <v>1890</v>
      </c>
      <c r="B1449" s="25"/>
      <c r="C1449" s="26"/>
      <c r="D1449" s="2"/>
      <c r="E1449" s="25"/>
      <c r="F1449" s="25"/>
      <c r="G1449" s="25"/>
      <c r="H1449" s="26"/>
      <c r="I1449" s="26"/>
      <c r="J1449" s="2"/>
      <c r="K1449" s="25"/>
      <c r="L1449" s="25"/>
      <c r="M1449" s="25"/>
      <c r="N1449" s="25"/>
      <c r="O1449" s="25"/>
      <c r="P1449" s="25"/>
    </row>
    <row r="1450" spans="1:16" x14ac:dyDescent="0.25">
      <c r="A1450" t="s">
        <v>1891</v>
      </c>
      <c r="B1450" s="25"/>
      <c r="C1450" s="26"/>
      <c r="D1450" s="2"/>
      <c r="E1450" s="25"/>
      <c r="F1450" s="25"/>
      <c r="G1450" s="25"/>
      <c r="H1450" s="26"/>
      <c r="I1450" s="26"/>
      <c r="J1450" s="2"/>
      <c r="K1450" s="25"/>
      <c r="L1450" s="25"/>
      <c r="M1450" s="25"/>
      <c r="N1450" s="25"/>
      <c r="O1450" s="25"/>
      <c r="P1450" s="25"/>
    </row>
    <row r="1451" spans="1:16" x14ac:dyDescent="0.25">
      <c r="A1451" t="s">
        <v>1892</v>
      </c>
      <c r="B1451" s="25"/>
      <c r="C1451" s="26"/>
      <c r="D1451" s="2"/>
      <c r="E1451" s="25"/>
      <c r="F1451" s="25"/>
      <c r="G1451" s="25"/>
      <c r="H1451" s="26"/>
      <c r="I1451" s="26"/>
      <c r="J1451" s="2"/>
      <c r="K1451" s="25"/>
      <c r="L1451" s="25"/>
      <c r="M1451" s="25"/>
      <c r="N1451" s="25"/>
      <c r="O1451" s="25"/>
      <c r="P1451" s="25"/>
    </row>
    <row r="1452" spans="1:16" x14ac:dyDescent="0.25">
      <c r="A1452" t="s">
        <v>1893</v>
      </c>
      <c r="B1452" s="25"/>
      <c r="C1452" s="26"/>
      <c r="D1452" s="2"/>
      <c r="E1452" s="25"/>
      <c r="F1452" s="25"/>
      <c r="G1452" s="25"/>
      <c r="H1452" s="26"/>
      <c r="I1452" s="26"/>
      <c r="J1452" s="2"/>
      <c r="K1452" s="25"/>
      <c r="L1452" s="25"/>
      <c r="M1452" s="25"/>
      <c r="N1452" s="25"/>
      <c r="O1452" s="25"/>
      <c r="P1452" s="25"/>
    </row>
    <row r="1453" spans="1:16" x14ac:dyDescent="0.25">
      <c r="A1453" t="s">
        <v>1894</v>
      </c>
      <c r="B1453" s="25"/>
      <c r="C1453" s="26"/>
      <c r="D1453" s="2"/>
      <c r="E1453" s="25"/>
      <c r="F1453" s="25"/>
      <c r="G1453" s="25"/>
      <c r="H1453" s="26"/>
      <c r="I1453" s="26"/>
      <c r="J1453" s="2"/>
      <c r="K1453" s="25"/>
      <c r="L1453" s="25"/>
      <c r="M1453" s="25"/>
      <c r="N1453" s="25"/>
      <c r="O1453" s="25"/>
      <c r="P1453" s="25"/>
    </row>
    <row r="1454" spans="1:16" x14ac:dyDescent="0.25">
      <c r="A1454" t="s">
        <v>1895</v>
      </c>
      <c r="B1454" s="25"/>
      <c r="C1454" s="26"/>
      <c r="D1454" s="2"/>
      <c r="E1454" s="25"/>
      <c r="F1454" s="25"/>
      <c r="G1454" s="25"/>
      <c r="H1454" s="26"/>
      <c r="I1454" s="26"/>
      <c r="J1454" s="2"/>
      <c r="K1454" s="25"/>
      <c r="L1454" s="25"/>
      <c r="M1454" s="25"/>
      <c r="N1454" s="25"/>
      <c r="O1454" s="25"/>
      <c r="P1454" s="25"/>
    </row>
    <row r="1455" spans="1:16" x14ac:dyDescent="0.25">
      <c r="A1455" t="s">
        <v>1896</v>
      </c>
      <c r="B1455" s="25"/>
      <c r="C1455" s="26"/>
      <c r="D1455" s="2"/>
      <c r="E1455" s="25"/>
      <c r="F1455" s="25"/>
      <c r="G1455" s="25"/>
      <c r="H1455" s="26"/>
      <c r="I1455" s="26"/>
      <c r="J1455" s="2"/>
      <c r="K1455" s="25"/>
      <c r="L1455" s="25"/>
      <c r="M1455" s="25"/>
      <c r="N1455" s="25"/>
      <c r="O1455" s="25"/>
      <c r="P1455" s="25"/>
    </row>
    <row r="1456" spans="1:16" x14ac:dyDescent="0.25">
      <c r="A1456" t="s">
        <v>1897</v>
      </c>
      <c r="B1456" s="25"/>
      <c r="C1456" s="26"/>
      <c r="D1456" s="2"/>
      <c r="E1456" s="25"/>
      <c r="F1456" s="25"/>
      <c r="G1456" s="25"/>
      <c r="H1456" s="26"/>
      <c r="I1456" s="26"/>
      <c r="J1456" s="2"/>
      <c r="K1456" s="25"/>
      <c r="L1456" s="25"/>
      <c r="M1456" s="25"/>
      <c r="N1456" s="25"/>
      <c r="O1456" s="25"/>
      <c r="P1456" s="25"/>
    </row>
    <row r="1457" spans="1:16" x14ac:dyDescent="0.25">
      <c r="A1457" t="s">
        <v>1898</v>
      </c>
      <c r="B1457" s="25"/>
      <c r="C1457" s="26"/>
      <c r="D1457" s="2"/>
      <c r="E1457" s="25"/>
      <c r="F1457" s="25"/>
      <c r="G1457" s="25"/>
      <c r="H1457" s="26"/>
      <c r="I1457" s="26"/>
      <c r="J1457" s="2"/>
      <c r="K1457" s="25"/>
      <c r="L1457" s="25"/>
      <c r="M1457" s="25"/>
      <c r="N1457" s="25"/>
      <c r="O1457" s="25"/>
      <c r="P1457" s="25"/>
    </row>
    <row r="1458" spans="1:16" x14ac:dyDescent="0.25">
      <c r="A1458" t="s">
        <v>1899</v>
      </c>
      <c r="B1458" s="25"/>
      <c r="C1458" s="26"/>
      <c r="D1458" s="2"/>
      <c r="E1458" s="25"/>
      <c r="F1458" s="25"/>
      <c r="G1458" s="25"/>
      <c r="H1458" s="26"/>
      <c r="I1458" s="26"/>
      <c r="J1458" s="2"/>
      <c r="K1458" s="25"/>
      <c r="L1458" s="25"/>
      <c r="M1458" s="25"/>
      <c r="N1458" s="25"/>
      <c r="O1458" s="25"/>
      <c r="P1458" s="25"/>
    </row>
    <row r="1459" spans="1:16" x14ac:dyDescent="0.25">
      <c r="A1459" t="s">
        <v>1900</v>
      </c>
      <c r="B1459" s="25"/>
      <c r="C1459" s="26"/>
      <c r="D1459" s="2"/>
      <c r="E1459" s="25"/>
      <c r="F1459" s="25"/>
      <c r="G1459" s="25"/>
      <c r="H1459" s="26"/>
      <c r="I1459" s="26"/>
      <c r="J1459" s="2"/>
      <c r="K1459" s="25"/>
      <c r="L1459" s="25"/>
      <c r="M1459" s="25"/>
      <c r="N1459" s="25"/>
      <c r="O1459" s="25"/>
      <c r="P1459" s="25"/>
    </row>
    <row r="1460" spans="1:16" x14ac:dyDescent="0.25">
      <c r="A1460" t="s">
        <v>1901</v>
      </c>
      <c r="B1460" s="25"/>
      <c r="C1460" s="26"/>
      <c r="D1460" s="2"/>
      <c r="E1460" s="25"/>
      <c r="F1460" s="25"/>
      <c r="G1460" s="25"/>
      <c r="H1460" s="26"/>
      <c r="I1460" s="26"/>
      <c r="J1460" s="2"/>
      <c r="K1460" s="25"/>
      <c r="L1460" s="25"/>
      <c r="M1460" s="25"/>
      <c r="N1460" s="25"/>
      <c r="O1460" s="25"/>
      <c r="P1460" s="25"/>
    </row>
    <row r="1461" spans="1:16" x14ac:dyDescent="0.25">
      <c r="A1461" t="s">
        <v>1902</v>
      </c>
      <c r="B1461" s="25"/>
      <c r="C1461" s="26"/>
      <c r="D1461" s="2"/>
      <c r="E1461" s="25"/>
      <c r="F1461" s="25"/>
      <c r="G1461" s="25"/>
      <c r="H1461" s="26"/>
      <c r="I1461" s="26"/>
      <c r="J1461" s="2"/>
      <c r="K1461" s="25"/>
      <c r="L1461" s="25"/>
      <c r="M1461" s="25"/>
      <c r="N1461" s="25"/>
      <c r="O1461" s="25"/>
      <c r="P1461" s="25"/>
    </row>
    <row r="1462" spans="1:16" x14ac:dyDescent="0.25">
      <c r="A1462" t="s">
        <v>1903</v>
      </c>
      <c r="B1462" s="25"/>
      <c r="C1462" s="26"/>
      <c r="D1462" s="2"/>
      <c r="E1462" s="25"/>
      <c r="F1462" s="25"/>
      <c r="G1462" s="25"/>
      <c r="H1462" s="26"/>
      <c r="I1462" s="26"/>
      <c r="J1462" s="2"/>
      <c r="K1462" s="25"/>
      <c r="L1462" s="25"/>
      <c r="M1462" s="25"/>
      <c r="N1462" s="25"/>
      <c r="O1462" s="25"/>
      <c r="P1462" s="25"/>
    </row>
    <row r="1463" spans="1:16" x14ac:dyDescent="0.25">
      <c r="A1463" t="s">
        <v>1904</v>
      </c>
      <c r="B1463" s="25"/>
      <c r="C1463" s="26"/>
      <c r="D1463" s="2"/>
      <c r="E1463" s="25"/>
      <c r="F1463" s="25"/>
      <c r="G1463" s="25"/>
      <c r="H1463" s="26"/>
      <c r="I1463" s="26"/>
      <c r="J1463" s="2"/>
      <c r="K1463" s="25"/>
      <c r="L1463" s="25"/>
      <c r="M1463" s="25"/>
      <c r="N1463" s="25"/>
      <c r="O1463" s="25"/>
      <c r="P1463" s="25"/>
    </row>
    <row r="1464" spans="1:16" x14ac:dyDescent="0.25">
      <c r="A1464" t="s">
        <v>1905</v>
      </c>
      <c r="B1464" s="25"/>
      <c r="C1464" s="26"/>
      <c r="D1464" s="2"/>
      <c r="E1464" s="25"/>
      <c r="F1464" s="25"/>
      <c r="G1464" s="25"/>
      <c r="H1464" s="26"/>
      <c r="I1464" s="26"/>
      <c r="J1464" s="2"/>
      <c r="K1464" s="25"/>
      <c r="L1464" s="25"/>
      <c r="M1464" s="25"/>
      <c r="N1464" s="25"/>
      <c r="O1464" s="25"/>
      <c r="P1464" s="25"/>
    </row>
    <row r="1465" spans="1:16" x14ac:dyDescent="0.25">
      <c r="A1465" t="s">
        <v>1906</v>
      </c>
      <c r="B1465" s="25"/>
      <c r="C1465" s="26"/>
      <c r="D1465" s="2"/>
      <c r="E1465" s="25"/>
      <c r="F1465" s="25"/>
      <c r="G1465" s="25"/>
      <c r="H1465" s="26"/>
      <c r="I1465" s="26"/>
      <c r="J1465" s="2"/>
      <c r="K1465" s="25"/>
      <c r="L1465" s="25"/>
      <c r="M1465" s="25"/>
      <c r="N1465" s="25"/>
      <c r="O1465" s="25"/>
      <c r="P1465" s="2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15968-2124-431D-BA1E-83FD71C9DE96}">
  <dimension ref="A1:T1465"/>
  <sheetViews>
    <sheetView topLeftCell="O1212" zoomScale="108" workbookViewId="0">
      <selection activeCell="T1226" sqref="T1226"/>
    </sheetView>
  </sheetViews>
  <sheetFormatPr baseColWidth="10" defaultRowHeight="15" x14ac:dyDescent="0.25"/>
  <cols>
    <col min="1" max="1" width="8" bestFit="1" customWidth="1"/>
    <col min="2" max="2" width="29.85546875" bestFit="1" customWidth="1"/>
    <col min="3" max="3" width="17.42578125" bestFit="1" customWidth="1"/>
    <col min="4" max="4" width="21.42578125" bestFit="1" customWidth="1"/>
    <col min="5" max="5" width="26.85546875" bestFit="1" customWidth="1"/>
    <col min="6" max="6" width="13.140625" bestFit="1" customWidth="1"/>
    <col min="7" max="7" width="81.140625" bestFit="1" customWidth="1"/>
    <col min="8" max="8" width="29.85546875" bestFit="1" customWidth="1"/>
    <col min="9" max="9" width="27.140625" bestFit="1" customWidth="1"/>
    <col min="10" max="10" width="26.5703125" bestFit="1" customWidth="1"/>
    <col min="11" max="11" width="22" bestFit="1" customWidth="1"/>
    <col min="12" max="12" width="81.140625" bestFit="1" customWidth="1"/>
    <col min="13" max="13" width="51.85546875" bestFit="1" customWidth="1"/>
    <col min="14" max="14" width="37.85546875" bestFit="1" customWidth="1"/>
    <col min="15" max="15" width="24.28515625" bestFit="1" customWidth="1"/>
    <col min="16" max="16" width="10.5703125" bestFit="1" customWidth="1"/>
    <col min="17" max="17" width="32.85546875" bestFit="1" customWidth="1"/>
    <col min="18" max="18" width="27.85546875" bestFit="1" customWidth="1"/>
    <col min="19" max="19" width="27.5703125" bestFit="1" customWidth="1"/>
    <col min="20" max="20" width="32"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s="8" t="s">
        <v>1539</v>
      </c>
      <c r="R1" s="8" t="s">
        <v>1540</v>
      </c>
      <c r="S1" s="8" t="s">
        <v>1541</v>
      </c>
      <c r="T1" s="8" t="s">
        <v>1542</v>
      </c>
    </row>
    <row r="2" spans="1:20" x14ac:dyDescent="0.25">
      <c r="A2">
        <v>1</v>
      </c>
      <c r="B2" t="s">
        <v>93</v>
      </c>
      <c r="C2" s="1">
        <v>0.28472222222222221</v>
      </c>
      <c r="D2" s="2">
        <v>45958</v>
      </c>
      <c r="E2" t="s">
        <v>94</v>
      </c>
      <c r="F2" t="s">
        <v>95</v>
      </c>
      <c r="G2" t="s">
        <v>96</v>
      </c>
      <c r="H2" s="1">
        <v>0.3125</v>
      </c>
      <c r="I2" s="1">
        <v>0.31944444444444442</v>
      </c>
      <c r="J2" s="2">
        <v>45958</v>
      </c>
      <c r="K2" t="s">
        <v>25</v>
      </c>
      <c r="L2" t="s">
        <v>97</v>
      </c>
      <c r="M2" t="s">
        <v>98</v>
      </c>
      <c r="N2" t="s">
        <v>22</v>
      </c>
      <c r="O2" t="s">
        <v>99</v>
      </c>
      <c r="P2" t="s">
        <v>23</v>
      </c>
      <c r="Q2" s="9">
        <f>SEGUIMIENTO_TPM_xlsx[[#This Row],[HORA FIN  INTERVENCIÓN]]-SEGUIMIENTO_TPM_xlsx[[#This Row],[HORA INICIO INTERVENCIÓN]]</f>
        <v>6.9444444444444198E-3</v>
      </c>
      <c r="R2" s="19">
        <f>(SEGUIMIENTO_TPM_xlsx[[#This Row],[HORA REPORTE]]+SEGUIMIENTO_TPM_xlsx[[#This Row],[FECHA DE REPORTE]])</f>
        <v>45958.284722222219</v>
      </c>
      <c r="S2" s="19">
        <f>(SEGUIMIENTO_TPM_xlsx[[#This Row],[FECHA DE INTERVENCÓN]]+SEGUIMIENTO_TPM_xlsx[[#This Row],[HORA FIN  INTERVENCIÓN]])</f>
        <v>45958.319444444445</v>
      </c>
      <c r="T2" s="10">
        <f>(SEGUIMIENTO_TPM_xlsx[[#This Row],[FECHA Y HORA FINAL]]-SEGUIMIENTO_TPM_xlsx[[#This Row],[FECHA Y HORA INICIO]])</f>
        <v>3.4722222226264421E-2</v>
      </c>
    </row>
    <row r="3" spans="1:20" x14ac:dyDescent="0.25">
      <c r="A3">
        <v>2</v>
      </c>
      <c r="B3" t="s">
        <v>93</v>
      </c>
      <c r="C3" s="1">
        <v>0.32291666666666669</v>
      </c>
      <c r="D3" s="2">
        <v>45958</v>
      </c>
      <c r="E3" t="s">
        <v>94</v>
      </c>
      <c r="F3" t="s">
        <v>100</v>
      </c>
      <c r="G3" t="s">
        <v>101</v>
      </c>
      <c r="H3" s="1">
        <v>0.3215277777777778</v>
      </c>
      <c r="I3" s="1">
        <v>0.33263888888888887</v>
      </c>
      <c r="J3" s="2">
        <v>45958</v>
      </c>
      <c r="K3" t="s">
        <v>25</v>
      </c>
      <c r="L3" t="s">
        <v>102</v>
      </c>
      <c r="M3" t="s">
        <v>22</v>
      </c>
      <c r="N3" t="s">
        <v>22</v>
      </c>
      <c r="O3" t="s">
        <v>99</v>
      </c>
      <c r="P3" t="s">
        <v>23</v>
      </c>
      <c r="Q3" s="1">
        <f>SEGUIMIENTO_TPM_xlsx[[#This Row],[HORA FIN  INTERVENCIÓN]]-SEGUIMIENTO_TPM_xlsx[[#This Row],[HORA INICIO INTERVENCIÓN]]</f>
        <v>1.1111111111111072E-2</v>
      </c>
      <c r="R3" s="20">
        <f>(SEGUIMIENTO_TPM_xlsx[[#This Row],[HORA REPORTE]]+SEGUIMIENTO_TPM_xlsx[[#This Row],[FECHA DE REPORTE]])</f>
        <v>45958.322916666664</v>
      </c>
      <c r="S3" s="20">
        <f>(SEGUIMIENTO_TPM_xlsx[[#This Row],[FECHA DE INTERVENCÓN]]+SEGUIMIENTO_TPM_xlsx[[#This Row],[HORA FIN  INTERVENCIÓN]])</f>
        <v>45958.332638888889</v>
      </c>
      <c r="T3" s="11">
        <f>(SEGUIMIENTO_TPM_xlsx[[#This Row],[FECHA Y HORA FINAL]]-SEGUIMIENTO_TPM_xlsx[[#This Row],[FECHA Y HORA INICIO]])</f>
        <v>9.7222222248092294E-3</v>
      </c>
    </row>
    <row r="4" spans="1:20" x14ac:dyDescent="0.25">
      <c r="A4">
        <v>3</v>
      </c>
      <c r="B4" t="s">
        <v>103</v>
      </c>
      <c r="C4" s="1">
        <v>0.63888888888888884</v>
      </c>
      <c r="D4" s="2">
        <v>45958</v>
      </c>
      <c r="E4" t="s">
        <v>104</v>
      </c>
      <c r="F4" t="s">
        <v>100</v>
      </c>
      <c r="G4" t="s">
        <v>105</v>
      </c>
      <c r="H4" s="1">
        <v>0.64583333333333337</v>
      </c>
      <c r="I4" s="1">
        <v>0.66666666666666663</v>
      </c>
      <c r="J4" s="2">
        <v>45958</v>
      </c>
      <c r="K4" t="s">
        <v>25</v>
      </c>
      <c r="L4" t="s">
        <v>106</v>
      </c>
      <c r="M4" t="s">
        <v>22</v>
      </c>
      <c r="N4" t="s">
        <v>107</v>
      </c>
      <c r="O4" t="s">
        <v>108</v>
      </c>
      <c r="P4" t="s">
        <v>23</v>
      </c>
      <c r="Q4" s="1">
        <f>SEGUIMIENTO_TPM_xlsx[[#This Row],[HORA FIN  INTERVENCIÓN]]-SEGUIMIENTO_TPM_xlsx[[#This Row],[HORA INICIO INTERVENCIÓN]]</f>
        <v>2.0833333333333259E-2</v>
      </c>
      <c r="R4" s="20">
        <f>(SEGUIMIENTO_TPM_xlsx[[#This Row],[HORA REPORTE]]+SEGUIMIENTO_TPM_xlsx[[#This Row],[FECHA DE REPORTE]])</f>
        <v>45958.638888888891</v>
      </c>
      <c r="S4" s="20">
        <f>(SEGUIMIENTO_TPM_xlsx[[#This Row],[FECHA DE INTERVENCÓN]]+SEGUIMIENTO_TPM_xlsx[[#This Row],[HORA FIN  INTERVENCIÓN]])</f>
        <v>45958.666666666664</v>
      </c>
      <c r="T4" s="11">
        <f>(SEGUIMIENTO_TPM_xlsx[[#This Row],[FECHA Y HORA FINAL]]-SEGUIMIENTO_TPM_xlsx[[#This Row],[FECHA Y HORA INICIO]])</f>
        <v>2.7777777773735579E-2</v>
      </c>
    </row>
    <row r="5" spans="1:20" x14ac:dyDescent="0.25">
      <c r="A5">
        <v>4</v>
      </c>
      <c r="B5" t="s">
        <v>16</v>
      </c>
      <c r="C5" s="1">
        <v>0.84722222222222221</v>
      </c>
      <c r="D5" s="2">
        <v>45958</v>
      </c>
      <c r="E5" t="s">
        <v>109</v>
      </c>
      <c r="F5" t="s">
        <v>95</v>
      </c>
      <c r="G5" t="s">
        <v>110</v>
      </c>
      <c r="H5" s="1">
        <v>0.84722222222222221</v>
      </c>
      <c r="I5" s="1">
        <v>0.86111111111111116</v>
      </c>
      <c r="J5" s="2">
        <v>45958</v>
      </c>
      <c r="K5" t="s">
        <v>25</v>
      </c>
      <c r="L5" t="s">
        <v>111</v>
      </c>
      <c r="M5" t="s">
        <v>22</v>
      </c>
      <c r="N5" t="s">
        <v>22</v>
      </c>
      <c r="O5" t="s">
        <v>112</v>
      </c>
      <c r="P5" t="s">
        <v>23</v>
      </c>
      <c r="Q5" s="1">
        <f>SEGUIMIENTO_TPM_xlsx[[#This Row],[HORA FIN  INTERVENCIÓN]]-SEGUIMIENTO_TPM_xlsx[[#This Row],[HORA INICIO INTERVENCIÓN]]</f>
        <v>1.3888888888888951E-2</v>
      </c>
      <c r="R5" s="20">
        <f>(SEGUIMIENTO_TPM_xlsx[[#This Row],[HORA REPORTE]]+SEGUIMIENTO_TPM_xlsx[[#This Row],[FECHA DE REPORTE]])</f>
        <v>45958.847222222219</v>
      </c>
      <c r="S5" s="20">
        <f>(SEGUIMIENTO_TPM_xlsx[[#This Row],[FECHA DE INTERVENCÓN]]+SEGUIMIENTO_TPM_xlsx[[#This Row],[HORA FIN  INTERVENCIÓN]])</f>
        <v>45958.861111111109</v>
      </c>
      <c r="T5" s="11">
        <f>(SEGUIMIENTO_TPM_xlsx[[#This Row],[FECHA Y HORA FINAL]]-SEGUIMIENTO_TPM_xlsx[[#This Row],[FECHA Y HORA INICIO]])</f>
        <v>1.3888888890505768E-2</v>
      </c>
    </row>
    <row r="6" spans="1:20" x14ac:dyDescent="0.25">
      <c r="A6">
        <v>5</v>
      </c>
      <c r="B6" t="s">
        <v>113</v>
      </c>
      <c r="C6" s="1">
        <v>0.16666666666666666</v>
      </c>
      <c r="D6" s="2">
        <v>45959</v>
      </c>
      <c r="E6" t="s">
        <v>85</v>
      </c>
      <c r="F6" t="s">
        <v>95</v>
      </c>
      <c r="G6" t="s">
        <v>114</v>
      </c>
      <c r="H6" s="1">
        <v>0.16666666666666666</v>
      </c>
      <c r="I6" s="1">
        <v>0.1875</v>
      </c>
      <c r="J6" s="2">
        <v>45959</v>
      </c>
      <c r="K6" t="s">
        <v>20</v>
      </c>
      <c r="L6" t="s">
        <v>115</v>
      </c>
      <c r="M6" t="s">
        <v>22</v>
      </c>
      <c r="N6" t="s">
        <v>22</v>
      </c>
      <c r="O6" t="s">
        <v>44</v>
      </c>
      <c r="P6" t="s">
        <v>23</v>
      </c>
      <c r="Q6" s="1">
        <f>SEGUIMIENTO_TPM_xlsx[[#This Row],[HORA FIN  INTERVENCIÓN]]-SEGUIMIENTO_TPM_xlsx[[#This Row],[HORA INICIO INTERVENCIÓN]]</f>
        <v>2.0833333333333343E-2</v>
      </c>
      <c r="R6" s="20">
        <f>(SEGUIMIENTO_TPM_xlsx[[#This Row],[HORA REPORTE]]+SEGUIMIENTO_TPM_xlsx[[#This Row],[FECHA DE REPORTE]])</f>
        <v>45959.166666666664</v>
      </c>
      <c r="S6" s="20">
        <f>(SEGUIMIENTO_TPM_xlsx[[#This Row],[FECHA DE INTERVENCÓN]]+SEGUIMIENTO_TPM_xlsx[[#This Row],[HORA FIN  INTERVENCIÓN]])</f>
        <v>45959.1875</v>
      </c>
      <c r="T6" s="11">
        <f>(SEGUIMIENTO_TPM_xlsx[[#This Row],[FECHA Y HORA FINAL]]-SEGUIMIENTO_TPM_xlsx[[#This Row],[FECHA Y HORA INICIO]])</f>
        <v>2.0833333335758653E-2</v>
      </c>
    </row>
    <row r="7" spans="1:20" x14ac:dyDescent="0.25">
      <c r="A7">
        <v>6</v>
      </c>
      <c r="B7" t="s">
        <v>93</v>
      </c>
      <c r="C7" s="1">
        <v>0.53472222222222221</v>
      </c>
      <c r="D7" s="2">
        <v>45959</v>
      </c>
      <c r="E7" t="s">
        <v>116</v>
      </c>
      <c r="F7" t="s">
        <v>95</v>
      </c>
      <c r="G7" t="s">
        <v>117</v>
      </c>
      <c r="H7" s="1">
        <v>0.54166666666666663</v>
      </c>
      <c r="I7" s="1">
        <v>0.57152777777777775</v>
      </c>
      <c r="J7" s="2">
        <v>45959</v>
      </c>
      <c r="K7" t="s">
        <v>25</v>
      </c>
      <c r="L7" t="s">
        <v>118</v>
      </c>
      <c r="M7" t="s">
        <v>119</v>
      </c>
      <c r="N7" t="s">
        <v>22</v>
      </c>
      <c r="O7" t="s">
        <v>99</v>
      </c>
      <c r="P7" t="s">
        <v>23</v>
      </c>
      <c r="Q7" s="1">
        <f>SEGUIMIENTO_TPM_xlsx[[#This Row],[HORA FIN  INTERVENCIÓN]]-SEGUIMIENTO_TPM_xlsx[[#This Row],[HORA INICIO INTERVENCIÓN]]</f>
        <v>2.9861111111111116E-2</v>
      </c>
      <c r="R7" s="20">
        <f>(SEGUIMIENTO_TPM_xlsx[[#This Row],[HORA REPORTE]]+SEGUIMIENTO_TPM_xlsx[[#This Row],[FECHA DE REPORTE]])</f>
        <v>45959.534722222219</v>
      </c>
      <c r="S7" s="20">
        <f>(SEGUIMIENTO_TPM_xlsx[[#This Row],[FECHA DE INTERVENCÓN]]+SEGUIMIENTO_TPM_xlsx[[#This Row],[HORA FIN  INTERVENCIÓN]])</f>
        <v>45959.571527777778</v>
      </c>
      <c r="T7" s="11">
        <f>(SEGUIMIENTO_TPM_xlsx[[#This Row],[FECHA Y HORA FINAL]]-SEGUIMIENTO_TPM_xlsx[[#This Row],[FECHA Y HORA INICIO]])</f>
        <v>3.680555555911269E-2</v>
      </c>
    </row>
    <row r="8" spans="1:20" x14ac:dyDescent="0.25">
      <c r="A8">
        <v>7</v>
      </c>
      <c r="B8" t="s">
        <v>120</v>
      </c>
      <c r="C8" s="1">
        <v>1.7361111111111112E-2</v>
      </c>
      <c r="D8" s="2">
        <v>45960</v>
      </c>
      <c r="E8" t="s">
        <v>94</v>
      </c>
      <c r="F8" t="s">
        <v>95</v>
      </c>
      <c r="G8" t="s">
        <v>121</v>
      </c>
      <c r="H8" s="1">
        <v>1.7361111111111112E-2</v>
      </c>
      <c r="I8" s="1">
        <v>5.2083333333333336E-2</v>
      </c>
      <c r="J8" s="2">
        <v>45960</v>
      </c>
      <c r="K8" t="s">
        <v>25</v>
      </c>
      <c r="L8" t="s">
        <v>122</v>
      </c>
      <c r="M8" t="s">
        <v>123</v>
      </c>
      <c r="N8" t="s">
        <v>22</v>
      </c>
      <c r="O8" t="s">
        <v>44</v>
      </c>
      <c r="P8" t="s">
        <v>23</v>
      </c>
      <c r="Q8" s="1">
        <f>SEGUIMIENTO_TPM_xlsx[[#This Row],[HORA FIN  INTERVENCIÓN]]-SEGUIMIENTO_TPM_xlsx[[#This Row],[HORA INICIO INTERVENCIÓN]]</f>
        <v>3.4722222222222224E-2</v>
      </c>
      <c r="R8" s="20">
        <f>(SEGUIMIENTO_TPM_xlsx[[#This Row],[HORA REPORTE]]+SEGUIMIENTO_TPM_xlsx[[#This Row],[FECHA DE REPORTE]])</f>
        <v>45960.017361111109</v>
      </c>
      <c r="S8" s="20">
        <f>(SEGUIMIENTO_TPM_xlsx[[#This Row],[FECHA DE INTERVENCÓN]]+SEGUIMIENTO_TPM_xlsx[[#This Row],[HORA FIN  INTERVENCIÓN]])</f>
        <v>45960.052083333336</v>
      </c>
      <c r="T8" s="11">
        <f>(SEGUIMIENTO_TPM_xlsx[[#This Row],[FECHA Y HORA FINAL]]-SEGUIMIENTO_TPM_xlsx[[#This Row],[FECHA Y HORA INICIO]])</f>
        <v>3.4722222226264421E-2</v>
      </c>
    </row>
    <row r="9" spans="1:20" x14ac:dyDescent="0.25">
      <c r="A9">
        <v>8</v>
      </c>
      <c r="B9" t="s">
        <v>124</v>
      </c>
      <c r="C9" s="1">
        <v>0.30902777777777779</v>
      </c>
      <c r="D9" s="2">
        <v>45960</v>
      </c>
      <c r="E9" t="s">
        <v>94</v>
      </c>
      <c r="F9" t="s">
        <v>95</v>
      </c>
      <c r="G9" t="s">
        <v>125</v>
      </c>
      <c r="H9" s="1">
        <v>0.31944444444444442</v>
      </c>
      <c r="I9" s="1">
        <v>0.3611111111111111</v>
      </c>
      <c r="J9" s="2">
        <v>45960</v>
      </c>
      <c r="K9" t="s">
        <v>25</v>
      </c>
      <c r="L9" t="s">
        <v>126</v>
      </c>
      <c r="M9" t="s">
        <v>22</v>
      </c>
      <c r="N9" t="s">
        <v>127</v>
      </c>
      <c r="O9" t="s">
        <v>108</v>
      </c>
      <c r="P9" t="s">
        <v>23</v>
      </c>
      <c r="Q9" s="1">
        <f>SEGUIMIENTO_TPM_xlsx[[#This Row],[HORA FIN  INTERVENCIÓN]]-SEGUIMIENTO_TPM_xlsx[[#This Row],[HORA INICIO INTERVENCIÓN]]</f>
        <v>4.1666666666666685E-2</v>
      </c>
      <c r="R9" s="20">
        <f>(SEGUIMIENTO_TPM_xlsx[[#This Row],[HORA REPORTE]]+SEGUIMIENTO_TPM_xlsx[[#This Row],[FECHA DE REPORTE]])</f>
        <v>45960.309027777781</v>
      </c>
      <c r="S9" s="20">
        <f>(SEGUIMIENTO_TPM_xlsx[[#This Row],[FECHA DE INTERVENCÓN]]+SEGUIMIENTO_TPM_xlsx[[#This Row],[HORA FIN  INTERVENCIÓN]])</f>
        <v>45960.361111111109</v>
      </c>
      <c r="T9" s="11">
        <f>(SEGUIMIENTO_TPM_xlsx[[#This Row],[FECHA Y HORA FINAL]]-SEGUIMIENTO_TPM_xlsx[[#This Row],[FECHA Y HORA INICIO]])</f>
        <v>5.2083333328482695E-2</v>
      </c>
    </row>
    <row r="10" spans="1:20" x14ac:dyDescent="0.25">
      <c r="A10">
        <v>9</v>
      </c>
      <c r="B10" t="s">
        <v>124</v>
      </c>
      <c r="C10" s="1">
        <v>0.4513888888888889</v>
      </c>
      <c r="D10" s="2">
        <v>45960</v>
      </c>
      <c r="E10" t="s">
        <v>94</v>
      </c>
      <c r="F10" t="s">
        <v>95</v>
      </c>
      <c r="G10" t="s">
        <v>128</v>
      </c>
      <c r="H10" s="1">
        <v>0.4513888888888889</v>
      </c>
      <c r="I10" s="1">
        <v>0.46736111111111112</v>
      </c>
      <c r="J10" s="2">
        <v>45960</v>
      </c>
      <c r="K10" t="s">
        <v>25</v>
      </c>
      <c r="L10" t="s">
        <v>129</v>
      </c>
      <c r="M10" t="s">
        <v>22</v>
      </c>
      <c r="N10" t="s">
        <v>22</v>
      </c>
      <c r="O10" t="s">
        <v>108</v>
      </c>
      <c r="P10" t="s">
        <v>23</v>
      </c>
      <c r="Q10" s="1">
        <f>SEGUIMIENTO_TPM_xlsx[[#This Row],[HORA FIN  INTERVENCIÓN]]-SEGUIMIENTO_TPM_xlsx[[#This Row],[HORA INICIO INTERVENCIÓN]]</f>
        <v>1.5972222222222221E-2</v>
      </c>
      <c r="R10" s="20">
        <f>(SEGUIMIENTO_TPM_xlsx[[#This Row],[HORA REPORTE]]+SEGUIMIENTO_TPM_xlsx[[#This Row],[FECHA DE REPORTE]])</f>
        <v>45960.451388888891</v>
      </c>
      <c r="S10" s="20">
        <f>(SEGUIMIENTO_TPM_xlsx[[#This Row],[FECHA DE INTERVENCÓN]]+SEGUIMIENTO_TPM_xlsx[[#This Row],[HORA FIN  INTERVENCIÓN]])</f>
        <v>45960.467361111114</v>
      </c>
      <c r="T10" s="11">
        <f>(SEGUIMIENTO_TPM_xlsx[[#This Row],[FECHA Y HORA FINAL]]-SEGUIMIENTO_TPM_xlsx[[#This Row],[FECHA Y HORA INICIO]])</f>
        <v>1.5972222223354038E-2</v>
      </c>
    </row>
    <row r="11" spans="1:20" x14ac:dyDescent="0.25">
      <c r="A11">
        <v>10</v>
      </c>
      <c r="C11" s="1"/>
      <c r="D11" s="2"/>
      <c r="H11" s="1"/>
      <c r="I11" s="1"/>
      <c r="J11" s="2"/>
      <c r="Q11" s="1">
        <f>SEGUIMIENTO_TPM_xlsx[[#This Row],[HORA FIN  INTERVENCIÓN]]-SEGUIMIENTO_TPM_xlsx[[#This Row],[HORA INICIO INTERVENCIÓN]]</f>
        <v>0</v>
      </c>
      <c r="R11" s="20">
        <f>(SEGUIMIENTO_TPM_xlsx[[#This Row],[HORA REPORTE]]+SEGUIMIENTO_TPM_xlsx[[#This Row],[FECHA DE REPORTE]])</f>
        <v>0</v>
      </c>
      <c r="S11" s="20">
        <f>(SEGUIMIENTO_TPM_xlsx[[#This Row],[FECHA DE INTERVENCÓN]]+SEGUIMIENTO_TPM_xlsx[[#This Row],[HORA FIN  INTERVENCIÓN]])</f>
        <v>0</v>
      </c>
      <c r="T11" s="11">
        <f>(SEGUIMIENTO_TPM_xlsx[[#This Row],[FECHA Y HORA FINAL]]-SEGUIMIENTO_TPM_xlsx[[#This Row],[FECHA Y HORA INICIO]])</f>
        <v>0</v>
      </c>
    </row>
    <row r="12" spans="1:20" x14ac:dyDescent="0.25">
      <c r="A12">
        <v>11</v>
      </c>
      <c r="C12" s="1"/>
      <c r="D12" s="2"/>
      <c r="H12" s="1"/>
      <c r="I12" s="1"/>
      <c r="J12" s="2"/>
      <c r="Q12" s="1">
        <f>SEGUIMIENTO_TPM_xlsx[[#This Row],[HORA FIN  INTERVENCIÓN]]-SEGUIMIENTO_TPM_xlsx[[#This Row],[HORA INICIO INTERVENCIÓN]]</f>
        <v>0</v>
      </c>
      <c r="R12" s="20">
        <f>(SEGUIMIENTO_TPM_xlsx[[#This Row],[HORA REPORTE]]+SEGUIMIENTO_TPM_xlsx[[#This Row],[FECHA DE REPORTE]])</f>
        <v>0</v>
      </c>
      <c r="S12" s="20">
        <f>(SEGUIMIENTO_TPM_xlsx[[#This Row],[FECHA DE INTERVENCÓN]]+SEGUIMIENTO_TPM_xlsx[[#This Row],[HORA FIN  INTERVENCIÓN]])</f>
        <v>0</v>
      </c>
      <c r="T12" s="11">
        <f>(SEGUIMIENTO_TPM_xlsx[[#This Row],[FECHA Y HORA FINAL]]-SEGUIMIENTO_TPM_xlsx[[#This Row],[FECHA Y HORA INICIO]])</f>
        <v>0</v>
      </c>
    </row>
    <row r="13" spans="1:20" x14ac:dyDescent="0.25">
      <c r="A13">
        <v>12</v>
      </c>
      <c r="C13" s="1"/>
      <c r="D13" s="2"/>
      <c r="H13" s="1"/>
      <c r="I13" s="1"/>
      <c r="J13" s="2"/>
      <c r="Q13" s="1">
        <f>SEGUIMIENTO_TPM_xlsx[[#This Row],[HORA FIN  INTERVENCIÓN]]-SEGUIMIENTO_TPM_xlsx[[#This Row],[HORA INICIO INTERVENCIÓN]]</f>
        <v>0</v>
      </c>
      <c r="R13" s="20">
        <f>(SEGUIMIENTO_TPM_xlsx[[#This Row],[HORA REPORTE]]+SEGUIMIENTO_TPM_xlsx[[#This Row],[FECHA DE REPORTE]])</f>
        <v>0</v>
      </c>
      <c r="S13" s="20">
        <f>(SEGUIMIENTO_TPM_xlsx[[#This Row],[FECHA DE INTERVENCÓN]]+SEGUIMIENTO_TPM_xlsx[[#This Row],[HORA FIN  INTERVENCIÓN]])</f>
        <v>0</v>
      </c>
      <c r="T13" s="11">
        <f>(SEGUIMIENTO_TPM_xlsx[[#This Row],[FECHA Y HORA FINAL]]-SEGUIMIENTO_TPM_xlsx[[#This Row],[FECHA Y HORA INICIO]])</f>
        <v>0</v>
      </c>
    </row>
    <row r="14" spans="1:20" x14ac:dyDescent="0.25">
      <c r="A14">
        <v>13</v>
      </c>
      <c r="B14" t="s">
        <v>16</v>
      </c>
      <c r="C14" s="1">
        <v>0.74305555555555558</v>
      </c>
      <c r="D14" s="2">
        <v>45960</v>
      </c>
      <c r="E14" t="s">
        <v>116</v>
      </c>
      <c r="F14" t="s">
        <v>95</v>
      </c>
      <c r="G14" t="s">
        <v>130</v>
      </c>
      <c r="H14" s="1">
        <v>0.74305555555555558</v>
      </c>
      <c r="I14" s="1">
        <v>0.86111111111111116</v>
      </c>
      <c r="J14" s="2">
        <v>45960</v>
      </c>
      <c r="K14" t="s">
        <v>25</v>
      </c>
      <c r="L14" t="s">
        <v>131</v>
      </c>
      <c r="M14" t="s">
        <v>22</v>
      </c>
      <c r="N14" t="s">
        <v>22</v>
      </c>
      <c r="O14" t="s">
        <v>112</v>
      </c>
      <c r="P14" t="s">
        <v>23</v>
      </c>
      <c r="Q14" s="1">
        <f>SEGUIMIENTO_TPM_xlsx[[#This Row],[HORA FIN  INTERVENCIÓN]]-SEGUIMIENTO_TPM_xlsx[[#This Row],[HORA INICIO INTERVENCIÓN]]</f>
        <v>0.11805555555555558</v>
      </c>
      <c r="R14" s="20">
        <f>(SEGUIMIENTO_TPM_xlsx[[#This Row],[HORA REPORTE]]+SEGUIMIENTO_TPM_xlsx[[#This Row],[FECHA DE REPORTE]])</f>
        <v>45960.743055555555</v>
      </c>
      <c r="S14" s="20">
        <f>(SEGUIMIENTO_TPM_xlsx[[#This Row],[FECHA DE INTERVENCÓN]]+SEGUIMIENTO_TPM_xlsx[[#This Row],[HORA FIN  INTERVENCIÓN]])</f>
        <v>45960.861111111109</v>
      </c>
      <c r="T14" s="11">
        <f>(SEGUIMIENTO_TPM_xlsx[[#This Row],[FECHA Y HORA FINAL]]-SEGUIMIENTO_TPM_xlsx[[#This Row],[FECHA Y HORA INICIO]])</f>
        <v>0.11805555555474712</v>
      </c>
    </row>
    <row r="15" spans="1:20" x14ac:dyDescent="0.25">
      <c r="A15">
        <v>14</v>
      </c>
      <c r="B15" t="s">
        <v>132</v>
      </c>
      <c r="C15" s="1">
        <v>0.73611111111111116</v>
      </c>
      <c r="D15" s="2">
        <v>45960</v>
      </c>
      <c r="E15" t="s">
        <v>91</v>
      </c>
      <c r="F15" t="s">
        <v>95</v>
      </c>
      <c r="G15" t="s">
        <v>133</v>
      </c>
      <c r="H15" s="1">
        <v>0.73611111111111116</v>
      </c>
      <c r="I15" s="1">
        <v>0.76388888888888884</v>
      </c>
      <c r="J15" s="2">
        <v>45960</v>
      </c>
      <c r="K15" t="s">
        <v>25</v>
      </c>
      <c r="L15" t="s">
        <v>134</v>
      </c>
      <c r="M15" t="s">
        <v>22</v>
      </c>
      <c r="N15" t="s">
        <v>22</v>
      </c>
      <c r="O15" t="s">
        <v>112</v>
      </c>
      <c r="P15" t="s">
        <v>23</v>
      </c>
      <c r="Q15" s="1">
        <f>SEGUIMIENTO_TPM_xlsx[[#This Row],[HORA FIN  INTERVENCIÓN]]-SEGUIMIENTO_TPM_xlsx[[#This Row],[HORA INICIO INTERVENCIÓN]]</f>
        <v>2.7777777777777679E-2</v>
      </c>
      <c r="R15" s="20">
        <f>(SEGUIMIENTO_TPM_xlsx[[#This Row],[HORA REPORTE]]+SEGUIMIENTO_TPM_xlsx[[#This Row],[FECHA DE REPORTE]])</f>
        <v>45960.736111111109</v>
      </c>
      <c r="S15" s="20">
        <f>(SEGUIMIENTO_TPM_xlsx[[#This Row],[FECHA DE INTERVENCÓN]]+SEGUIMIENTO_TPM_xlsx[[#This Row],[HORA FIN  INTERVENCIÓN]])</f>
        <v>45960.763888888891</v>
      </c>
      <c r="T15" s="11">
        <f>(SEGUIMIENTO_TPM_xlsx[[#This Row],[FECHA Y HORA FINAL]]-SEGUIMIENTO_TPM_xlsx[[#This Row],[FECHA Y HORA INICIO]])</f>
        <v>2.7777777781011537E-2</v>
      </c>
    </row>
    <row r="16" spans="1:20" x14ac:dyDescent="0.25">
      <c r="A16">
        <v>15</v>
      </c>
      <c r="B16" t="s">
        <v>113</v>
      </c>
      <c r="C16" s="1">
        <v>0.79166666666666663</v>
      </c>
      <c r="D16" s="2">
        <v>45960</v>
      </c>
      <c r="E16" t="s">
        <v>85</v>
      </c>
      <c r="F16" t="s">
        <v>95</v>
      </c>
      <c r="G16" t="s">
        <v>135</v>
      </c>
      <c r="H16" s="1">
        <v>0.79166666666666663</v>
      </c>
      <c r="I16" s="1">
        <v>0.79861111111111116</v>
      </c>
      <c r="J16" s="2">
        <v>45960</v>
      </c>
      <c r="K16" t="s">
        <v>20</v>
      </c>
      <c r="L16" t="s">
        <v>136</v>
      </c>
      <c r="M16" t="s">
        <v>22</v>
      </c>
      <c r="N16" t="s">
        <v>22</v>
      </c>
      <c r="O16" t="s">
        <v>112</v>
      </c>
      <c r="P16" t="s">
        <v>23</v>
      </c>
      <c r="Q16" s="1">
        <f>SEGUIMIENTO_TPM_xlsx[[#This Row],[HORA FIN  INTERVENCIÓN]]-SEGUIMIENTO_TPM_xlsx[[#This Row],[HORA INICIO INTERVENCIÓN]]</f>
        <v>6.9444444444445308E-3</v>
      </c>
      <c r="R16" s="20">
        <f>(SEGUIMIENTO_TPM_xlsx[[#This Row],[HORA REPORTE]]+SEGUIMIENTO_TPM_xlsx[[#This Row],[FECHA DE REPORTE]])</f>
        <v>45960.791666666664</v>
      </c>
      <c r="S16" s="20">
        <f>(SEGUIMIENTO_TPM_xlsx[[#This Row],[FECHA DE INTERVENCÓN]]+SEGUIMIENTO_TPM_xlsx[[#This Row],[HORA FIN  INTERVENCIÓN]])</f>
        <v>45960.798611111109</v>
      </c>
      <c r="T16" s="11">
        <f>(SEGUIMIENTO_TPM_xlsx[[#This Row],[FECHA Y HORA FINAL]]-SEGUIMIENTO_TPM_xlsx[[#This Row],[FECHA Y HORA INICIO]])</f>
        <v>6.9444444452528842E-3</v>
      </c>
    </row>
    <row r="17" spans="1:20" x14ac:dyDescent="0.25">
      <c r="A17">
        <v>16</v>
      </c>
      <c r="C17" s="1"/>
      <c r="D17" s="2"/>
      <c r="H17" s="1"/>
      <c r="I17" s="1"/>
      <c r="J17" s="2"/>
      <c r="Q17" s="1">
        <f>SEGUIMIENTO_TPM_xlsx[[#This Row],[HORA FIN  INTERVENCIÓN]]-SEGUIMIENTO_TPM_xlsx[[#This Row],[HORA INICIO INTERVENCIÓN]]</f>
        <v>0</v>
      </c>
      <c r="R17" s="20">
        <f>(SEGUIMIENTO_TPM_xlsx[[#This Row],[HORA REPORTE]]+SEGUIMIENTO_TPM_xlsx[[#This Row],[FECHA DE REPORTE]])</f>
        <v>0</v>
      </c>
      <c r="S17" s="20">
        <f>(SEGUIMIENTO_TPM_xlsx[[#This Row],[FECHA DE INTERVENCÓN]]+SEGUIMIENTO_TPM_xlsx[[#This Row],[HORA FIN  INTERVENCIÓN]])</f>
        <v>0</v>
      </c>
      <c r="T17" s="11">
        <f>(SEGUIMIENTO_TPM_xlsx[[#This Row],[FECHA Y HORA FINAL]]-SEGUIMIENTO_TPM_xlsx[[#This Row],[FECHA Y HORA INICIO]])</f>
        <v>0</v>
      </c>
    </row>
    <row r="18" spans="1:20" x14ac:dyDescent="0.25">
      <c r="A18">
        <v>17</v>
      </c>
      <c r="C18" s="1"/>
      <c r="D18" s="2"/>
      <c r="H18" s="1"/>
      <c r="I18" s="1"/>
      <c r="J18" s="2"/>
      <c r="Q18" s="1">
        <f>SEGUIMIENTO_TPM_xlsx[[#This Row],[HORA FIN  INTERVENCIÓN]]-SEGUIMIENTO_TPM_xlsx[[#This Row],[HORA INICIO INTERVENCIÓN]]</f>
        <v>0</v>
      </c>
      <c r="R18" s="20">
        <f>(SEGUIMIENTO_TPM_xlsx[[#This Row],[HORA REPORTE]]+SEGUIMIENTO_TPM_xlsx[[#This Row],[FECHA DE REPORTE]])</f>
        <v>0</v>
      </c>
      <c r="S18" s="20">
        <f>(SEGUIMIENTO_TPM_xlsx[[#This Row],[FECHA DE INTERVENCÓN]]+SEGUIMIENTO_TPM_xlsx[[#This Row],[HORA FIN  INTERVENCIÓN]])</f>
        <v>0</v>
      </c>
      <c r="T18" s="11">
        <f>(SEGUIMIENTO_TPM_xlsx[[#This Row],[FECHA Y HORA FINAL]]-SEGUIMIENTO_TPM_xlsx[[#This Row],[FECHA Y HORA INICIO]])</f>
        <v>0</v>
      </c>
    </row>
    <row r="19" spans="1:20" x14ac:dyDescent="0.25">
      <c r="A19">
        <v>18</v>
      </c>
      <c r="B19" t="s">
        <v>16</v>
      </c>
      <c r="C19" s="1">
        <v>0.72916666666666663</v>
      </c>
      <c r="D19" s="2">
        <v>45961</v>
      </c>
      <c r="E19" t="s">
        <v>94</v>
      </c>
      <c r="F19" t="s">
        <v>100</v>
      </c>
      <c r="G19" t="s">
        <v>137</v>
      </c>
      <c r="H19" s="1">
        <v>0.75</v>
      </c>
      <c r="I19" s="1">
        <v>0.89583333333333337</v>
      </c>
      <c r="J19" s="2">
        <v>45961</v>
      </c>
      <c r="K19" t="s">
        <v>25</v>
      </c>
      <c r="L19" t="s">
        <v>138</v>
      </c>
      <c r="M19" t="s">
        <v>22</v>
      </c>
      <c r="N19" t="s">
        <v>22</v>
      </c>
      <c r="O19" t="s">
        <v>112</v>
      </c>
      <c r="P19" t="s">
        <v>23</v>
      </c>
      <c r="Q19" s="1">
        <f>SEGUIMIENTO_TPM_xlsx[[#This Row],[HORA FIN  INTERVENCIÓN]]-SEGUIMIENTO_TPM_xlsx[[#This Row],[HORA INICIO INTERVENCIÓN]]</f>
        <v>0.14583333333333337</v>
      </c>
      <c r="R19" s="20">
        <f>(SEGUIMIENTO_TPM_xlsx[[#This Row],[HORA REPORTE]]+SEGUIMIENTO_TPM_xlsx[[#This Row],[FECHA DE REPORTE]])</f>
        <v>45961.729166666664</v>
      </c>
      <c r="S19" s="20">
        <f>(SEGUIMIENTO_TPM_xlsx[[#This Row],[FECHA DE INTERVENCÓN]]+SEGUIMIENTO_TPM_xlsx[[#This Row],[HORA FIN  INTERVENCIÓN]])</f>
        <v>45961.895833333336</v>
      </c>
      <c r="T19" s="11">
        <f>(SEGUIMIENTO_TPM_xlsx[[#This Row],[FECHA Y HORA FINAL]]-SEGUIMIENTO_TPM_xlsx[[#This Row],[FECHA Y HORA INICIO]])</f>
        <v>0.16666666667151731</v>
      </c>
    </row>
    <row r="20" spans="1:20" x14ac:dyDescent="0.25">
      <c r="A20">
        <v>19</v>
      </c>
      <c r="B20" t="s">
        <v>139</v>
      </c>
      <c r="C20" s="1">
        <v>0.89583333333333337</v>
      </c>
      <c r="D20" s="2">
        <v>45962</v>
      </c>
      <c r="E20" t="s">
        <v>91</v>
      </c>
      <c r="F20" t="s">
        <v>95</v>
      </c>
      <c r="G20" t="s">
        <v>140</v>
      </c>
      <c r="H20" s="1">
        <v>0.89583333333333337</v>
      </c>
      <c r="I20" s="1">
        <v>0.92708333333333337</v>
      </c>
      <c r="J20" s="2">
        <v>45962</v>
      </c>
      <c r="K20" t="s">
        <v>20</v>
      </c>
      <c r="L20" t="s">
        <v>141</v>
      </c>
      <c r="M20" t="s">
        <v>22</v>
      </c>
      <c r="N20" t="s">
        <v>22</v>
      </c>
      <c r="O20" t="s">
        <v>44</v>
      </c>
      <c r="P20" t="s">
        <v>23</v>
      </c>
      <c r="Q20" s="1">
        <f>SEGUIMIENTO_TPM_xlsx[[#This Row],[HORA FIN  INTERVENCIÓN]]-SEGUIMIENTO_TPM_xlsx[[#This Row],[HORA INICIO INTERVENCIÓN]]</f>
        <v>3.125E-2</v>
      </c>
      <c r="R20" s="20">
        <f>(SEGUIMIENTO_TPM_xlsx[[#This Row],[HORA REPORTE]]+SEGUIMIENTO_TPM_xlsx[[#This Row],[FECHA DE REPORTE]])</f>
        <v>45962.895833333336</v>
      </c>
      <c r="S20" s="20">
        <f>(SEGUIMIENTO_TPM_xlsx[[#This Row],[FECHA DE INTERVENCÓN]]+SEGUIMIENTO_TPM_xlsx[[#This Row],[HORA FIN  INTERVENCIÓN]])</f>
        <v>45962.927083333336</v>
      </c>
      <c r="T20" s="11">
        <f>(SEGUIMIENTO_TPM_xlsx[[#This Row],[FECHA Y HORA FINAL]]-SEGUIMIENTO_TPM_xlsx[[#This Row],[FECHA Y HORA INICIO]])</f>
        <v>3.125E-2</v>
      </c>
    </row>
    <row r="21" spans="1:20" x14ac:dyDescent="0.25">
      <c r="A21">
        <v>20</v>
      </c>
      <c r="B21" t="s">
        <v>142</v>
      </c>
      <c r="C21" s="1">
        <v>0.98958333333333337</v>
      </c>
      <c r="D21" s="2">
        <v>45964</v>
      </c>
      <c r="E21" t="s">
        <v>143</v>
      </c>
      <c r="F21" t="s">
        <v>95</v>
      </c>
      <c r="G21" t="s">
        <v>144</v>
      </c>
      <c r="H21" s="1">
        <v>0.98958333333333337</v>
      </c>
      <c r="I21" s="1">
        <v>6.9444444444444441E-3</v>
      </c>
      <c r="J21" s="2">
        <v>45964</v>
      </c>
      <c r="K21" t="s">
        <v>25</v>
      </c>
      <c r="L21" t="s">
        <v>145</v>
      </c>
      <c r="M21" t="s">
        <v>146</v>
      </c>
      <c r="N21" t="s">
        <v>22</v>
      </c>
      <c r="O21" t="s">
        <v>112</v>
      </c>
      <c r="P21" t="s">
        <v>23</v>
      </c>
      <c r="Q21" s="1">
        <f>SEGUIMIENTO_TPM_xlsx[[#This Row],[HORA FIN  INTERVENCIÓN]]-SEGUIMIENTO_TPM_xlsx[[#This Row],[HORA INICIO INTERVENCIÓN]]</f>
        <v>-0.98263888888888895</v>
      </c>
      <c r="R21" s="20">
        <f>(SEGUIMIENTO_TPM_xlsx[[#This Row],[HORA REPORTE]]+SEGUIMIENTO_TPM_xlsx[[#This Row],[FECHA DE REPORTE]])</f>
        <v>45964.989583333336</v>
      </c>
      <c r="S21" s="20">
        <f>(SEGUIMIENTO_TPM_xlsx[[#This Row],[FECHA DE INTERVENCÓN]]+SEGUIMIENTO_TPM_xlsx[[#This Row],[HORA FIN  INTERVENCIÓN]])</f>
        <v>45964.006944444445</v>
      </c>
      <c r="T21" s="11">
        <f>(SEGUIMIENTO_TPM_xlsx[[#This Row],[FECHA Y HORA FINAL]]-SEGUIMIENTO_TPM_xlsx[[#This Row],[FECHA Y HORA INICIO]])</f>
        <v>-0.98263888889050577</v>
      </c>
    </row>
    <row r="22" spans="1:20" x14ac:dyDescent="0.25">
      <c r="A22">
        <v>21</v>
      </c>
      <c r="B22" t="s">
        <v>103</v>
      </c>
      <c r="C22" s="1">
        <v>0.54166666666666663</v>
      </c>
      <c r="D22" s="2">
        <v>45965</v>
      </c>
      <c r="E22" t="s">
        <v>147</v>
      </c>
      <c r="F22" t="s">
        <v>100</v>
      </c>
      <c r="G22" t="s">
        <v>148</v>
      </c>
      <c r="H22" s="1">
        <v>0.54166666666666663</v>
      </c>
      <c r="I22" s="1">
        <v>0.56944444444444442</v>
      </c>
      <c r="J22" s="2">
        <v>45965</v>
      </c>
      <c r="K22" t="s">
        <v>25</v>
      </c>
      <c r="L22" t="s">
        <v>149</v>
      </c>
      <c r="M22" t="s">
        <v>150</v>
      </c>
      <c r="N22" t="s">
        <v>22</v>
      </c>
      <c r="O22" t="s">
        <v>99</v>
      </c>
      <c r="P22" t="s">
        <v>23</v>
      </c>
      <c r="Q22" s="1">
        <f>SEGUIMIENTO_TPM_xlsx[[#This Row],[HORA FIN  INTERVENCIÓN]]-SEGUIMIENTO_TPM_xlsx[[#This Row],[HORA INICIO INTERVENCIÓN]]</f>
        <v>2.777777777777779E-2</v>
      </c>
      <c r="R22" s="20">
        <f>(SEGUIMIENTO_TPM_xlsx[[#This Row],[HORA REPORTE]]+SEGUIMIENTO_TPM_xlsx[[#This Row],[FECHA DE REPORTE]])</f>
        <v>45965.541666666664</v>
      </c>
      <c r="S22" s="20">
        <f>(SEGUIMIENTO_TPM_xlsx[[#This Row],[FECHA DE INTERVENCÓN]]+SEGUIMIENTO_TPM_xlsx[[#This Row],[HORA FIN  INTERVENCIÓN]])</f>
        <v>45965.569444444445</v>
      </c>
      <c r="T22" s="11">
        <f>(SEGUIMIENTO_TPM_xlsx[[#This Row],[FECHA Y HORA FINAL]]-SEGUIMIENTO_TPM_xlsx[[#This Row],[FECHA Y HORA INICIO]])</f>
        <v>2.7777777781011537E-2</v>
      </c>
    </row>
    <row r="23" spans="1:20" x14ac:dyDescent="0.25">
      <c r="A23">
        <v>22</v>
      </c>
      <c r="B23" t="s">
        <v>139</v>
      </c>
      <c r="C23" s="1">
        <v>0.89722222222222225</v>
      </c>
      <c r="D23" s="2">
        <v>45965</v>
      </c>
      <c r="E23" t="s">
        <v>91</v>
      </c>
      <c r="F23" t="s">
        <v>95</v>
      </c>
      <c r="G23" t="s">
        <v>151</v>
      </c>
      <c r="H23" s="1">
        <v>0.89722222222222225</v>
      </c>
      <c r="I23" s="1">
        <v>0.97916666666666663</v>
      </c>
      <c r="J23" s="2">
        <v>45965</v>
      </c>
      <c r="K23" t="s">
        <v>25</v>
      </c>
      <c r="L23" t="s">
        <v>152</v>
      </c>
      <c r="M23" t="s">
        <v>22</v>
      </c>
      <c r="N23" t="s">
        <v>22</v>
      </c>
      <c r="O23" t="s">
        <v>112</v>
      </c>
      <c r="P23" t="s">
        <v>23</v>
      </c>
      <c r="Q23" s="1">
        <f>SEGUIMIENTO_TPM_xlsx[[#This Row],[HORA FIN  INTERVENCIÓN]]-SEGUIMIENTO_TPM_xlsx[[#This Row],[HORA INICIO INTERVENCIÓN]]</f>
        <v>8.1944444444444375E-2</v>
      </c>
      <c r="R23" s="20">
        <f>(SEGUIMIENTO_TPM_xlsx[[#This Row],[HORA REPORTE]]+SEGUIMIENTO_TPM_xlsx[[#This Row],[FECHA DE REPORTE]])</f>
        <v>45965.897222222222</v>
      </c>
      <c r="S23" s="20">
        <f>(SEGUIMIENTO_TPM_xlsx[[#This Row],[FECHA DE INTERVENCÓN]]+SEGUIMIENTO_TPM_xlsx[[#This Row],[HORA FIN  INTERVENCIÓN]])</f>
        <v>45965.979166666664</v>
      </c>
      <c r="T23" s="11">
        <f>(SEGUIMIENTO_TPM_xlsx[[#This Row],[FECHA Y HORA FINAL]]-SEGUIMIENTO_TPM_xlsx[[#This Row],[FECHA Y HORA INICIO]])</f>
        <v>8.1944444442342501E-2</v>
      </c>
    </row>
    <row r="24" spans="1:20" x14ac:dyDescent="0.25">
      <c r="A24">
        <v>23</v>
      </c>
      <c r="B24" t="s">
        <v>153</v>
      </c>
      <c r="C24" s="1">
        <v>0.3611111111111111</v>
      </c>
      <c r="D24" s="2">
        <v>45966</v>
      </c>
      <c r="E24" t="s">
        <v>154</v>
      </c>
      <c r="F24" t="s">
        <v>95</v>
      </c>
      <c r="G24" t="s">
        <v>155</v>
      </c>
      <c r="H24" s="1"/>
      <c r="I24" s="1">
        <v>0.36458333333333331</v>
      </c>
      <c r="J24" s="2">
        <v>45966</v>
      </c>
      <c r="K24" t="s">
        <v>156</v>
      </c>
      <c r="L24" t="s">
        <v>157</v>
      </c>
      <c r="M24" t="s">
        <v>22</v>
      </c>
      <c r="N24" t="s">
        <v>158</v>
      </c>
      <c r="O24" t="s">
        <v>108</v>
      </c>
      <c r="P24" t="s">
        <v>23</v>
      </c>
      <c r="Q24" s="1">
        <f>SEGUIMIENTO_TPM_xlsx[[#This Row],[HORA FIN  INTERVENCIÓN]]-SEGUIMIENTO_TPM_xlsx[[#This Row],[HORA INICIO INTERVENCIÓN]]</f>
        <v>0.36458333333333331</v>
      </c>
      <c r="R24" s="20">
        <f>(SEGUIMIENTO_TPM_xlsx[[#This Row],[HORA REPORTE]]+SEGUIMIENTO_TPM_xlsx[[#This Row],[FECHA DE REPORTE]])</f>
        <v>45966.361111111109</v>
      </c>
      <c r="S24" s="20">
        <f>(SEGUIMIENTO_TPM_xlsx[[#This Row],[FECHA DE INTERVENCÓN]]+SEGUIMIENTO_TPM_xlsx[[#This Row],[HORA FIN  INTERVENCIÓN]])</f>
        <v>45966.364583333336</v>
      </c>
      <c r="T24" s="11">
        <f>(SEGUIMIENTO_TPM_xlsx[[#This Row],[FECHA Y HORA FINAL]]-SEGUIMIENTO_TPM_xlsx[[#This Row],[FECHA Y HORA INICIO]])</f>
        <v>3.4722222262644209E-3</v>
      </c>
    </row>
    <row r="25" spans="1:20" x14ac:dyDescent="0.25">
      <c r="A25">
        <v>24</v>
      </c>
      <c r="C25" s="1"/>
      <c r="D25" s="2"/>
      <c r="H25" s="1"/>
      <c r="I25" s="1"/>
      <c r="J25" s="2"/>
      <c r="Q25" s="1">
        <f>SEGUIMIENTO_TPM_xlsx[[#This Row],[HORA FIN  INTERVENCIÓN]]-SEGUIMIENTO_TPM_xlsx[[#This Row],[HORA INICIO INTERVENCIÓN]]</f>
        <v>0</v>
      </c>
      <c r="R25" s="20">
        <f>(SEGUIMIENTO_TPM_xlsx[[#This Row],[HORA REPORTE]]+SEGUIMIENTO_TPM_xlsx[[#This Row],[FECHA DE REPORTE]])</f>
        <v>0</v>
      </c>
      <c r="S25" s="20">
        <f>(SEGUIMIENTO_TPM_xlsx[[#This Row],[FECHA DE INTERVENCÓN]]+SEGUIMIENTO_TPM_xlsx[[#This Row],[HORA FIN  INTERVENCIÓN]])</f>
        <v>0</v>
      </c>
      <c r="T25" s="11">
        <f>(SEGUIMIENTO_TPM_xlsx[[#This Row],[FECHA Y HORA FINAL]]-SEGUIMIENTO_TPM_xlsx[[#This Row],[FECHA Y HORA INICIO]])</f>
        <v>0</v>
      </c>
    </row>
    <row r="26" spans="1:20" x14ac:dyDescent="0.25">
      <c r="A26">
        <v>25</v>
      </c>
      <c r="B26" t="s">
        <v>16</v>
      </c>
      <c r="C26" s="1">
        <v>1.9444444444444445E-2</v>
      </c>
      <c r="D26" s="2">
        <v>45967</v>
      </c>
      <c r="E26" t="s">
        <v>94</v>
      </c>
      <c r="F26" t="s">
        <v>95</v>
      </c>
      <c r="G26" t="s">
        <v>159</v>
      </c>
      <c r="H26" s="1">
        <v>1.2500000000000001E-2</v>
      </c>
      <c r="I26" s="1">
        <v>2.6388888888888889E-2</v>
      </c>
      <c r="J26" s="2">
        <v>45967</v>
      </c>
      <c r="K26" t="s">
        <v>25</v>
      </c>
      <c r="L26" t="s">
        <v>160</v>
      </c>
      <c r="M26" t="s">
        <v>22</v>
      </c>
      <c r="N26" t="s">
        <v>22</v>
      </c>
      <c r="O26" t="s">
        <v>112</v>
      </c>
      <c r="P26" t="s">
        <v>23</v>
      </c>
      <c r="Q26" s="1">
        <f>SEGUIMIENTO_TPM_xlsx[[#This Row],[HORA FIN  INTERVENCIÓN]]-SEGUIMIENTO_TPM_xlsx[[#This Row],[HORA INICIO INTERVENCIÓN]]</f>
        <v>1.3888888888888888E-2</v>
      </c>
      <c r="R26" s="20">
        <f>(SEGUIMIENTO_TPM_xlsx[[#This Row],[HORA REPORTE]]+SEGUIMIENTO_TPM_xlsx[[#This Row],[FECHA DE REPORTE]])</f>
        <v>45967.019444444442</v>
      </c>
      <c r="S26" s="20">
        <f>(SEGUIMIENTO_TPM_xlsx[[#This Row],[FECHA DE INTERVENCÓN]]+SEGUIMIENTO_TPM_xlsx[[#This Row],[HORA FIN  INTERVENCIÓN]])</f>
        <v>45967.026388888888</v>
      </c>
      <c r="T26" s="11">
        <f>(SEGUIMIENTO_TPM_xlsx[[#This Row],[FECHA Y HORA FINAL]]-SEGUIMIENTO_TPM_xlsx[[#This Row],[FECHA Y HORA INICIO]])</f>
        <v>6.9444444452528842E-3</v>
      </c>
    </row>
    <row r="27" spans="1:20" x14ac:dyDescent="0.25">
      <c r="A27">
        <v>26</v>
      </c>
      <c r="B27" t="s">
        <v>161</v>
      </c>
      <c r="C27" s="1">
        <v>0.52083333333333337</v>
      </c>
      <c r="D27" s="2">
        <v>45966</v>
      </c>
      <c r="E27" t="s">
        <v>162</v>
      </c>
      <c r="F27" t="s">
        <v>100</v>
      </c>
      <c r="G27" t="s">
        <v>163</v>
      </c>
      <c r="H27" s="1"/>
      <c r="I27" s="1"/>
      <c r="J27" s="2"/>
      <c r="P27" t="s">
        <v>33</v>
      </c>
      <c r="Q27" s="1">
        <f>SEGUIMIENTO_TPM_xlsx[[#This Row],[HORA FIN  INTERVENCIÓN]]-SEGUIMIENTO_TPM_xlsx[[#This Row],[HORA INICIO INTERVENCIÓN]]</f>
        <v>0</v>
      </c>
      <c r="R27" s="20">
        <f>(SEGUIMIENTO_TPM_xlsx[[#This Row],[HORA REPORTE]]+SEGUIMIENTO_TPM_xlsx[[#This Row],[FECHA DE REPORTE]])</f>
        <v>45966.520833333336</v>
      </c>
      <c r="S27" s="20">
        <f>(SEGUIMIENTO_TPM_xlsx[[#This Row],[FECHA DE INTERVENCÓN]]+SEGUIMIENTO_TPM_xlsx[[#This Row],[HORA FIN  INTERVENCIÓN]])</f>
        <v>0</v>
      </c>
      <c r="T27" s="11">
        <f>(SEGUIMIENTO_TPM_xlsx[[#This Row],[FECHA Y HORA FINAL]]-SEGUIMIENTO_TPM_xlsx[[#This Row],[FECHA Y HORA INICIO]])</f>
        <v>-45966.520833333336</v>
      </c>
    </row>
    <row r="28" spans="1:20" x14ac:dyDescent="0.25">
      <c r="A28">
        <v>27</v>
      </c>
      <c r="B28" t="s">
        <v>164</v>
      </c>
      <c r="C28" s="1">
        <v>0.75694444444444442</v>
      </c>
      <c r="D28" s="2">
        <v>45966</v>
      </c>
      <c r="E28" t="s">
        <v>143</v>
      </c>
      <c r="F28" t="s">
        <v>95</v>
      </c>
      <c r="G28" t="s">
        <v>165</v>
      </c>
      <c r="H28" s="1">
        <v>0.75694444444444442</v>
      </c>
      <c r="I28" s="1">
        <v>0.875</v>
      </c>
      <c r="J28" s="2">
        <v>45966</v>
      </c>
      <c r="K28" t="s">
        <v>25</v>
      </c>
      <c r="L28" t="s">
        <v>166</v>
      </c>
      <c r="M28" t="s">
        <v>22</v>
      </c>
      <c r="N28" t="s">
        <v>22</v>
      </c>
      <c r="O28" t="s">
        <v>99</v>
      </c>
      <c r="P28" t="s">
        <v>23</v>
      </c>
      <c r="Q28" s="1">
        <f>SEGUIMIENTO_TPM_xlsx[[#This Row],[HORA FIN  INTERVENCIÓN]]-SEGUIMIENTO_TPM_xlsx[[#This Row],[HORA INICIO INTERVENCIÓN]]</f>
        <v>0.11805555555555558</v>
      </c>
      <c r="R28" s="20">
        <f>(SEGUIMIENTO_TPM_xlsx[[#This Row],[HORA REPORTE]]+SEGUIMIENTO_TPM_xlsx[[#This Row],[FECHA DE REPORTE]])</f>
        <v>45966.756944444445</v>
      </c>
      <c r="S28" s="20">
        <f>(SEGUIMIENTO_TPM_xlsx[[#This Row],[FECHA DE INTERVENCÓN]]+SEGUIMIENTO_TPM_xlsx[[#This Row],[HORA FIN  INTERVENCIÓN]])</f>
        <v>45966.875</v>
      </c>
      <c r="T28" s="11">
        <f>(SEGUIMIENTO_TPM_xlsx[[#This Row],[FECHA Y HORA FINAL]]-SEGUIMIENTO_TPM_xlsx[[#This Row],[FECHA Y HORA INICIO]])</f>
        <v>0.11805555555474712</v>
      </c>
    </row>
    <row r="29" spans="1:20" x14ac:dyDescent="0.25">
      <c r="A29">
        <v>28</v>
      </c>
      <c r="B29" t="s">
        <v>167</v>
      </c>
      <c r="C29" s="1">
        <v>0.30833333333333335</v>
      </c>
      <c r="D29" s="2">
        <v>45966</v>
      </c>
      <c r="E29" t="s">
        <v>17</v>
      </c>
      <c r="F29" t="s">
        <v>95</v>
      </c>
      <c r="G29" t="s">
        <v>168</v>
      </c>
      <c r="H29" s="1">
        <v>5.2083333333333336E-2</v>
      </c>
      <c r="I29" s="1">
        <v>6.25E-2</v>
      </c>
      <c r="J29" s="2">
        <v>45967</v>
      </c>
      <c r="K29" t="s">
        <v>20</v>
      </c>
      <c r="L29" t="s">
        <v>169</v>
      </c>
      <c r="M29" t="s">
        <v>22</v>
      </c>
      <c r="N29" t="s">
        <v>22</v>
      </c>
      <c r="O29" t="s">
        <v>112</v>
      </c>
      <c r="P29" t="s">
        <v>23</v>
      </c>
      <c r="Q29" s="1">
        <f>SEGUIMIENTO_TPM_xlsx[[#This Row],[HORA FIN  INTERVENCIÓN]]-SEGUIMIENTO_TPM_xlsx[[#This Row],[HORA INICIO INTERVENCIÓN]]</f>
        <v>1.0416666666666664E-2</v>
      </c>
      <c r="R29" s="20">
        <f>(SEGUIMIENTO_TPM_xlsx[[#This Row],[HORA REPORTE]]+SEGUIMIENTO_TPM_xlsx[[#This Row],[FECHA DE REPORTE]])</f>
        <v>45966.308333333334</v>
      </c>
      <c r="S29" s="20">
        <f>(SEGUIMIENTO_TPM_xlsx[[#This Row],[FECHA DE INTERVENCÓN]]+SEGUIMIENTO_TPM_xlsx[[#This Row],[HORA FIN  INTERVENCIÓN]])</f>
        <v>45967.0625</v>
      </c>
      <c r="T29" s="11">
        <f>(SEGUIMIENTO_TPM_xlsx[[#This Row],[FECHA Y HORA FINAL]]-SEGUIMIENTO_TPM_xlsx[[#This Row],[FECHA Y HORA INICIO]])</f>
        <v>0.75416666666569654</v>
      </c>
    </row>
    <row r="30" spans="1:20" x14ac:dyDescent="0.25">
      <c r="A30">
        <v>29</v>
      </c>
      <c r="B30" t="s">
        <v>132</v>
      </c>
      <c r="C30" s="1">
        <v>0.58333333333333337</v>
      </c>
      <c r="D30" s="2">
        <v>45966</v>
      </c>
      <c r="E30" t="s">
        <v>91</v>
      </c>
      <c r="F30" t="s">
        <v>100</v>
      </c>
      <c r="G30" t="s">
        <v>170</v>
      </c>
      <c r="H30" s="1">
        <v>0.58333333333333337</v>
      </c>
      <c r="I30" s="1">
        <v>0.95833333333333337</v>
      </c>
      <c r="J30" s="2">
        <v>45966</v>
      </c>
      <c r="K30" t="s">
        <v>20</v>
      </c>
      <c r="L30" t="s">
        <v>171</v>
      </c>
      <c r="M30" t="s">
        <v>22</v>
      </c>
      <c r="N30" t="s">
        <v>22</v>
      </c>
      <c r="O30" t="s">
        <v>112</v>
      </c>
      <c r="P30" t="s">
        <v>23</v>
      </c>
      <c r="Q30" s="1">
        <f>SEGUIMIENTO_TPM_xlsx[[#This Row],[HORA FIN  INTERVENCIÓN]]-SEGUIMIENTO_TPM_xlsx[[#This Row],[HORA INICIO INTERVENCIÓN]]</f>
        <v>0.375</v>
      </c>
      <c r="R30" s="20">
        <f>(SEGUIMIENTO_TPM_xlsx[[#This Row],[HORA REPORTE]]+SEGUIMIENTO_TPM_xlsx[[#This Row],[FECHA DE REPORTE]])</f>
        <v>45966.583333333336</v>
      </c>
      <c r="S30" s="20">
        <f>(SEGUIMIENTO_TPM_xlsx[[#This Row],[FECHA DE INTERVENCÓN]]+SEGUIMIENTO_TPM_xlsx[[#This Row],[HORA FIN  INTERVENCIÓN]])</f>
        <v>45966.958333333336</v>
      </c>
      <c r="T30" s="11">
        <f>(SEGUIMIENTO_TPM_xlsx[[#This Row],[FECHA Y HORA FINAL]]-SEGUIMIENTO_TPM_xlsx[[#This Row],[FECHA Y HORA INICIO]])</f>
        <v>0.375</v>
      </c>
    </row>
    <row r="31" spans="1:20" x14ac:dyDescent="0.25">
      <c r="A31">
        <v>30</v>
      </c>
      <c r="B31" t="s">
        <v>172</v>
      </c>
      <c r="C31" s="1">
        <v>0.25</v>
      </c>
      <c r="D31" s="2">
        <v>45967</v>
      </c>
      <c r="E31" t="s">
        <v>94</v>
      </c>
      <c r="F31" t="s">
        <v>95</v>
      </c>
      <c r="G31" t="s">
        <v>173</v>
      </c>
      <c r="H31" s="1">
        <v>0.26041666666666669</v>
      </c>
      <c r="I31" s="1">
        <v>0.27777777777777779</v>
      </c>
      <c r="J31" s="2">
        <v>45967</v>
      </c>
      <c r="K31" t="s">
        <v>25</v>
      </c>
      <c r="L31" t="s">
        <v>174</v>
      </c>
      <c r="M31" t="s">
        <v>175</v>
      </c>
      <c r="N31" t="s">
        <v>22</v>
      </c>
      <c r="O31" t="s">
        <v>108</v>
      </c>
      <c r="P31" t="s">
        <v>23</v>
      </c>
      <c r="Q31" s="1">
        <f>SEGUIMIENTO_TPM_xlsx[[#This Row],[HORA FIN  INTERVENCIÓN]]-SEGUIMIENTO_TPM_xlsx[[#This Row],[HORA INICIO INTERVENCIÓN]]</f>
        <v>1.7361111111111105E-2</v>
      </c>
      <c r="R31" s="20">
        <f>(SEGUIMIENTO_TPM_xlsx[[#This Row],[HORA REPORTE]]+SEGUIMIENTO_TPM_xlsx[[#This Row],[FECHA DE REPORTE]])</f>
        <v>45967.25</v>
      </c>
      <c r="S31" s="20">
        <f>(SEGUIMIENTO_TPM_xlsx[[#This Row],[FECHA DE INTERVENCÓN]]+SEGUIMIENTO_TPM_xlsx[[#This Row],[HORA FIN  INTERVENCIÓN]])</f>
        <v>45967.277777777781</v>
      </c>
      <c r="T31" s="11">
        <f>(SEGUIMIENTO_TPM_xlsx[[#This Row],[FECHA Y HORA FINAL]]-SEGUIMIENTO_TPM_xlsx[[#This Row],[FECHA Y HORA INICIO]])</f>
        <v>2.7777777781011537E-2</v>
      </c>
    </row>
    <row r="32" spans="1:20" x14ac:dyDescent="0.25">
      <c r="A32">
        <v>31</v>
      </c>
      <c r="B32" t="s">
        <v>176</v>
      </c>
      <c r="C32" s="1">
        <v>0.29166666666666669</v>
      </c>
      <c r="D32" s="2">
        <v>45967</v>
      </c>
      <c r="E32" t="s">
        <v>177</v>
      </c>
      <c r="F32" t="s">
        <v>95</v>
      </c>
      <c r="G32" t="s">
        <v>178</v>
      </c>
      <c r="H32" s="1">
        <v>0.2951388888888889</v>
      </c>
      <c r="I32" s="1">
        <v>0.32083333333333336</v>
      </c>
      <c r="J32" s="2">
        <v>45967</v>
      </c>
      <c r="K32" t="s">
        <v>20</v>
      </c>
      <c r="L32" t="s">
        <v>179</v>
      </c>
      <c r="M32" t="s">
        <v>22</v>
      </c>
      <c r="N32" t="s">
        <v>22</v>
      </c>
      <c r="O32" t="s">
        <v>108</v>
      </c>
      <c r="P32" t="s">
        <v>23</v>
      </c>
      <c r="Q32" s="1">
        <f>SEGUIMIENTO_TPM_xlsx[[#This Row],[HORA FIN  INTERVENCIÓN]]-SEGUIMIENTO_TPM_xlsx[[#This Row],[HORA INICIO INTERVENCIÓN]]</f>
        <v>2.5694444444444464E-2</v>
      </c>
      <c r="R32" s="20">
        <f>(SEGUIMIENTO_TPM_xlsx[[#This Row],[HORA REPORTE]]+SEGUIMIENTO_TPM_xlsx[[#This Row],[FECHA DE REPORTE]])</f>
        <v>45967.291666666664</v>
      </c>
      <c r="S32" s="20">
        <f>(SEGUIMIENTO_TPM_xlsx[[#This Row],[FECHA DE INTERVENCÓN]]+SEGUIMIENTO_TPM_xlsx[[#This Row],[HORA FIN  INTERVENCIÓN]])</f>
        <v>45967.320833333331</v>
      </c>
      <c r="T32" s="11">
        <f>(SEGUIMIENTO_TPM_xlsx[[#This Row],[FECHA Y HORA FINAL]]-SEGUIMIENTO_TPM_xlsx[[#This Row],[FECHA Y HORA INICIO]])</f>
        <v>2.9166666667151731E-2</v>
      </c>
    </row>
    <row r="33" spans="1:20" x14ac:dyDescent="0.25">
      <c r="A33">
        <v>32</v>
      </c>
      <c r="B33" t="s">
        <v>180</v>
      </c>
      <c r="C33" s="1">
        <v>0.25</v>
      </c>
      <c r="D33" s="2">
        <v>45968</v>
      </c>
      <c r="E33" t="s">
        <v>17</v>
      </c>
      <c r="F33" t="s">
        <v>95</v>
      </c>
      <c r="G33" t="s">
        <v>181</v>
      </c>
      <c r="H33" s="1">
        <v>0.31944444444444442</v>
      </c>
      <c r="I33" s="1">
        <v>0.36875000000000002</v>
      </c>
      <c r="J33" s="2">
        <v>45968</v>
      </c>
      <c r="K33" t="s">
        <v>20</v>
      </c>
      <c r="L33" t="s">
        <v>182</v>
      </c>
      <c r="M33" t="s">
        <v>183</v>
      </c>
      <c r="N33" t="s">
        <v>22</v>
      </c>
      <c r="O33" t="s">
        <v>108</v>
      </c>
      <c r="P33" t="s">
        <v>23</v>
      </c>
      <c r="Q33" s="1">
        <f>SEGUIMIENTO_TPM_xlsx[[#This Row],[HORA FIN  INTERVENCIÓN]]-SEGUIMIENTO_TPM_xlsx[[#This Row],[HORA INICIO INTERVENCIÓN]]</f>
        <v>4.9305555555555602E-2</v>
      </c>
      <c r="R33" s="20">
        <f>(SEGUIMIENTO_TPM_xlsx[[#This Row],[HORA REPORTE]]+SEGUIMIENTO_TPM_xlsx[[#This Row],[FECHA DE REPORTE]])</f>
        <v>45968.25</v>
      </c>
      <c r="S33" s="20">
        <f>(SEGUIMIENTO_TPM_xlsx[[#This Row],[FECHA DE INTERVENCÓN]]+SEGUIMIENTO_TPM_xlsx[[#This Row],[HORA FIN  INTERVENCIÓN]])</f>
        <v>45968.368750000001</v>
      </c>
      <c r="T33" s="11">
        <f>(SEGUIMIENTO_TPM_xlsx[[#This Row],[FECHA Y HORA FINAL]]-SEGUIMIENTO_TPM_xlsx[[#This Row],[FECHA Y HORA INICIO]])</f>
        <v>0.11875000000145519</v>
      </c>
    </row>
    <row r="34" spans="1:20" x14ac:dyDescent="0.25">
      <c r="A34">
        <v>33</v>
      </c>
      <c r="B34" t="s">
        <v>184</v>
      </c>
      <c r="C34" s="1">
        <v>0.84583333333333333</v>
      </c>
      <c r="D34" s="2">
        <v>45967</v>
      </c>
      <c r="E34" t="s">
        <v>185</v>
      </c>
      <c r="F34" t="s">
        <v>95</v>
      </c>
      <c r="G34" t="s">
        <v>186</v>
      </c>
      <c r="H34" s="1"/>
      <c r="I34" s="1"/>
      <c r="J34" s="2"/>
      <c r="P34" t="s">
        <v>33</v>
      </c>
      <c r="Q34" s="1">
        <f>SEGUIMIENTO_TPM_xlsx[[#This Row],[HORA FIN  INTERVENCIÓN]]-SEGUIMIENTO_TPM_xlsx[[#This Row],[HORA INICIO INTERVENCIÓN]]</f>
        <v>0</v>
      </c>
      <c r="R34" s="20">
        <f>(SEGUIMIENTO_TPM_xlsx[[#This Row],[HORA REPORTE]]+SEGUIMIENTO_TPM_xlsx[[#This Row],[FECHA DE REPORTE]])</f>
        <v>45967.845833333333</v>
      </c>
      <c r="S34" s="20">
        <f>(SEGUIMIENTO_TPM_xlsx[[#This Row],[FECHA DE INTERVENCÓN]]+SEGUIMIENTO_TPM_xlsx[[#This Row],[HORA FIN  INTERVENCIÓN]])</f>
        <v>0</v>
      </c>
      <c r="T34" s="11">
        <f>(SEGUIMIENTO_TPM_xlsx[[#This Row],[FECHA Y HORA FINAL]]-SEGUIMIENTO_TPM_xlsx[[#This Row],[FECHA Y HORA INICIO]])</f>
        <v>-45967.845833333333</v>
      </c>
    </row>
    <row r="35" spans="1:20" x14ac:dyDescent="0.25">
      <c r="A35">
        <v>34</v>
      </c>
      <c r="B35" t="s">
        <v>187</v>
      </c>
      <c r="C35" s="1">
        <v>0.9375</v>
      </c>
      <c r="D35" s="2">
        <v>45967</v>
      </c>
      <c r="E35" t="s">
        <v>188</v>
      </c>
      <c r="F35" t="s">
        <v>95</v>
      </c>
      <c r="G35" t="s">
        <v>189</v>
      </c>
      <c r="H35" s="1"/>
      <c r="I35" s="1"/>
      <c r="J35" s="2"/>
      <c r="P35" t="s">
        <v>33</v>
      </c>
      <c r="Q35" s="1">
        <f>SEGUIMIENTO_TPM_xlsx[[#This Row],[HORA FIN  INTERVENCIÓN]]-SEGUIMIENTO_TPM_xlsx[[#This Row],[HORA INICIO INTERVENCIÓN]]</f>
        <v>0</v>
      </c>
      <c r="R35" s="20">
        <f>(SEGUIMIENTO_TPM_xlsx[[#This Row],[HORA REPORTE]]+SEGUIMIENTO_TPM_xlsx[[#This Row],[FECHA DE REPORTE]])</f>
        <v>45967.9375</v>
      </c>
      <c r="S35" s="20">
        <f>(SEGUIMIENTO_TPM_xlsx[[#This Row],[FECHA DE INTERVENCÓN]]+SEGUIMIENTO_TPM_xlsx[[#This Row],[HORA FIN  INTERVENCIÓN]])</f>
        <v>0</v>
      </c>
      <c r="T35" s="11">
        <f>(SEGUIMIENTO_TPM_xlsx[[#This Row],[FECHA Y HORA FINAL]]-SEGUIMIENTO_TPM_xlsx[[#This Row],[FECHA Y HORA INICIO]])</f>
        <v>-45967.9375</v>
      </c>
    </row>
    <row r="36" spans="1:20" x14ac:dyDescent="0.25">
      <c r="A36">
        <v>35</v>
      </c>
      <c r="B36" t="s">
        <v>16</v>
      </c>
      <c r="C36" s="1">
        <v>1.8749999999999999E-2</v>
      </c>
      <c r="D36" s="2">
        <v>45968</v>
      </c>
      <c r="E36" t="s">
        <v>22</v>
      </c>
      <c r="F36" t="s">
        <v>100</v>
      </c>
      <c r="G36" t="s">
        <v>190</v>
      </c>
      <c r="H36" s="1">
        <v>1.8749999999999999E-2</v>
      </c>
      <c r="I36" s="1">
        <v>4.1666666666666664E-2</v>
      </c>
      <c r="J36" s="2">
        <v>45968</v>
      </c>
      <c r="K36" t="s">
        <v>25</v>
      </c>
      <c r="L36" t="s">
        <v>191</v>
      </c>
      <c r="M36" t="s">
        <v>22</v>
      </c>
      <c r="N36" t="s">
        <v>22</v>
      </c>
      <c r="O36" t="s">
        <v>112</v>
      </c>
      <c r="P36" t="s">
        <v>23</v>
      </c>
      <c r="Q36" s="1">
        <f>SEGUIMIENTO_TPM_xlsx[[#This Row],[HORA FIN  INTERVENCIÓN]]-SEGUIMIENTO_TPM_xlsx[[#This Row],[HORA INICIO INTERVENCIÓN]]</f>
        <v>2.2916666666666665E-2</v>
      </c>
      <c r="R36" s="20">
        <f>(SEGUIMIENTO_TPM_xlsx[[#This Row],[HORA REPORTE]]+SEGUIMIENTO_TPM_xlsx[[#This Row],[FECHA DE REPORTE]])</f>
        <v>45968.018750000003</v>
      </c>
      <c r="S36" s="20">
        <f>(SEGUIMIENTO_TPM_xlsx[[#This Row],[FECHA DE INTERVENCÓN]]+SEGUIMIENTO_TPM_xlsx[[#This Row],[HORA FIN  INTERVENCIÓN]])</f>
        <v>45968.041666666664</v>
      </c>
      <c r="T36" s="11">
        <f>(SEGUIMIENTO_TPM_xlsx[[#This Row],[FECHA Y HORA FINAL]]-SEGUIMIENTO_TPM_xlsx[[#This Row],[FECHA Y HORA INICIO]])</f>
        <v>2.2916666661330964E-2</v>
      </c>
    </row>
    <row r="37" spans="1:20" x14ac:dyDescent="0.25">
      <c r="A37">
        <v>36</v>
      </c>
      <c r="B37" t="s">
        <v>192</v>
      </c>
      <c r="C37" s="1">
        <v>0.16666666666666666</v>
      </c>
      <c r="D37" s="2">
        <v>45968</v>
      </c>
      <c r="E37" t="s">
        <v>162</v>
      </c>
      <c r="F37" t="s">
        <v>100</v>
      </c>
      <c r="G37" t="s">
        <v>193</v>
      </c>
      <c r="H37" s="1">
        <v>0.16666666666666666</v>
      </c>
      <c r="I37" s="1">
        <v>0.19444444444444445</v>
      </c>
      <c r="J37" s="2">
        <v>45968</v>
      </c>
      <c r="K37" t="s">
        <v>25</v>
      </c>
      <c r="L37" t="s">
        <v>194</v>
      </c>
      <c r="M37" t="s">
        <v>22</v>
      </c>
      <c r="N37" t="s">
        <v>22</v>
      </c>
      <c r="O37" t="s">
        <v>112</v>
      </c>
      <c r="P37" t="s">
        <v>23</v>
      </c>
      <c r="Q37" s="1">
        <f>SEGUIMIENTO_TPM_xlsx[[#This Row],[HORA FIN  INTERVENCIÓN]]-SEGUIMIENTO_TPM_xlsx[[#This Row],[HORA INICIO INTERVENCIÓN]]</f>
        <v>2.777777777777779E-2</v>
      </c>
      <c r="R37" s="20">
        <f>(SEGUIMIENTO_TPM_xlsx[[#This Row],[HORA REPORTE]]+SEGUIMIENTO_TPM_xlsx[[#This Row],[FECHA DE REPORTE]])</f>
        <v>45968.166666666664</v>
      </c>
      <c r="S37" s="20">
        <f>(SEGUIMIENTO_TPM_xlsx[[#This Row],[FECHA DE INTERVENCÓN]]+SEGUIMIENTO_TPM_xlsx[[#This Row],[HORA FIN  INTERVENCIÓN]])</f>
        <v>45968.194444444445</v>
      </c>
      <c r="T37" s="11">
        <f>(SEGUIMIENTO_TPM_xlsx[[#This Row],[FECHA Y HORA FINAL]]-SEGUIMIENTO_TPM_xlsx[[#This Row],[FECHA Y HORA INICIO]])</f>
        <v>2.7777777781011537E-2</v>
      </c>
    </row>
    <row r="38" spans="1:20" x14ac:dyDescent="0.25">
      <c r="A38">
        <v>37</v>
      </c>
      <c r="B38" t="s">
        <v>195</v>
      </c>
      <c r="C38" s="1">
        <v>0.34722222222222221</v>
      </c>
      <c r="D38" s="2">
        <v>45968</v>
      </c>
      <c r="E38" t="s">
        <v>143</v>
      </c>
      <c r="F38" t="s">
        <v>95</v>
      </c>
      <c r="G38" t="s">
        <v>196</v>
      </c>
      <c r="H38" s="1">
        <v>0.35416666666666669</v>
      </c>
      <c r="I38" s="1">
        <v>0.375</v>
      </c>
      <c r="J38" s="2">
        <v>45968</v>
      </c>
      <c r="K38" t="s">
        <v>20</v>
      </c>
      <c r="L38" t="s">
        <v>197</v>
      </c>
      <c r="M38" t="s">
        <v>198</v>
      </c>
      <c r="N38" t="s">
        <v>22</v>
      </c>
      <c r="O38" t="s">
        <v>44</v>
      </c>
      <c r="P38" t="s">
        <v>23</v>
      </c>
      <c r="Q38" s="1">
        <f>SEGUIMIENTO_TPM_xlsx[[#This Row],[HORA FIN  INTERVENCIÓN]]-SEGUIMIENTO_TPM_xlsx[[#This Row],[HORA INICIO INTERVENCIÓN]]</f>
        <v>2.0833333333333315E-2</v>
      </c>
      <c r="R38" s="20">
        <f>(SEGUIMIENTO_TPM_xlsx[[#This Row],[HORA REPORTE]]+SEGUIMIENTO_TPM_xlsx[[#This Row],[FECHA DE REPORTE]])</f>
        <v>45968.347222222219</v>
      </c>
      <c r="S38" s="20">
        <f>(SEGUIMIENTO_TPM_xlsx[[#This Row],[FECHA DE INTERVENCÓN]]+SEGUIMIENTO_TPM_xlsx[[#This Row],[HORA FIN  INTERVENCIÓN]])</f>
        <v>45968.375</v>
      </c>
      <c r="T38" s="11">
        <f>(SEGUIMIENTO_TPM_xlsx[[#This Row],[FECHA Y HORA FINAL]]-SEGUIMIENTO_TPM_xlsx[[#This Row],[FECHA Y HORA INICIO]])</f>
        <v>2.7777777781011537E-2</v>
      </c>
    </row>
    <row r="39" spans="1:20" x14ac:dyDescent="0.25">
      <c r="A39">
        <v>38</v>
      </c>
      <c r="C39" s="1"/>
      <c r="D39" s="2"/>
      <c r="H39" s="1"/>
      <c r="I39" s="1"/>
      <c r="J39" s="2"/>
      <c r="Q39" s="1">
        <f>SEGUIMIENTO_TPM_xlsx[[#This Row],[HORA FIN  INTERVENCIÓN]]-SEGUIMIENTO_TPM_xlsx[[#This Row],[HORA INICIO INTERVENCIÓN]]</f>
        <v>0</v>
      </c>
      <c r="R39" s="20">
        <f>(SEGUIMIENTO_TPM_xlsx[[#This Row],[HORA REPORTE]]+SEGUIMIENTO_TPM_xlsx[[#This Row],[FECHA DE REPORTE]])</f>
        <v>0</v>
      </c>
      <c r="S39" s="20">
        <f>(SEGUIMIENTO_TPM_xlsx[[#This Row],[FECHA DE INTERVENCÓN]]+SEGUIMIENTO_TPM_xlsx[[#This Row],[HORA FIN  INTERVENCIÓN]])</f>
        <v>0</v>
      </c>
      <c r="T39" s="11">
        <f>(SEGUIMIENTO_TPM_xlsx[[#This Row],[FECHA Y HORA FINAL]]-SEGUIMIENTO_TPM_xlsx[[#This Row],[FECHA Y HORA INICIO]])</f>
        <v>0</v>
      </c>
    </row>
    <row r="40" spans="1:20" x14ac:dyDescent="0.25">
      <c r="A40">
        <v>39</v>
      </c>
      <c r="C40" s="1"/>
      <c r="D40" s="2"/>
      <c r="H40" s="1"/>
      <c r="I40" s="1"/>
      <c r="J40" s="2"/>
      <c r="Q40" s="1">
        <f>SEGUIMIENTO_TPM_xlsx[[#This Row],[HORA FIN  INTERVENCIÓN]]-SEGUIMIENTO_TPM_xlsx[[#This Row],[HORA INICIO INTERVENCIÓN]]</f>
        <v>0</v>
      </c>
      <c r="R40" s="20">
        <f>(SEGUIMIENTO_TPM_xlsx[[#This Row],[HORA REPORTE]]+SEGUIMIENTO_TPM_xlsx[[#This Row],[FECHA DE REPORTE]])</f>
        <v>0</v>
      </c>
      <c r="S40" s="20">
        <f>(SEGUIMIENTO_TPM_xlsx[[#This Row],[FECHA DE INTERVENCÓN]]+SEGUIMIENTO_TPM_xlsx[[#This Row],[HORA FIN  INTERVENCIÓN]])</f>
        <v>0</v>
      </c>
      <c r="T40" s="11">
        <f>(SEGUIMIENTO_TPM_xlsx[[#This Row],[FECHA Y HORA FINAL]]-SEGUIMIENTO_TPM_xlsx[[#This Row],[FECHA Y HORA INICIO]])</f>
        <v>0</v>
      </c>
    </row>
    <row r="41" spans="1:20" x14ac:dyDescent="0.25">
      <c r="A41">
        <v>40</v>
      </c>
      <c r="B41" t="s">
        <v>199</v>
      </c>
      <c r="C41" s="1">
        <v>0.70694444444444449</v>
      </c>
      <c r="D41" s="2">
        <v>45968</v>
      </c>
      <c r="E41" t="s">
        <v>91</v>
      </c>
      <c r="F41" t="s">
        <v>95</v>
      </c>
      <c r="G41" t="s">
        <v>200</v>
      </c>
      <c r="H41" s="1"/>
      <c r="I41" s="1"/>
      <c r="J41" s="2"/>
      <c r="P41" t="s">
        <v>33</v>
      </c>
      <c r="Q41" s="1">
        <f>SEGUIMIENTO_TPM_xlsx[[#This Row],[HORA FIN  INTERVENCIÓN]]-SEGUIMIENTO_TPM_xlsx[[#This Row],[HORA INICIO INTERVENCIÓN]]</f>
        <v>0</v>
      </c>
      <c r="R41" s="20">
        <f>(SEGUIMIENTO_TPM_xlsx[[#This Row],[HORA REPORTE]]+SEGUIMIENTO_TPM_xlsx[[#This Row],[FECHA DE REPORTE]])</f>
        <v>45968.706944444442</v>
      </c>
      <c r="S41" s="20">
        <f>(SEGUIMIENTO_TPM_xlsx[[#This Row],[FECHA DE INTERVENCÓN]]+SEGUIMIENTO_TPM_xlsx[[#This Row],[HORA FIN  INTERVENCIÓN]])</f>
        <v>0</v>
      </c>
      <c r="T41" s="11">
        <f>(SEGUIMIENTO_TPM_xlsx[[#This Row],[FECHA Y HORA FINAL]]-SEGUIMIENTO_TPM_xlsx[[#This Row],[FECHA Y HORA INICIO]])</f>
        <v>-45968.706944444442</v>
      </c>
    </row>
    <row r="42" spans="1:20" x14ac:dyDescent="0.25">
      <c r="A42">
        <v>41</v>
      </c>
      <c r="B42" t="s">
        <v>199</v>
      </c>
      <c r="C42" s="1">
        <v>0.70347222222222228</v>
      </c>
      <c r="D42" s="2">
        <v>45968</v>
      </c>
      <c r="E42" t="s">
        <v>91</v>
      </c>
      <c r="F42" t="s">
        <v>95</v>
      </c>
      <c r="G42" t="s">
        <v>201</v>
      </c>
      <c r="H42" s="1"/>
      <c r="I42" s="1"/>
      <c r="J42" s="2"/>
      <c r="P42" t="s">
        <v>33</v>
      </c>
      <c r="Q42" s="1">
        <f>SEGUIMIENTO_TPM_xlsx[[#This Row],[HORA FIN  INTERVENCIÓN]]-SEGUIMIENTO_TPM_xlsx[[#This Row],[HORA INICIO INTERVENCIÓN]]</f>
        <v>0</v>
      </c>
      <c r="R42" s="20">
        <f>(SEGUIMIENTO_TPM_xlsx[[#This Row],[HORA REPORTE]]+SEGUIMIENTO_TPM_xlsx[[#This Row],[FECHA DE REPORTE]])</f>
        <v>45968.703472222223</v>
      </c>
      <c r="S42" s="20">
        <f>(SEGUIMIENTO_TPM_xlsx[[#This Row],[FECHA DE INTERVENCÓN]]+SEGUIMIENTO_TPM_xlsx[[#This Row],[HORA FIN  INTERVENCIÓN]])</f>
        <v>0</v>
      </c>
      <c r="T42" s="11">
        <f>(SEGUIMIENTO_TPM_xlsx[[#This Row],[FECHA Y HORA FINAL]]-SEGUIMIENTO_TPM_xlsx[[#This Row],[FECHA Y HORA INICIO]])</f>
        <v>-45968.703472222223</v>
      </c>
    </row>
    <row r="43" spans="1:20" x14ac:dyDescent="0.25">
      <c r="A43">
        <v>42</v>
      </c>
      <c r="B43" t="s">
        <v>176</v>
      </c>
      <c r="C43" s="1">
        <v>0.31944444444444442</v>
      </c>
      <c r="D43" s="2">
        <v>45969</v>
      </c>
      <c r="E43" t="s">
        <v>94</v>
      </c>
      <c r="F43" t="s">
        <v>95</v>
      </c>
      <c r="G43" t="s">
        <v>202</v>
      </c>
      <c r="H43" s="1">
        <v>0.31944444444444442</v>
      </c>
      <c r="I43" s="1">
        <v>0.36805555555555558</v>
      </c>
      <c r="J43" s="2">
        <v>45969</v>
      </c>
      <c r="K43" t="s">
        <v>25</v>
      </c>
      <c r="L43" t="s">
        <v>203</v>
      </c>
      <c r="M43" t="s">
        <v>204</v>
      </c>
      <c r="N43" t="s">
        <v>205</v>
      </c>
      <c r="O43" t="s">
        <v>108</v>
      </c>
      <c r="P43" t="s">
        <v>23</v>
      </c>
      <c r="Q43" s="1">
        <f>SEGUIMIENTO_TPM_xlsx[[#This Row],[HORA FIN  INTERVENCIÓN]]-SEGUIMIENTO_TPM_xlsx[[#This Row],[HORA INICIO INTERVENCIÓN]]</f>
        <v>4.861111111111116E-2</v>
      </c>
      <c r="R43" s="20">
        <f>(SEGUIMIENTO_TPM_xlsx[[#This Row],[HORA REPORTE]]+SEGUIMIENTO_TPM_xlsx[[#This Row],[FECHA DE REPORTE]])</f>
        <v>45969.319444444445</v>
      </c>
      <c r="S43" s="20">
        <f>(SEGUIMIENTO_TPM_xlsx[[#This Row],[FECHA DE INTERVENCÓN]]+SEGUIMIENTO_TPM_xlsx[[#This Row],[HORA FIN  INTERVENCIÓN]])</f>
        <v>45969.368055555555</v>
      </c>
      <c r="T43" s="11">
        <f>(SEGUIMIENTO_TPM_xlsx[[#This Row],[FECHA Y HORA FINAL]]-SEGUIMIENTO_TPM_xlsx[[#This Row],[FECHA Y HORA INICIO]])</f>
        <v>4.8611111109494232E-2</v>
      </c>
    </row>
    <row r="44" spans="1:20" x14ac:dyDescent="0.25">
      <c r="A44">
        <v>43</v>
      </c>
      <c r="B44" t="s">
        <v>206</v>
      </c>
      <c r="C44" s="1">
        <v>0.58333333333333337</v>
      </c>
      <c r="D44" s="2">
        <v>45969</v>
      </c>
      <c r="E44" t="s">
        <v>207</v>
      </c>
      <c r="F44" t="s">
        <v>100</v>
      </c>
      <c r="G44" t="s">
        <v>208</v>
      </c>
      <c r="H44" s="1">
        <v>0.58333333333333337</v>
      </c>
      <c r="I44" s="1">
        <v>0.60416666666666663</v>
      </c>
      <c r="J44" s="2">
        <v>45969</v>
      </c>
      <c r="K44" t="s">
        <v>25</v>
      </c>
      <c r="L44" t="s">
        <v>209</v>
      </c>
      <c r="M44" t="s">
        <v>22</v>
      </c>
      <c r="N44" t="s">
        <v>22</v>
      </c>
      <c r="O44" t="s">
        <v>108</v>
      </c>
      <c r="P44" t="s">
        <v>23</v>
      </c>
      <c r="Q44" s="1">
        <f>SEGUIMIENTO_TPM_xlsx[[#This Row],[HORA FIN  INTERVENCIÓN]]-SEGUIMIENTO_TPM_xlsx[[#This Row],[HORA INICIO INTERVENCIÓN]]</f>
        <v>2.0833333333333259E-2</v>
      </c>
      <c r="R44" s="20">
        <f>(SEGUIMIENTO_TPM_xlsx[[#This Row],[HORA REPORTE]]+SEGUIMIENTO_TPM_xlsx[[#This Row],[FECHA DE REPORTE]])</f>
        <v>45969.583333333336</v>
      </c>
      <c r="S44" s="20">
        <f>(SEGUIMIENTO_TPM_xlsx[[#This Row],[FECHA DE INTERVENCÓN]]+SEGUIMIENTO_TPM_xlsx[[#This Row],[HORA FIN  INTERVENCIÓN]])</f>
        <v>45969.604166666664</v>
      </c>
      <c r="T44" s="11">
        <f>(SEGUIMIENTO_TPM_xlsx[[#This Row],[FECHA Y HORA FINAL]]-SEGUIMIENTO_TPM_xlsx[[#This Row],[FECHA Y HORA INICIO]])</f>
        <v>2.0833333328482695E-2</v>
      </c>
    </row>
    <row r="45" spans="1:20" x14ac:dyDescent="0.25">
      <c r="A45">
        <v>44</v>
      </c>
      <c r="B45" t="s">
        <v>22</v>
      </c>
      <c r="C45" s="1">
        <v>1.7361111111111112E-2</v>
      </c>
      <c r="D45" s="2">
        <v>45970</v>
      </c>
      <c r="E45" t="s">
        <v>143</v>
      </c>
      <c r="F45" t="s">
        <v>95</v>
      </c>
      <c r="G45" t="s">
        <v>210</v>
      </c>
      <c r="H45" s="1">
        <v>1.7361111111111112E-2</v>
      </c>
      <c r="I45" s="1">
        <v>9.7222222222222224E-2</v>
      </c>
      <c r="J45" s="2">
        <v>45970</v>
      </c>
      <c r="K45" t="s">
        <v>25</v>
      </c>
      <c r="L45" t="s">
        <v>211</v>
      </c>
      <c r="M45" t="s">
        <v>22</v>
      </c>
      <c r="N45" t="s">
        <v>22</v>
      </c>
      <c r="O45" t="s">
        <v>99</v>
      </c>
      <c r="P45" t="s">
        <v>23</v>
      </c>
      <c r="Q45" s="1">
        <f>SEGUIMIENTO_TPM_xlsx[[#This Row],[HORA FIN  INTERVENCIÓN]]-SEGUIMIENTO_TPM_xlsx[[#This Row],[HORA INICIO INTERVENCIÓN]]</f>
        <v>7.9861111111111105E-2</v>
      </c>
      <c r="R45" s="20">
        <f>(SEGUIMIENTO_TPM_xlsx[[#This Row],[HORA REPORTE]]+SEGUIMIENTO_TPM_xlsx[[#This Row],[FECHA DE REPORTE]])</f>
        <v>45970.017361111109</v>
      </c>
      <c r="S45" s="20">
        <f>(SEGUIMIENTO_TPM_xlsx[[#This Row],[FECHA DE INTERVENCÓN]]+SEGUIMIENTO_TPM_xlsx[[#This Row],[HORA FIN  INTERVENCIÓN]])</f>
        <v>45970.097222222219</v>
      </c>
      <c r="T45" s="11">
        <f>(SEGUIMIENTO_TPM_xlsx[[#This Row],[FECHA Y HORA FINAL]]-SEGUIMIENTO_TPM_xlsx[[#This Row],[FECHA Y HORA INICIO]])</f>
        <v>7.9861111109494232E-2</v>
      </c>
    </row>
    <row r="46" spans="1:20" x14ac:dyDescent="0.25">
      <c r="A46">
        <v>45</v>
      </c>
      <c r="B46" t="s">
        <v>103</v>
      </c>
      <c r="C46" s="1">
        <v>0.27777777777777779</v>
      </c>
      <c r="D46" s="2">
        <v>45971</v>
      </c>
      <c r="E46" t="s">
        <v>85</v>
      </c>
      <c r="F46" t="s">
        <v>95</v>
      </c>
      <c r="G46" t="s">
        <v>212</v>
      </c>
      <c r="H46" s="1">
        <v>0.27777777777777779</v>
      </c>
      <c r="I46" s="1">
        <v>0.29166666666666669</v>
      </c>
      <c r="J46" s="2">
        <v>45971</v>
      </c>
      <c r="K46" t="s">
        <v>20</v>
      </c>
      <c r="L46" t="s">
        <v>213</v>
      </c>
      <c r="M46" t="s">
        <v>22</v>
      </c>
      <c r="N46" t="s">
        <v>22</v>
      </c>
      <c r="O46" t="s">
        <v>112</v>
      </c>
      <c r="P46" t="s">
        <v>23</v>
      </c>
      <c r="Q46" s="1">
        <f>SEGUIMIENTO_TPM_xlsx[[#This Row],[HORA FIN  INTERVENCIÓN]]-SEGUIMIENTO_TPM_xlsx[[#This Row],[HORA INICIO INTERVENCIÓN]]</f>
        <v>1.3888888888888895E-2</v>
      </c>
      <c r="R46" s="20">
        <f>(SEGUIMIENTO_TPM_xlsx[[#This Row],[HORA REPORTE]]+SEGUIMIENTO_TPM_xlsx[[#This Row],[FECHA DE REPORTE]])</f>
        <v>45971.277777777781</v>
      </c>
      <c r="S46" s="20">
        <f>(SEGUIMIENTO_TPM_xlsx[[#This Row],[FECHA DE INTERVENCÓN]]+SEGUIMIENTO_TPM_xlsx[[#This Row],[HORA FIN  INTERVENCIÓN]])</f>
        <v>45971.291666666664</v>
      </c>
      <c r="T46" s="11">
        <f>(SEGUIMIENTO_TPM_xlsx[[#This Row],[FECHA Y HORA FINAL]]-SEGUIMIENTO_TPM_xlsx[[#This Row],[FECHA Y HORA INICIO]])</f>
        <v>1.3888888883229811E-2</v>
      </c>
    </row>
    <row r="47" spans="1:20" x14ac:dyDescent="0.25">
      <c r="A47">
        <v>46</v>
      </c>
      <c r="B47" t="s">
        <v>214</v>
      </c>
      <c r="C47" s="1">
        <v>0.32291666666666669</v>
      </c>
      <c r="D47" s="2">
        <v>45971</v>
      </c>
      <c r="E47" t="s">
        <v>215</v>
      </c>
      <c r="F47" t="s">
        <v>95</v>
      </c>
      <c r="G47" t="s">
        <v>216</v>
      </c>
      <c r="H47" s="1">
        <v>0.3263888888888889</v>
      </c>
      <c r="I47" s="1">
        <v>0.3611111111111111</v>
      </c>
      <c r="J47" s="2">
        <v>45971</v>
      </c>
      <c r="K47" t="s">
        <v>25</v>
      </c>
      <c r="L47" t="s">
        <v>217</v>
      </c>
      <c r="M47" t="s">
        <v>22</v>
      </c>
      <c r="N47" t="s">
        <v>22</v>
      </c>
      <c r="O47" t="s">
        <v>112</v>
      </c>
      <c r="P47" t="s">
        <v>23</v>
      </c>
      <c r="Q47" s="1">
        <f>SEGUIMIENTO_TPM_xlsx[[#This Row],[HORA FIN  INTERVENCIÓN]]-SEGUIMIENTO_TPM_xlsx[[#This Row],[HORA INICIO INTERVENCIÓN]]</f>
        <v>3.472222222222221E-2</v>
      </c>
      <c r="R47" s="20">
        <f>(SEGUIMIENTO_TPM_xlsx[[#This Row],[HORA REPORTE]]+SEGUIMIENTO_TPM_xlsx[[#This Row],[FECHA DE REPORTE]])</f>
        <v>45971.322916666664</v>
      </c>
      <c r="S47" s="20">
        <f>(SEGUIMIENTO_TPM_xlsx[[#This Row],[FECHA DE INTERVENCÓN]]+SEGUIMIENTO_TPM_xlsx[[#This Row],[HORA FIN  INTERVENCIÓN]])</f>
        <v>45971.361111111109</v>
      </c>
      <c r="T47" s="11">
        <f>(SEGUIMIENTO_TPM_xlsx[[#This Row],[FECHA Y HORA FINAL]]-SEGUIMIENTO_TPM_xlsx[[#This Row],[FECHA Y HORA INICIO]])</f>
        <v>3.8194444445252884E-2</v>
      </c>
    </row>
    <row r="48" spans="1:20" x14ac:dyDescent="0.25">
      <c r="A48">
        <v>47</v>
      </c>
      <c r="B48" t="s">
        <v>214</v>
      </c>
      <c r="C48" s="1">
        <v>0.35416666666666669</v>
      </c>
      <c r="D48" s="2">
        <v>45971</v>
      </c>
      <c r="E48" t="s">
        <v>162</v>
      </c>
      <c r="F48" t="s">
        <v>100</v>
      </c>
      <c r="G48" t="s">
        <v>218</v>
      </c>
      <c r="H48" s="1">
        <v>0.36805555555555558</v>
      </c>
      <c r="I48" s="1">
        <v>0.3840277777777778</v>
      </c>
      <c r="J48" s="2">
        <v>45971</v>
      </c>
      <c r="K48" t="s">
        <v>25</v>
      </c>
      <c r="L48" t="s">
        <v>219</v>
      </c>
      <c r="M48" t="s">
        <v>22</v>
      </c>
      <c r="N48" t="s">
        <v>22</v>
      </c>
      <c r="O48" t="s">
        <v>112</v>
      </c>
      <c r="P48" t="s">
        <v>23</v>
      </c>
      <c r="Q48" s="1">
        <f>SEGUIMIENTO_TPM_xlsx[[#This Row],[HORA FIN  INTERVENCIÓN]]-SEGUIMIENTO_TPM_xlsx[[#This Row],[HORA INICIO INTERVENCIÓN]]</f>
        <v>1.5972222222222221E-2</v>
      </c>
      <c r="R48" s="20">
        <f>(SEGUIMIENTO_TPM_xlsx[[#This Row],[HORA REPORTE]]+SEGUIMIENTO_TPM_xlsx[[#This Row],[FECHA DE REPORTE]])</f>
        <v>45971.354166666664</v>
      </c>
      <c r="S48" s="20">
        <f>(SEGUIMIENTO_TPM_xlsx[[#This Row],[FECHA DE INTERVENCÓN]]+SEGUIMIENTO_TPM_xlsx[[#This Row],[HORA FIN  INTERVENCIÓN]])</f>
        <v>45971.384027777778</v>
      </c>
      <c r="T48" s="11">
        <f>(SEGUIMIENTO_TPM_xlsx[[#This Row],[FECHA Y HORA FINAL]]-SEGUIMIENTO_TPM_xlsx[[#This Row],[FECHA Y HORA INICIO]])</f>
        <v>2.9861111113859806E-2</v>
      </c>
    </row>
    <row r="49" spans="1:20" x14ac:dyDescent="0.25">
      <c r="A49">
        <v>48</v>
      </c>
      <c r="B49" t="s">
        <v>220</v>
      </c>
      <c r="C49" s="1">
        <v>0.51388888888888884</v>
      </c>
      <c r="D49" s="2">
        <v>45971</v>
      </c>
      <c r="E49" t="s">
        <v>143</v>
      </c>
      <c r="F49" t="s">
        <v>95</v>
      </c>
      <c r="G49" t="s">
        <v>221</v>
      </c>
      <c r="H49" s="1">
        <v>0.51388888888888884</v>
      </c>
      <c r="I49" s="1">
        <v>0.52083333333333337</v>
      </c>
      <c r="J49" s="2">
        <v>45971</v>
      </c>
      <c r="K49" t="s">
        <v>25</v>
      </c>
      <c r="L49" t="s">
        <v>222</v>
      </c>
      <c r="M49" t="s">
        <v>223</v>
      </c>
      <c r="N49" t="s">
        <v>22</v>
      </c>
      <c r="O49" t="s">
        <v>112</v>
      </c>
      <c r="P49" t="s">
        <v>23</v>
      </c>
      <c r="Q49" s="1">
        <f>SEGUIMIENTO_TPM_xlsx[[#This Row],[HORA FIN  INTERVENCIÓN]]-SEGUIMIENTO_TPM_xlsx[[#This Row],[HORA INICIO INTERVENCIÓN]]</f>
        <v>6.9444444444445308E-3</v>
      </c>
      <c r="R49" s="20">
        <f>(SEGUIMIENTO_TPM_xlsx[[#This Row],[HORA REPORTE]]+SEGUIMIENTO_TPM_xlsx[[#This Row],[FECHA DE REPORTE]])</f>
        <v>45971.513888888891</v>
      </c>
      <c r="S49" s="20">
        <f>(SEGUIMIENTO_TPM_xlsx[[#This Row],[FECHA DE INTERVENCÓN]]+SEGUIMIENTO_TPM_xlsx[[#This Row],[HORA FIN  INTERVENCIÓN]])</f>
        <v>45971.520833333336</v>
      </c>
      <c r="T49" s="11">
        <f>(SEGUIMIENTO_TPM_xlsx[[#This Row],[FECHA Y HORA FINAL]]-SEGUIMIENTO_TPM_xlsx[[#This Row],[FECHA Y HORA INICIO]])</f>
        <v>6.9444444452528842E-3</v>
      </c>
    </row>
    <row r="50" spans="1:20" x14ac:dyDescent="0.25">
      <c r="A50">
        <v>49</v>
      </c>
      <c r="B50" t="s">
        <v>113</v>
      </c>
      <c r="C50" s="1">
        <v>0.88194444444444442</v>
      </c>
      <c r="D50" s="2">
        <v>45971</v>
      </c>
      <c r="E50" t="s">
        <v>188</v>
      </c>
      <c r="F50" t="s">
        <v>95</v>
      </c>
      <c r="G50" t="s">
        <v>224</v>
      </c>
      <c r="H50" s="1">
        <v>0.88194444444444442</v>
      </c>
      <c r="I50" s="1">
        <v>0.90277777777777779</v>
      </c>
      <c r="J50" s="2">
        <v>45971</v>
      </c>
      <c r="K50" t="s">
        <v>25</v>
      </c>
      <c r="L50" t="s">
        <v>225</v>
      </c>
      <c r="M50" t="s">
        <v>22</v>
      </c>
      <c r="N50" t="s">
        <v>22</v>
      </c>
      <c r="O50" t="s">
        <v>44</v>
      </c>
      <c r="P50" t="s">
        <v>23</v>
      </c>
      <c r="Q50" s="1">
        <f>SEGUIMIENTO_TPM_xlsx[[#This Row],[HORA FIN  INTERVENCIÓN]]-SEGUIMIENTO_TPM_xlsx[[#This Row],[HORA INICIO INTERVENCIÓN]]</f>
        <v>2.083333333333337E-2</v>
      </c>
      <c r="R50" s="20">
        <f>(SEGUIMIENTO_TPM_xlsx[[#This Row],[HORA REPORTE]]+SEGUIMIENTO_TPM_xlsx[[#This Row],[FECHA DE REPORTE]])</f>
        <v>45971.881944444445</v>
      </c>
      <c r="S50" s="20">
        <f>(SEGUIMIENTO_TPM_xlsx[[#This Row],[FECHA DE INTERVENCÓN]]+SEGUIMIENTO_TPM_xlsx[[#This Row],[HORA FIN  INTERVENCIÓN]])</f>
        <v>45971.902777777781</v>
      </c>
      <c r="T50" s="11">
        <f>(SEGUIMIENTO_TPM_xlsx[[#This Row],[FECHA Y HORA FINAL]]-SEGUIMIENTO_TPM_xlsx[[#This Row],[FECHA Y HORA INICIO]])</f>
        <v>2.0833333335758653E-2</v>
      </c>
    </row>
    <row r="51" spans="1:20" x14ac:dyDescent="0.25">
      <c r="A51">
        <v>50</v>
      </c>
      <c r="B51" t="s">
        <v>226</v>
      </c>
      <c r="C51" s="1">
        <v>0.54166666666666663</v>
      </c>
      <c r="D51" s="2">
        <v>45972</v>
      </c>
      <c r="E51" t="s">
        <v>227</v>
      </c>
      <c r="F51" t="s">
        <v>95</v>
      </c>
      <c r="G51" t="s">
        <v>228</v>
      </c>
      <c r="H51" s="1">
        <v>0.54166666666666663</v>
      </c>
      <c r="I51" s="1">
        <v>0.625</v>
      </c>
      <c r="J51" s="2">
        <v>45972</v>
      </c>
      <c r="K51" t="s">
        <v>25</v>
      </c>
      <c r="L51" t="s">
        <v>229</v>
      </c>
      <c r="M51" t="s">
        <v>230</v>
      </c>
      <c r="N51" t="s">
        <v>22</v>
      </c>
      <c r="O51" t="s">
        <v>99</v>
      </c>
      <c r="P51" t="s">
        <v>23</v>
      </c>
      <c r="Q51" s="1">
        <f>SEGUIMIENTO_TPM_xlsx[[#This Row],[HORA FIN  INTERVENCIÓN]]-SEGUIMIENTO_TPM_xlsx[[#This Row],[HORA INICIO INTERVENCIÓN]]</f>
        <v>8.333333333333337E-2</v>
      </c>
      <c r="R51" s="20">
        <f>(SEGUIMIENTO_TPM_xlsx[[#This Row],[HORA REPORTE]]+SEGUIMIENTO_TPM_xlsx[[#This Row],[FECHA DE REPORTE]])</f>
        <v>45972.541666666664</v>
      </c>
      <c r="S51" s="20">
        <f>(SEGUIMIENTO_TPM_xlsx[[#This Row],[FECHA DE INTERVENCÓN]]+SEGUIMIENTO_TPM_xlsx[[#This Row],[HORA FIN  INTERVENCIÓN]])</f>
        <v>45972.625</v>
      </c>
      <c r="T51" s="11">
        <f>(SEGUIMIENTO_TPM_xlsx[[#This Row],[FECHA Y HORA FINAL]]-SEGUIMIENTO_TPM_xlsx[[#This Row],[FECHA Y HORA INICIO]])</f>
        <v>8.3333333335758653E-2</v>
      </c>
    </row>
    <row r="52" spans="1:20" x14ac:dyDescent="0.25">
      <c r="A52">
        <v>51</v>
      </c>
      <c r="C52" s="1"/>
      <c r="D52" s="2"/>
      <c r="H52" s="1"/>
      <c r="I52" s="1"/>
      <c r="J52" s="2"/>
      <c r="Q52" s="1">
        <f>SEGUIMIENTO_TPM_xlsx[[#This Row],[HORA FIN  INTERVENCIÓN]]-SEGUIMIENTO_TPM_xlsx[[#This Row],[HORA INICIO INTERVENCIÓN]]</f>
        <v>0</v>
      </c>
      <c r="R52" s="20">
        <f>(SEGUIMIENTO_TPM_xlsx[[#This Row],[HORA REPORTE]]+SEGUIMIENTO_TPM_xlsx[[#This Row],[FECHA DE REPORTE]])</f>
        <v>0</v>
      </c>
      <c r="S52" s="20">
        <f>(SEGUIMIENTO_TPM_xlsx[[#This Row],[FECHA DE INTERVENCÓN]]+SEGUIMIENTO_TPM_xlsx[[#This Row],[HORA FIN  INTERVENCIÓN]])</f>
        <v>0</v>
      </c>
      <c r="T52" s="11">
        <f>(SEGUIMIENTO_TPM_xlsx[[#This Row],[FECHA Y HORA FINAL]]-SEGUIMIENTO_TPM_xlsx[[#This Row],[FECHA Y HORA INICIO]])</f>
        <v>0</v>
      </c>
    </row>
    <row r="53" spans="1:20" x14ac:dyDescent="0.25">
      <c r="A53">
        <v>52</v>
      </c>
      <c r="B53" t="s">
        <v>231</v>
      </c>
      <c r="C53" s="1">
        <v>0.63888888888888884</v>
      </c>
      <c r="D53" s="2">
        <v>45972</v>
      </c>
      <c r="E53" t="s">
        <v>143</v>
      </c>
      <c r="F53" t="s">
        <v>95</v>
      </c>
      <c r="G53" t="s">
        <v>232</v>
      </c>
      <c r="H53" s="1">
        <v>0.64583333333333337</v>
      </c>
      <c r="I53" s="1">
        <v>0.72222222222222221</v>
      </c>
      <c r="J53" s="2">
        <v>45972</v>
      </c>
      <c r="K53" t="s">
        <v>20</v>
      </c>
      <c r="L53" t="s">
        <v>233</v>
      </c>
      <c r="M53" t="s">
        <v>22</v>
      </c>
      <c r="N53" t="s">
        <v>22</v>
      </c>
      <c r="O53" t="s">
        <v>44</v>
      </c>
      <c r="P53" t="s">
        <v>23</v>
      </c>
      <c r="Q53" s="1">
        <f>SEGUIMIENTO_TPM_xlsx[[#This Row],[HORA FIN  INTERVENCIÓN]]-SEGUIMIENTO_TPM_xlsx[[#This Row],[HORA INICIO INTERVENCIÓN]]</f>
        <v>7.638888888888884E-2</v>
      </c>
      <c r="R53" s="20">
        <f>(SEGUIMIENTO_TPM_xlsx[[#This Row],[HORA REPORTE]]+SEGUIMIENTO_TPM_xlsx[[#This Row],[FECHA DE REPORTE]])</f>
        <v>45972.638888888891</v>
      </c>
      <c r="S53" s="20">
        <f>(SEGUIMIENTO_TPM_xlsx[[#This Row],[FECHA DE INTERVENCÓN]]+SEGUIMIENTO_TPM_xlsx[[#This Row],[HORA FIN  INTERVENCIÓN]])</f>
        <v>45972.722222222219</v>
      </c>
      <c r="T53" s="11">
        <f>(SEGUIMIENTO_TPM_xlsx[[#This Row],[FECHA Y HORA FINAL]]-SEGUIMIENTO_TPM_xlsx[[#This Row],[FECHA Y HORA INICIO]])</f>
        <v>8.3333333328482695E-2</v>
      </c>
    </row>
    <row r="54" spans="1:20" x14ac:dyDescent="0.25">
      <c r="A54">
        <v>53</v>
      </c>
      <c r="B54" t="s">
        <v>187</v>
      </c>
      <c r="C54" s="1">
        <v>0.69444444444444442</v>
      </c>
      <c r="D54" s="2">
        <v>45972</v>
      </c>
      <c r="E54" t="s">
        <v>104</v>
      </c>
      <c r="F54" t="s">
        <v>95</v>
      </c>
      <c r="G54" t="s">
        <v>234</v>
      </c>
      <c r="H54" s="1">
        <v>0.74305555555555558</v>
      </c>
      <c r="I54" s="1">
        <v>0.76388888888888884</v>
      </c>
      <c r="J54" s="2">
        <v>45972</v>
      </c>
      <c r="K54" t="s">
        <v>20</v>
      </c>
      <c r="L54" t="s">
        <v>235</v>
      </c>
      <c r="M54" t="s">
        <v>22</v>
      </c>
      <c r="N54" t="s">
        <v>22</v>
      </c>
      <c r="O54" t="s">
        <v>44</v>
      </c>
      <c r="P54" t="s">
        <v>23</v>
      </c>
      <c r="Q54" s="1">
        <f>SEGUIMIENTO_TPM_xlsx[[#This Row],[HORA FIN  INTERVENCIÓN]]-SEGUIMIENTO_TPM_xlsx[[#This Row],[HORA INICIO INTERVENCIÓN]]</f>
        <v>2.0833333333333259E-2</v>
      </c>
      <c r="R54" s="20">
        <f>(SEGUIMIENTO_TPM_xlsx[[#This Row],[HORA REPORTE]]+SEGUIMIENTO_TPM_xlsx[[#This Row],[FECHA DE REPORTE]])</f>
        <v>45972.694444444445</v>
      </c>
      <c r="S54" s="20">
        <f>(SEGUIMIENTO_TPM_xlsx[[#This Row],[FECHA DE INTERVENCÓN]]+SEGUIMIENTO_TPM_xlsx[[#This Row],[HORA FIN  INTERVENCIÓN]])</f>
        <v>45972.763888888891</v>
      </c>
      <c r="T54" s="11">
        <f>(SEGUIMIENTO_TPM_xlsx[[#This Row],[FECHA Y HORA FINAL]]-SEGUIMIENTO_TPM_xlsx[[#This Row],[FECHA Y HORA INICIO]])</f>
        <v>6.9444444445252884E-2</v>
      </c>
    </row>
    <row r="55" spans="1:20" x14ac:dyDescent="0.25">
      <c r="A55">
        <v>54</v>
      </c>
      <c r="B55" t="s">
        <v>231</v>
      </c>
      <c r="C55" s="1">
        <v>0.70833333333333337</v>
      </c>
      <c r="D55" s="2">
        <v>45972</v>
      </c>
      <c r="E55" t="s">
        <v>143</v>
      </c>
      <c r="F55" t="s">
        <v>95</v>
      </c>
      <c r="G55" t="s">
        <v>236</v>
      </c>
      <c r="H55" s="1">
        <v>0.70833333333333337</v>
      </c>
      <c r="I55" s="1">
        <v>0.72222222222222221</v>
      </c>
      <c r="J55" s="2">
        <v>45972</v>
      </c>
      <c r="K55" t="s">
        <v>25</v>
      </c>
      <c r="L55" t="s">
        <v>237</v>
      </c>
      <c r="M55" t="s">
        <v>22</v>
      </c>
      <c r="N55" t="s">
        <v>22</v>
      </c>
      <c r="O55" t="s">
        <v>44</v>
      </c>
      <c r="P55" t="s">
        <v>23</v>
      </c>
      <c r="Q55" s="1">
        <f>SEGUIMIENTO_TPM_xlsx[[#This Row],[HORA FIN  INTERVENCIÓN]]-SEGUIMIENTO_TPM_xlsx[[#This Row],[HORA INICIO INTERVENCIÓN]]</f>
        <v>1.388888888888884E-2</v>
      </c>
      <c r="R55" s="20">
        <f>(SEGUIMIENTO_TPM_xlsx[[#This Row],[HORA REPORTE]]+SEGUIMIENTO_TPM_xlsx[[#This Row],[FECHA DE REPORTE]])</f>
        <v>45972.708333333336</v>
      </c>
      <c r="S55" s="20">
        <f>(SEGUIMIENTO_TPM_xlsx[[#This Row],[FECHA DE INTERVENCÓN]]+SEGUIMIENTO_TPM_xlsx[[#This Row],[HORA FIN  INTERVENCIÓN]])</f>
        <v>45972.722222222219</v>
      </c>
      <c r="T55" s="11">
        <f>(SEGUIMIENTO_TPM_xlsx[[#This Row],[FECHA Y HORA FINAL]]-SEGUIMIENTO_TPM_xlsx[[#This Row],[FECHA Y HORA INICIO]])</f>
        <v>1.3888888883229811E-2</v>
      </c>
    </row>
    <row r="56" spans="1:20" x14ac:dyDescent="0.25">
      <c r="A56">
        <v>55</v>
      </c>
      <c r="B56" t="s">
        <v>238</v>
      </c>
      <c r="C56" s="1">
        <v>0.89583333333333337</v>
      </c>
      <c r="D56" s="2">
        <v>45972</v>
      </c>
      <c r="E56" t="s">
        <v>109</v>
      </c>
      <c r="F56" t="s">
        <v>95</v>
      </c>
      <c r="G56" t="s">
        <v>239</v>
      </c>
      <c r="H56" s="1">
        <v>0.89583333333333337</v>
      </c>
      <c r="I56" s="1">
        <v>0.90625</v>
      </c>
      <c r="J56" s="2">
        <v>45972</v>
      </c>
      <c r="K56" t="s">
        <v>20</v>
      </c>
      <c r="L56" t="s">
        <v>240</v>
      </c>
      <c r="M56" t="s">
        <v>22</v>
      </c>
      <c r="N56" t="s">
        <v>22</v>
      </c>
      <c r="O56" t="s">
        <v>44</v>
      </c>
      <c r="P56" t="s">
        <v>23</v>
      </c>
      <c r="Q56" s="1">
        <f>SEGUIMIENTO_TPM_xlsx[[#This Row],[HORA FIN  INTERVENCIÓN]]-SEGUIMIENTO_TPM_xlsx[[#This Row],[HORA INICIO INTERVENCIÓN]]</f>
        <v>1.041666666666663E-2</v>
      </c>
      <c r="R56" s="20">
        <f>(SEGUIMIENTO_TPM_xlsx[[#This Row],[HORA REPORTE]]+SEGUIMIENTO_TPM_xlsx[[#This Row],[FECHA DE REPORTE]])</f>
        <v>45972.895833333336</v>
      </c>
      <c r="S56" s="20">
        <f>(SEGUIMIENTO_TPM_xlsx[[#This Row],[FECHA DE INTERVENCÓN]]+SEGUIMIENTO_TPM_xlsx[[#This Row],[HORA FIN  INTERVENCIÓN]])</f>
        <v>45972.90625</v>
      </c>
      <c r="T56" s="11">
        <f>(SEGUIMIENTO_TPM_xlsx[[#This Row],[FECHA Y HORA FINAL]]-SEGUIMIENTO_TPM_xlsx[[#This Row],[FECHA Y HORA INICIO]])</f>
        <v>1.0416666664241347E-2</v>
      </c>
    </row>
    <row r="57" spans="1:20" x14ac:dyDescent="0.25">
      <c r="A57">
        <v>56</v>
      </c>
      <c r="B57" t="s">
        <v>113</v>
      </c>
      <c r="C57" s="1">
        <v>0.99305555555555558</v>
      </c>
      <c r="D57" s="2">
        <v>45972</v>
      </c>
      <c r="E57" t="s">
        <v>85</v>
      </c>
      <c r="F57" t="s">
        <v>95</v>
      </c>
      <c r="G57" t="s">
        <v>241</v>
      </c>
      <c r="H57" s="1"/>
      <c r="I57" s="1"/>
      <c r="J57" s="2"/>
      <c r="P57" t="s">
        <v>33</v>
      </c>
      <c r="Q57" s="1">
        <f>SEGUIMIENTO_TPM_xlsx[[#This Row],[HORA FIN  INTERVENCIÓN]]-SEGUIMIENTO_TPM_xlsx[[#This Row],[HORA INICIO INTERVENCIÓN]]</f>
        <v>0</v>
      </c>
      <c r="R57" s="20">
        <f>(SEGUIMIENTO_TPM_xlsx[[#This Row],[HORA REPORTE]]+SEGUIMIENTO_TPM_xlsx[[#This Row],[FECHA DE REPORTE]])</f>
        <v>45972.993055555555</v>
      </c>
      <c r="S57" s="20">
        <f>(SEGUIMIENTO_TPM_xlsx[[#This Row],[FECHA DE INTERVENCÓN]]+SEGUIMIENTO_TPM_xlsx[[#This Row],[HORA FIN  INTERVENCIÓN]])</f>
        <v>0</v>
      </c>
      <c r="T57" s="11">
        <f>(SEGUIMIENTO_TPM_xlsx[[#This Row],[FECHA Y HORA FINAL]]-SEGUIMIENTO_TPM_xlsx[[#This Row],[FECHA Y HORA INICIO]])</f>
        <v>-45972.993055555555</v>
      </c>
    </row>
    <row r="58" spans="1:20" x14ac:dyDescent="0.25">
      <c r="A58">
        <v>57</v>
      </c>
      <c r="C58" s="1"/>
      <c r="D58" s="2"/>
      <c r="H58" s="1"/>
      <c r="I58" s="1"/>
      <c r="J58" s="2"/>
      <c r="Q58" s="1">
        <f>SEGUIMIENTO_TPM_xlsx[[#This Row],[HORA FIN  INTERVENCIÓN]]-SEGUIMIENTO_TPM_xlsx[[#This Row],[HORA INICIO INTERVENCIÓN]]</f>
        <v>0</v>
      </c>
      <c r="R58" s="20">
        <f>(SEGUIMIENTO_TPM_xlsx[[#This Row],[HORA REPORTE]]+SEGUIMIENTO_TPM_xlsx[[#This Row],[FECHA DE REPORTE]])</f>
        <v>0</v>
      </c>
      <c r="S58" s="20">
        <f>(SEGUIMIENTO_TPM_xlsx[[#This Row],[FECHA DE INTERVENCÓN]]+SEGUIMIENTO_TPM_xlsx[[#This Row],[HORA FIN  INTERVENCIÓN]])</f>
        <v>0</v>
      </c>
      <c r="T58" s="11">
        <f>(SEGUIMIENTO_TPM_xlsx[[#This Row],[FECHA Y HORA FINAL]]-SEGUIMIENTO_TPM_xlsx[[#This Row],[FECHA Y HORA INICIO]])</f>
        <v>0</v>
      </c>
    </row>
    <row r="59" spans="1:20" x14ac:dyDescent="0.25">
      <c r="A59">
        <v>58</v>
      </c>
      <c r="B59" t="s">
        <v>242</v>
      </c>
      <c r="C59" s="1">
        <v>0.32708333333333334</v>
      </c>
      <c r="D59" s="2">
        <v>45979</v>
      </c>
      <c r="E59" t="s">
        <v>227</v>
      </c>
      <c r="F59" t="s">
        <v>95</v>
      </c>
      <c r="G59" t="s">
        <v>243</v>
      </c>
      <c r="H59" s="1">
        <v>0.32708333333333334</v>
      </c>
      <c r="I59" s="1">
        <v>0.42291666666666666</v>
      </c>
      <c r="J59" s="2">
        <v>45979</v>
      </c>
      <c r="K59" t="s">
        <v>25</v>
      </c>
      <c r="L59" t="s">
        <v>244</v>
      </c>
      <c r="M59" t="s">
        <v>245</v>
      </c>
      <c r="N59" t="s">
        <v>246</v>
      </c>
      <c r="O59" t="s">
        <v>99</v>
      </c>
      <c r="P59" t="s">
        <v>23</v>
      </c>
      <c r="Q59" s="1">
        <f>SEGUIMIENTO_TPM_xlsx[[#This Row],[HORA FIN  INTERVENCIÓN]]-SEGUIMIENTO_TPM_xlsx[[#This Row],[HORA INICIO INTERVENCIÓN]]</f>
        <v>9.5833333333333326E-2</v>
      </c>
      <c r="R59" s="20">
        <f>(SEGUIMIENTO_TPM_xlsx[[#This Row],[HORA REPORTE]]+SEGUIMIENTO_TPM_xlsx[[#This Row],[FECHA DE REPORTE]])</f>
        <v>45979.32708333333</v>
      </c>
      <c r="S59" s="20">
        <f>(SEGUIMIENTO_TPM_xlsx[[#This Row],[FECHA DE INTERVENCÓN]]+SEGUIMIENTO_TPM_xlsx[[#This Row],[HORA FIN  INTERVENCIÓN]])</f>
        <v>45979.42291666667</v>
      </c>
      <c r="T59" s="11">
        <f>(SEGUIMIENTO_TPM_xlsx[[#This Row],[FECHA Y HORA FINAL]]-SEGUIMIENTO_TPM_xlsx[[#This Row],[FECHA Y HORA INICIO]])</f>
        <v>9.5833333340124227E-2</v>
      </c>
    </row>
    <row r="60" spans="1:20" x14ac:dyDescent="0.25">
      <c r="A60">
        <v>59</v>
      </c>
      <c r="B60" t="s">
        <v>103</v>
      </c>
      <c r="C60" s="1">
        <v>0.64583333333333337</v>
      </c>
      <c r="D60" s="2">
        <v>45973</v>
      </c>
      <c r="E60" t="s">
        <v>85</v>
      </c>
      <c r="F60" t="s">
        <v>95</v>
      </c>
      <c r="G60" t="s">
        <v>247</v>
      </c>
      <c r="H60" s="1">
        <v>0.64583333333333337</v>
      </c>
      <c r="I60" s="1">
        <v>0.75</v>
      </c>
      <c r="J60" s="2">
        <v>45973</v>
      </c>
      <c r="K60" t="s">
        <v>25</v>
      </c>
      <c r="L60" t="s">
        <v>248</v>
      </c>
      <c r="M60" t="s">
        <v>22</v>
      </c>
      <c r="N60" t="s">
        <v>22</v>
      </c>
      <c r="O60" t="s">
        <v>112</v>
      </c>
      <c r="P60" t="s">
        <v>23</v>
      </c>
      <c r="Q60" s="1">
        <f>SEGUIMIENTO_TPM_xlsx[[#This Row],[HORA FIN  INTERVENCIÓN]]-SEGUIMIENTO_TPM_xlsx[[#This Row],[HORA INICIO INTERVENCIÓN]]</f>
        <v>0.10416666666666663</v>
      </c>
      <c r="R60" s="20">
        <f>(SEGUIMIENTO_TPM_xlsx[[#This Row],[HORA REPORTE]]+SEGUIMIENTO_TPM_xlsx[[#This Row],[FECHA DE REPORTE]])</f>
        <v>45973.645833333336</v>
      </c>
      <c r="S60" s="20">
        <f>(SEGUIMIENTO_TPM_xlsx[[#This Row],[FECHA DE INTERVENCÓN]]+SEGUIMIENTO_TPM_xlsx[[#This Row],[HORA FIN  INTERVENCIÓN]])</f>
        <v>45973.75</v>
      </c>
      <c r="T60" s="11">
        <f>(SEGUIMIENTO_TPM_xlsx[[#This Row],[FECHA Y HORA FINAL]]-SEGUIMIENTO_TPM_xlsx[[#This Row],[FECHA Y HORA INICIO]])</f>
        <v>0.10416666666424135</v>
      </c>
    </row>
    <row r="61" spans="1:20" x14ac:dyDescent="0.25">
      <c r="A61">
        <v>60</v>
      </c>
      <c r="B61" t="s">
        <v>192</v>
      </c>
      <c r="C61" s="1">
        <v>0.75</v>
      </c>
      <c r="D61" s="2">
        <v>45973</v>
      </c>
      <c r="E61" t="s">
        <v>162</v>
      </c>
      <c r="F61" t="s">
        <v>95</v>
      </c>
      <c r="G61" t="s">
        <v>249</v>
      </c>
      <c r="H61" s="1"/>
      <c r="I61" s="1"/>
      <c r="J61" s="2"/>
      <c r="P61" t="s">
        <v>33</v>
      </c>
      <c r="Q61" s="1">
        <f>SEGUIMIENTO_TPM_xlsx[[#This Row],[HORA FIN  INTERVENCIÓN]]-SEGUIMIENTO_TPM_xlsx[[#This Row],[HORA INICIO INTERVENCIÓN]]</f>
        <v>0</v>
      </c>
      <c r="R61" s="20">
        <f>(SEGUIMIENTO_TPM_xlsx[[#This Row],[HORA REPORTE]]+SEGUIMIENTO_TPM_xlsx[[#This Row],[FECHA DE REPORTE]])</f>
        <v>45973.75</v>
      </c>
      <c r="S61" s="20">
        <f>(SEGUIMIENTO_TPM_xlsx[[#This Row],[FECHA DE INTERVENCÓN]]+SEGUIMIENTO_TPM_xlsx[[#This Row],[HORA FIN  INTERVENCIÓN]])</f>
        <v>0</v>
      </c>
      <c r="T61" s="11">
        <f>(SEGUIMIENTO_TPM_xlsx[[#This Row],[FECHA Y HORA FINAL]]-SEGUIMIENTO_TPM_xlsx[[#This Row],[FECHA Y HORA INICIO]])</f>
        <v>-45973.75</v>
      </c>
    </row>
    <row r="62" spans="1:20" x14ac:dyDescent="0.25">
      <c r="A62">
        <v>61</v>
      </c>
      <c r="B62" t="s">
        <v>113</v>
      </c>
      <c r="C62" s="1">
        <v>0.84513888888888888</v>
      </c>
      <c r="D62" s="2">
        <v>45973</v>
      </c>
      <c r="E62" t="s">
        <v>104</v>
      </c>
      <c r="F62" t="s">
        <v>95</v>
      </c>
      <c r="G62" t="s">
        <v>250</v>
      </c>
      <c r="H62" s="1"/>
      <c r="I62" s="1"/>
      <c r="J62" s="2"/>
      <c r="P62" t="s">
        <v>33</v>
      </c>
      <c r="Q62" s="1">
        <f>SEGUIMIENTO_TPM_xlsx[[#This Row],[HORA FIN  INTERVENCIÓN]]-SEGUIMIENTO_TPM_xlsx[[#This Row],[HORA INICIO INTERVENCIÓN]]</f>
        <v>0</v>
      </c>
      <c r="R62" s="20">
        <f>(SEGUIMIENTO_TPM_xlsx[[#This Row],[HORA REPORTE]]+SEGUIMIENTO_TPM_xlsx[[#This Row],[FECHA DE REPORTE]])</f>
        <v>45973.845138888886</v>
      </c>
      <c r="S62" s="20">
        <f>(SEGUIMIENTO_TPM_xlsx[[#This Row],[FECHA DE INTERVENCÓN]]+SEGUIMIENTO_TPM_xlsx[[#This Row],[HORA FIN  INTERVENCIÓN]])</f>
        <v>0</v>
      </c>
      <c r="T62" s="11">
        <f>(SEGUIMIENTO_TPM_xlsx[[#This Row],[FECHA Y HORA FINAL]]-SEGUIMIENTO_TPM_xlsx[[#This Row],[FECHA Y HORA INICIO]])</f>
        <v>-45973.845138888886</v>
      </c>
    </row>
    <row r="63" spans="1:20" x14ac:dyDescent="0.25">
      <c r="A63">
        <v>62</v>
      </c>
      <c r="B63" t="s">
        <v>199</v>
      </c>
      <c r="C63" s="1">
        <v>0.84722222222222221</v>
      </c>
      <c r="D63" s="2">
        <v>45973</v>
      </c>
      <c r="E63" t="s">
        <v>91</v>
      </c>
      <c r="F63" t="s">
        <v>95</v>
      </c>
      <c r="G63" t="s">
        <v>251</v>
      </c>
      <c r="H63" s="1">
        <v>0.88888888888888884</v>
      </c>
      <c r="I63" s="1">
        <v>0.90277777777777779</v>
      </c>
      <c r="J63" s="2">
        <v>45973</v>
      </c>
      <c r="K63" t="s">
        <v>25</v>
      </c>
      <c r="L63" t="s">
        <v>252</v>
      </c>
      <c r="M63" t="s">
        <v>22</v>
      </c>
      <c r="N63" t="s">
        <v>22</v>
      </c>
      <c r="O63" t="s">
        <v>112</v>
      </c>
      <c r="P63" t="s">
        <v>23</v>
      </c>
      <c r="Q63" s="1">
        <f>SEGUIMIENTO_TPM_xlsx[[#This Row],[HORA FIN  INTERVENCIÓN]]-SEGUIMIENTO_TPM_xlsx[[#This Row],[HORA INICIO INTERVENCIÓN]]</f>
        <v>1.3888888888888951E-2</v>
      </c>
      <c r="R63" s="20">
        <f>(SEGUIMIENTO_TPM_xlsx[[#This Row],[HORA REPORTE]]+SEGUIMIENTO_TPM_xlsx[[#This Row],[FECHA DE REPORTE]])</f>
        <v>45973.847222222219</v>
      </c>
      <c r="S63" s="20">
        <f>(SEGUIMIENTO_TPM_xlsx[[#This Row],[FECHA DE INTERVENCÓN]]+SEGUIMIENTO_TPM_xlsx[[#This Row],[HORA FIN  INTERVENCIÓN]])</f>
        <v>45973.902777777781</v>
      </c>
      <c r="T63" s="11">
        <f>(SEGUIMIENTO_TPM_xlsx[[#This Row],[FECHA Y HORA FINAL]]-SEGUIMIENTO_TPM_xlsx[[#This Row],[FECHA Y HORA INICIO]])</f>
        <v>5.5555555562023073E-2</v>
      </c>
    </row>
    <row r="64" spans="1:20" x14ac:dyDescent="0.25">
      <c r="A64">
        <v>63</v>
      </c>
      <c r="B64" t="s">
        <v>199</v>
      </c>
      <c r="C64" s="1">
        <v>0.99305555555555558</v>
      </c>
      <c r="D64" s="2">
        <v>45973</v>
      </c>
      <c r="E64" t="s">
        <v>91</v>
      </c>
      <c r="F64" t="s">
        <v>95</v>
      </c>
      <c r="G64" t="s">
        <v>253</v>
      </c>
      <c r="H64" s="1">
        <v>0.99305555555555558</v>
      </c>
      <c r="I64" s="1">
        <v>8.3333333333333329E-2</v>
      </c>
      <c r="J64" s="2">
        <v>45973</v>
      </c>
      <c r="K64" t="s">
        <v>25</v>
      </c>
      <c r="L64" t="s">
        <v>254</v>
      </c>
      <c r="M64" t="s">
        <v>255</v>
      </c>
      <c r="N64" t="s">
        <v>22</v>
      </c>
      <c r="O64" t="s">
        <v>99</v>
      </c>
      <c r="P64" t="s">
        <v>23</v>
      </c>
      <c r="Q64" s="1">
        <f>SEGUIMIENTO_TPM_xlsx[[#This Row],[HORA FIN  INTERVENCIÓN]]-SEGUIMIENTO_TPM_xlsx[[#This Row],[HORA INICIO INTERVENCIÓN]]</f>
        <v>-0.90972222222222221</v>
      </c>
      <c r="R64" s="20">
        <f>(SEGUIMIENTO_TPM_xlsx[[#This Row],[HORA REPORTE]]+SEGUIMIENTO_TPM_xlsx[[#This Row],[FECHA DE REPORTE]])</f>
        <v>45973.993055555555</v>
      </c>
      <c r="S64" s="20">
        <f>(SEGUIMIENTO_TPM_xlsx[[#This Row],[FECHA DE INTERVENCÓN]]+SEGUIMIENTO_TPM_xlsx[[#This Row],[HORA FIN  INTERVENCIÓN]])</f>
        <v>45973.083333333336</v>
      </c>
      <c r="T64" s="11">
        <f>(SEGUIMIENTO_TPM_xlsx[[#This Row],[FECHA Y HORA FINAL]]-SEGUIMIENTO_TPM_xlsx[[#This Row],[FECHA Y HORA INICIO]])</f>
        <v>-0.90972222221898846</v>
      </c>
    </row>
    <row r="65" spans="1:20" x14ac:dyDescent="0.25">
      <c r="A65">
        <v>64</v>
      </c>
      <c r="B65" t="s">
        <v>256</v>
      </c>
      <c r="C65" s="1">
        <v>0.29166666666666669</v>
      </c>
      <c r="D65" s="2">
        <v>45974</v>
      </c>
      <c r="E65" t="s">
        <v>162</v>
      </c>
      <c r="F65" t="s">
        <v>95</v>
      </c>
      <c r="G65" t="s">
        <v>257</v>
      </c>
      <c r="H65" s="1">
        <v>0.29166666666666669</v>
      </c>
      <c r="I65" s="1">
        <v>0.40972222222222221</v>
      </c>
      <c r="J65" s="2">
        <v>45974</v>
      </c>
      <c r="K65" t="s">
        <v>156</v>
      </c>
      <c r="L65" t="s">
        <v>258</v>
      </c>
      <c r="M65" t="s">
        <v>259</v>
      </c>
      <c r="N65" t="s">
        <v>260</v>
      </c>
      <c r="O65" t="s">
        <v>108</v>
      </c>
      <c r="P65" t="s">
        <v>23</v>
      </c>
      <c r="Q65" s="1">
        <f>SEGUIMIENTO_TPM_xlsx[[#This Row],[HORA FIN  INTERVENCIÓN]]-SEGUIMIENTO_TPM_xlsx[[#This Row],[HORA INICIO INTERVENCIÓN]]</f>
        <v>0.11805555555555552</v>
      </c>
      <c r="R65" s="20">
        <f>(SEGUIMIENTO_TPM_xlsx[[#This Row],[HORA REPORTE]]+SEGUIMIENTO_TPM_xlsx[[#This Row],[FECHA DE REPORTE]])</f>
        <v>45974.291666666664</v>
      </c>
      <c r="S65" s="20">
        <f>(SEGUIMIENTO_TPM_xlsx[[#This Row],[FECHA DE INTERVENCÓN]]+SEGUIMIENTO_TPM_xlsx[[#This Row],[HORA FIN  INTERVENCIÓN]])</f>
        <v>45974.409722222219</v>
      </c>
      <c r="T65" s="11">
        <f>(SEGUIMIENTO_TPM_xlsx[[#This Row],[FECHA Y HORA FINAL]]-SEGUIMIENTO_TPM_xlsx[[#This Row],[FECHA Y HORA INICIO]])</f>
        <v>0.11805555555474712</v>
      </c>
    </row>
    <row r="66" spans="1:20" x14ac:dyDescent="0.25">
      <c r="A66">
        <v>65</v>
      </c>
      <c r="B66" t="s">
        <v>261</v>
      </c>
      <c r="C66" s="1">
        <v>0.375</v>
      </c>
      <c r="D66" s="2">
        <v>45974</v>
      </c>
      <c r="E66" t="s">
        <v>262</v>
      </c>
      <c r="F66" t="s">
        <v>95</v>
      </c>
      <c r="G66" t="s">
        <v>263</v>
      </c>
      <c r="H66" s="1">
        <v>0.375</v>
      </c>
      <c r="I66" s="1">
        <v>0.40972222222222221</v>
      </c>
      <c r="J66" s="2">
        <v>45974</v>
      </c>
      <c r="K66" t="s">
        <v>25</v>
      </c>
      <c r="L66" t="s">
        <v>264</v>
      </c>
      <c r="M66" t="s">
        <v>22</v>
      </c>
      <c r="N66" t="s">
        <v>22</v>
      </c>
      <c r="O66" t="s">
        <v>108</v>
      </c>
      <c r="P66" t="s">
        <v>23</v>
      </c>
      <c r="Q66" s="1">
        <f>SEGUIMIENTO_TPM_xlsx[[#This Row],[HORA FIN  INTERVENCIÓN]]-SEGUIMIENTO_TPM_xlsx[[#This Row],[HORA INICIO INTERVENCIÓN]]</f>
        <v>3.472222222222221E-2</v>
      </c>
      <c r="R66" s="20">
        <f>(SEGUIMIENTO_TPM_xlsx[[#This Row],[HORA REPORTE]]+SEGUIMIENTO_TPM_xlsx[[#This Row],[FECHA DE REPORTE]])</f>
        <v>45974.375</v>
      </c>
      <c r="S66" s="20">
        <f>(SEGUIMIENTO_TPM_xlsx[[#This Row],[FECHA DE INTERVENCÓN]]+SEGUIMIENTO_TPM_xlsx[[#This Row],[HORA FIN  INTERVENCIÓN]])</f>
        <v>45974.409722222219</v>
      </c>
      <c r="T66" s="11">
        <f>(SEGUIMIENTO_TPM_xlsx[[#This Row],[FECHA Y HORA FINAL]]-SEGUIMIENTO_TPM_xlsx[[#This Row],[FECHA Y HORA INICIO]])</f>
        <v>3.4722222218988463E-2</v>
      </c>
    </row>
    <row r="67" spans="1:20" x14ac:dyDescent="0.25">
      <c r="A67">
        <v>66</v>
      </c>
      <c r="B67" t="s">
        <v>103</v>
      </c>
      <c r="C67" s="1">
        <v>0.41319444444444442</v>
      </c>
      <c r="D67" s="2">
        <v>45974</v>
      </c>
      <c r="E67" t="s">
        <v>85</v>
      </c>
      <c r="F67" t="s">
        <v>100</v>
      </c>
      <c r="G67" t="s">
        <v>265</v>
      </c>
      <c r="H67" s="1">
        <v>0.41319444444444442</v>
      </c>
      <c r="I67" s="1">
        <v>0.4548611111111111</v>
      </c>
      <c r="J67" s="2">
        <v>45974</v>
      </c>
      <c r="K67" t="s">
        <v>25</v>
      </c>
      <c r="L67" t="s">
        <v>266</v>
      </c>
      <c r="M67" t="s">
        <v>267</v>
      </c>
      <c r="N67" t="s">
        <v>22</v>
      </c>
      <c r="O67" t="s">
        <v>268</v>
      </c>
      <c r="P67" t="s">
        <v>23</v>
      </c>
      <c r="Q67" s="1">
        <f>SEGUIMIENTO_TPM_xlsx[[#This Row],[HORA FIN  INTERVENCIÓN]]-SEGUIMIENTO_TPM_xlsx[[#This Row],[HORA INICIO INTERVENCIÓN]]</f>
        <v>4.1666666666666685E-2</v>
      </c>
      <c r="R67" s="20">
        <f>(SEGUIMIENTO_TPM_xlsx[[#This Row],[HORA REPORTE]]+SEGUIMIENTO_TPM_xlsx[[#This Row],[FECHA DE REPORTE]])</f>
        <v>45974.413194444445</v>
      </c>
      <c r="S67" s="20">
        <f>(SEGUIMIENTO_TPM_xlsx[[#This Row],[FECHA DE INTERVENCÓN]]+SEGUIMIENTO_TPM_xlsx[[#This Row],[HORA FIN  INTERVENCIÓN]])</f>
        <v>45974.454861111109</v>
      </c>
      <c r="T67" s="11">
        <f>(SEGUIMIENTO_TPM_xlsx[[#This Row],[FECHA Y HORA FINAL]]-SEGUIMIENTO_TPM_xlsx[[#This Row],[FECHA Y HORA INICIO]])</f>
        <v>4.1666666664241347E-2</v>
      </c>
    </row>
    <row r="68" spans="1:20" x14ac:dyDescent="0.25">
      <c r="A68">
        <v>67</v>
      </c>
      <c r="B68" t="s">
        <v>261</v>
      </c>
      <c r="C68" s="1">
        <v>0.64583333333333337</v>
      </c>
      <c r="D68" s="2">
        <v>45974</v>
      </c>
      <c r="E68" t="s">
        <v>91</v>
      </c>
      <c r="F68" t="s">
        <v>95</v>
      </c>
      <c r="G68" t="s">
        <v>269</v>
      </c>
      <c r="H68" s="1"/>
      <c r="I68" s="1"/>
      <c r="J68" s="2"/>
      <c r="P68" t="s">
        <v>33</v>
      </c>
      <c r="Q68" s="1">
        <f>SEGUIMIENTO_TPM_xlsx[[#This Row],[HORA FIN  INTERVENCIÓN]]-SEGUIMIENTO_TPM_xlsx[[#This Row],[HORA INICIO INTERVENCIÓN]]</f>
        <v>0</v>
      </c>
      <c r="R68" s="20">
        <f>(SEGUIMIENTO_TPM_xlsx[[#This Row],[HORA REPORTE]]+SEGUIMIENTO_TPM_xlsx[[#This Row],[FECHA DE REPORTE]])</f>
        <v>45974.645833333336</v>
      </c>
      <c r="S68" s="20">
        <f>(SEGUIMIENTO_TPM_xlsx[[#This Row],[FECHA DE INTERVENCÓN]]+SEGUIMIENTO_TPM_xlsx[[#This Row],[HORA FIN  INTERVENCIÓN]])</f>
        <v>0</v>
      </c>
      <c r="T68" s="11">
        <f>(SEGUIMIENTO_TPM_xlsx[[#This Row],[FECHA Y HORA FINAL]]-SEGUIMIENTO_TPM_xlsx[[#This Row],[FECHA Y HORA INICIO]])</f>
        <v>-45974.645833333336</v>
      </c>
    </row>
    <row r="69" spans="1:20" x14ac:dyDescent="0.25">
      <c r="A69">
        <v>68</v>
      </c>
      <c r="C69" s="1"/>
      <c r="D69" s="2"/>
      <c r="H69" s="1"/>
      <c r="I69" s="1"/>
      <c r="J69" s="2"/>
      <c r="Q69" s="1">
        <f>SEGUIMIENTO_TPM_xlsx[[#This Row],[HORA FIN  INTERVENCIÓN]]-SEGUIMIENTO_TPM_xlsx[[#This Row],[HORA INICIO INTERVENCIÓN]]</f>
        <v>0</v>
      </c>
      <c r="R69" s="20">
        <f>(SEGUIMIENTO_TPM_xlsx[[#This Row],[HORA REPORTE]]+SEGUIMIENTO_TPM_xlsx[[#This Row],[FECHA DE REPORTE]])</f>
        <v>0</v>
      </c>
      <c r="S69" s="20">
        <f>(SEGUIMIENTO_TPM_xlsx[[#This Row],[FECHA DE INTERVENCÓN]]+SEGUIMIENTO_TPM_xlsx[[#This Row],[HORA FIN  INTERVENCIÓN]])</f>
        <v>0</v>
      </c>
      <c r="T69" s="11">
        <f>(SEGUIMIENTO_TPM_xlsx[[#This Row],[FECHA Y HORA FINAL]]-SEGUIMIENTO_TPM_xlsx[[#This Row],[FECHA Y HORA INICIO]])</f>
        <v>0</v>
      </c>
    </row>
    <row r="70" spans="1:20" x14ac:dyDescent="0.25">
      <c r="A70">
        <v>69</v>
      </c>
      <c r="B70" t="s">
        <v>176</v>
      </c>
      <c r="C70" s="1">
        <v>0.58333333333333337</v>
      </c>
      <c r="D70" s="2">
        <v>45975</v>
      </c>
      <c r="E70" t="s">
        <v>94</v>
      </c>
      <c r="F70" t="s">
        <v>95</v>
      </c>
      <c r="G70" t="s">
        <v>270</v>
      </c>
      <c r="H70" s="1">
        <v>0.79166666666666663</v>
      </c>
      <c r="I70" s="1">
        <v>0.80555555555555558</v>
      </c>
      <c r="J70" s="2">
        <v>45975</v>
      </c>
      <c r="K70" t="s">
        <v>25</v>
      </c>
      <c r="L70" t="s">
        <v>271</v>
      </c>
      <c r="M70" t="s">
        <v>98</v>
      </c>
      <c r="N70" t="s">
        <v>22</v>
      </c>
      <c r="O70" t="s">
        <v>44</v>
      </c>
      <c r="P70" t="s">
        <v>23</v>
      </c>
      <c r="Q70" s="1">
        <f>SEGUIMIENTO_TPM_xlsx[[#This Row],[HORA FIN  INTERVENCIÓN]]-SEGUIMIENTO_TPM_xlsx[[#This Row],[HORA INICIO INTERVENCIÓN]]</f>
        <v>1.3888888888888951E-2</v>
      </c>
      <c r="R70" s="20">
        <f>(SEGUIMIENTO_TPM_xlsx[[#This Row],[HORA REPORTE]]+SEGUIMIENTO_TPM_xlsx[[#This Row],[FECHA DE REPORTE]])</f>
        <v>45975.583333333336</v>
      </c>
      <c r="S70" s="20">
        <f>(SEGUIMIENTO_TPM_xlsx[[#This Row],[FECHA DE INTERVENCÓN]]+SEGUIMIENTO_TPM_xlsx[[#This Row],[HORA FIN  INTERVENCIÓN]])</f>
        <v>45975.805555555555</v>
      </c>
      <c r="T70" s="11">
        <f>(SEGUIMIENTO_TPM_xlsx[[#This Row],[FECHA Y HORA FINAL]]-SEGUIMIENTO_TPM_xlsx[[#This Row],[FECHA Y HORA INICIO]])</f>
        <v>0.22222222221898846</v>
      </c>
    </row>
    <row r="71" spans="1:20" x14ac:dyDescent="0.25">
      <c r="A71">
        <v>70</v>
      </c>
      <c r="B71" t="s">
        <v>113</v>
      </c>
      <c r="C71" s="1">
        <v>0.83888888888888891</v>
      </c>
      <c r="D71" s="2">
        <v>45975</v>
      </c>
      <c r="E71" t="s">
        <v>104</v>
      </c>
      <c r="F71" t="s">
        <v>95</v>
      </c>
      <c r="G71" t="s">
        <v>272</v>
      </c>
      <c r="H71" s="1">
        <v>0.83888888888888891</v>
      </c>
      <c r="I71" s="1">
        <v>0.84583333333333333</v>
      </c>
      <c r="J71" s="2">
        <v>45975</v>
      </c>
      <c r="K71" t="s">
        <v>20</v>
      </c>
      <c r="L71" t="s">
        <v>273</v>
      </c>
      <c r="M71" t="s">
        <v>22</v>
      </c>
      <c r="N71" t="s">
        <v>22</v>
      </c>
      <c r="O71" t="s">
        <v>44</v>
      </c>
      <c r="P71" t="s">
        <v>23</v>
      </c>
      <c r="Q71" s="1">
        <f>SEGUIMIENTO_TPM_xlsx[[#This Row],[HORA FIN  INTERVENCIÓN]]-SEGUIMIENTO_TPM_xlsx[[#This Row],[HORA INICIO INTERVENCIÓN]]</f>
        <v>6.9444444444444198E-3</v>
      </c>
      <c r="R71" s="20">
        <f>(SEGUIMIENTO_TPM_xlsx[[#This Row],[HORA REPORTE]]+SEGUIMIENTO_TPM_xlsx[[#This Row],[FECHA DE REPORTE]])</f>
        <v>45975.838888888888</v>
      </c>
      <c r="S71" s="20">
        <f>(SEGUIMIENTO_TPM_xlsx[[#This Row],[FECHA DE INTERVENCÓN]]+SEGUIMIENTO_TPM_xlsx[[#This Row],[HORA FIN  INTERVENCIÓN]])</f>
        <v>45975.845833333333</v>
      </c>
      <c r="T71" s="11">
        <f>(SEGUIMIENTO_TPM_xlsx[[#This Row],[FECHA Y HORA FINAL]]-SEGUIMIENTO_TPM_xlsx[[#This Row],[FECHA Y HORA INICIO]])</f>
        <v>6.9444444452528842E-3</v>
      </c>
    </row>
    <row r="72" spans="1:20" x14ac:dyDescent="0.25">
      <c r="A72">
        <v>71</v>
      </c>
      <c r="B72" t="s">
        <v>261</v>
      </c>
      <c r="C72" s="1">
        <v>0.63888888888888884</v>
      </c>
      <c r="D72" s="2">
        <v>45977</v>
      </c>
      <c r="E72" t="s">
        <v>91</v>
      </c>
      <c r="F72" t="s">
        <v>95</v>
      </c>
      <c r="G72" t="s">
        <v>274</v>
      </c>
      <c r="H72" s="1">
        <v>0.63888888888888884</v>
      </c>
      <c r="I72" s="1">
        <v>0.64583333333333337</v>
      </c>
      <c r="J72" s="2">
        <v>45977</v>
      </c>
      <c r="K72" t="s">
        <v>25</v>
      </c>
      <c r="L72" t="s">
        <v>275</v>
      </c>
      <c r="M72" t="s">
        <v>22</v>
      </c>
      <c r="N72" t="s">
        <v>22</v>
      </c>
      <c r="O72" t="s">
        <v>112</v>
      </c>
      <c r="P72" t="s">
        <v>23</v>
      </c>
      <c r="Q72" s="1">
        <f>SEGUIMIENTO_TPM_xlsx[[#This Row],[HORA FIN  INTERVENCIÓN]]-SEGUIMIENTO_TPM_xlsx[[#This Row],[HORA INICIO INTERVENCIÓN]]</f>
        <v>6.9444444444445308E-3</v>
      </c>
      <c r="R72" s="20">
        <f>(SEGUIMIENTO_TPM_xlsx[[#This Row],[HORA REPORTE]]+SEGUIMIENTO_TPM_xlsx[[#This Row],[FECHA DE REPORTE]])</f>
        <v>45977.638888888891</v>
      </c>
      <c r="S72" s="20">
        <f>(SEGUIMIENTO_TPM_xlsx[[#This Row],[FECHA DE INTERVENCÓN]]+SEGUIMIENTO_TPM_xlsx[[#This Row],[HORA FIN  INTERVENCIÓN]])</f>
        <v>45977.645833333336</v>
      </c>
      <c r="T72" s="11">
        <f>(SEGUIMIENTO_TPM_xlsx[[#This Row],[FECHA Y HORA FINAL]]-SEGUIMIENTO_TPM_xlsx[[#This Row],[FECHA Y HORA INICIO]])</f>
        <v>6.9444444452528842E-3</v>
      </c>
    </row>
    <row r="73" spans="1:20" x14ac:dyDescent="0.25">
      <c r="A73">
        <v>72</v>
      </c>
      <c r="B73" t="s">
        <v>164</v>
      </c>
      <c r="C73" s="1">
        <v>0.94097222222222221</v>
      </c>
      <c r="D73" s="2">
        <v>45978</v>
      </c>
      <c r="E73" t="s">
        <v>143</v>
      </c>
      <c r="F73" t="s">
        <v>95</v>
      </c>
      <c r="G73" t="s">
        <v>276</v>
      </c>
      <c r="H73" s="1">
        <v>0.94097222222222221</v>
      </c>
      <c r="I73" s="1">
        <v>0</v>
      </c>
      <c r="J73" s="2"/>
      <c r="K73" t="s">
        <v>25</v>
      </c>
      <c r="L73" t="s">
        <v>277</v>
      </c>
      <c r="M73" t="s">
        <v>278</v>
      </c>
      <c r="N73" t="s">
        <v>22</v>
      </c>
      <c r="O73" t="s">
        <v>44</v>
      </c>
      <c r="P73" t="s">
        <v>23</v>
      </c>
      <c r="Q73" s="1">
        <f>SEGUIMIENTO_TPM_xlsx[[#This Row],[HORA FIN  INTERVENCIÓN]]-SEGUIMIENTO_TPM_xlsx[[#This Row],[HORA INICIO INTERVENCIÓN]]</f>
        <v>-0.94097222222222221</v>
      </c>
      <c r="R73" s="20">
        <f>(SEGUIMIENTO_TPM_xlsx[[#This Row],[HORA REPORTE]]+SEGUIMIENTO_TPM_xlsx[[#This Row],[FECHA DE REPORTE]])</f>
        <v>45978.940972222219</v>
      </c>
      <c r="S73" s="20">
        <f>(SEGUIMIENTO_TPM_xlsx[[#This Row],[FECHA DE INTERVENCÓN]]+SEGUIMIENTO_TPM_xlsx[[#This Row],[HORA FIN  INTERVENCIÓN]])</f>
        <v>0</v>
      </c>
      <c r="T73" s="11">
        <f>(SEGUIMIENTO_TPM_xlsx[[#This Row],[FECHA Y HORA FINAL]]-SEGUIMIENTO_TPM_xlsx[[#This Row],[FECHA Y HORA INICIO]])</f>
        <v>-45978.940972222219</v>
      </c>
    </row>
    <row r="74" spans="1:20" x14ac:dyDescent="0.25">
      <c r="A74">
        <v>73</v>
      </c>
      <c r="B74" t="s">
        <v>279</v>
      </c>
      <c r="C74" s="1">
        <v>0.13958333333333334</v>
      </c>
      <c r="D74" s="2">
        <v>45975</v>
      </c>
      <c r="E74" t="s">
        <v>280</v>
      </c>
      <c r="F74" t="s">
        <v>95</v>
      </c>
      <c r="G74" t="s">
        <v>281</v>
      </c>
      <c r="H74" s="1">
        <v>0.65277777777777779</v>
      </c>
      <c r="I74" s="1">
        <v>0.70833333333333337</v>
      </c>
      <c r="J74" s="2">
        <v>45975</v>
      </c>
      <c r="K74" t="s">
        <v>20</v>
      </c>
      <c r="L74" t="s">
        <v>282</v>
      </c>
      <c r="M74" t="s">
        <v>22</v>
      </c>
      <c r="N74" t="s">
        <v>22</v>
      </c>
      <c r="O74" t="s">
        <v>44</v>
      </c>
      <c r="P74" t="s">
        <v>23</v>
      </c>
      <c r="Q74" s="1">
        <f>SEGUIMIENTO_TPM_xlsx[[#This Row],[HORA FIN  INTERVENCIÓN]]-SEGUIMIENTO_TPM_xlsx[[#This Row],[HORA INICIO INTERVENCIÓN]]</f>
        <v>5.555555555555558E-2</v>
      </c>
      <c r="R74" s="20">
        <f>(SEGUIMIENTO_TPM_xlsx[[#This Row],[HORA REPORTE]]+SEGUIMIENTO_TPM_xlsx[[#This Row],[FECHA DE REPORTE]])</f>
        <v>45975.13958333333</v>
      </c>
      <c r="S74" s="20">
        <f>(SEGUIMIENTO_TPM_xlsx[[#This Row],[FECHA DE INTERVENCÓN]]+SEGUIMIENTO_TPM_xlsx[[#This Row],[HORA FIN  INTERVENCIÓN]])</f>
        <v>45975.708333333336</v>
      </c>
      <c r="T74" s="11">
        <f>(SEGUIMIENTO_TPM_xlsx[[#This Row],[FECHA Y HORA FINAL]]-SEGUIMIENTO_TPM_xlsx[[#This Row],[FECHA Y HORA INICIO]])</f>
        <v>0.56875000000582077</v>
      </c>
    </row>
    <row r="75" spans="1:20" x14ac:dyDescent="0.25">
      <c r="A75">
        <v>74</v>
      </c>
      <c r="C75" s="1"/>
      <c r="D75" s="2"/>
      <c r="H75" s="1"/>
      <c r="I75" s="1"/>
      <c r="J75" s="2"/>
      <c r="Q75" s="1">
        <f>SEGUIMIENTO_TPM_xlsx[[#This Row],[HORA FIN  INTERVENCIÓN]]-SEGUIMIENTO_TPM_xlsx[[#This Row],[HORA INICIO INTERVENCIÓN]]</f>
        <v>0</v>
      </c>
      <c r="R75" s="20">
        <f>(SEGUIMIENTO_TPM_xlsx[[#This Row],[HORA REPORTE]]+SEGUIMIENTO_TPM_xlsx[[#This Row],[FECHA DE REPORTE]])</f>
        <v>0</v>
      </c>
      <c r="S75" s="20">
        <f>(SEGUIMIENTO_TPM_xlsx[[#This Row],[FECHA DE INTERVENCÓN]]+SEGUIMIENTO_TPM_xlsx[[#This Row],[HORA FIN  INTERVENCIÓN]])</f>
        <v>0</v>
      </c>
      <c r="T75" s="11">
        <f>(SEGUIMIENTO_TPM_xlsx[[#This Row],[FECHA Y HORA FINAL]]-SEGUIMIENTO_TPM_xlsx[[#This Row],[FECHA Y HORA INICIO]])</f>
        <v>0</v>
      </c>
    </row>
    <row r="76" spans="1:20" x14ac:dyDescent="0.25">
      <c r="A76">
        <v>75</v>
      </c>
      <c r="B76" t="s">
        <v>120</v>
      </c>
      <c r="C76" s="1">
        <v>0.75694444444444442</v>
      </c>
      <c r="D76" s="2">
        <v>45979</v>
      </c>
      <c r="E76" t="s">
        <v>94</v>
      </c>
      <c r="F76" t="s">
        <v>95</v>
      </c>
      <c r="G76" t="s">
        <v>283</v>
      </c>
      <c r="H76" s="1">
        <v>0.75694444444444442</v>
      </c>
      <c r="I76" s="1">
        <v>0.77777777777777779</v>
      </c>
      <c r="J76" s="2">
        <v>45979</v>
      </c>
      <c r="K76" t="s">
        <v>25</v>
      </c>
      <c r="L76" t="s">
        <v>284</v>
      </c>
      <c r="M76" t="s">
        <v>22</v>
      </c>
      <c r="N76" t="s">
        <v>22</v>
      </c>
      <c r="O76" t="s">
        <v>112</v>
      </c>
      <c r="P76" t="s">
        <v>23</v>
      </c>
      <c r="Q76" s="1">
        <f>SEGUIMIENTO_TPM_xlsx[[#This Row],[HORA FIN  INTERVENCIÓN]]-SEGUIMIENTO_TPM_xlsx[[#This Row],[HORA INICIO INTERVENCIÓN]]</f>
        <v>2.083333333333337E-2</v>
      </c>
      <c r="R76" s="20">
        <f>(SEGUIMIENTO_TPM_xlsx[[#This Row],[HORA REPORTE]]+SEGUIMIENTO_TPM_xlsx[[#This Row],[FECHA DE REPORTE]])</f>
        <v>45979.756944444445</v>
      </c>
      <c r="S76" s="20">
        <f>(SEGUIMIENTO_TPM_xlsx[[#This Row],[FECHA DE INTERVENCÓN]]+SEGUIMIENTO_TPM_xlsx[[#This Row],[HORA FIN  INTERVENCIÓN]])</f>
        <v>45979.777777777781</v>
      </c>
      <c r="T76" s="11">
        <f>(SEGUIMIENTO_TPM_xlsx[[#This Row],[FECHA Y HORA FINAL]]-SEGUIMIENTO_TPM_xlsx[[#This Row],[FECHA Y HORA INICIO]])</f>
        <v>2.0833333335758653E-2</v>
      </c>
    </row>
    <row r="77" spans="1:20" x14ac:dyDescent="0.25">
      <c r="A77">
        <v>76</v>
      </c>
      <c r="B77" t="s">
        <v>164</v>
      </c>
      <c r="C77" s="1">
        <v>0.25</v>
      </c>
      <c r="D77" s="2">
        <v>45979</v>
      </c>
      <c r="E77" t="s">
        <v>22</v>
      </c>
      <c r="F77" t="s">
        <v>95</v>
      </c>
      <c r="G77" t="s">
        <v>285</v>
      </c>
      <c r="H77" s="1">
        <v>0.25</v>
      </c>
      <c r="I77" s="1">
        <v>0.26805555555555555</v>
      </c>
      <c r="J77" s="2">
        <v>45979</v>
      </c>
      <c r="K77" t="s">
        <v>25</v>
      </c>
      <c r="L77" t="s">
        <v>286</v>
      </c>
      <c r="M77" t="s">
        <v>287</v>
      </c>
      <c r="N77" t="s">
        <v>22</v>
      </c>
      <c r="O77" t="s">
        <v>99</v>
      </c>
      <c r="P77" t="s">
        <v>23</v>
      </c>
      <c r="Q77" s="1">
        <f>SEGUIMIENTO_TPM_xlsx[[#This Row],[HORA FIN  INTERVENCIÓN]]-SEGUIMIENTO_TPM_xlsx[[#This Row],[HORA INICIO INTERVENCIÓN]]</f>
        <v>1.8055555555555547E-2</v>
      </c>
      <c r="R77" s="20">
        <f>(SEGUIMIENTO_TPM_xlsx[[#This Row],[HORA REPORTE]]+SEGUIMIENTO_TPM_xlsx[[#This Row],[FECHA DE REPORTE]])</f>
        <v>45979.25</v>
      </c>
      <c r="S77" s="20">
        <f>(SEGUIMIENTO_TPM_xlsx[[#This Row],[FECHA DE INTERVENCÓN]]+SEGUIMIENTO_TPM_xlsx[[#This Row],[HORA FIN  INTERVENCIÓN]])</f>
        <v>45979.268055555556</v>
      </c>
      <c r="T77" s="11">
        <f>(SEGUIMIENTO_TPM_xlsx[[#This Row],[FECHA Y HORA FINAL]]-SEGUIMIENTO_TPM_xlsx[[#This Row],[FECHA Y HORA INICIO]])</f>
        <v>1.8055555556202307E-2</v>
      </c>
    </row>
    <row r="78" spans="1:20" x14ac:dyDescent="0.25">
      <c r="A78">
        <v>77</v>
      </c>
      <c r="C78" s="1"/>
      <c r="D78" s="2"/>
      <c r="H78" s="1"/>
      <c r="I78" s="1"/>
      <c r="J78" s="2"/>
      <c r="Q78" s="1">
        <f>SEGUIMIENTO_TPM_xlsx[[#This Row],[HORA FIN  INTERVENCIÓN]]-SEGUIMIENTO_TPM_xlsx[[#This Row],[HORA INICIO INTERVENCIÓN]]</f>
        <v>0</v>
      </c>
      <c r="R78" s="20">
        <f>(SEGUIMIENTO_TPM_xlsx[[#This Row],[HORA REPORTE]]+SEGUIMIENTO_TPM_xlsx[[#This Row],[FECHA DE REPORTE]])</f>
        <v>0</v>
      </c>
      <c r="S78" s="20">
        <f>(SEGUIMIENTO_TPM_xlsx[[#This Row],[FECHA DE INTERVENCÓN]]+SEGUIMIENTO_TPM_xlsx[[#This Row],[HORA FIN  INTERVENCIÓN]])</f>
        <v>0</v>
      </c>
      <c r="T78" s="11">
        <f>(SEGUIMIENTO_TPM_xlsx[[#This Row],[FECHA Y HORA FINAL]]-SEGUIMIENTO_TPM_xlsx[[#This Row],[FECHA Y HORA INICIO]])</f>
        <v>0</v>
      </c>
    </row>
    <row r="79" spans="1:20" x14ac:dyDescent="0.25">
      <c r="A79">
        <v>78</v>
      </c>
      <c r="B79" t="s">
        <v>113</v>
      </c>
      <c r="C79" s="1">
        <v>0.85069444444444442</v>
      </c>
      <c r="D79" s="2">
        <v>45979</v>
      </c>
      <c r="E79" t="s">
        <v>91</v>
      </c>
      <c r="F79" t="s">
        <v>95</v>
      </c>
      <c r="G79" t="s">
        <v>288</v>
      </c>
      <c r="H79" s="1">
        <v>0.85069444444444442</v>
      </c>
      <c r="I79" s="1">
        <v>0.88194444444444442</v>
      </c>
      <c r="J79" s="2">
        <v>45979</v>
      </c>
      <c r="K79" t="s">
        <v>25</v>
      </c>
      <c r="L79" t="s">
        <v>289</v>
      </c>
      <c r="M79" t="s">
        <v>22</v>
      </c>
      <c r="N79" t="s">
        <v>22</v>
      </c>
      <c r="O79" t="s">
        <v>112</v>
      </c>
      <c r="P79" t="s">
        <v>23</v>
      </c>
      <c r="Q79" s="1">
        <f>SEGUIMIENTO_TPM_xlsx[[#This Row],[HORA FIN  INTERVENCIÓN]]-SEGUIMIENTO_TPM_xlsx[[#This Row],[HORA INICIO INTERVENCIÓN]]</f>
        <v>3.125E-2</v>
      </c>
      <c r="R79" s="20">
        <f>(SEGUIMIENTO_TPM_xlsx[[#This Row],[HORA REPORTE]]+SEGUIMIENTO_TPM_xlsx[[#This Row],[FECHA DE REPORTE]])</f>
        <v>45979.850694444445</v>
      </c>
      <c r="S79" s="20">
        <f>(SEGUIMIENTO_TPM_xlsx[[#This Row],[FECHA DE INTERVENCÓN]]+SEGUIMIENTO_TPM_xlsx[[#This Row],[HORA FIN  INTERVENCIÓN]])</f>
        <v>45979.881944444445</v>
      </c>
      <c r="T79" s="11">
        <f>(SEGUIMIENTO_TPM_xlsx[[#This Row],[FECHA Y HORA FINAL]]-SEGUIMIENTO_TPM_xlsx[[#This Row],[FECHA Y HORA INICIO]])</f>
        <v>3.125E-2</v>
      </c>
    </row>
    <row r="80" spans="1:20" x14ac:dyDescent="0.25">
      <c r="A80">
        <v>79</v>
      </c>
      <c r="B80" t="s">
        <v>290</v>
      </c>
      <c r="C80" s="1">
        <v>0.125</v>
      </c>
      <c r="D80" s="2">
        <v>45980</v>
      </c>
      <c r="E80" t="s">
        <v>94</v>
      </c>
      <c r="F80" t="s">
        <v>95</v>
      </c>
      <c r="G80" t="s">
        <v>291</v>
      </c>
      <c r="H80" s="1">
        <v>0.125</v>
      </c>
      <c r="I80" s="1">
        <v>0.22916666666666666</v>
      </c>
      <c r="J80" s="2">
        <v>45980</v>
      </c>
      <c r="K80" t="s">
        <v>20</v>
      </c>
      <c r="L80" t="s">
        <v>292</v>
      </c>
      <c r="M80" t="s">
        <v>22</v>
      </c>
      <c r="N80" t="s">
        <v>22</v>
      </c>
      <c r="O80" t="s">
        <v>108</v>
      </c>
      <c r="P80" t="s">
        <v>23</v>
      </c>
      <c r="Q80" s="1">
        <f>SEGUIMIENTO_TPM_xlsx[[#This Row],[HORA FIN  INTERVENCIÓN]]-SEGUIMIENTO_TPM_xlsx[[#This Row],[HORA INICIO INTERVENCIÓN]]</f>
        <v>0.10416666666666666</v>
      </c>
      <c r="R80" s="20">
        <f>(SEGUIMIENTO_TPM_xlsx[[#This Row],[HORA REPORTE]]+SEGUIMIENTO_TPM_xlsx[[#This Row],[FECHA DE REPORTE]])</f>
        <v>45980.125</v>
      </c>
      <c r="S80" s="20">
        <f>(SEGUIMIENTO_TPM_xlsx[[#This Row],[FECHA DE INTERVENCÓN]]+SEGUIMIENTO_TPM_xlsx[[#This Row],[HORA FIN  INTERVENCIÓN]])</f>
        <v>45980.229166666664</v>
      </c>
      <c r="T80" s="11">
        <f>(SEGUIMIENTO_TPM_xlsx[[#This Row],[FECHA Y HORA FINAL]]-SEGUIMIENTO_TPM_xlsx[[#This Row],[FECHA Y HORA INICIO]])</f>
        <v>0.10416666666424135</v>
      </c>
    </row>
    <row r="81" spans="1:20" x14ac:dyDescent="0.25">
      <c r="A81">
        <v>80</v>
      </c>
      <c r="B81" t="s">
        <v>164</v>
      </c>
      <c r="C81" s="1">
        <v>0.625</v>
      </c>
      <c r="D81" s="2">
        <v>45980</v>
      </c>
      <c r="E81" t="s">
        <v>143</v>
      </c>
      <c r="F81" t="s">
        <v>95</v>
      </c>
      <c r="G81" t="s">
        <v>293</v>
      </c>
      <c r="H81" s="1">
        <v>0.625</v>
      </c>
      <c r="I81" s="1">
        <v>0.66666666666666663</v>
      </c>
      <c r="J81" s="2">
        <v>45980</v>
      </c>
      <c r="K81" t="s">
        <v>25</v>
      </c>
      <c r="L81" t="s">
        <v>294</v>
      </c>
      <c r="M81" t="s">
        <v>295</v>
      </c>
      <c r="N81" t="s">
        <v>22</v>
      </c>
      <c r="O81" t="s">
        <v>112</v>
      </c>
      <c r="P81" t="s">
        <v>23</v>
      </c>
      <c r="Q81" s="1">
        <f>SEGUIMIENTO_TPM_xlsx[[#This Row],[HORA FIN  INTERVENCIÓN]]-SEGUIMIENTO_TPM_xlsx[[#This Row],[HORA INICIO INTERVENCIÓN]]</f>
        <v>4.166666666666663E-2</v>
      </c>
      <c r="R81" s="20">
        <f>(SEGUIMIENTO_TPM_xlsx[[#This Row],[HORA REPORTE]]+SEGUIMIENTO_TPM_xlsx[[#This Row],[FECHA DE REPORTE]])</f>
        <v>45980.625</v>
      </c>
      <c r="S81" s="20">
        <f>(SEGUIMIENTO_TPM_xlsx[[#This Row],[FECHA DE INTERVENCÓN]]+SEGUIMIENTO_TPM_xlsx[[#This Row],[HORA FIN  INTERVENCIÓN]])</f>
        <v>45980.666666666664</v>
      </c>
      <c r="T81" s="11">
        <f>(SEGUIMIENTO_TPM_xlsx[[#This Row],[FECHA Y HORA FINAL]]-SEGUIMIENTO_TPM_xlsx[[#This Row],[FECHA Y HORA INICIO]])</f>
        <v>4.1666666664241347E-2</v>
      </c>
    </row>
    <row r="82" spans="1:20" x14ac:dyDescent="0.25">
      <c r="A82">
        <v>81</v>
      </c>
      <c r="B82" t="s">
        <v>242</v>
      </c>
      <c r="C82" s="1">
        <v>0.70416666666666672</v>
      </c>
      <c r="D82" s="2">
        <v>45980</v>
      </c>
      <c r="E82" t="s">
        <v>227</v>
      </c>
      <c r="F82" t="s">
        <v>100</v>
      </c>
      <c r="G82" t="s">
        <v>296</v>
      </c>
      <c r="H82" s="1">
        <v>0.70486111111111116</v>
      </c>
      <c r="I82" s="1">
        <v>0.70833333333333337</v>
      </c>
      <c r="J82" s="2">
        <v>45980</v>
      </c>
      <c r="K82" t="s">
        <v>25</v>
      </c>
      <c r="L82" t="s">
        <v>297</v>
      </c>
      <c r="M82" t="s">
        <v>298</v>
      </c>
      <c r="N82" t="s">
        <v>22</v>
      </c>
      <c r="O82" t="s">
        <v>99</v>
      </c>
      <c r="P82" t="s">
        <v>23</v>
      </c>
      <c r="Q82" s="1">
        <f>SEGUIMIENTO_TPM_xlsx[[#This Row],[HORA FIN  INTERVENCIÓN]]-SEGUIMIENTO_TPM_xlsx[[#This Row],[HORA INICIO INTERVENCIÓN]]</f>
        <v>3.4722222222222099E-3</v>
      </c>
      <c r="R82" s="20">
        <f>(SEGUIMIENTO_TPM_xlsx[[#This Row],[HORA REPORTE]]+SEGUIMIENTO_TPM_xlsx[[#This Row],[FECHA DE REPORTE]])</f>
        <v>45980.70416666667</v>
      </c>
      <c r="S82" s="20">
        <f>(SEGUIMIENTO_TPM_xlsx[[#This Row],[FECHA DE INTERVENCÓN]]+SEGUIMIENTO_TPM_xlsx[[#This Row],[HORA FIN  INTERVENCIÓN]])</f>
        <v>45980.708333333336</v>
      </c>
      <c r="T82" s="11">
        <f>(SEGUIMIENTO_TPM_xlsx[[#This Row],[FECHA Y HORA FINAL]]-SEGUIMIENTO_TPM_xlsx[[#This Row],[FECHA Y HORA INICIO]])</f>
        <v>4.166666665696539E-3</v>
      </c>
    </row>
    <row r="83" spans="1:20" x14ac:dyDescent="0.25">
      <c r="A83">
        <v>82</v>
      </c>
      <c r="B83" t="s">
        <v>93</v>
      </c>
      <c r="C83" s="1">
        <v>0.47916666666666669</v>
      </c>
      <c r="D83" s="2">
        <v>45980</v>
      </c>
      <c r="E83" t="s">
        <v>185</v>
      </c>
      <c r="F83" t="s">
        <v>95</v>
      </c>
      <c r="G83" t="s">
        <v>299</v>
      </c>
      <c r="H83" s="1">
        <v>0.66666666666666663</v>
      </c>
      <c r="I83" s="1">
        <v>0.75</v>
      </c>
      <c r="J83" s="2">
        <v>45980</v>
      </c>
      <c r="K83" t="s">
        <v>20</v>
      </c>
      <c r="L83" t="s">
        <v>300</v>
      </c>
      <c r="M83" t="s">
        <v>301</v>
      </c>
      <c r="N83" t="s">
        <v>22</v>
      </c>
      <c r="O83" t="s">
        <v>112</v>
      </c>
      <c r="P83" t="s">
        <v>23</v>
      </c>
      <c r="Q83" s="1">
        <f>SEGUIMIENTO_TPM_xlsx[[#This Row],[HORA FIN  INTERVENCIÓN]]-SEGUIMIENTO_TPM_xlsx[[#This Row],[HORA INICIO INTERVENCIÓN]]</f>
        <v>8.333333333333337E-2</v>
      </c>
      <c r="R83" s="20">
        <f>(SEGUIMIENTO_TPM_xlsx[[#This Row],[HORA REPORTE]]+SEGUIMIENTO_TPM_xlsx[[#This Row],[FECHA DE REPORTE]])</f>
        <v>45980.479166666664</v>
      </c>
      <c r="S83" s="20">
        <f>(SEGUIMIENTO_TPM_xlsx[[#This Row],[FECHA DE INTERVENCÓN]]+SEGUIMIENTO_TPM_xlsx[[#This Row],[HORA FIN  INTERVENCIÓN]])</f>
        <v>45980.75</v>
      </c>
      <c r="T83" s="11">
        <f>(SEGUIMIENTO_TPM_xlsx[[#This Row],[FECHA Y HORA FINAL]]-SEGUIMIENTO_TPM_xlsx[[#This Row],[FECHA Y HORA INICIO]])</f>
        <v>0.27083333333575865</v>
      </c>
    </row>
    <row r="84" spans="1:20" x14ac:dyDescent="0.25">
      <c r="A84">
        <v>83</v>
      </c>
      <c r="B84" t="s">
        <v>103</v>
      </c>
      <c r="C84" s="1">
        <v>0.8256944444444444</v>
      </c>
      <c r="D84" s="2">
        <v>45980</v>
      </c>
      <c r="E84" t="s">
        <v>22</v>
      </c>
      <c r="F84" t="s">
        <v>95</v>
      </c>
      <c r="G84" t="s">
        <v>302</v>
      </c>
      <c r="H84" s="1">
        <v>0.82638888888888884</v>
      </c>
      <c r="I84" s="1">
        <v>0.83333333333333337</v>
      </c>
      <c r="J84" s="2">
        <v>45980</v>
      </c>
      <c r="K84" t="s">
        <v>20</v>
      </c>
      <c r="L84" t="s">
        <v>303</v>
      </c>
      <c r="M84" t="s">
        <v>22</v>
      </c>
      <c r="N84" t="s">
        <v>22</v>
      </c>
      <c r="O84" t="s">
        <v>112</v>
      </c>
      <c r="P84" t="s">
        <v>23</v>
      </c>
      <c r="Q84" s="1">
        <f>SEGUIMIENTO_TPM_xlsx[[#This Row],[HORA FIN  INTERVENCIÓN]]-SEGUIMIENTO_TPM_xlsx[[#This Row],[HORA INICIO INTERVENCIÓN]]</f>
        <v>6.9444444444445308E-3</v>
      </c>
      <c r="R84" s="20">
        <f>(SEGUIMIENTO_TPM_xlsx[[#This Row],[HORA REPORTE]]+SEGUIMIENTO_TPM_xlsx[[#This Row],[FECHA DE REPORTE]])</f>
        <v>45980.825694444444</v>
      </c>
      <c r="S84" s="20">
        <f>(SEGUIMIENTO_TPM_xlsx[[#This Row],[FECHA DE INTERVENCÓN]]+SEGUIMIENTO_TPM_xlsx[[#This Row],[HORA FIN  INTERVENCIÓN]])</f>
        <v>45980.833333333336</v>
      </c>
      <c r="T84" s="11">
        <f>(SEGUIMIENTO_TPM_xlsx[[#This Row],[FECHA Y HORA FINAL]]-SEGUIMIENTO_TPM_xlsx[[#This Row],[FECHA Y HORA INICIO]])</f>
        <v>7.6388888919609599E-3</v>
      </c>
    </row>
    <row r="85" spans="1:20" x14ac:dyDescent="0.25">
      <c r="A85">
        <v>84</v>
      </c>
      <c r="C85" s="1"/>
      <c r="D85" s="2"/>
      <c r="H85" s="1"/>
      <c r="I85" s="1"/>
      <c r="J85" s="2"/>
      <c r="Q85" s="1">
        <f>SEGUIMIENTO_TPM_xlsx[[#This Row],[HORA FIN  INTERVENCIÓN]]-SEGUIMIENTO_TPM_xlsx[[#This Row],[HORA INICIO INTERVENCIÓN]]</f>
        <v>0</v>
      </c>
      <c r="R85" s="20">
        <f>(SEGUIMIENTO_TPM_xlsx[[#This Row],[HORA REPORTE]]+SEGUIMIENTO_TPM_xlsx[[#This Row],[FECHA DE REPORTE]])</f>
        <v>0</v>
      </c>
      <c r="S85" s="20">
        <f>(SEGUIMIENTO_TPM_xlsx[[#This Row],[FECHA DE INTERVENCÓN]]+SEGUIMIENTO_TPM_xlsx[[#This Row],[HORA FIN  INTERVENCIÓN]])</f>
        <v>0</v>
      </c>
      <c r="T85" s="11">
        <f>(SEGUIMIENTO_TPM_xlsx[[#This Row],[FECHA Y HORA FINAL]]-SEGUIMIENTO_TPM_xlsx[[#This Row],[FECHA Y HORA INICIO]])</f>
        <v>0</v>
      </c>
    </row>
    <row r="86" spans="1:20" x14ac:dyDescent="0.25">
      <c r="A86">
        <v>85</v>
      </c>
      <c r="B86" t="s">
        <v>231</v>
      </c>
      <c r="C86" s="1">
        <v>1.3888888888888888E-2</v>
      </c>
      <c r="D86" s="2">
        <v>45981</v>
      </c>
      <c r="E86" t="s">
        <v>143</v>
      </c>
      <c r="F86" t="s">
        <v>95</v>
      </c>
      <c r="G86" t="s">
        <v>304</v>
      </c>
      <c r="H86" s="1">
        <v>1.3888888888888888E-2</v>
      </c>
      <c r="I86" s="1">
        <v>2.7777777777777776E-2</v>
      </c>
      <c r="J86" s="2">
        <v>45981</v>
      </c>
      <c r="K86" t="s">
        <v>25</v>
      </c>
      <c r="L86" t="s">
        <v>305</v>
      </c>
      <c r="M86" t="s">
        <v>306</v>
      </c>
      <c r="N86" t="s">
        <v>22</v>
      </c>
      <c r="O86" t="s">
        <v>44</v>
      </c>
      <c r="P86" t="s">
        <v>23</v>
      </c>
      <c r="Q86" s="1">
        <f>SEGUIMIENTO_TPM_xlsx[[#This Row],[HORA FIN  INTERVENCIÓN]]-SEGUIMIENTO_TPM_xlsx[[#This Row],[HORA INICIO INTERVENCIÓN]]</f>
        <v>1.3888888888888888E-2</v>
      </c>
      <c r="R86" s="20">
        <f>(SEGUIMIENTO_TPM_xlsx[[#This Row],[HORA REPORTE]]+SEGUIMIENTO_TPM_xlsx[[#This Row],[FECHA DE REPORTE]])</f>
        <v>45981.013888888891</v>
      </c>
      <c r="S86" s="20">
        <f>(SEGUIMIENTO_TPM_xlsx[[#This Row],[FECHA DE INTERVENCÓN]]+SEGUIMIENTO_TPM_xlsx[[#This Row],[HORA FIN  INTERVENCIÓN]])</f>
        <v>45981.027777777781</v>
      </c>
      <c r="T86" s="11">
        <f>(SEGUIMIENTO_TPM_xlsx[[#This Row],[FECHA Y HORA FINAL]]-SEGUIMIENTO_TPM_xlsx[[#This Row],[FECHA Y HORA INICIO]])</f>
        <v>1.3888888890505768E-2</v>
      </c>
    </row>
    <row r="87" spans="1:20" x14ac:dyDescent="0.25">
      <c r="A87">
        <v>86</v>
      </c>
      <c r="B87" t="s">
        <v>187</v>
      </c>
      <c r="C87" s="1">
        <v>0.52847222222222223</v>
      </c>
      <c r="D87" s="2">
        <v>45981</v>
      </c>
      <c r="E87" t="s">
        <v>307</v>
      </c>
      <c r="F87" t="s">
        <v>95</v>
      </c>
      <c r="G87" t="s">
        <v>308</v>
      </c>
      <c r="H87" s="1">
        <v>0.55208333333333337</v>
      </c>
      <c r="I87" s="1">
        <v>0.5625</v>
      </c>
      <c r="J87" s="2">
        <v>45981</v>
      </c>
      <c r="K87" t="s">
        <v>20</v>
      </c>
      <c r="L87" t="s">
        <v>309</v>
      </c>
      <c r="M87" t="s">
        <v>310</v>
      </c>
      <c r="N87" t="s">
        <v>22</v>
      </c>
      <c r="O87" t="s">
        <v>44</v>
      </c>
      <c r="P87" t="s">
        <v>23</v>
      </c>
      <c r="Q87" s="1">
        <f>SEGUIMIENTO_TPM_xlsx[[#This Row],[HORA FIN  INTERVENCIÓN]]-SEGUIMIENTO_TPM_xlsx[[#This Row],[HORA INICIO INTERVENCIÓN]]</f>
        <v>1.041666666666663E-2</v>
      </c>
      <c r="R87" s="20">
        <f>(SEGUIMIENTO_TPM_xlsx[[#This Row],[HORA REPORTE]]+SEGUIMIENTO_TPM_xlsx[[#This Row],[FECHA DE REPORTE]])</f>
        <v>45981.52847222222</v>
      </c>
      <c r="S87" s="20">
        <f>(SEGUIMIENTO_TPM_xlsx[[#This Row],[FECHA DE INTERVENCÓN]]+SEGUIMIENTO_TPM_xlsx[[#This Row],[HORA FIN  INTERVENCIÓN]])</f>
        <v>45981.5625</v>
      </c>
      <c r="T87" s="11">
        <f>(SEGUIMIENTO_TPM_xlsx[[#This Row],[FECHA Y HORA FINAL]]-SEGUIMIENTO_TPM_xlsx[[#This Row],[FECHA Y HORA INICIO]])</f>
        <v>3.4027777779556345E-2</v>
      </c>
    </row>
    <row r="88" spans="1:20" x14ac:dyDescent="0.25">
      <c r="A88">
        <v>87</v>
      </c>
      <c r="B88" t="s">
        <v>290</v>
      </c>
      <c r="C88" s="1">
        <v>0.94791666666666663</v>
      </c>
      <c r="D88" s="2">
        <v>45981</v>
      </c>
      <c r="E88" t="s">
        <v>94</v>
      </c>
      <c r="F88" t="s">
        <v>95</v>
      </c>
      <c r="G88" t="s">
        <v>311</v>
      </c>
      <c r="H88" s="1">
        <v>0.94791666666666663</v>
      </c>
      <c r="I88" s="1">
        <v>0.98263888888888884</v>
      </c>
      <c r="J88" s="2">
        <v>45981</v>
      </c>
      <c r="K88" t="s">
        <v>156</v>
      </c>
      <c r="L88" t="s">
        <v>312</v>
      </c>
      <c r="M88" t="s">
        <v>313</v>
      </c>
      <c r="N88" t="s">
        <v>22</v>
      </c>
      <c r="O88" t="s">
        <v>44</v>
      </c>
      <c r="P88" t="s">
        <v>23</v>
      </c>
      <c r="Q88" s="1">
        <f>SEGUIMIENTO_TPM_xlsx[[#This Row],[HORA FIN  INTERVENCIÓN]]-SEGUIMIENTO_TPM_xlsx[[#This Row],[HORA INICIO INTERVENCIÓN]]</f>
        <v>3.472222222222221E-2</v>
      </c>
      <c r="R88" s="20">
        <f>(SEGUIMIENTO_TPM_xlsx[[#This Row],[HORA REPORTE]]+SEGUIMIENTO_TPM_xlsx[[#This Row],[FECHA DE REPORTE]])</f>
        <v>45981.947916666664</v>
      </c>
      <c r="S88" s="20">
        <f>(SEGUIMIENTO_TPM_xlsx[[#This Row],[FECHA DE INTERVENCÓN]]+SEGUIMIENTO_TPM_xlsx[[#This Row],[HORA FIN  INTERVENCIÓN]])</f>
        <v>45981.982638888891</v>
      </c>
      <c r="T88" s="11">
        <f>(SEGUIMIENTO_TPM_xlsx[[#This Row],[FECHA Y HORA FINAL]]-SEGUIMIENTO_TPM_xlsx[[#This Row],[FECHA Y HORA INICIO]])</f>
        <v>3.4722222226264421E-2</v>
      </c>
    </row>
    <row r="89" spans="1:20" x14ac:dyDescent="0.25">
      <c r="A89">
        <v>88</v>
      </c>
      <c r="B89" t="s">
        <v>290</v>
      </c>
      <c r="C89" s="1">
        <v>7.6388888888888895E-2</v>
      </c>
      <c r="D89" s="2">
        <v>45982</v>
      </c>
      <c r="E89" t="s">
        <v>94</v>
      </c>
      <c r="F89" t="s">
        <v>95</v>
      </c>
      <c r="G89" t="s">
        <v>314</v>
      </c>
      <c r="H89" s="1">
        <v>8.3333333333333329E-2</v>
      </c>
      <c r="I89" s="1">
        <v>9.375E-2</v>
      </c>
      <c r="J89" s="2">
        <v>45982</v>
      </c>
      <c r="K89" t="s">
        <v>25</v>
      </c>
      <c r="L89" t="s">
        <v>315</v>
      </c>
      <c r="M89" t="s">
        <v>316</v>
      </c>
      <c r="N89" t="s">
        <v>22</v>
      </c>
      <c r="O89" t="s">
        <v>44</v>
      </c>
      <c r="P89" t="s">
        <v>23</v>
      </c>
      <c r="Q89" s="1">
        <f>SEGUIMIENTO_TPM_xlsx[[#This Row],[HORA FIN  INTERVENCIÓN]]-SEGUIMIENTO_TPM_xlsx[[#This Row],[HORA INICIO INTERVENCIÓN]]</f>
        <v>1.0416666666666671E-2</v>
      </c>
      <c r="R89" s="20">
        <f>(SEGUIMIENTO_TPM_xlsx[[#This Row],[HORA REPORTE]]+SEGUIMIENTO_TPM_xlsx[[#This Row],[FECHA DE REPORTE]])</f>
        <v>45982.076388888891</v>
      </c>
      <c r="S89" s="20">
        <f>(SEGUIMIENTO_TPM_xlsx[[#This Row],[FECHA DE INTERVENCÓN]]+SEGUIMIENTO_TPM_xlsx[[#This Row],[HORA FIN  INTERVENCIÓN]])</f>
        <v>45982.09375</v>
      </c>
      <c r="T89" s="11">
        <f>(SEGUIMIENTO_TPM_xlsx[[#This Row],[FECHA Y HORA FINAL]]-SEGUIMIENTO_TPM_xlsx[[#This Row],[FECHA Y HORA INICIO]])</f>
        <v>1.7361111109494232E-2</v>
      </c>
    </row>
    <row r="90" spans="1:20" x14ac:dyDescent="0.25">
      <c r="A90">
        <v>89</v>
      </c>
      <c r="B90" t="s">
        <v>317</v>
      </c>
      <c r="C90" s="1">
        <v>0.8125</v>
      </c>
      <c r="D90" s="2">
        <v>45981</v>
      </c>
      <c r="E90" t="s">
        <v>85</v>
      </c>
      <c r="F90" t="s">
        <v>95</v>
      </c>
      <c r="G90" t="s">
        <v>318</v>
      </c>
      <c r="H90" s="1">
        <v>0.14583333333333334</v>
      </c>
      <c r="I90" s="1">
        <v>0.1736111111111111</v>
      </c>
      <c r="J90" s="2">
        <v>45982</v>
      </c>
      <c r="K90" t="s">
        <v>20</v>
      </c>
      <c r="L90" t="s">
        <v>319</v>
      </c>
      <c r="M90" t="s">
        <v>22</v>
      </c>
      <c r="N90" t="s">
        <v>22</v>
      </c>
      <c r="O90" t="s">
        <v>44</v>
      </c>
      <c r="P90" t="s">
        <v>23</v>
      </c>
      <c r="Q90" s="1">
        <f>SEGUIMIENTO_TPM_xlsx[[#This Row],[HORA FIN  INTERVENCIÓN]]-SEGUIMIENTO_TPM_xlsx[[#This Row],[HORA INICIO INTERVENCIÓN]]</f>
        <v>2.7777777777777762E-2</v>
      </c>
      <c r="R90" s="20">
        <f>(SEGUIMIENTO_TPM_xlsx[[#This Row],[HORA REPORTE]]+SEGUIMIENTO_TPM_xlsx[[#This Row],[FECHA DE REPORTE]])</f>
        <v>45981.8125</v>
      </c>
      <c r="S90" s="20">
        <f>(SEGUIMIENTO_TPM_xlsx[[#This Row],[FECHA DE INTERVENCÓN]]+SEGUIMIENTO_TPM_xlsx[[#This Row],[HORA FIN  INTERVENCIÓN]])</f>
        <v>45982.173611111109</v>
      </c>
      <c r="T90" s="11">
        <f>(SEGUIMIENTO_TPM_xlsx[[#This Row],[FECHA Y HORA FINAL]]-SEGUIMIENTO_TPM_xlsx[[#This Row],[FECHA Y HORA INICIO]])</f>
        <v>0.36111111110949423</v>
      </c>
    </row>
    <row r="91" spans="1:20" x14ac:dyDescent="0.25">
      <c r="A91">
        <v>90</v>
      </c>
      <c r="C91" s="1"/>
      <c r="D91" s="2"/>
      <c r="H91" s="1"/>
      <c r="I91" s="1"/>
      <c r="J91" s="2"/>
      <c r="Q91" s="1">
        <f>SEGUIMIENTO_TPM_xlsx[[#This Row],[HORA FIN  INTERVENCIÓN]]-SEGUIMIENTO_TPM_xlsx[[#This Row],[HORA INICIO INTERVENCIÓN]]</f>
        <v>0</v>
      </c>
      <c r="R91" s="20">
        <f>(SEGUIMIENTO_TPM_xlsx[[#This Row],[HORA REPORTE]]+SEGUIMIENTO_TPM_xlsx[[#This Row],[FECHA DE REPORTE]])</f>
        <v>0</v>
      </c>
      <c r="S91" s="20">
        <f>(SEGUIMIENTO_TPM_xlsx[[#This Row],[FECHA DE INTERVENCÓN]]+SEGUIMIENTO_TPM_xlsx[[#This Row],[HORA FIN  INTERVENCIÓN]])</f>
        <v>0</v>
      </c>
      <c r="T91" s="11">
        <f>(SEGUIMIENTO_TPM_xlsx[[#This Row],[FECHA Y HORA FINAL]]-SEGUIMIENTO_TPM_xlsx[[#This Row],[FECHA Y HORA INICIO]])</f>
        <v>0</v>
      </c>
    </row>
    <row r="92" spans="1:20" x14ac:dyDescent="0.25">
      <c r="A92">
        <v>91</v>
      </c>
      <c r="B92" t="s">
        <v>93</v>
      </c>
      <c r="C92" s="1">
        <v>0.36458333333333331</v>
      </c>
      <c r="D92" s="2">
        <v>45982</v>
      </c>
      <c r="E92" t="s">
        <v>116</v>
      </c>
      <c r="F92" t="s">
        <v>95</v>
      </c>
      <c r="G92" t="s">
        <v>320</v>
      </c>
      <c r="H92" s="1">
        <v>0.36458333333333331</v>
      </c>
      <c r="I92" s="1">
        <v>0.39583333333333331</v>
      </c>
      <c r="J92" s="2">
        <v>45982</v>
      </c>
      <c r="K92" t="s">
        <v>25</v>
      </c>
      <c r="L92" t="s">
        <v>321</v>
      </c>
      <c r="M92" t="s">
        <v>22</v>
      </c>
      <c r="N92" t="s">
        <v>22</v>
      </c>
      <c r="O92" t="s">
        <v>99</v>
      </c>
      <c r="P92" t="s">
        <v>23</v>
      </c>
      <c r="Q92" s="1">
        <f>SEGUIMIENTO_TPM_xlsx[[#This Row],[HORA FIN  INTERVENCIÓN]]-SEGUIMIENTO_TPM_xlsx[[#This Row],[HORA INICIO INTERVENCIÓN]]</f>
        <v>3.125E-2</v>
      </c>
      <c r="R92" s="20">
        <f>(SEGUIMIENTO_TPM_xlsx[[#This Row],[HORA REPORTE]]+SEGUIMIENTO_TPM_xlsx[[#This Row],[FECHA DE REPORTE]])</f>
        <v>45982.364583333336</v>
      </c>
      <c r="S92" s="20">
        <f>(SEGUIMIENTO_TPM_xlsx[[#This Row],[FECHA DE INTERVENCÓN]]+SEGUIMIENTO_TPM_xlsx[[#This Row],[HORA FIN  INTERVENCIÓN]])</f>
        <v>45982.395833333336</v>
      </c>
      <c r="T92" s="11">
        <f>(SEGUIMIENTO_TPM_xlsx[[#This Row],[FECHA Y HORA FINAL]]-SEGUIMIENTO_TPM_xlsx[[#This Row],[FECHA Y HORA INICIO]])</f>
        <v>3.125E-2</v>
      </c>
    </row>
    <row r="93" spans="1:20" x14ac:dyDescent="0.25">
      <c r="A93">
        <v>92</v>
      </c>
      <c r="C93" s="1"/>
      <c r="D93" s="2"/>
      <c r="H93" s="1"/>
      <c r="I93" s="1"/>
      <c r="J93" s="2"/>
      <c r="Q93" s="1">
        <f>SEGUIMIENTO_TPM_xlsx[[#This Row],[HORA FIN  INTERVENCIÓN]]-SEGUIMIENTO_TPM_xlsx[[#This Row],[HORA INICIO INTERVENCIÓN]]</f>
        <v>0</v>
      </c>
      <c r="R93" s="20">
        <f>(SEGUIMIENTO_TPM_xlsx[[#This Row],[HORA REPORTE]]+SEGUIMIENTO_TPM_xlsx[[#This Row],[FECHA DE REPORTE]])</f>
        <v>0</v>
      </c>
      <c r="S93" s="20">
        <f>(SEGUIMIENTO_TPM_xlsx[[#This Row],[FECHA DE INTERVENCÓN]]+SEGUIMIENTO_TPM_xlsx[[#This Row],[HORA FIN  INTERVENCIÓN]])</f>
        <v>0</v>
      </c>
      <c r="T93" s="11">
        <f>(SEGUIMIENTO_TPM_xlsx[[#This Row],[FECHA Y HORA FINAL]]-SEGUIMIENTO_TPM_xlsx[[#This Row],[FECHA Y HORA INICIO]])</f>
        <v>0</v>
      </c>
    </row>
    <row r="94" spans="1:20" x14ac:dyDescent="0.25">
      <c r="A94">
        <v>93</v>
      </c>
      <c r="B94" t="s">
        <v>322</v>
      </c>
      <c r="C94" s="1">
        <v>0.41666666666666669</v>
      </c>
      <c r="D94" s="2">
        <v>45982</v>
      </c>
      <c r="E94" t="s">
        <v>143</v>
      </c>
      <c r="F94" t="s">
        <v>95</v>
      </c>
      <c r="G94" t="s">
        <v>323</v>
      </c>
      <c r="H94" s="1">
        <v>0.41666666666666669</v>
      </c>
      <c r="I94" s="1">
        <v>0.4375</v>
      </c>
      <c r="J94" s="2">
        <v>45982</v>
      </c>
      <c r="K94" t="s">
        <v>156</v>
      </c>
      <c r="L94" t="s">
        <v>324</v>
      </c>
      <c r="M94" t="s">
        <v>22</v>
      </c>
      <c r="N94" t="s">
        <v>22</v>
      </c>
      <c r="O94" t="s">
        <v>268</v>
      </c>
      <c r="P94" t="s">
        <v>23</v>
      </c>
      <c r="Q94" s="1">
        <f>SEGUIMIENTO_TPM_xlsx[[#This Row],[HORA FIN  INTERVENCIÓN]]-SEGUIMIENTO_TPM_xlsx[[#This Row],[HORA INICIO INTERVENCIÓN]]</f>
        <v>2.0833333333333315E-2</v>
      </c>
      <c r="R94" s="20">
        <f>(SEGUIMIENTO_TPM_xlsx[[#This Row],[HORA REPORTE]]+SEGUIMIENTO_TPM_xlsx[[#This Row],[FECHA DE REPORTE]])</f>
        <v>45982.416666666664</v>
      </c>
      <c r="S94" s="20">
        <f>(SEGUIMIENTO_TPM_xlsx[[#This Row],[FECHA DE INTERVENCÓN]]+SEGUIMIENTO_TPM_xlsx[[#This Row],[HORA FIN  INTERVENCIÓN]])</f>
        <v>45982.4375</v>
      </c>
      <c r="T94" s="11">
        <f>(SEGUIMIENTO_TPM_xlsx[[#This Row],[FECHA Y HORA FINAL]]-SEGUIMIENTO_TPM_xlsx[[#This Row],[FECHA Y HORA INICIO]])</f>
        <v>2.0833333335758653E-2</v>
      </c>
    </row>
    <row r="95" spans="1:20" x14ac:dyDescent="0.25">
      <c r="A95">
        <v>94</v>
      </c>
      <c r="B95" t="s">
        <v>231</v>
      </c>
      <c r="C95" s="1">
        <v>0.16666666666666666</v>
      </c>
      <c r="D95" s="2">
        <v>45986</v>
      </c>
      <c r="E95" t="s">
        <v>143</v>
      </c>
      <c r="F95" t="s">
        <v>95</v>
      </c>
      <c r="G95" t="s">
        <v>325</v>
      </c>
      <c r="H95" s="1">
        <v>0.16666666666666666</v>
      </c>
      <c r="I95" s="1">
        <v>0.18055555555555555</v>
      </c>
      <c r="J95" s="2">
        <v>45986</v>
      </c>
      <c r="K95" t="s">
        <v>25</v>
      </c>
      <c r="L95" t="s">
        <v>326</v>
      </c>
      <c r="M95" t="s">
        <v>22</v>
      </c>
      <c r="N95" t="s">
        <v>22</v>
      </c>
      <c r="O95" t="s">
        <v>112</v>
      </c>
      <c r="P95" t="s">
        <v>23</v>
      </c>
      <c r="Q95" s="1">
        <f>SEGUIMIENTO_TPM_xlsx[[#This Row],[HORA FIN  INTERVENCIÓN]]-SEGUIMIENTO_TPM_xlsx[[#This Row],[HORA INICIO INTERVENCIÓN]]</f>
        <v>1.3888888888888895E-2</v>
      </c>
      <c r="R95" s="20">
        <f>(SEGUIMIENTO_TPM_xlsx[[#This Row],[HORA REPORTE]]+SEGUIMIENTO_TPM_xlsx[[#This Row],[FECHA DE REPORTE]])</f>
        <v>45986.166666666664</v>
      </c>
      <c r="S95" s="20">
        <f>(SEGUIMIENTO_TPM_xlsx[[#This Row],[FECHA DE INTERVENCÓN]]+SEGUIMIENTO_TPM_xlsx[[#This Row],[HORA FIN  INTERVENCIÓN]])</f>
        <v>45986.180555555555</v>
      </c>
      <c r="T95" s="11">
        <f>(SEGUIMIENTO_TPM_xlsx[[#This Row],[FECHA Y HORA FINAL]]-SEGUIMIENTO_TPM_xlsx[[#This Row],[FECHA Y HORA INICIO]])</f>
        <v>1.3888888890505768E-2</v>
      </c>
    </row>
    <row r="96" spans="1:20" x14ac:dyDescent="0.25">
      <c r="A96">
        <v>95</v>
      </c>
      <c r="C96" s="1"/>
      <c r="D96" s="2"/>
      <c r="H96" s="1"/>
      <c r="I96" s="1"/>
      <c r="J96" s="2"/>
      <c r="Q96" s="1">
        <f>SEGUIMIENTO_TPM_xlsx[[#This Row],[HORA FIN  INTERVENCIÓN]]-SEGUIMIENTO_TPM_xlsx[[#This Row],[HORA INICIO INTERVENCIÓN]]</f>
        <v>0</v>
      </c>
      <c r="R96" s="20">
        <f>(SEGUIMIENTO_TPM_xlsx[[#This Row],[HORA REPORTE]]+SEGUIMIENTO_TPM_xlsx[[#This Row],[FECHA DE REPORTE]])</f>
        <v>0</v>
      </c>
      <c r="S96" s="20">
        <f>(SEGUIMIENTO_TPM_xlsx[[#This Row],[FECHA DE INTERVENCÓN]]+SEGUIMIENTO_TPM_xlsx[[#This Row],[HORA FIN  INTERVENCIÓN]])</f>
        <v>0</v>
      </c>
      <c r="T96" s="11">
        <f>(SEGUIMIENTO_TPM_xlsx[[#This Row],[FECHA Y HORA FINAL]]-SEGUIMIENTO_TPM_xlsx[[#This Row],[FECHA Y HORA INICIO]])</f>
        <v>0</v>
      </c>
    </row>
    <row r="97" spans="1:20" x14ac:dyDescent="0.25">
      <c r="A97">
        <v>96</v>
      </c>
      <c r="B97" t="s">
        <v>199</v>
      </c>
      <c r="C97" s="1">
        <v>0.38541666666666669</v>
      </c>
      <c r="D97" s="2">
        <v>45984</v>
      </c>
      <c r="E97" t="s">
        <v>91</v>
      </c>
      <c r="F97" t="s">
        <v>95</v>
      </c>
      <c r="G97" t="s">
        <v>327</v>
      </c>
      <c r="H97" s="1">
        <v>0.38541666666666669</v>
      </c>
      <c r="I97" s="1">
        <v>0.625</v>
      </c>
      <c r="J97" s="2">
        <v>45984</v>
      </c>
      <c r="K97" t="s">
        <v>25</v>
      </c>
      <c r="L97" t="s">
        <v>328</v>
      </c>
      <c r="M97" t="s">
        <v>22</v>
      </c>
      <c r="N97" t="s">
        <v>22</v>
      </c>
      <c r="O97" t="s">
        <v>99</v>
      </c>
      <c r="P97" t="s">
        <v>23</v>
      </c>
      <c r="Q97" s="1">
        <f>SEGUIMIENTO_TPM_xlsx[[#This Row],[HORA FIN  INTERVENCIÓN]]-SEGUIMIENTO_TPM_xlsx[[#This Row],[HORA INICIO INTERVENCIÓN]]</f>
        <v>0.23958333333333331</v>
      </c>
      <c r="R97" s="20">
        <f>(SEGUIMIENTO_TPM_xlsx[[#This Row],[HORA REPORTE]]+SEGUIMIENTO_TPM_xlsx[[#This Row],[FECHA DE REPORTE]])</f>
        <v>45984.385416666664</v>
      </c>
      <c r="S97" s="20">
        <f>(SEGUIMIENTO_TPM_xlsx[[#This Row],[FECHA DE INTERVENCÓN]]+SEGUIMIENTO_TPM_xlsx[[#This Row],[HORA FIN  INTERVENCIÓN]])</f>
        <v>45984.625</v>
      </c>
      <c r="T97" s="11">
        <f>(SEGUIMIENTO_TPM_xlsx[[#This Row],[FECHA Y HORA FINAL]]-SEGUIMIENTO_TPM_xlsx[[#This Row],[FECHA Y HORA INICIO]])</f>
        <v>0.23958333333575865</v>
      </c>
    </row>
    <row r="98" spans="1:20" x14ac:dyDescent="0.25">
      <c r="A98">
        <v>97</v>
      </c>
      <c r="B98" t="s">
        <v>199</v>
      </c>
      <c r="C98" s="1">
        <v>0.47916666666666669</v>
      </c>
      <c r="D98" s="2">
        <v>45984</v>
      </c>
      <c r="E98" t="s">
        <v>91</v>
      </c>
      <c r="F98" t="s">
        <v>95</v>
      </c>
      <c r="G98" t="s">
        <v>329</v>
      </c>
      <c r="H98" s="1">
        <v>0.47916666666666669</v>
      </c>
      <c r="I98" s="1">
        <v>0.625</v>
      </c>
      <c r="J98" s="2">
        <v>45984</v>
      </c>
      <c r="K98" t="s">
        <v>25</v>
      </c>
      <c r="L98" t="s">
        <v>330</v>
      </c>
      <c r="M98" t="s">
        <v>22</v>
      </c>
      <c r="N98" t="s">
        <v>22</v>
      </c>
      <c r="O98" t="s">
        <v>99</v>
      </c>
      <c r="P98" t="s">
        <v>23</v>
      </c>
      <c r="Q98" s="1">
        <f>SEGUIMIENTO_TPM_xlsx[[#This Row],[HORA FIN  INTERVENCIÓN]]-SEGUIMIENTO_TPM_xlsx[[#This Row],[HORA INICIO INTERVENCIÓN]]</f>
        <v>0.14583333333333331</v>
      </c>
      <c r="R98" s="20">
        <f>(SEGUIMIENTO_TPM_xlsx[[#This Row],[HORA REPORTE]]+SEGUIMIENTO_TPM_xlsx[[#This Row],[FECHA DE REPORTE]])</f>
        <v>45984.479166666664</v>
      </c>
      <c r="S98" s="20">
        <f>(SEGUIMIENTO_TPM_xlsx[[#This Row],[FECHA DE INTERVENCÓN]]+SEGUIMIENTO_TPM_xlsx[[#This Row],[HORA FIN  INTERVENCIÓN]])</f>
        <v>45984.625</v>
      </c>
      <c r="T98" s="11">
        <f>(SEGUIMIENTO_TPM_xlsx[[#This Row],[FECHA Y HORA FINAL]]-SEGUIMIENTO_TPM_xlsx[[#This Row],[FECHA Y HORA INICIO]])</f>
        <v>0.14583333333575865</v>
      </c>
    </row>
    <row r="99" spans="1:20" x14ac:dyDescent="0.25">
      <c r="A99">
        <v>98</v>
      </c>
      <c r="B99" t="s">
        <v>242</v>
      </c>
      <c r="C99" s="1">
        <v>0.34027777777777779</v>
      </c>
      <c r="D99" s="2">
        <v>45985</v>
      </c>
      <c r="E99" t="s">
        <v>227</v>
      </c>
      <c r="F99" t="s">
        <v>100</v>
      </c>
      <c r="G99" t="s">
        <v>331</v>
      </c>
      <c r="H99" s="1">
        <v>0.34027777777777779</v>
      </c>
      <c r="I99" s="1">
        <v>0.35416666666666669</v>
      </c>
      <c r="J99" s="2">
        <v>45985</v>
      </c>
      <c r="K99" t="s">
        <v>20</v>
      </c>
      <c r="L99" t="s">
        <v>332</v>
      </c>
      <c r="M99" t="s">
        <v>22</v>
      </c>
      <c r="N99" t="s">
        <v>22</v>
      </c>
      <c r="O99" t="s">
        <v>268</v>
      </c>
      <c r="P99" t="s">
        <v>23</v>
      </c>
      <c r="Q99" s="1">
        <f>SEGUIMIENTO_TPM_xlsx[[#This Row],[HORA FIN  INTERVENCIÓN]]-SEGUIMIENTO_TPM_xlsx[[#This Row],[HORA INICIO INTERVENCIÓN]]</f>
        <v>1.3888888888888895E-2</v>
      </c>
      <c r="R99" s="20">
        <f>(SEGUIMIENTO_TPM_xlsx[[#This Row],[HORA REPORTE]]+SEGUIMIENTO_TPM_xlsx[[#This Row],[FECHA DE REPORTE]])</f>
        <v>45985.340277777781</v>
      </c>
      <c r="S99" s="20">
        <f>(SEGUIMIENTO_TPM_xlsx[[#This Row],[FECHA DE INTERVENCÓN]]+SEGUIMIENTO_TPM_xlsx[[#This Row],[HORA FIN  INTERVENCIÓN]])</f>
        <v>45985.354166666664</v>
      </c>
      <c r="T99" s="11">
        <f>(SEGUIMIENTO_TPM_xlsx[[#This Row],[FECHA Y HORA FINAL]]-SEGUIMIENTO_TPM_xlsx[[#This Row],[FECHA Y HORA INICIO]])</f>
        <v>1.3888888883229811E-2</v>
      </c>
    </row>
    <row r="100" spans="1:20" x14ac:dyDescent="0.25">
      <c r="A100">
        <v>99</v>
      </c>
      <c r="B100" t="s">
        <v>242</v>
      </c>
      <c r="C100" s="1">
        <v>0.47569444444444442</v>
      </c>
      <c r="D100" s="2">
        <v>45985</v>
      </c>
      <c r="E100" t="s">
        <v>227</v>
      </c>
      <c r="F100" t="s">
        <v>100</v>
      </c>
      <c r="G100" t="s">
        <v>333</v>
      </c>
      <c r="H100" s="1">
        <v>0.47916666666666669</v>
      </c>
      <c r="I100" s="1"/>
      <c r="J100" s="2">
        <v>45985</v>
      </c>
      <c r="K100" t="s">
        <v>20</v>
      </c>
      <c r="L100" t="s">
        <v>334</v>
      </c>
      <c r="P100" t="s">
        <v>33</v>
      </c>
      <c r="Q100" s="1">
        <f>SEGUIMIENTO_TPM_xlsx[[#This Row],[HORA FIN  INTERVENCIÓN]]-SEGUIMIENTO_TPM_xlsx[[#This Row],[HORA INICIO INTERVENCIÓN]]</f>
        <v>-0.47916666666666669</v>
      </c>
      <c r="R100" s="20">
        <f>(SEGUIMIENTO_TPM_xlsx[[#This Row],[HORA REPORTE]]+SEGUIMIENTO_TPM_xlsx[[#This Row],[FECHA DE REPORTE]])</f>
        <v>45985.475694444445</v>
      </c>
      <c r="S100" s="20">
        <f>(SEGUIMIENTO_TPM_xlsx[[#This Row],[FECHA DE INTERVENCÓN]]+SEGUIMIENTO_TPM_xlsx[[#This Row],[HORA FIN  INTERVENCIÓN]])</f>
        <v>45985</v>
      </c>
      <c r="T100" s="11">
        <f>(SEGUIMIENTO_TPM_xlsx[[#This Row],[FECHA Y HORA FINAL]]-SEGUIMIENTO_TPM_xlsx[[#This Row],[FECHA Y HORA INICIO]])</f>
        <v>-0.47569444444525288</v>
      </c>
    </row>
    <row r="101" spans="1:20" x14ac:dyDescent="0.25">
      <c r="A101">
        <v>100</v>
      </c>
      <c r="B101" t="s">
        <v>335</v>
      </c>
      <c r="C101" s="1">
        <v>0.60763888888888884</v>
      </c>
      <c r="D101" s="2">
        <v>45985</v>
      </c>
      <c r="E101" t="s">
        <v>162</v>
      </c>
      <c r="F101" t="s">
        <v>100</v>
      </c>
      <c r="G101" t="s">
        <v>336</v>
      </c>
      <c r="H101" s="1">
        <v>0.60763888888888884</v>
      </c>
      <c r="I101" s="1">
        <v>0.62152777777777779</v>
      </c>
      <c r="J101" s="2">
        <v>45985</v>
      </c>
      <c r="K101" t="s">
        <v>156</v>
      </c>
      <c r="L101" t="s">
        <v>337</v>
      </c>
      <c r="M101" t="s">
        <v>22</v>
      </c>
      <c r="N101" t="s">
        <v>22</v>
      </c>
      <c r="O101" t="s">
        <v>44</v>
      </c>
      <c r="P101" t="s">
        <v>23</v>
      </c>
      <c r="Q101" s="1">
        <f>SEGUIMIENTO_TPM_xlsx[[#This Row],[HORA FIN  INTERVENCIÓN]]-SEGUIMIENTO_TPM_xlsx[[#This Row],[HORA INICIO INTERVENCIÓN]]</f>
        <v>1.3888888888888951E-2</v>
      </c>
      <c r="R101" s="20">
        <f>(SEGUIMIENTO_TPM_xlsx[[#This Row],[HORA REPORTE]]+SEGUIMIENTO_TPM_xlsx[[#This Row],[FECHA DE REPORTE]])</f>
        <v>45985.607638888891</v>
      </c>
      <c r="S101" s="20">
        <f>(SEGUIMIENTO_TPM_xlsx[[#This Row],[FECHA DE INTERVENCÓN]]+SEGUIMIENTO_TPM_xlsx[[#This Row],[HORA FIN  INTERVENCIÓN]])</f>
        <v>45985.621527777781</v>
      </c>
      <c r="T101" s="11">
        <f>(SEGUIMIENTO_TPM_xlsx[[#This Row],[FECHA Y HORA FINAL]]-SEGUIMIENTO_TPM_xlsx[[#This Row],[FECHA Y HORA INICIO]])</f>
        <v>1.3888888890505768E-2</v>
      </c>
    </row>
    <row r="102" spans="1:20" x14ac:dyDescent="0.25">
      <c r="A102">
        <v>101</v>
      </c>
      <c r="B102" t="s">
        <v>16</v>
      </c>
      <c r="C102" s="1">
        <v>0.54583333333333328</v>
      </c>
      <c r="D102" s="2">
        <v>45971</v>
      </c>
      <c r="E102" t="s">
        <v>17</v>
      </c>
      <c r="F102" t="s">
        <v>18</v>
      </c>
      <c r="G102" t="s">
        <v>19</v>
      </c>
      <c r="H102" s="1">
        <v>0.54583333333333328</v>
      </c>
      <c r="I102" s="1">
        <v>0.55277777777777781</v>
      </c>
      <c r="J102" s="2">
        <v>45971</v>
      </c>
      <c r="K102" t="s">
        <v>20</v>
      </c>
      <c r="L102" t="s">
        <v>21</v>
      </c>
      <c r="M102" t="s">
        <v>22</v>
      </c>
      <c r="N102" t="s">
        <v>22</v>
      </c>
      <c r="O102" t="s">
        <v>112</v>
      </c>
      <c r="P102" t="s">
        <v>23</v>
      </c>
      <c r="Q102" s="1">
        <f>SEGUIMIENTO_TPM_xlsx[[#This Row],[HORA FIN  INTERVENCIÓN]]-SEGUIMIENTO_TPM_xlsx[[#This Row],[HORA INICIO INTERVENCIÓN]]</f>
        <v>6.9444444444445308E-3</v>
      </c>
      <c r="R102" s="20">
        <f>(SEGUIMIENTO_TPM_xlsx[[#This Row],[HORA REPORTE]]+SEGUIMIENTO_TPM_xlsx[[#This Row],[FECHA DE REPORTE]])</f>
        <v>45971.54583333333</v>
      </c>
      <c r="S102" s="20">
        <f>(SEGUIMIENTO_TPM_xlsx[[#This Row],[FECHA DE INTERVENCÓN]]+SEGUIMIENTO_TPM_xlsx[[#This Row],[HORA FIN  INTERVENCIÓN]])</f>
        <v>45971.552777777775</v>
      </c>
      <c r="T102" s="11">
        <f>(SEGUIMIENTO_TPM_xlsx[[#This Row],[FECHA Y HORA FINAL]]-SEGUIMIENTO_TPM_xlsx[[#This Row],[FECHA Y HORA INICIO]])</f>
        <v>6.9444444452528842E-3</v>
      </c>
    </row>
    <row r="103" spans="1:20" x14ac:dyDescent="0.25">
      <c r="A103">
        <v>102</v>
      </c>
      <c r="B103" t="s">
        <v>16</v>
      </c>
      <c r="C103" s="1">
        <v>0.34027777777777779</v>
      </c>
      <c r="D103" s="2">
        <v>45972</v>
      </c>
      <c r="E103" t="s">
        <v>109</v>
      </c>
      <c r="F103" t="s">
        <v>18</v>
      </c>
      <c r="G103" t="s">
        <v>24</v>
      </c>
      <c r="H103" s="1">
        <v>0.34027777777777779</v>
      </c>
      <c r="I103" s="1">
        <v>0.52083333333333337</v>
      </c>
      <c r="J103" s="2">
        <v>45972</v>
      </c>
      <c r="K103" t="s">
        <v>25</v>
      </c>
      <c r="L103" t="s">
        <v>26</v>
      </c>
      <c r="M103" t="s">
        <v>22</v>
      </c>
      <c r="N103" t="s">
        <v>22</v>
      </c>
      <c r="O103" t="s">
        <v>112</v>
      </c>
      <c r="P103" t="s">
        <v>23</v>
      </c>
      <c r="Q103" s="1">
        <f>SEGUIMIENTO_TPM_xlsx[[#This Row],[HORA FIN  INTERVENCIÓN]]-SEGUIMIENTO_TPM_xlsx[[#This Row],[HORA INICIO INTERVENCIÓN]]</f>
        <v>0.18055555555555558</v>
      </c>
      <c r="R103" s="20">
        <f>(SEGUIMIENTO_TPM_xlsx[[#This Row],[HORA REPORTE]]+SEGUIMIENTO_TPM_xlsx[[#This Row],[FECHA DE REPORTE]])</f>
        <v>45972.340277777781</v>
      </c>
      <c r="S103" s="20">
        <f>(SEGUIMIENTO_TPM_xlsx[[#This Row],[FECHA DE INTERVENCÓN]]+SEGUIMIENTO_TPM_xlsx[[#This Row],[HORA FIN  INTERVENCIÓN]])</f>
        <v>45972.520833333336</v>
      </c>
      <c r="T103" s="11">
        <f>(SEGUIMIENTO_TPM_xlsx[[#This Row],[FECHA Y HORA FINAL]]-SEGUIMIENTO_TPM_xlsx[[#This Row],[FECHA Y HORA INICIO]])</f>
        <v>0.18055555555474712</v>
      </c>
    </row>
    <row r="104" spans="1:20" x14ac:dyDescent="0.25">
      <c r="A104">
        <v>103</v>
      </c>
      <c r="B104" t="s">
        <v>27</v>
      </c>
      <c r="C104" s="1">
        <v>0.58333333333333337</v>
      </c>
      <c r="D104" s="2">
        <v>45973</v>
      </c>
      <c r="E104" t="s">
        <v>17</v>
      </c>
      <c r="F104" t="s">
        <v>18</v>
      </c>
      <c r="G104" t="s">
        <v>28</v>
      </c>
      <c r="H104" s="1">
        <v>0.60416666666666663</v>
      </c>
      <c r="I104" s="1">
        <v>0.61805555555555558</v>
      </c>
      <c r="J104" s="2">
        <v>45973</v>
      </c>
      <c r="K104" t="s">
        <v>22</v>
      </c>
      <c r="L104" t="s">
        <v>29</v>
      </c>
      <c r="M104" t="s">
        <v>22</v>
      </c>
      <c r="N104" t="s">
        <v>30</v>
      </c>
      <c r="O104" t="s">
        <v>66</v>
      </c>
      <c r="P104" t="s">
        <v>23</v>
      </c>
      <c r="Q104" s="1">
        <f>SEGUIMIENTO_TPM_xlsx[[#This Row],[HORA FIN  INTERVENCIÓN]]-SEGUIMIENTO_TPM_xlsx[[#This Row],[HORA INICIO INTERVENCIÓN]]</f>
        <v>1.3888888888888951E-2</v>
      </c>
      <c r="R104" s="20">
        <f>(SEGUIMIENTO_TPM_xlsx[[#This Row],[HORA REPORTE]]+SEGUIMIENTO_TPM_xlsx[[#This Row],[FECHA DE REPORTE]])</f>
        <v>45973.583333333336</v>
      </c>
      <c r="S104" s="20">
        <f>(SEGUIMIENTO_TPM_xlsx[[#This Row],[FECHA DE INTERVENCÓN]]+SEGUIMIENTO_TPM_xlsx[[#This Row],[HORA FIN  INTERVENCIÓN]])</f>
        <v>45973.618055555555</v>
      </c>
      <c r="T104" s="11">
        <f>(SEGUIMIENTO_TPM_xlsx[[#This Row],[FECHA Y HORA FINAL]]-SEGUIMIENTO_TPM_xlsx[[#This Row],[FECHA Y HORA INICIO]])</f>
        <v>3.4722222218988463E-2</v>
      </c>
    </row>
    <row r="105" spans="1:20" x14ac:dyDescent="0.25">
      <c r="A105">
        <v>104</v>
      </c>
      <c r="B105" t="s">
        <v>27</v>
      </c>
      <c r="C105" s="1">
        <v>0.4375</v>
      </c>
      <c r="D105" s="2">
        <v>45974</v>
      </c>
      <c r="E105" t="s">
        <v>17</v>
      </c>
      <c r="F105" t="s">
        <v>18</v>
      </c>
      <c r="G105" t="s">
        <v>2005</v>
      </c>
      <c r="H105" s="1">
        <v>0.29166666666666669</v>
      </c>
      <c r="I105" s="1">
        <v>0.31944444444444442</v>
      </c>
      <c r="J105" s="2">
        <v>45979</v>
      </c>
      <c r="K105" t="s">
        <v>25</v>
      </c>
      <c r="L105" t="s">
        <v>31</v>
      </c>
      <c r="M105" t="s">
        <v>22</v>
      </c>
      <c r="N105" t="s">
        <v>32</v>
      </c>
      <c r="O105" t="s">
        <v>59</v>
      </c>
      <c r="P105" t="s">
        <v>33</v>
      </c>
      <c r="Q105" s="1">
        <f>SEGUIMIENTO_TPM_xlsx[[#This Row],[HORA FIN  INTERVENCIÓN]]-SEGUIMIENTO_TPM_xlsx[[#This Row],[HORA INICIO INTERVENCIÓN]]</f>
        <v>2.7777777777777735E-2</v>
      </c>
      <c r="R105" s="20">
        <f>(SEGUIMIENTO_TPM_xlsx[[#This Row],[HORA REPORTE]]+SEGUIMIENTO_TPM_xlsx[[#This Row],[FECHA DE REPORTE]])</f>
        <v>45974.4375</v>
      </c>
      <c r="S105" s="20">
        <f>(SEGUIMIENTO_TPM_xlsx[[#This Row],[FECHA DE INTERVENCÓN]]+SEGUIMIENTO_TPM_xlsx[[#This Row],[HORA FIN  INTERVENCIÓN]])</f>
        <v>45979.319444444445</v>
      </c>
      <c r="T105" s="11">
        <f>(SEGUIMIENTO_TPM_xlsx[[#This Row],[FECHA Y HORA FINAL]]-SEGUIMIENTO_TPM_xlsx[[#This Row],[FECHA Y HORA INICIO]])</f>
        <v>4.8819444444452529</v>
      </c>
    </row>
    <row r="106" spans="1:20" x14ac:dyDescent="0.25">
      <c r="A106">
        <v>105</v>
      </c>
      <c r="B106" t="s">
        <v>27</v>
      </c>
      <c r="C106" s="1">
        <v>0.29166666666666669</v>
      </c>
      <c r="D106" s="2">
        <v>45974</v>
      </c>
      <c r="E106" t="s">
        <v>34</v>
      </c>
      <c r="F106" t="s">
        <v>18</v>
      </c>
      <c r="G106" t="s">
        <v>35</v>
      </c>
      <c r="H106" s="1"/>
      <c r="I106" s="1"/>
      <c r="J106" s="2"/>
      <c r="P106" t="s">
        <v>33</v>
      </c>
      <c r="Q106" s="1">
        <f>SEGUIMIENTO_TPM_xlsx[[#This Row],[HORA FIN  INTERVENCIÓN]]-SEGUIMIENTO_TPM_xlsx[[#This Row],[HORA INICIO INTERVENCIÓN]]</f>
        <v>0</v>
      </c>
      <c r="R106" s="20">
        <f>(SEGUIMIENTO_TPM_xlsx[[#This Row],[HORA REPORTE]]+SEGUIMIENTO_TPM_xlsx[[#This Row],[FECHA DE REPORTE]])</f>
        <v>45974.291666666664</v>
      </c>
      <c r="S106" s="20">
        <f>(SEGUIMIENTO_TPM_xlsx[[#This Row],[FECHA DE INTERVENCÓN]]+SEGUIMIENTO_TPM_xlsx[[#This Row],[HORA FIN  INTERVENCIÓN]])</f>
        <v>0</v>
      </c>
      <c r="T106" s="11">
        <f>(SEGUIMIENTO_TPM_xlsx[[#This Row],[FECHA Y HORA FINAL]]-SEGUIMIENTO_TPM_xlsx[[#This Row],[FECHA Y HORA INICIO]])</f>
        <v>-45974.291666666664</v>
      </c>
    </row>
    <row r="107" spans="1:20" x14ac:dyDescent="0.25">
      <c r="A107">
        <v>106</v>
      </c>
      <c r="B107" t="s">
        <v>16</v>
      </c>
      <c r="C107" s="1">
        <v>0.32222222222222224</v>
      </c>
      <c r="D107" s="2">
        <v>45975</v>
      </c>
      <c r="E107" t="s">
        <v>109</v>
      </c>
      <c r="F107" t="s">
        <v>18</v>
      </c>
      <c r="G107" t="s">
        <v>36</v>
      </c>
      <c r="H107" s="1">
        <v>0.32222222222222224</v>
      </c>
      <c r="I107" s="1">
        <v>0.3298611111111111</v>
      </c>
      <c r="J107" s="2">
        <v>45975</v>
      </c>
      <c r="K107" t="s">
        <v>20</v>
      </c>
      <c r="L107" t="s">
        <v>37</v>
      </c>
      <c r="M107" t="s">
        <v>22</v>
      </c>
      <c r="N107" t="s">
        <v>22</v>
      </c>
      <c r="O107" t="s">
        <v>112</v>
      </c>
      <c r="P107" t="s">
        <v>23</v>
      </c>
      <c r="Q107" s="1">
        <f>SEGUIMIENTO_TPM_xlsx[[#This Row],[HORA FIN  INTERVENCIÓN]]-SEGUIMIENTO_TPM_xlsx[[#This Row],[HORA INICIO INTERVENCIÓN]]</f>
        <v>7.6388888888888618E-3</v>
      </c>
      <c r="R107" s="20">
        <f>(SEGUIMIENTO_TPM_xlsx[[#This Row],[HORA REPORTE]]+SEGUIMIENTO_TPM_xlsx[[#This Row],[FECHA DE REPORTE]])</f>
        <v>45975.322222222225</v>
      </c>
      <c r="S107" s="20">
        <f>(SEGUIMIENTO_TPM_xlsx[[#This Row],[FECHA DE INTERVENCÓN]]+SEGUIMIENTO_TPM_xlsx[[#This Row],[HORA FIN  INTERVENCIÓN]])</f>
        <v>45975.329861111109</v>
      </c>
      <c r="T107" s="11">
        <f>(SEGUIMIENTO_TPM_xlsx[[#This Row],[FECHA Y HORA FINAL]]-SEGUIMIENTO_TPM_xlsx[[#This Row],[FECHA Y HORA INICIO]])</f>
        <v>7.6388888846850023E-3</v>
      </c>
    </row>
    <row r="108" spans="1:20" x14ac:dyDescent="0.25">
      <c r="A108">
        <v>107</v>
      </c>
      <c r="B108" t="s">
        <v>38</v>
      </c>
      <c r="C108" s="1">
        <v>0.51666666666666672</v>
      </c>
      <c r="D108" s="2">
        <v>45980</v>
      </c>
      <c r="E108" t="s">
        <v>34</v>
      </c>
      <c r="F108" t="s">
        <v>18</v>
      </c>
      <c r="G108" t="s">
        <v>39</v>
      </c>
      <c r="H108" s="1"/>
      <c r="I108" s="1"/>
      <c r="J108" s="2"/>
      <c r="P108" t="s">
        <v>33</v>
      </c>
      <c r="Q108" s="1">
        <f>SEGUIMIENTO_TPM_xlsx[[#This Row],[HORA FIN  INTERVENCIÓN]]-SEGUIMIENTO_TPM_xlsx[[#This Row],[HORA INICIO INTERVENCIÓN]]</f>
        <v>0</v>
      </c>
      <c r="R108" s="20">
        <f>(SEGUIMIENTO_TPM_xlsx[[#This Row],[HORA REPORTE]]+SEGUIMIENTO_TPM_xlsx[[#This Row],[FECHA DE REPORTE]])</f>
        <v>45980.51666666667</v>
      </c>
      <c r="S108" s="20">
        <f>(SEGUIMIENTO_TPM_xlsx[[#This Row],[FECHA DE INTERVENCÓN]]+SEGUIMIENTO_TPM_xlsx[[#This Row],[HORA FIN  INTERVENCIÓN]])</f>
        <v>0</v>
      </c>
      <c r="T108" s="11">
        <f>(SEGUIMIENTO_TPM_xlsx[[#This Row],[FECHA Y HORA FINAL]]-SEGUIMIENTO_TPM_xlsx[[#This Row],[FECHA Y HORA INICIO]])</f>
        <v>-45980.51666666667</v>
      </c>
    </row>
    <row r="109" spans="1:20" x14ac:dyDescent="0.25">
      <c r="A109">
        <v>108</v>
      </c>
      <c r="B109" t="s">
        <v>27</v>
      </c>
      <c r="C109" s="1">
        <v>0.29166666666666669</v>
      </c>
      <c r="D109" s="2">
        <v>45985</v>
      </c>
      <c r="E109" t="s">
        <v>34</v>
      </c>
      <c r="F109" t="s">
        <v>18</v>
      </c>
      <c r="G109" t="s">
        <v>40</v>
      </c>
      <c r="H109" s="1"/>
      <c r="I109" s="1"/>
      <c r="J109" s="2"/>
      <c r="P109" t="s">
        <v>33</v>
      </c>
      <c r="Q109" s="1">
        <f>SEGUIMIENTO_TPM_xlsx[[#This Row],[HORA FIN  INTERVENCIÓN]]-SEGUIMIENTO_TPM_xlsx[[#This Row],[HORA INICIO INTERVENCIÓN]]</f>
        <v>0</v>
      </c>
      <c r="R109" s="20">
        <f>(SEGUIMIENTO_TPM_xlsx[[#This Row],[HORA REPORTE]]+SEGUIMIENTO_TPM_xlsx[[#This Row],[FECHA DE REPORTE]])</f>
        <v>45985.291666666664</v>
      </c>
      <c r="S109" s="20">
        <f>(SEGUIMIENTO_TPM_xlsx[[#This Row],[FECHA DE INTERVENCÓN]]+SEGUIMIENTO_TPM_xlsx[[#This Row],[HORA FIN  INTERVENCIÓN]])</f>
        <v>0</v>
      </c>
      <c r="T109" s="11">
        <f>(SEGUIMIENTO_TPM_xlsx[[#This Row],[FECHA Y HORA FINAL]]-SEGUIMIENTO_TPM_xlsx[[#This Row],[FECHA Y HORA INICIO]])</f>
        <v>-45985.291666666664</v>
      </c>
    </row>
    <row r="110" spans="1:20" x14ac:dyDescent="0.25">
      <c r="A110">
        <v>109</v>
      </c>
      <c r="B110" t="s">
        <v>27</v>
      </c>
      <c r="C110" s="1">
        <v>0.41666666666666669</v>
      </c>
      <c r="D110" s="2">
        <v>45952</v>
      </c>
      <c r="E110" t="s">
        <v>34</v>
      </c>
      <c r="F110" t="s">
        <v>18</v>
      </c>
      <c r="G110" t="s">
        <v>1571</v>
      </c>
      <c r="H110" s="1"/>
      <c r="I110" s="1"/>
      <c r="J110" s="2"/>
      <c r="L110" t="s">
        <v>1572</v>
      </c>
      <c r="O110" t="s">
        <v>59</v>
      </c>
      <c r="P110" t="s">
        <v>23</v>
      </c>
      <c r="Q110" s="1">
        <f>SEGUIMIENTO_TPM_xlsx[[#This Row],[HORA FIN  INTERVENCIÓN]]-SEGUIMIENTO_TPM_xlsx[[#This Row],[HORA INICIO INTERVENCIÓN]]</f>
        <v>0</v>
      </c>
      <c r="R110" s="20">
        <f>(SEGUIMIENTO_TPM_xlsx[[#This Row],[HORA REPORTE]]+SEGUIMIENTO_TPM_xlsx[[#This Row],[FECHA DE REPORTE]])</f>
        <v>45952.416666666664</v>
      </c>
      <c r="S110" s="20">
        <f>(SEGUIMIENTO_TPM_xlsx[[#This Row],[FECHA DE INTERVENCÓN]]+SEGUIMIENTO_TPM_xlsx[[#This Row],[HORA FIN  INTERVENCIÓN]])</f>
        <v>0</v>
      </c>
      <c r="T110" s="11">
        <f>(SEGUIMIENTO_TPM_xlsx[[#This Row],[FECHA Y HORA FINAL]]-SEGUIMIENTO_TPM_xlsx[[#This Row],[FECHA Y HORA INICIO]])</f>
        <v>-45952.416666666664</v>
      </c>
    </row>
    <row r="111" spans="1:20" x14ac:dyDescent="0.25">
      <c r="A111">
        <v>110</v>
      </c>
      <c r="B111" t="s">
        <v>27</v>
      </c>
      <c r="C111" s="1">
        <v>0.41666666666666669</v>
      </c>
      <c r="D111" s="2">
        <v>45952</v>
      </c>
      <c r="E111" t="s">
        <v>17</v>
      </c>
      <c r="F111" t="s">
        <v>18</v>
      </c>
      <c r="G111" t="s">
        <v>2006</v>
      </c>
      <c r="H111" s="1">
        <v>0.375</v>
      </c>
      <c r="I111" s="1">
        <v>0.5</v>
      </c>
      <c r="J111" s="2">
        <v>45973</v>
      </c>
      <c r="K111" t="s">
        <v>25</v>
      </c>
      <c r="L111" t="s">
        <v>2007</v>
      </c>
      <c r="M111" t="s">
        <v>22</v>
      </c>
      <c r="N111" t="s">
        <v>22</v>
      </c>
      <c r="O111" t="s">
        <v>66</v>
      </c>
      <c r="P111" t="s">
        <v>23</v>
      </c>
      <c r="Q111" s="1">
        <f>SEGUIMIENTO_TPM_xlsx[[#This Row],[HORA FIN  INTERVENCIÓN]]-SEGUIMIENTO_TPM_xlsx[[#This Row],[HORA INICIO INTERVENCIÓN]]</f>
        <v>0.125</v>
      </c>
      <c r="R111" s="20">
        <f>(SEGUIMIENTO_TPM_xlsx[[#This Row],[HORA REPORTE]]+SEGUIMIENTO_TPM_xlsx[[#This Row],[FECHA DE REPORTE]])</f>
        <v>45952.416666666664</v>
      </c>
      <c r="S111" s="20">
        <f>(SEGUIMIENTO_TPM_xlsx[[#This Row],[FECHA DE INTERVENCÓN]]+SEGUIMIENTO_TPM_xlsx[[#This Row],[HORA FIN  INTERVENCIÓN]])</f>
        <v>45973.5</v>
      </c>
      <c r="T111" s="11">
        <f>(SEGUIMIENTO_TPM_xlsx[[#This Row],[FECHA Y HORA FINAL]]-SEGUIMIENTO_TPM_xlsx[[#This Row],[FECHA Y HORA INICIO]])</f>
        <v>21.083333333335759</v>
      </c>
    </row>
    <row r="112" spans="1:20" x14ac:dyDescent="0.25">
      <c r="A112">
        <v>111</v>
      </c>
      <c r="C112" s="1"/>
      <c r="D112" s="2"/>
      <c r="H112" s="1"/>
      <c r="I112" s="1"/>
      <c r="J112" s="2"/>
      <c r="Q112" s="1">
        <f>SEGUIMIENTO_TPM_xlsx[[#This Row],[HORA FIN  INTERVENCIÓN]]-SEGUIMIENTO_TPM_xlsx[[#This Row],[HORA INICIO INTERVENCIÓN]]</f>
        <v>0</v>
      </c>
      <c r="R112" s="20">
        <f>(SEGUIMIENTO_TPM_xlsx[[#This Row],[HORA REPORTE]]+SEGUIMIENTO_TPM_xlsx[[#This Row],[FECHA DE REPORTE]])</f>
        <v>0</v>
      </c>
      <c r="S112" s="20">
        <f>(SEGUIMIENTO_TPM_xlsx[[#This Row],[FECHA DE INTERVENCÓN]]+SEGUIMIENTO_TPM_xlsx[[#This Row],[HORA FIN  INTERVENCIÓN]])</f>
        <v>0</v>
      </c>
      <c r="T112" s="11">
        <f>(SEGUIMIENTO_TPM_xlsx[[#This Row],[FECHA Y HORA FINAL]]-SEGUIMIENTO_TPM_xlsx[[#This Row],[FECHA Y HORA INICIO]])</f>
        <v>0</v>
      </c>
    </row>
    <row r="113" spans="1:20" x14ac:dyDescent="0.25">
      <c r="A113">
        <v>112</v>
      </c>
      <c r="B113" t="s">
        <v>38</v>
      </c>
      <c r="C113" s="1">
        <v>0.38124999999999998</v>
      </c>
      <c r="D113" s="2">
        <v>46011</v>
      </c>
      <c r="E113" t="s">
        <v>34</v>
      </c>
      <c r="F113" t="s">
        <v>18</v>
      </c>
      <c r="G113" t="s">
        <v>41</v>
      </c>
      <c r="H113" s="1">
        <v>0.3923611111111111</v>
      </c>
      <c r="I113" s="1">
        <v>0.40277777777777779</v>
      </c>
      <c r="J113" s="2">
        <v>46011</v>
      </c>
      <c r="K113" t="s">
        <v>20</v>
      </c>
      <c r="L113" t="s">
        <v>42</v>
      </c>
      <c r="M113" t="s">
        <v>43</v>
      </c>
      <c r="N113" t="s">
        <v>22</v>
      </c>
      <c r="O113" t="s">
        <v>44</v>
      </c>
      <c r="P113" t="s">
        <v>23</v>
      </c>
      <c r="Q113" s="1">
        <f>SEGUIMIENTO_TPM_xlsx[[#This Row],[HORA FIN  INTERVENCIÓN]]-SEGUIMIENTO_TPM_xlsx[[#This Row],[HORA INICIO INTERVENCIÓN]]</f>
        <v>1.0416666666666685E-2</v>
      </c>
      <c r="R113" s="20">
        <f>(SEGUIMIENTO_TPM_xlsx[[#This Row],[HORA REPORTE]]+SEGUIMIENTO_TPM_xlsx[[#This Row],[FECHA DE REPORTE]])</f>
        <v>46011.381249999999</v>
      </c>
      <c r="S113" s="20">
        <f>(SEGUIMIENTO_TPM_xlsx[[#This Row],[FECHA DE INTERVENCÓN]]+SEGUIMIENTO_TPM_xlsx[[#This Row],[HORA FIN  INTERVENCIÓN]])</f>
        <v>46011.402777777781</v>
      </c>
      <c r="T113" s="11">
        <f>(SEGUIMIENTO_TPM_xlsx[[#This Row],[FECHA Y HORA FINAL]]-SEGUIMIENTO_TPM_xlsx[[#This Row],[FECHA Y HORA INICIO]])</f>
        <v>2.1527777782466728E-2</v>
      </c>
    </row>
    <row r="114" spans="1:20" x14ac:dyDescent="0.25">
      <c r="A114">
        <v>113</v>
      </c>
      <c r="B114" t="s">
        <v>38</v>
      </c>
      <c r="C114" s="1"/>
      <c r="D114" s="2">
        <v>46030</v>
      </c>
      <c r="E114" t="s">
        <v>34</v>
      </c>
      <c r="F114" t="s">
        <v>18</v>
      </c>
      <c r="G114" t="s">
        <v>45</v>
      </c>
      <c r="H114" s="1"/>
      <c r="I114" s="1"/>
      <c r="J114" s="2"/>
      <c r="P114" t="s">
        <v>33</v>
      </c>
      <c r="Q114" s="1">
        <f>SEGUIMIENTO_TPM_xlsx[[#This Row],[HORA FIN  INTERVENCIÓN]]-SEGUIMIENTO_TPM_xlsx[[#This Row],[HORA INICIO INTERVENCIÓN]]</f>
        <v>0</v>
      </c>
      <c r="R114" s="20">
        <f>(SEGUIMIENTO_TPM_xlsx[[#This Row],[HORA REPORTE]]+SEGUIMIENTO_TPM_xlsx[[#This Row],[FECHA DE REPORTE]])</f>
        <v>46030</v>
      </c>
      <c r="S114" s="20">
        <f>(SEGUIMIENTO_TPM_xlsx[[#This Row],[FECHA DE INTERVENCÓN]]+SEGUIMIENTO_TPM_xlsx[[#This Row],[HORA FIN  INTERVENCIÓN]])</f>
        <v>0</v>
      </c>
      <c r="T114" s="11">
        <f>(SEGUIMIENTO_TPM_xlsx[[#This Row],[FECHA Y HORA FINAL]]-SEGUIMIENTO_TPM_xlsx[[#This Row],[FECHA Y HORA INICIO]])</f>
        <v>-46030</v>
      </c>
    </row>
    <row r="115" spans="1:20" x14ac:dyDescent="0.25">
      <c r="A115">
        <v>114</v>
      </c>
      <c r="B115" t="s">
        <v>46</v>
      </c>
      <c r="C115" s="1">
        <v>0.66874999999999996</v>
      </c>
      <c r="D115" s="2">
        <v>46054</v>
      </c>
      <c r="E115" t="s">
        <v>143</v>
      </c>
      <c r="F115" t="s">
        <v>18</v>
      </c>
      <c r="G115" t="s">
        <v>47</v>
      </c>
      <c r="H115" s="1">
        <v>0.67013888888888884</v>
      </c>
      <c r="I115" s="1">
        <v>0.68402777777777779</v>
      </c>
      <c r="J115" s="2">
        <v>46054</v>
      </c>
      <c r="K115" t="s">
        <v>48</v>
      </c>
      <c r="L115" t="s">
        <v>49</v>
      </c>
      <c r="M115" t="s">
        <v>50</v>
      </c>
      <c r="N115" t="s">
        <v>22</v>
      </c>
      <c r="O115" t="s">
        <v>44</v>
      </c>
      <c r="P115" t="s">
        <v>23</v>
      </c>
      <c r="Q115" s="1">
        <f>SEGUIMIENTO_TPM_xlsx[[#This Row],[HORA FIN  INTERVENCIÓN]]-SEGUIMIENTO_TPM_xlsx[[#This Row],[HORA INICIO INTERVENCIÓN]]</f>
        <v>1.3888888888888951E-2</v>
      </c>
      <c r="R115" s="20">
        <f>(SEGUIMIENTO_TPM_xlsx[[#This Row],[HORA REPORTE]]+SEGUIMIENTO_TPM_xlsx[[#This Row],[FECHA DE REPORTE]])</f>
        <v>46054.668749999997</v>
      </c>
      <c r="S115" s="20">
        <f>(SEGUIMIENTO_TPM_xlsx[[#This Row],[FECHA DE INTERVENCÓN]]+SEGUIMIENTO_TPM_xlsx[[#This Row],[HORA FIN  INTERVENCIÓN]])</f>
        <v>46054.684027777781</v>
      </c>
      <c r="T115" s="11">
        <f>(SEGUIMIENTO_TPM_xlsx[[#This Row],[FECHA Y HORA FINAL]]-SEGUIMIENTO_TPM_xlsx[[#This Row],[FECHA Y HORA INICIO]])</f>
        <v>1.527777778392192E-2</v>
      </c>
    </row>
    <row r="116" spans="1:20" x14ac:dyDescent="0.25">
      <c r="A116">
        <v>115</v>
      </c>
      <c r="B116" t="s">
        <v>51</v>
      </c>
      <c r="C116" s="1">
        <v>0.92708333333333337</v>
      </c>
      <c r="D116" s="2">
        <v>46080</v>
      </c>
      <c r="E116" t="s">
        <v>17</v>
      </c>
      <c r="F116" t="s">
        <v>18</v>
      </c>
      <c r="G116" t="s">
        <v>52</v>
      </c>
      <c r="H116" s="1"/>
      <c r="I116" s="1"/>
      <c r="J116" s="2"/>
      <c r="P116" t="s">
        <v>33</v>
      </c>
      <c r="Q116" s="1">
        <f>SEGUIMIENTO_TPM_xlsx[[#This Row],[HORA FIN  INTERVENCIÓN]]-SEGUIMIENTO_TPM_xlsx[[#This Row],[HORA INICIO INTERVENCIÓN]]</f>
        <v>0</v>
      </c>
      <c r="R116" s="20">
        <f>(SEGUIMIENTO_TPM_xlsx[[#This Row],[HORA REPORTE]]+SEGUIMIENTO_TPM_xlsx[[#This Row],[FECHA DE REPORTE]])</f>
        <v>46080.927083333336</v>
      </c>
      <c r="S116" s="20">
        <f>(SEGUIMIENTO_TPM_xlsx[[#This Row],[FECHA DE INTERVENCÓN]]+SEGUIMIENTO_TPM_xlsx[[#This Row],[HORA FIN  INTERVENCIÓN]])</f>
        <v>0</v>
      </c>
      <c r="T116" s="11">
        <f>(SEGUIMIENTO_TPM_xlsx[[#This Row],[FECHA Y HORA FINAL]]-SEGUIMIENTO_TPM_xlsx[[#This Row],[FECHA Y HORA INICIO]])</f>
        <v>-46080.927083333336</v>
      </c>
    </row>
    <row r="117" spans="1:20" x14ac:dyDescent="0.25">
      <c r="A117">
        <v>116</v>
      </c>
      <c r="B117" t="s">
        <v>113</v>
      </c>
      <c r="C117" s="1">
        <v>1.7361111111111112E-2</v>
      </c>
      <c r="D117" s="2">
        <v>46125</v>
      </c>
      <c r="E117" t="s">
        <v>154</v>
      </c>
      <c r="F117" t="s">
        <v>18</v>
      </c>
      <c r="G117" t="s">
        <v>2008</v>
      </c>
      <c r="H117" s="1"/>
      <c r="I117" s="1">
        <v>4.1666666666666664E-2</v>
      </c>
      <c r="J117" s="2"/>
      <c r="L117" t="s">
        <v>2009</v>
      </c>
      <c r="M117" t="s">
        <v>1951</v>
      </c>
      <c r="N117" t="s">
        <v>22</v>
      </c>
      <c r="O117" t="s">
        <v>108</v>
      </c>
      <c r="P117" t="s">
        <v>23</v>
      </c>
      <c r="Q117" s="1">
        <f>SEGUIMIENTO_TPM_xlsx[[#This Row],[HORA FIN  INTERVENCIÓN]]-SEGUIMIENTO_TPM_xlsx[[#This Row],[HORA INICIO INTERVENCIÓN]]</f>
        <v>4.1666666666666664E-2</v>
      </c>
      <c r="R117" s="20">
        <f>(SEGUIMIENTO_TPM_xlsx[[#This Row],[HORA REPORTE]]+SEGUIMIENTO_TPM_xlsx[[#This Row],[FECHA DE REPORTE]])</f>
        <v>46125.017361111109</v>
      </c>
      <c r="S117" s="20">
        <f>(SEGUIMIENTO_TPM_xlsx[[#This Row],[FECHA DE INTERVENCÓN]]+SEGUIMIENTO_TPM_xlsx[[#This Row],[HORA FIN  INTERVENCIÓN]])</f>
        <v>4.1666666666666664E-2</v>
      </c>
      <c r="T117" s="11">
        <f>(SEGUIMIENTO_TPM_xlsx[[#This Row],[FECHA Y HORA FINAL]]-SEGUIMIENTO_TPM_xlsx[[#This Row],[FECHA Y HORA INICIO]])</f>
        <v>-46124.975694444445</v>
      </c>
    </row>
    <row r="118" spans="1:20" x14ac:dyDescent="0.25">
      <c r="A118">
        <v>117</v>
      </c>
      <c r="C118" s="1"/>
      <c r="D118" s="2"/>
      <c r="H118" s="1"/>
      <c r="I118" s="1"/>
      <c r="J118" s="2"/>
      <c r="Q118" s="1">
        <f>SEGUIMIENTO_TPM_xlsx[[#This Row],[HORA FIN  INTERVENCIÓN]]-SEGUIMIENTO_TPM_xlsx[[#This Row],[HORA INICIO INTERVENCIÓN]]</f>
        <v>0</v>
      </c>
      <c r="R118" s="20">
        <f>(SEGUIMIENTO_TPM_xlsx[[#This Row],[HORA REPORTE]]+SEGUIMIENTO_TPM_xlsx[[#This Row],[FECHA DE REPORTE]])</f>
        <v>0</v>
      </c>
      <c r="S118" s="20">
        <f>(SEGUIMIENTO_TPM_xlsx[[#This Row],[FECHA DE INTERVENCÓN]]+SEGUIMIENTO_TPM_xlsx[[#This Row],[HORA FIN  INTERVENCIÓN]])</f>
        <v>0</v>
      </c>
      <c r="T118" s="11">
        <f>(SEGUIMIENTO_TPM_xlsx[[#This Row],[FECHA Y HORA FINAL]]-SEGUIMIENTO_TPM_xlsx[[#This Row],[FECHA Y HORA INICIO]])</f>
        <v>0</v>
      </c>
    </row>
    <row r="119" spans="1:20" x14ac:dyDescent="0.25">
      <c r="A119">
        <v>118</v>
      </c>
      <c r="B119" t="s">
        <v>103</v>
      </c>
      <c r="C119" s="1">
        <v>0</v>
      </c>
      <c r="D119" s="2">
        <v>46142</v>
      </c>
      <c r="E119" t="s">
        <v>147</v>
      </c>
      <c r="F119" t="s">
        <v>18</v>
      </c>
      <c r="G119" t="s">
        <v>2035</v>
      </c>
      <c r="H119" s="1">
        <v>0</v>
      </c>
      <c r="I119" s="1">
        <v>4.3749999999999997E-2</v>
      </c>
      <c r="J119" s="2">
        <v>46142</v>
      </c>
      <c r="K119" t="s">
        <v>25</v>
      </c>
      <c r="L119" t="s">
        <v>2036</v>
      </c>
      <c r="M119" t="s">
        <v>22</v>
      </c>
      <c r="N119" t="s">
        <v>2037</v>
      </c>
      <c r="O119" t="s">
        <v>108</v>
      </c>
      <c r="P119" t="s">
        <v>23</v>
      </c>
      <c r="Q119" s="1">
        <f>SEGUIMIENTO_TPM_xlsx[[#This Row],[HORA FIN  INTERVENCIÓN]]-SEGUIMIENTO_TPM_xlsx[[#This Row],[HORA INICIO INTERVENCIÓN]]</f>
        <v>4.3749999999999997E-2</v>
      </c>
      <c r="R119" s="20">
        <f>(SEGUIMIENTO_TPM_xlsx[[#This Row],[HORA REPORTE]]+SEGUIMIENTO_TPM_xlsx[[#This Row],[FECHA DE REPORTE]])</f>
        <v>46142</v>
      </c>
      <c r="S119" s="20">
        <f>(SEGUIMIENTO_TPM_xlsx[[#This Row],[FECHA DE INTERVENCÓN]]+SEGUIMIENTO_TPM_xlsx[[#This Row],[HORA FIN  INTERVENCIÓN]])</f>
        <v>46142.043749999997</v>
      </c>
      <c r="T119" s="11">
        <f>(SEGUIMIENTO_TPM_xlsx[[#This Row],[FECHA Y HORA FINAL]]-SEGUIMIENTO_TPM_xlsx[[#This Row],[FECHA Y HORA INICIO]])</f>
        <v>4.3749999997089617E-2</v>
      </c>
    </row>
    <row r="120" spans="1:20" x14ac:dyDescent="0.25">
      <c r="A120">
        <v>119</v>
      </c>
      <c r="B120" t="s">
        <v>199</v>
      </c>
      <c r="C120" s="1">
        <v>0.9375</v>
      </c>
      <c r="D120" s="2">
        <v>46141</v>
      </c>
      <c r="E120" t="s">
        <v>91</v>
      </c>
      <c r="F120" t="s">
        <v>18</v>
      </c>
      <c r="G120" t="s">
        <v>2038</v>
      </c>
      <c r="H120" s="1">
        <v>0.25</v>
      </c>
      <c r="I120" s="1"/>
      <c r="J120" s="2"/>
      <c r="K120" t="s">
        <v>25</v>
      </c>
      <c r="L120" t="s">
        <v>2039</v>
      </c>
      <c r="M120" t="s">
        <v>22</v>
      </c>
      <c r="N120" t="s">
        <v>22</v>
      </c>
      <c r="O120" t="s">
        <v>112</v>
      </c>
      <c r="P120" t="s">
        <v>33</v>
      </c>
      <c r="Q120" s="1">
        <f>SEGUIMIENTO_TPM_xlsx[[#This Row],[HORA FIN  INTERVENCIÓN]]-SEGUIMIENTO_TPM_xlsx[[#This Row],[HORA INICIO INTERVENCIÓN]]</f>
        <v>-0.25</v>
      </c>
      <c r="R120" s="20">
        <f>(SEGUIMIENTO_TPM_xlsx[[#This Row],[HORA REPORTE]]+SEGUIMIENTO_TPM_xlsx[[#This Row],[FECHA DE REPORTE]])</f>
        <v>46141.9375</v>
      </c>
      <c r="S120" s="20">
        <f>(SEGUIMIENTO_TPM_xlsx[[#This Row],[FECHA DE INTERVENCÓN]]+SEGUIMIENTO_TPM_xlsx[[#This Row],[HORA FIN  INTERVENCIÓN]])</f>
        <v>0</v>
      </c>
      <c r="T120" s="11">
        <f>(SEGUIMIENTO_TPM_xlsx[[#This Row],[FECHA Y HORA FINAL]]-SEGUIMIENTO_TPM_xlsx[[#This Row],[FECHA Y HORA INICIO]])</f>
        <v>-46141.9375</v>
      </c>
    </row>
    <row r="121" spans="1:20" x14ac:dyDescent="0.25">
      <c r="A121">
        <v>120</v>
      </c>
      <c r="B121" t="s">
        <v>103</v>
      </c>
      <c r="C121" s="1">
        <v>0.41666666666666669</v>
      </c>
      <c r="D121" s="2">
        <v>46142</v>
      </c>
      <c r="E121" t="s">
        <v>147</v>
      </c>
      <c r="F121" t="s">
        <v>18</v>
      </c>
      <c r="G121" t="s">
        <v>2040</v>
      </c>
      <c r="H121" s="1">
        <v>0.41666666666666669</v>
      </c>
      <c r="I121" s="1">
        <v>0.60416666666666663</v>
      </c>
      <c r="J121" s="2">
        <v>46142</v>
      </c>
      <c r="K121" t="s">
        <v>25</v>
      </c>
      <c r="L121" t="s">
        <v>2041</v>
      </c>
      <c r="M121" t="s">
        <v>22</v>
      </c>
      <c r="N121" t="s">
        <v>22</v>
      </c>
      <c r="O121" t="s">
        <v>112</v>
      </c>
      <c r="P121" t="s">
        <v>23</v>
      </c>
      <c r="Q121" s="1">
        <f>SEGUIMIENTO_TPM_xlsx[[#This Row],[HORA FIN  INTERVENCIÓN]]-SEGUIMIENTO_TPM_xlsx[[#This Row],[HORA INICIO INTERVENCIÓN]]</f>
        <v>0.18749999999999994</v>
      </c>
      <c r="R121" s="20">
        <f>(SEGUIMIENTO_TPM_xlsx[[#This Row],[HORA REPORTE]]+SEGUIMIENTO_TPM_xlsx[[#This Row],[FECHA DE REPORTE]])</f>
        <v>46142.416666666664</v>
      </c>
      <c r="S121" s="20">
        <f>(SEGUIMIENTO_TPM_xlsx[[#This Row],[FECHA DE INTERVENCÓN]]+SEGUIMIENTO_TPM_xlsx[[#This Row],[HORA FIN  INTERVENCIÓN]])</f>
        <v>46142.604166666664</v>
      </c>
      <c r="T121" s="11">
        <f>(SEGUIMIENTO_TPM_xlsx[[#This Row],[FECHA Y HORA FINAL]]-SEGUIMIENTO_TPM_xlsx[[#This Row],[FECHA Y HORA INICIO]])</f>
        <v>0.1875</v>
      </c>
    </row>
    <row r="122" spans="1:20" x14ac:dyDescent="0.25">
      <c r="A122">
        <v>121</v>
      </c>
      <c r="C122" s="1"/>
      <c r="D122" s="2"/>
      <c r="H122" s="1"/>
      <c r="I122" s="1"/>
      <c r="J122" s="2"/>
      <c r="Q122" s="1">
        <f>SEGUIMIENTO_TPM_xlsx[[#This Row],[HORA FIN  INTERVENCIÓN]]-SEGUIMIENTO_TPM_xlsx[[#This Row],[HORA INICIO INTERVENCIÓN]]</f>
        <v>0</v>
      </c>
      <c r="R122" s="20">
        <f>(SEGUIMIENTO_TPM_xlsx[[#This Row],[HORA REPORTE]]+SEGUIMIENTO_TPM_xlsx[[#This Row],[FECHA DE REPORTE]])</f>
        <v>0</v>
      </c>
      <c r="S122" s="20">
        <f>(SEGUIMIENTO_TPM_xlsx[[#This Row],[FECHA DE INTERVENCÓN]]+SEGUIMIENTO_TPM_xlsx[[#This Row],[HORA FIN  INTERVENCIÓN]])</f>
        <v>0</v>
      </c>
      <c r="T122" s="11">
        <f>(SEGUIMIENTO_TPM_xlsx[[#This Row],[FECHA Y HORA FINAL]]-SEGUIMIENTO_TPM_xlsx[[#This Row],[FECHA Y HORA INICIO]])</f>
        <v>0</v>
      </c>
    </row>
    <row r="123" spans="1:20" x14ac:dyDescent="0.25">
      <c r="A123">
        <v>122</v>
      </c>
      <c r="C123" s="1"/>
      <c r="D123" s="2"/>
      <c r="H123" s="1"/>
      <c r="I123" s="1"/>
      <c r="J123" s="2"/>
      <c r="Q123" s="1">
        <f>SEGUIMIENTO_TPM_xlsx[[#This Row],[HORA FIN  INTERVENCIÓN]]-SEGUIMIENTO_TPM_xlsx[[#This Row],[HORA INICIO INTERVENCIÓN]]</f>
        <v>0</v>
      </c>
      <c r="R123" s="20">
        <f>(SEGUIMIENTO_TPM_xlsx[[#This Row],[HORA REPORTE]]+SEGUIMIENTO_TPM_xlsx[[#This Row],[FECHA DE REPORTE]])</f>
        <v>0</v>
      </c>
      <c r="S123" s="20">
        <f>(SEGUIMIENTO_TPM_xlsx[[#This Row],[FECHA DE INTERVENCÓN]]+SEGUIMIENTO_TPM_xlsx[[#This Row],[HORA FIN  INTERVENCIÓN]])</f>
        <v>0</v>
      </c>
      <c r="T123" s="11">
        <f>(SEGUIMIENTO_TPM_xlsx[[#This Row],[FECHA Y HORA FINAL]]-SEGUIMIENTO_TPM_xlsx[[#This Row],[FECHA Y HORA INICIO]])</f>
        <v>0</v>
      </c>
    </row>
    <row r="124" spans="1:20" x14ac:dyDescent="0.25">
      <c r="A124">
        <v>123</v>
      </c>
      <c r="C124" s="1"/>
      <c r="D124" s="2"/>
      <c r="H124" s="1"/>
      <c r="I124" s="1"/>
      <c r="J124" s="2"/>
      <c r="Q124" s="1">
        <f>SEGUIMIENTO_TPM_xlsx[[#This Row],[HORA FIN  INTERVENCIÓN]]-SEGUIMIENTO_TPM_xlsx[[#This Row],[HORA INICIO INTERVENCIÓN]]</f>
        <v>0</v>
      </c>
      <c r="R124" s="20">
        <f>(SEGUIMIENTO_TPM_xlsx[[#This Row],[HORA REPORTE]]+SEGUIMIENTO_TPM_xlsx[[#This Row],[FECHA DE REPORTE]])</f>
        <v>0</v>
      </c>
      <c r="S124" s="20">
        <f>(SEGUIMIENTO_TPM_xlsx[[#This Row],[FECHA DE INTERVENCÓN]]+SEGUIMIENTO_TPM_xlsx[[#This Row],[HORA FIN  INTERVENCIÓN]])</f>
        <v>0</v>
      </c>
      <c r="T124" s="11">
        <f>(SEGUIMIENTO_TPM_xlsx[[#This Row],[FECHA Y HORA FINAL]]-SEGUIMIENTO_TPM_xlsx[[#This Row],[FECHA Y HORA INICIO]])</f>
        <v>0</v>
      </c>
    </row>
    <row r="125" spans="1:20" x14ac:dyDescent="0.25">
      <c r="A125">
        <v>124</v>
      </c>
      <c r="C125" s="1"/>
      <c r="D125" s="2"/>
      <c r="H125" s="1"/>
      <c r="I125" s="1"/>
      <c r="J125" s="2"/>
      <c r="Q125" s="1">
        <f>SEGUIMIENTO_TPM_xlsx[[#This Row],[HORA FIN  INTERVENCIÓN]]-SEGUIMIENTO_TPM_xlsx[[#This Row],[HORA INICIO INTERVENCIÓN]]</f>
        <v>0</v>
      </c>
      <c r="R125" s="20">
        <f>(SEGUIMIENTO_TPM_xlsx[[#This Row],[HORA REPORTE]]+SEGUIMIENTO_TPM_xlsx[[#This Row],[FECHA DE REPORTE]])</f>
        <v>0</v>
      </c>
      <c r="S125" s="20">
        <f>(SEGUIMIENTO_TPM_xlsx[[#This Row],[FECHA DE INTERVENCÓN]]+SEGUIMIENTO_TPM_xlsx[[#This Row],[HORA FIN  INTERVENCIÓN]])</f>
        <v>0</v>
      </c>
      <c r="T125" s="11">
        <f>(SEGUIMIENTO_TPM_xlsx[[#This Row],[FECHA Y HORA FINAL]]-SEGUIMIENTO_TPM_xlsx[[#This Row],[FECHA Y HORA INICIO]])</f>
        <v>0</v>
      </c>
    </row>
    <row r="126" spans="1:20" x14ac:dyDescent="0.25">
      <c r="A126">
        <v>125</v>
      </c>
      <c r="C126" s="1"/>
      <c r="D126" s="2"/>
      <c r="H126" s="1"/>
      <c r="I126" s="1"/>
      <c r="J126" s="2"/>
      <c r="Q126" s="1">
        <f>SEGUIMIENTO_TPM_xlsx[[#This Row],[HORA FIN  INTERVENCIÓN]]-SEGUIMIENTO_TPM_xlsx[[#This Row],[HORA INICIO INTERVENCIÓN]]</f>
        <v>0</v>
      </c>
      <c r="R126" s="20">
        <f>(SEGUIMIENTO_TPM_xlsx[[#This Row],[HORA REPORTE]]+SEGUIMIENTO_TPM_xlsx[[#This Row],[FECHA DE REPORTE]])</f>
        <v>0</v>
      </c>
      <c r="S126" s="20">
        <f>(SEGUIMIENTO_TPM_xlsx[[#This Row],[FECHA DE INTERVENCÓN]]+SEGUIMIENTO_TPM_xlsx[[#This Row],[HORA FIN  INTERVENCIÓN]])</f>
        <v>0</v>
      </c>
      <c r="T126" s="11">
        <f>(SEGUIMIENTO_TPM_xlsx[[#This Row],[FECHA Y HORA FINAL]]-SEGUIMIENTO_TPM_xlsx[[#This Row],[FECHA Y HORA INICIO]])</f>
        <v>0</v>
      </c>
    </row>
    <row r="127" spans="1:20" x14ac:dyDescent="0.25">
      <c r="A127">
        <v>126</v>
      </c>
      <c r="C127" s="1"/>
      <c r="D127" s="2"/>
      <c r="H127" s="1"/>
      <c r="I127" s="1"/>
      <c r="J127" s="2"/>
      <c r="Q127" s="1">
        <f>SEGUIMIENTO_TPM_xlsx[[#This Row],[HORA FIN  INTERVENCIÓN]]-SEGUIMIENTO_TPM_xlsx[[#This Row],[HORA INICIO INTERVENCIÓN]]</f>
        <v>0</v>
      </c>
      <c r="R127" s="20">
        <f>(SEGUIMIENTO_TPM_xlsx[[#This Row],[HORA REPORTE]]+SEGUIMIENTO_TPM_xlsx[[#This Row],[FECHA DE REPORTE]])</f>
        <v>0</v>
      </c>
      <c r="S127" s="20">
        <f>(SEGUIMIENTO_TPM_xlsx[[#This Row],[FECHA DE INTERVENCÓN]]+SEGUIMIENTO_TPM_xlsx[[#This Row],[HORA FIN  INTERVENCIÓN]])</f>
        <v>0</v>
      </c>
      <c r="T127" s="11">
        <f>(SEGUIMIENTO_TPM_xlsx[[#This Row],[FECHA Y HORA FINAL]]-SEGUIMIENTO_TPM_xlsx[[#This Row],[FECHA Y HORA INICIO]])</f>
        <v>0</v>
      </c>
    </row>
    <row r="128" spans="1:20" x14ac:dyDescent="0.25">
      <c r="A128">
        <v>127</v>
      </c>
      <c r="C128" s="1"/>
      <c r="D128" s="2"/>
      <c r="H128" s="1"/>
      <c r="I128" s="1"/>
      <c r="J128" s="2"/>
      <c r="Q128" s="1">
        <f>SEGUIMIENTO_TPM_xlsx[[#This Row],[HORA FIN  INTERVENCIÓN]]-SEGUIMIENTO_TPM_xlsx[[#This Row],[HORA INICIO INTERVENCIÓN]]</f>
        <v>0</v>
      </c>
      <c r="R128" s="20">
        <f>(SEGUIMIENTO_TPM_xlsx[[#This Row],[HORA REPORTE]]+SEGUIMIENTO_TPM_xlsx[[#This Row],[FECHA DE REPORTE]])</f>
        <v>0</v>
      </c>
      <c r="S128" s="20">
        <f>(SEGUIMIENTO_TPM_xlsx[[#This Row],[FECHA DE INTERVENCÓN]]+SEGUIMIENTO_TPM_xlsx[[#This Row],[HORA FIN  INTERVENCIÓN]])</f>
        <v>0</v>
      </c>
      <c r="T128" s="11">
        <f>(SEGUIMIENTO_TPM_xlsx[[#This Row],[FECHA Y HORA FINAL]]-SEGUIMIENTO_TPM_xlsx[[#This Row],[FECHA Y HORA INICIO]])</f>
        <v>0</v>
      </c>
    </row>
    <row r="129" spans="1:20" x14ac:dyDescent="0.25">
      <c r="A129">
        <v>128</v>
      </c>
      <c r="C129" s="1"/>
      <c r="D129" s="2"/>
      <c r="H129" s="1"/>
      <c r="I129" s="1"/>
      <c r="J129" s="2"/>
      <c r="Q129" s="1">
        <f>SEGUIMIENTO_TPM_xlsx[[#This Row],[HORA FIN  INTERVENCIÓN]]-SEGUIMIENTO_TPM_xlsx[[#This Row],[HORA INICIO INTERVENCIÓN]]</f>
        <v>0</v>
      </c>
      <c r="R129" s="20">
        <f>(SEGUIMIENTO_TPM_xlsx[[#This Row],[HORA REPORTE]]+SEGUIMIENTO_TPM_xlsx[[#This Row],[FECHA DE REPORTE]])</f>
        <v>0</v>
      </c>
      <c r="S129" s="20">
        <f>(SEGUIMIENTO_TPM_xlsx[[#This Row],[FECHA DE INTERVENCÓN]]+SEGUIMIENTO_TPM_xlsx[[#This Row],[HORA FIN  INTERVENCIÓN]])</f>
        <v>0</v>
      </c>
      <c r="T129" s="11">
        <f>(SEGUIMIENTO_TPM_xlsx[[#This Row],[FECHA Y HORA FINAL]]-SEGUIMIENTO_TPM_xlsx[[#This Row],[FECHA Y HORA INICIO]])</f>
        <v>0</v>
      </c>
    </row>
    <row r="130" spans="1:20" x14ac:dyDescent="0.25">
      <c r="A130">
        <v>129</v>
      </c>
      <c r="C130" s="1"/>
      <c r="D130" s="2"/>
      <c r="H130" s="1"/>
      <c r="I130" s="1"/>
      <c r="J130" s="2"/>
      <c r="Q130" s="1">
        <f>SEGUIMIENTO_TPM_xlsx[[#This Row],[HORA FIN  INTERVENCIÓN]]-SEGUIMIENTO_TPM_xlsx[[#This Row],[HORA INICIO INTERVENCIÓN]]</f>
        <v>0</v>
      </c>
      <c r="R130" s="20">
        <f>(SEGUIMIENTO_TPM_xlsx[[#This Row],[HORA REPORTE]]+SEGUIMIENTO_TPM_xlsx[[#This Row],[FECHA DE REPORTE]])</f>
        <v>0</v>
      </c>
      <c r="S130" s="20">
        <f>(SEGUIMIENTO_TPM_xlsx[[#This Row],[FECHA DE INTERVENCÓN]]+SEGUIMIENTO_TPM_xlsx[[#This Row],[HORA FIN  INTERVENCIÓN]])</f>
        <v>0</v>
      </c>
      <c r="T130" s="11">
        <f>(SEGUIMIENTO_TPM_xlsx[[#This Row],[FECHA Y HORA FINAL]]-SEGUIMIENTO_TPM_xlsx[[#This Row],[FECHA Y HORA INICIO]])</f>
        <v>0</v>
      </c>
    </row>
    <row r="131" spans="1:20" x14ac:dyDescent="0.25">
      <c r="A131">
        <v>130</v>
      </c>
      <c r="C131" s="1"/>
      <c r="D131" s="2"/>
      <c r="H131" s="1"/>
      <c r="I131" s="1"/>
      <c r="J131" s="2"/>
      <c r="Q131" s="1">
        <f>SEGUIMIENTO_TPM_xlsx[[#This Row],[HORA FIN  INTERVENCIÓN]]-SEGUIMIENTO_TPM_xlsx[[#This Row],[HORA INICIO INTERVENCIÓN]]</f>
        <v>0</v>
      </c>
      <c r="R131" s="20">
        <f>(SEGUIMIENTO_TPM_xlsx[[#This Row],[HORA REPORTE]]+SEGUIMIENTO_TPM_xlsx[[#This Row],[FECHA DE REPORTE]])</f>
        <v>0</v>
      </c>
      <c r="S131" s="20">
        <f>(SEGUIMIENTO_TPM_xlsx[[#This Row],[FECHA DE INTERVENCÓN]]+SEGUIMIENTO_TPM_xlsx[[#This Row],[HORA FIN  INTERVENCIÓN]])</f>
        <v>0</v>
      </c>
      <c r="T131" s="11">
        <f>(SEGUIMIENTO_TPM_xlsx[[#This Row],[FECHA Y HORA FINAL]]-SEGUIMIENTO_TPM_xlsx[[#This Row],[FECHA Y HORA INICIO]])</f>
        <v>0</v>
      </c>
    </row>
    <row r="132" spans="1:20" x14ac:dyDescent="0.25">
      <c r="A132">
        <v>131</v>
      </c>
      <c r="C132" s="1"/>
      <c r="D132" s="2"/>
      <c r="H132" s="1"/>
      <c r="I132" s="1"/>
      <c r="J132" s="2"/>
      <c r="Q132" s="1">
        <f>SEGUIMIENTO_TPM_xlsx[[#This Row],[HORA FIN  INTERVENCIÓN]]-SEGUIMIENTO_TPM_xlsx[[#This Row],[HORA INICIO INTERVENCIÓN]]</f>
        <v>0</v>
      </c>
      <c r="R132" s="20">
        <f>(SEGUIMIENTO_TPM_xlsx[[#This Row],[HORA REPORTE]]+SEGUIMIENTO_TPM_xlsx[[#This Row],[FECHA DE REPORTE]])</f>
        <v>0</v>
      </c>
      <c r="S132" s="20">
        <f>(SEGUIMIENTO_TPM_xlsx[[#This Row],[FECHA DE INTERVENCÓN]]+SEGUIMIENTO_TPM_xlsx[[#This Row],[HORA FIN  INTERVENCIÓN]])</f>
        <v>0</v>
      </c>
      <c r="T132" s="11">
        <f>(SEGUIMIENTO_TPM_xlsx[[#This Row],[FECHA Y HORA FINAL]]-SEGUIMIENTO_TPM_xlsx[[#This Row],[FECHA Y HORA INICIO]])</f>
        <v>0</v>
      </c>
    </row>
    <row r="133" spans="1:20" x14ac:dyDescent="0.25">
      <c r="A133">
        <v>132</v>
      </c>
      <c r="C133" s="1"/>
      <c r="D133" s="2"/>
      <c r="H133" s="1"/>
      <c r="I133" s="1"/>
      <c r="J133" s="2"/>
      <c r="Q133" s="1">
        <f>SEGUIMIENTO_TPM_xlsx[[#This Row],[HORA FIN  INTERVENCIÓN]]-SEGUIMIENTO_TPM_xlsx[[#This Row],[HORA INICIO INTERVENCIÓN]]</f>
        <v>0</v>
      </c>
      <c r="R133" s="20">
        <f>(SEGUIMIENTO_TPM_xlsx[[#This Row],[HORA REPORTE]]+SEGUIMIENTO_TPM_xlsx[[#This Row],[FECHA DE REPORTE]])</f>
        <v>0</v>
      </c>
      <c r="S133" s="20">
        <f>(SEGUIMIENTO_TPM_xlsx[[#This Row],[FECHA DE INTERVENCÓN]]+SEGUIMIENTO_TPM_xlsx[[#This Row],[HORA FIN  INTERVENCIÓN]])</f>
        <v>0</v>
      </c>
      <c r="T133" s="11">
        <f>(SEGUIMIENTO_TPM_xlsx[[#This Row],[FECHA Y HORA FINAL]]-SEGUIMIENTO_TPM_xlsx[[#This Row],[FECHA Y HORA INICIO]])</f>
        <v>0</v>
      </c>
    </row>
    <row r="134" spans="1:20" x14ac:dyDescent="0.25">
      <c r="A134">
        <v>133</v>
      </c>
      <c r="C134" s="1"/>
      <c r="D134" s="2"/>
      <c r="H134" s="1"/>
      <c r="I134" s="1"/>
      <c r="J134" s="2"/>
      <c r="Q134" s="1">
        <f>SEGUIMIENTO_TPM_xlsx[[#This Row],[HORA FIN  INTERVENCIÓN]]-SEGUIMIENTO_TPM_xlsx[[#This Row],[HORA INICIO INTERVENCIÓN]]</f>
        <v>0</v>
      </c>
      <c r="R134" s="20">
        <f>(SEGUIMIENTO_TPM_xlsx[[#This Row],[HORA REPORTE]]+SEGUIMIENTO_TPM_xlsx[[#This Row],[FECHA DE REPORTE]])</f>
        <v>0</v>
      </c>
      <c r="S134" s="20">
        <f>(SEGUIMIENTO_TPM_xlsx[[#This Row],[FECHA DE INTERVENCÓN]]+SEGUIMIENTO_TPM_xlsx[[#This Row],[HORA FIN  INTERVENCIÓN]])</f>
        <v>0</v>
      </c>
      <c r="T134" s="11">
        <f>(SEGUIMIENTO_TPM_xlsx[[#This Row],[FECHA Y HORA FINAL]]-SEGUIMIENTO_TPM_xlsx[[#This Row],[FECHA Y HORA INICIO]])</f>
        <v>0</v>
      </c>
    </row>
    <row r="135" spans="1:20" x14ac:dyDescent="0.25">
      <c r="A135">
        <v>134</v>
      </c>
      <c r="C135" s="1"/>
      <c r="D135" s="2"/>
      <c r="H135" s="1"/>
      <c r="I135" s="1"/>
      <c r="J135" s="2"/>
      <c r="Q135" s="1">
        <f>SEGUIMIENTO_TPM_xlsx[[#This Row],[HORA FIN  INTERVENCIÓN]]-SEGUIMIENTO_TPM_xlsx[[#This Row],[HORA INICIO INTERVENCIÓN]]</f>
        <v>0</v>
      </c>
      <c r="R135" s="20">
        <f>(SEGUIMIENTO_TPM_xlsx[[#This Row],[HORA REPORTE]]+SEGUIMIENTO_TPM_xlsx[[#This Row],[FECHA DE REPORTE]])</f>
        <v>0</v>
      </c>
      <c r="S135" s="20">
        <f>(SEGUIMIENTO_TPM_xlsx[[#This Row],[FECHA DE INTERVENCÓN]]+SEGUIMIENTO_TPM_xlsx[[#This Row],[HORA FIN  INTERVENCIÓN]])</f>
        <v>0</v>
      </c>
      <c r="T135" s="11">
        <f>(SEGUIMIENTO_TPM_xlsx[[#This Row],[FECHA Y HORA FINAL]]-SEGUIMIENTO_TPM_xlsx[[#This Row],[FECHA Y HORA INICIO]])</f>
        <v>0</v>
      </c>
    </row>
    <row r="136" spans="1:20" x14ac:dyDescent="0.25">
      <c r="A136">
        <v>135</v>
      </c>
      <c r="C136" s="1"/>
      <c r="D136" s="2"/>
      <c r="H136" s="1"/>
      <c r="I136" s="1"/>
      <c r="J136" s="2"/>
      <c r="Q136" s="1">
        <f>SEGUIMIENTO_TPM_xlsx[[#This Row],[HORA FIN  INTERVENCIÓN]]-SEGUIMIENTO_TPM_xlsx[[#This Row],[HORA INICIO INTERVENCIÓN]]</f>
        <v>0</v>
      </c>
      <c r="R136" s="20">
        <f>(SEGUIMIENTO_TPM_xlsx[[#This Row],[HORA REPORTE]]+SEGUIMIENTO_TPM_xlsx[[#This Row],[FECHA DE REPORTE]])</f>
        <v>0</v>
      </c>
      <c r="S136" s="20">
        <f>(SEGUIMIENTO_TPM_xlsx[[#This Row],[FECHA DE INTERVENCÓN]]+SEGUIMIENTO_TPM_xlsx[[#This Row],[HORA FIN  INTERVENCIÓN]])</f>
        <v>0</v>
      </c>
      <c r="T136" s="11">
        <f>(SEGUIMIENTO_TPM_xlsx[[#This Row],[FECHA Y HORA FINAL]]-SEGUIMIENTO_TPM_xlsx[[#This Row],[FECHA Y HORA INICIO]])</f>
        <v>0</v>
      </c>
    </row>
    <row r="137" spans="1:20" x14ac:dyDescent="0.25">
      <c r="A137">
        <v>136</v>
      </c>
      <c r="C137" s="1"/>
      <c r="D137" s="2"/>
      <c r="H137" s="1"/>
      <c r="I137" s="1"/>
      <c r="J137" s="2"/>
      <c r="Q137" s="1">
        <f>SEGUIMIENTO_TPM_xlsx[[#This Row],[HORA FIN  INTERVENCIÓN]]-SEGUIMIENTO_TPM_xlsx[[#This Row],[HORA INICIO INTERVENCIÓN]]</f>
        <v>0</v>
      </c>
      <c r="R137" s="20">
        <f>(SEGUIMIENTO_TPM_xlsx[[#This Row],[HORA REPORTE]]+SEGUIMIENTO_TPM_xlsx[[#This Row],[FECHA DE REPORTE]])</f>
        <v>0</v>
      </c>
      <c r="S137" s="20">
        <f>(SEGUIMIENTO_TPM_xlsx[[#This Row],[FECHA DE INTERVENCÓN]]+SEGUIMIENTO_TPM_xlsx[[#This Row],[HORA FIN  INTERVENCIÓN]])</f>
        <v>0</v>
      </c>
      <c r="T137" s="11">
        <f>(SEGUIMIENTO_TPM_xlsx[[#This Row],[FECHA Y HORA FINAL]]-SEGUIMIENTO_TPM_xlsx[[#This Row],[FECHA Y HORA INICIO]])</f>
        <v>0</v>
      </c>
    </row>
    <row r="138" spans="1:20" x14ac:dyDescent="0.25">
      <c r="A138">
        <v>137</v>
      </c>
      <c r="C138" s="1"/>
      <c r="D138" s="2"/>
      <c r="H138" s="1"/>
      <c r="I138" s="1"/>
      <c r="J138" s="2"/>
      <c r="Q138" s="1">
        <f>SEGUIMIENTO_TPM_xlsx[[#This Row],[HORA FIN  INTERVENCIÓN]]-SEGUIMIENTO_TPM_xlsx[[#This Row],[HORA INICIO INTERVENCIÓN]]</f>
        <v>0</v>
      </c>
      <c r="R138" s="20">
        <f>(SEGUIMIENTO_TPM_xlsx[[#This Row],[HORA REPORTE]]+SEGUIMIENTO_TPM_xlsx[[#This Row],[FECHA DE REPORTE]])</f>
        <v>0</v>
      </c>
      <c r="S138" s="20">
        <f>(SEGUIMIENTO_TPM_xlsx[[#This Row],[FECHA DE INTERVENCÓN]]+SEGUIMIENTO_TPM_xlsx[[#This Row],[HORA FIN  INTERVENCIÓN]])</f>
        <v>0</v>
      </c>
      <c r="T138" s="11">
        <f>(SEGUIMIENTO_TPM_xlsx[[#This Row],[FECHA Y HORA FINAL]]-SEGUIMIENTO_TPM_xlsx[[#This Row],[FECHA Y HORA INICIO]])</f>
        <v>0</v>
      </c>
    </row>
    <row r="139" spans="1:20" x14ac:dyDescent="0.25">
      <c r="A139">
        <v>138</v>
      </c>
      <c r="C139" s="1"/>
      <c r="D139" s="2"/>
      <c r="H139" s="1"/>
      <c r="I139" s="1"/>
      <c r="J139" s="2"/>
      <c r="Q139" s="1">
        <f>SEGUIMIENTO_TPM_xlsx[[#This Row],[HORA FIN  INTERVENCIÓN]]-SEGUIMIENTO_TPM_xlsx[[#This Row],[HORA INICIO INTERVENCIÓN]]</f>
        <v>0</v>
      </c>
      <c r="R139" s="20">
        <f>(SEGUIMIENTO_TPM_xlsx[[#This Row],[HORA REPORTE]]+SEGUIMIENTO_TPM_xlsx[[#This Row],[FECHA DE REPORTE]])</f>
        <v>0</v>
      </c>
      <c r="S139" s="20">
        <f>(SEGUIMIENTO_TPM_xlsx[[#This Row],[FECHA DE INTERVENCÓN]]+SEGUIMIENTO_TPM_xlsx[[#This Row],[HORA FIN  INTERVENCIÓN]])</f>
        <v>0</v>
      </c>
      <c r="T139" s="11">
        <f>(SEGUIMIENTO_TPM_xlsx[[#This Row],[FECHA Y HORA FINAL]]-SEGUIMIENTO_TPM_xlsx[[#This Row],[FECHA Y HORA INICIO]])</f>
        <v>0</v>
      </c>
    </row>
    <row r="140" spans="1:20" x14ac:dyDescent="0.25">
      <c r="A140">
        <v>139</v>
      </c>
      <c r="C140" s="1"/>
      <c r="D140" s="2"/>
      <c r="H140" s="1"/>
      <c r="I140" s="1"/>
      <c r="J140" s="2"/>
      <c r="Q140" s="1">
        <f>SEGUIMIENTO_TPM_xlsx[[#This Row],[HORA FIN  INTERVENCIÓN]]-SEGUIMIENTO_TPM_xlsx[[#This Row],[HORA INICIO INTERVENCIÓN]]</f>
        <v>0</v>
      </c>
      <c r="R140" s="20">
        <f>(SEGUIMIENTO_TPM_xlsx[[#This Row],[HORA REPORTE]]+SEGUIMIENTO_TPM_xlsx[[#This Row],[FECHA DE REPORTE]])</f>
        <v>0</v>
      </c>
      <c r="S140" s="20">
        <f>(SEGUIMIENTO_TPM_xlsx[[#This Row],[FECHA DE INTERVENCÓN]]+SEGUIMIENTO_TPM_xlsx[[#This Row],[HORA FIN  INTERVENCIÓN]])</f>
        <v>0</v>
      </c>
      <c r="T140" s="11">
        <f>(SEGUIMIENTO_TPM_xlsx[[#This Row],[FECHA Y HORA FINAL]]-SEGUIMIENTO_TPM_xlsx[[#This Row],[FECHA Y HORA INICIO]])</f>
        <v>0</v>
      </c>
    </row>
    <row r="141" spans="1:20" x14ac:dyDescent="0.25">
      <c r="A141">
        <v>140</v>
      </c>
      <c r="C141" s="1"/>
      <c r="D141" s="2"/>
      <c r="H141" s="1"/>
      <c r="I141" s="1"/>
      <c r="J141" s="2"/>
      <c r="Q141" s="1">
        <f>SEGUIMIENTO_TPM_xlsx[[#This Row],[HORA FIN  INTERVENCIÓN]]-SEGUIMIENTO_TPM_xlsx[[#This Row],[HORA INICIO INTERVENCIÓN]]</f>
        <v>0</v>
      </c>
      <c r="R141" s="20">
        <f>(SEGUIMIENTO_TPM_xlsx[[#This Row],[HORA REPORTE]]+SEGUIMIENTO_TPM_xlsx[[#This Row],[FECHA DE REPORTE]])</f>
        <v>0</v>
      </c>
      <c r="S141" s="20">
        <f>(SEGUIMIENTO_TPM_xlsx[[#This Row],[FECHA DE INTERVENCÓN]]+SEGUIMIENTO_TPM_xlsx[[#This Row],[HORA FIN  INTERVENCIÓN]])</f>
        <v>0</v>
      </c>
      <c r="T141" s="11">
        <f>(SEGUIMIENTO_TPM_xlsx[[#This Row],[FECHA Y HORA FINAL]]-SEGUIMIENTO_TPM_xlsx[[#This Row],[FECHA Y HORA INICIO]])</f>
        <v>0</v>
      </c>
    </row>
    <row r="142" spans="1:20" x14ac:dyDescent="0.25">
      <c r="A142">
        <v>141</v>
      </c>
      <c r="C142" s="1"/>
      <c r="D142" s="2"/>
      <c r="H142" s="1"/>
      <c r="I142" s="1"/>
      <c r="J142" s="2"/>
      <c r="Q142" s="1">
        <f>SEGUIMIENTO_TPM_xlsx[[#This Row],[HORA FIN  INTERVENCIÓN]]-SEGUIMIENTO_TPM_xlsx[[#This Row],[HORA INICIO INTERVENCIÓN]]</f>
        <v>0</v>
      </c>
      <c r="R142" s="20">
        <f>(SEGUIMIENTO_TPM_xlsx[[#This Row],[HORA REPORTE]]+SEGUIMIENTO_TPM_xlsx[[#This Row],[FECHA DE REPORTE]])</f>
        <v>0</v>
      </c>
      <c r="S142" s="20">
        <f>(SEGUIMIENTO_TPM_xlsx[[#This Row],[FECHA DE INTERVENCÓN]]+SEGUIMIENTO_TPM_xlsx[[#This Row],[HORA FIN  INTERVENCIÓN]])</f>
        <v>0</v>
      </c>
      <c r="T142" s="11">
        <f>(SEGUIMIENTO_TPM_xlsx[[#This Row],[FECHA Y HORA FINAL]]-SEGUIMIENTO_TPM_xlsx[[#This Row],[FECHA Y HORA INICIO]])</f>
        <v>0</v>
      </c>
    </row>
    <row r="143" spans="1:20" x14ac:dyDescent="0.25">
      <c r="A143">
        <v>142</v>
      </c>
      <c r="C143" s="1"/>
      <c r="D143" s="2"/>
      <c r="H143" s="1"/>
      <c r="I143" s="1"/>
      <c r="J143" s="2"/>
      <c r="Q143" s="1">
        <f>SEGUIMIENTO_TPM_xlsx[[#This Row],[HORA FIN  INTERVENCIÓN]]-SEGUIMIENTO_TPM_xlsx[[#This Row],[HORA INICIO INTERVENCIÓN]]</f>
        <v>0</v>
      </c>
      <c r="R143" s="20">
        <f>(SEGUIMIENTO_TPM_xlsx[[#This Row],[HORA REPORTE]]+SEGUIMIENTO_TPM_xlsx[[#This Row],[FECHA DE REPORTE]])</f>
        <v>0</v>
      </c>
      <c r="S143" s="20">
        <f>(SEGUIMIENTO_TPM_xlsx[[#This Row],[FECHA DE INTERVENCÓN]]+SEGUIMIENTO_TPM_xlsx[[#This Row],[HORA FIN  INTERVENCIÓN]])</f>
        <v>0</v>
      </c>
      <c r="T143" s="11">
        <f>(SEGUIMIENTO_TPM_xlsx[[#This Row],[FECHA Y HORA FINAL]]-SEGUIMIENTO_TPM_xlsx[[#This Row],[FECHA Y HORA INICIO]])</f>
        <v>0</v>
      </c>
    </row>
    <row r="144" spans="1:20" x14ac:dyDescent="0.25">
      <c r="A144">
        <v>143</v>
      </c>
      <c r="C144" s="1"/>
      <c r="D144" s="2"/>
      <c r="H144" s="1"/>
      <c r="I144" s="1"/>
      <c r="J144" s="2"/>
      <c r="Q144" s="1">
        <f>SEGUIMIENTO_TPM_xlsx[[#This Row],[HORA FIN  INTERVENCIÓN]]-SEGUIMIENTO_TPM_xlsx[[#This Row],[HORA INICIO INTERVENCIÓN]]</f>
        <v>0</v>
      </c>
      <c r="R144" s="20">
        <f>(SEGUIMIENTO_TPM_xlsx[[#This Row],[HORA REPORTE]]+SEGUIMIENTO_TPM_xlsx[[#This Row],[FECHA DE REPORTE]])</f>
        <v>0</v>
      </c>
      <c r="S144" s="20">
        <f>(SEGUIMIENTO_TPM_xlsx[[#This Row],[FECHA DE INTERVENCÓN]]+SEGUIMIENTO_TPM_xlsx[[#This Row],[HORA FIN  INTERVENCIÓN]])</f>
        <v>0</v>
      </c>
      <c r="T144" s="11">
        <f>(SEGUIMIENTO_TPM_xlsx[[#This Row],[FECHA Y HORA FINAL]]-SEGUIMIENTO_TPM_xlsx[[#This Row],[FECHA Y HORA INICIO]])</f>
        <v>0</v>
      </c>
    </row>
    <row r="145" spans="1:20" x14ac:dyDescent="0.25">
      <c r="A145">
        <v>144</v>
      </c>
      <c r="C145" s="1"/>
      <c r="D145" s="2"/>
      <c r="H145" s="1"/>
      <c r="I145" s="1"/>
      <c r="J145" s="2"/>
      <c r="Q145" s="1">
        <f>SEGUIMIENTO_TPM_xlsx[[#This Row],[HORA FIN  INTERVENCIÓN]]-SEGUIMIENTO_TPM_xlsx[[#This Row],[HORA INICIO INTERVENCIÓN]]</f>
        <v>0</v>
      </c>
      <c r="R145" s="20">
        <f>(SEGUIMIENTO_TPM_xlsx[[#This Row],[HORA REPORTE]]+SEGUIMIENTO_TPM_xlsx[[#This Row],[FECHA DE REPORTE]])</f>
        <v>0</v>
      </c>
      <c r="S145" s="20">
        <f>(SEGUIMIENTO_TPM_xlsx[[#This Row],[FECHA DE INTERVENCÓN]]+SEGUIMIENTO_TPM_xlsx[[#This Row],[HORA FIN  INTERVENCIÓN]])</f>
        <v>0</v>
      </c>
      <c r="T145" s="11">
        <f>(SEGUIMIENTO_TPM_xlsx[[#This Row],[FECHA Y HORA FINAL]]-SEGUIMIENTO_TPM_xlsx[[#This Row],[FECHA Y HORA INICIO]])</f>
        <v>0</v>
      </c>
    </row>
    <row r="146" spans="1:20" x14ac:dyDescent="0.25">
      <c r="A146">
        <v>145</v>
      </c>
      <c r="C146" s="1"/>
      <c r="D146" s="2"/>
      <c r="H146" s="1"/>
      <c r="I146" s="1"/>
      <c r="J146" s="2"/>
      <c r="Q146" s="1">
        <f>SEGUIMIENTO_TPM_xlsx[[#This Row],[HORA FIN  INTERVENCIÓN]]-SEGUIMIENTO_TPM_xlsx[[#This Row],[HORA INICIO INTERVENCIÓN]]</f>
        <v>0</v>
      </c>
      <c r="R146" s="20">
        <f>(SEGUIMIENTO_TPM_xlsx[[#This Row],[HORA REPORTE]]+SEGUIMIENTO_TPM_xlsx[[#This Row],[FECHA DE REPORTE]])</f>
        <v>0</v>
      </c>
      <c r="S146" s="20">
        <f>(SEGUIMIENTO_TPM_xlsx[[#This Row],[FECHA DE INTERVENCÓN]]+SEGUIMIENTO_TPM_xlsx[[#This Row],[HORA FIN  INTERVENCIÓN]])</f>
        <v>0</v>
      </c>
      <c r="T146" s="11">
        <f>(SEGUIMIENTO_TPM_xlsx[[#This Row],[FECHA Y HORA FINAL]]-SEGUIMIENTO_TPM_xlsx[[#This Row],[FECHA Y HORA INICIO]])</f>
        <v>0</v>
      </c>
    </row>
    <row r="147" spans="1:20" x14ac:dyDescent="0.25">
      <c r="A147">
        <v>146</v>
      </c>
      <c r="C147" s="1"/>
      <c r="D147" s="2"/>
      <c r="H147" s="1"/>
      <c r="I147" s="1"/>
      <c r="J147" s="2"/>
      <c r="Q147" s="1">
        <f>SEGUIMIENTO_TPM_xlsx[[#This Row],[HORA FIN  INTERVENCIÓN]]-SEGUIMIENTO_TPM_xlsx[[#This Row],[HORA INICIO INTERVENCIÓN]]</f>
        <v>0</v>
      </c>
      <c r="R147" s="20">
        <f>(SEGUIMIENTO_TPM_xlsx[[#This Row],[HORA REPORTE]]+SEGUIMIENTO_TPM_xlsx[[#This Row],[FECHA DE REPORTE]])</f>
        <v>0</v>
      </c>
      <c r="S147" s="20">
        <f>(SEGUIMIENTO_TPM_xlsx[[#This Row],[FECHA DE INTERVENCÓN]]+SEGUIMIENTO_TPM_xlsx[[#This Row],[HORA FIN  INTERVENCIÓN]])</f>
        <v>0</v>
      </c>
      <c r="T147" s="11">
        <f>(SEGUIMIENTO_TPM_xlsx[[#This Row],[FECHA Y HORA FINAL]]-SEGUIMIENTO_TPM_xlsx[[#This Row],[FECHA Y HORA INICIO]])</f>
        <v>0</v>
      </c>
    </row>
    <row r="148" spans="1:20" x14ac:dyDescent="0.25">
      <c r="A148">
        <v>147</v>
      </c>
      <c r="C148" s="1"/>
      <c r="D148" s="2"/>
      <c r="H148" s="1"/>
      <c r="I148" s="1"/>
      <c r="J148" s="2"/>
      <c r="Q148" s="1">
        <f>SEGUIMIENTO_TPM_xlsx[[#This Row],[HORA FIN  INTERVENCIÓN]]-SEGUIMIENTO_TPM_xlsx[[#This Row],[HORA INICIO INTERVENCIÓN]]</f>
        <v>0</v>
      </c>
      <c r="R148" s="20">
        <f>(SEGUIMIENTO_TPM_xlsx[[#This Row],[HORA REPORTE]]+SEGUIMIENTO_TPM_xlsx[[#This Row],[FECHA DE REPORTE]])</f>
        <v>0</v>
      </c>
      <c r="S148" s="20">
        <f>(SEGUIMIENTO_TPM_xlsx[[#This Row],[FECHA DE INTERVENCÓN]]+SEGUIMIENTO_TPM_xlsx[[#This Row],[HORA FIN  INTERVENCIÓN]])</f>
        <v>0</v>
      </c>
      <c r="T148" s="11">
        <f>(SEGUIMIENTO_TPM_xlsx[[#This Row],[FECHA Y HORA FINAL]]-SEGUIMIENTO_TPM_xlsx[[#This Row],[FECHA Y HORA INICIO]])</f>
        <v>0</v>
      </c>
    </row>
    <row r="149" spans="1:20" x14ac:dyDescent="0.25">
      <c r="A149">
        <v>148</v>
      </c>
      <c r="C149" s="1"/>
      <c r="D149" s="2"/>
      <c r="H149" s="1"/>
      <c r="I149" s="1"/>
      <c r="J149" s="2"/>
      <c r="Q149" s="1">
        <f>SEGUIMIENTO_TPM_xlsx[[#This Row],[HORA FIN  INTERVENCIÓN]]-SEGUIMIENTO_TPM_xlsx[[#This Row],[HORA INICIO INTERVENCIÓN]]</f>
        <v>0</v>
      </c>
      <c r="R149" s="20">
        <f>(SEGUIMIENTO_TPM_xlsx[[#This Row],[HORA REPORTE]]+SEGUIMIENTO_TPM_xlsx[[#This Row],[FECHA DE REPORTE]])</f>
        <v>0</v>
      </c>
      <c r="S149" s="20">
        <f>(SEGUIMIENTO_TPM_xlsx[[#This Row],[FECHA DE INTERVENCÓN]]+SEGUIMIENTO_TPM_xlsx[[#This Row],[HORA FIN  INTERVENCIÓN]])</f>
        <v>0</v>
      </c>
      <c r="T149" s="11">
        <f>(SEGUIMIENTO_TPM_xlsx[[#This Row],[FECHA Y HORA FINAL]]-SEGUIMIENTO_TPM_xlsx[[#This Row],[FECHA Y HORA INICIO]])</f>
        <v>0</v>
      </c>
    </row>
    <row r="150" spans="1:20" x14ac:dyDescent="0.25">
      <c r="A150">
        <v>149</v>
      </c>
      <c r="C150" s="1"/>
      <c r="D150" s="2"/>
      <c r="H150" s="1"/>
      <c r="I150" s="1"/>
      <c r="J150" s="2"/>
      <c r="Q150" s="1">
        <f>SEGUIMIENTO_TPM_xlsx[[#This Row],[HORA FIN  INTERVENCIÓN]]-SEGUIMIENTO_TPM_xlsx[[#This Row],[HORA INICIO INTERVENCIÓN]]</f>
        <v>0</v>
      </c>
      <c r="R150" s="20">
        <f>(SEGUIMIENTO_TPM_xlsx[[#This Row],[HORA REPORTE]]+SEGUIMIENTO_TPM_xlsx[[#This Row],[FECHA DE REPORTE]])</f>
        <v>0</v>
      </c>
      <c r="S150" s="20">
        <f>(SEGUIMIENTO_TPM_xlsx[[#This Row],[FECHA DE INTERVENCÓN]]+SEGUIMIENTO_TPM_xlsx[[#This Row],[HORA FIN  INTERVENCIÓN]])</f>
        <v>0</v>
      </c>
      <c r="T150" s="11">
        <f>(SEGUIMIENTO_TPM_xlsx[[#This Row],[FECHA Y HORA FINAL]]-SEGUIMIENTO_TPM_xlsx[[#This Row],[FECHA Y HORA INICIO]])</f>
        <v>0</v>
      </c>
    </row>
    <row r="151" spans="1:20" x14ac:dyDescent="0.25">
      <c r="A151">
        <v>150</v>
      </c>
      <c r="C151" s="1"/>
      <c r="D151" s="2"/>
      <c r="H151" s="1"/>
      <c r="I151" s="1"/>
      <c r="J151" s="2"/>
      <c r="Q151" s="1">
        <f>SEGUIMIENTO_TPM_xlsx[[#This Row],[HORA FIN  INTERVENCIÓN]]-SEGUIMIENTO_TPM_xlsx[[#This Row],[HORA INICIO INTERVENCIÓN]]</f>
        <v>0</v>
      </c>
      <c r="R151" s="20">
        <f>(SEGUIMIENTO_TPM_xlsx[[#This Row],[HORA REPORTE]]+SEGUIMIENTO_TPM_xlsx[[#This Row],[FECHA DE REPORTE]])</f>
        <v>0</v>
      </c>
      <c r="S151" s="20">
        <f>(SEGUIMIENTO_TPM_xlsx[[#This Row],[FECHA DE INTERVENCÓN]]+SEGUIMIENTO_TPM_xlsx[[#This Row],[HORA FIN  INTERVENCIÓN]])</f>
        <v>0</v>
      </c>
      <c r="T151" s="11">
        <f>(SEGUIMIENTO_TPM_xlsx[[#This Row],[FECHA Y HORA FINAL]]-SEGUIMIENTO_TPM_xlsx[[#This Row],[FECHA Y HORA INICIO]])</f>
        <v>0</v>
      </c>
    </row>
    <row r="152" spans="1:20" x14ac:dyDescent="0.25">
      <c r="A152">
        <v>151</v>
      </c>
      <c r="C152" s="1"/>
      <c r="D152" s="2"/>
      <c r="H152" s="1"/>
      <c r="I152" s="1"/>
      <c r="J152" s="2"/>
      <c r="Q152" s="1">
        <f>SEGUIMIENTO_TPM_xlsx[[#This Row],[HORA FIN  INTERVENCIÓN]]-SEGUIMIENTO_TPM_xlsx[[#This Row],[HORA INICIO INTERVENCIÓN]]</f>
        <v>0</v>
      </c>
      <c r="R152" s="20">
        <f>(SEGUIMIENTO_TPM_xlsx[[#This Row],[HORA REPORTE]]+SEGUIMIENTO_TPM_xlsx[[#This Row],[FECHA DE REPORTE]])</f>
        <v>0</v>
      </c>
      <c r="S152" s="20">
        <f>(SEGUIMIENTO_TPM_xlsx[[#This Row],[FECHA DE INTERVENCÓN]]+SEGUIMIENTO_TPM_xlsx[[#This Row],[HORA FIN  INTERVENCIÓN]])</f>
        <v>0</v>
      </c>
      <c r="T152" s="11">
        <f>(SEGUIMIENTO_TPM_xlsx[[#This Row],[FECHA Y HORA FINAL]]-SEGUIMIENTO_TPM_xlsx[[#This Row],[FECHA Y HORA INICIO]])</f>
        <v>0</v>
      </c>
    </row>
    <row r="153" spans="1:20" x14ac:dyDescent="0.25">
      <c r="A153">
        <v>152</v>
      </c>
      <c r="C153" s="1"/>
      <c r="D153" s="2"/>
      <c r="H153" s="1"/>
      <c r="I153" s="1"/>
      <c r="J153" s="2"/>
      <c r="Q153" s="1">
        <f>SEGUIMIENTO_TPM_xlsx[[#This Row],[HORA FIN  INTERVENCIÓN]]-SEGUIMIENTO_TPM_xlsx[[#This Row],[HORA INICIO INTERVENCIÓN]]</f>
        <v>0</v>
      </c>
      <c r="R153" s="20">
        <f>(SEGUIMIENTO_TPM_xlsx[[#This Row],[HORA REPORTE]]+SEGUIMIENTO_TPM_xlsx[[#This Row],[FECHA DE REPORTE]])</f>
        <v>0</v>
      </c>
      <c r="S153" s="20">
        <f>(SEGUIMIENTO_TPM_xlsx[[#This Row],[FECHA DE INTERVENCÓN]]+SEGUIMIENTO_TPM_xlsx[[#This Row],[HORA FIN  INTERVENCIÓN]])</f>
        <v>0</v>
      </c>
      <c r="T153" s="11">
        <f>(SEGUIMIENTO_TPM_xlsx[[#This Row],[FECHA Y HORA FINAL]]-SEGUIMIENTO_TPM_xlsx[[#This Row],[FECHA Y HORA INICIO]])</f>
        <v>0</v>
      </c>
    </row>
    <row r="154" spans="1:20" x14ac:dyDescent="0.25">
      <c r="A154">
        <v>153</v>
      </c>
      <c r="C154" s="1"/>
      <c r="D154" s="2"/>
      <c r="H154" s="1"/>
      <c r="I154" s="1"/>
      <c r="J154" s="2"/>
      <c r="Q154" s="1">
        <f>SEGUIMIENTO_TPM_xlsx[[#This Row],[HORA FIN  INTERVENCIÓN]]-SEGUIMIENTO_TPM_xlsx[[#This Row],[HORA INICIO INTERVENCIÓN]]</f>
        <v>0</v>
      </c>
      <c r="R154" s="20">
        <f>(SEGUIMIENTO_TPM_xlsx[[#This Row],[HORA REPORTE]]+SEGUIMIENTO_TPM_xlsx[[#This Row],[FECHA DE REPORTE]])</f>
        <v>0</v>
      </c>
      <c r="S154" s="20">
        <f>(SEGUIMIENTO_TPM_xlsx[[#This Row],[FECHA DE INTERVENCÓN]]+SEGUIMIENTO_TPM_xlsx[[#This Row],[HORA FIN  INTERVENCIÓN]])</f>
        <v>0</v>
      </c>
      <c r="T154" s="11">
        <f>(SEGUIMIENTO_TPM_xlsx[[#This Row],[FECHA Y HORA FINAL]]-SEGUIMIENTO_TPM_xlsx[[#This Row],[FECHA Y HORA INICIO]])</f>
        <v>0</v>
      </c>
    </row>
    <row r="155" spans="1:20" x14ac:dyDescent="0.25">
      <c r="A155">
        <v>154</v>
      </c>
      <c r="C155" s="1"/>
      <c r="D155" s="2"/>
      <c r="H155" s="1"/>
      <c r="I155" s="1"/>
      <c r="J155" s="2"/>
      <c r="Q155" s="1">
        <f>SEGUIMIENTO_TPM_xlsx[[#This Row],[HORA FIN  INTERVENCIÓN]]-SEGUIMIENTO_TPM_xlsx[[#This Row],[HORA INICIO INTERVENCIÓN]]</f>
        <v>0</v>
      </c>
      <c r="R155" s="20">
        <f>(SEGUIMIENTO_TPM_xlsx[[#This Row],[HORA REPORTE]]+SEGUIMIENTO_TPM_xlsx[[#This Row],[FECHA DE REPORTE]])</f>
        <v>0</v>
      </c>
      <c r="S155" s="20">
        <f>(SEGUIMIENTO_TPM_xlsx[[#This Row],[FECHA DE INTERVENCÓN]]+SEGUIMIENTO_TPM_xlsx[[#This Row],[HORA FIN  INTERVENCIÓN]])</f>
        <v>0</v>
      </c>
      <c r="T155" s="11">
        <f>(SEGUIMIENTO_TPM_xlsx[[#This Row],[FECHA Y HORA FINAL]]-SEGUIMIENTO_TPM_xlsx[[#This Row],[FECHA Y HORA INICIO]])</f>
        <v>0</v>
      </c>
    </row>
    <row r="156" spans="1:20" x14ac:dyDescent="0.25">
      <c r="A156">
        <v>155</v>
      </c>
      <c r="C156" s="1"/>
      <c r="D156" s="2"/>
      <c r="H156" s="1"/>
      <c r="I156" s="1"/>
      <c r="J156" s="2"/>
      <c r="Q156" s="1">
        <f>SEGUIMIENTO_TPM_xlsx[[#This Row],[HORA FIN  INTERVENCIÓN]]-SEGUIMIENTO_TPM_xlsx[[#This Row],[HORA INICIO INTERVENCIÓN]]</f>
        <v>0</v>
      </c>
      <c r="R156" s="20">
        <f>(SEGUIMIENTO_TPM_xlsx[[#This Row],[HORA REPORTE]]+SEGUIMIENTO_TPM_xlsx[[#This Row],[FECHA DE REPORTE]])</f>
        <v>0</v>
      </c>
      <c r="S156" s="20">
        <f>(SEGUIMIENTO_TPM_xlsx[[#This Row],[FECHA DE INTERVENCÓN]]+SEGUIMIENTO_TPM_xlsx[[#This Row],[HORA FIN  INTERVENCIÓN]])</f>
        <v>0</v>
      </c>
      <c r="T156" s="11">
        <f>(SEGUIMIENTO_TPM_xlsx[[#This Row],[FECHA Y HORA FINAL]]-SEGUIMIENTO_TPM_xlsx[[#This Row],[FECHA Y HORA INICIO]])</f>
        <v>0</v>
      </c>
    </row>
    <row r="157" spans="1:20" x14ac:dyDescent="0.25">
      <c r="A157">
        <v>156</v>
      </c>
      <c r="C157" s="1"/>
      <c r="D157" s="2"/>
      <c r="H157" s="1"/>
      <c r="I157" s="1"/>
      <c r="J157" s="2"/>
      <c r="Q157" s="1">
        <f>SEGUIMIENTO_TPM_xlsx[[#This Row],[HORA FIN  INTERVENCIÓN]]-SEGUIMIENTO_TPM_xlsx[[#This Row],[HORA INICIO INTERVENCIÓN]]</f>
        <v>0</v>
      </c>
      <c r="R157" s="20">
        <f>(SEGUIMIENTO_TPM_xlsx[[#This Row],[HORA REPORTE]]+SEGUIMIENTO_TPM_xlsx[[#This Row],[FECHA DE REPORTE]])</f>
        <v>0</v>
      </c>
      <c r="S157" s="20">
        <f>(SEGUIMIENTO_TPM_xlsx[[#This Row],[FECHA DE INTERVENCÓN]]+SEGUIMIENTO_TPM_xlsx[[#This Row],[HORA FIN  INTERVENCIÓN]])</f>
        <v>0</v>
      </c>
      <c r="T157" s="11">
        <f>(SEGUIMIENTO_TPM_xlsx[[#This Row],[FECHA Y HORA FINAL]]-SEGUIMIENTO_TPM_xlsx[[#This Row],[FECHA Y HORA INICIO]])</f>
        <v>0</v>
      </c>
    </row>
    <row r="158" spans="1:20" x14ac:dyDescent="0.25">
      <c r="A158">
        <v>157</v>
      </c>
      <c r="C158" s="1"/>
      <c r="D158" s="2"/>
      <c r="H158" s="1"/>
      <c r="I158" s="1"/>
      <c r="J158" s="2"/>
      <c r="Q158" s="1">
        <f>SEGUIMIENTO_TPM_xlsx[[#This Row],[HORA FIN  INTERVENCIÓN]]-SEGUIMIENTO_TPM_xlsx[[#This Row],[HORA INICIO INTERVENCIÓN]]</f>
        <v>0</v>
      </c>
      <c r="R158" s="20">
        <f>(SEGUIMIENTO_TPM_xlsx[[#This Row],[HORA REPORTE]]+SEGUIMIENTO_TPM_xlsx[[#This Row],[FECHA DE REPORTE]])</f>
        <v>0</v>
      </c>
      <c r="S158" s="20">
        <f>(SEGUIMIENTO_TPM_xlsx[[#This Row],[FECHA DE INTERVENCÓN]]+SEGUIMIENTO_TPM_xlsx[[#This Row],[HORA FIN  INTERVENCIÓN]])</f>
        <v>0</v>
      </c>
      <c r="T158" s="11">
        <f>(SEGUIMIENTO_TPM_xlsx[[#This Row],[FECHA Y HORA FINAL]]-SEGUIMIENTO_TPM_xlsx[[#This Row],[FECHA Y HORA INICIO]])</f>
        <v>0</v>
      </c>
    </row>
    <row r="159" spans="1:20" x14ac:dyDescent="0.25">
      <c r="A159">
        <v>158</v>
      </c>
      <c r="C159" s="1"/>
      <c r="D159" s="2"/>
      <c r="H159" s="1"/>
      <c r="I159" s="1"/>
      <c r="J159" s="2"/>
      <c r="Q159" s="1">
        <f>SEGUIMIENTO_TPM_xlsx[[#This Row],[HORA FIN  INTERVENCIÓN]]-SEGUIMIENTO_TPM_xlsx[[#This Row],[HORA INICIO INTERVENCIÓN]]</f>
        <v>0</v>
      </c>
      <c r="R159" s="20">
        <f>(SEGUIMIENTO_TPM_xlsx[[#This Row],[HORA REPORTE]]+SEGUIMIENTO_TPM_xlsx[[#This Row],[FECHA DE REPORTE]])</f>
        <v>0</v>
      </c>
      <c r="S159" s="20">
        <f>(SEGUIMIENTO_TPM_xlsx[[#This Row],[FECHA DE INTERVENCÓN]]+SEGUIMIENTO_TPM_xlsx[[#This Row],[HORA FIN  INTERVENCIÓN]])</f>
        <v>0</v>
      </c>
      <c r="T159" s="11">
        <f>(SEGUIMIENTO_TPM_xlsx[[#This Row],[FECHA Y HORA FINAL]]-SEGUIMIENTO_TPM_xlsx[[#This Row],[FECHA Y HORA INICIO]])</f>
        <v>0</v>
      </c>
    </row>
    <row r="160" spans="1:20" x14ac:dyDescent="0.25">
      <c r="A160">
        <v>159</v>
      </c>
      <c r="C160" s="1"/>
      <c r="D160" s="2"/>
      <c r="H160" s="1"/>
      <c r="I160" s="1"/>
      <c r="J160" s="2"/>
      <c r="Q160" s="1">
        <f>SEGUIMIENTO_TPM_xlsx[[#This Row],[HORA FIN  INTERVENCIÓN]]-SEGUIMIENTO_TPM_xlsx[[#This Row],[HORA INICIO INTERVENCIÓN]]</f>
        <v>0</v>
      </c>
      <c r="R160" s="20">
        <f>(SEGUIMIENTO_TPM_xlsx[[#This Row],[HORA REPORTE]]+SEGUIMIENTO_TPM_xlsx[[#This Row],[FECHA DE REPORTE]])</f>
        <v>0</v>
      </c>
      <c r="S160" s="20">
        <f>(SEGUIMIENTO_TPM_xlsx[[#This Row],[FECHA DE INTERVENCÓN]]+SEGUIMIENTO_TPM_xlsx[[#This Row],[HORA FIN  INTERVENCIÓN]])</f>
        <v>0</v>
      </c>
      <c r="T160" s="11">
        <f>(SEGUIMIENTO_TPM_xlsx[[#This Row],[FECHA Y HORA FINAL]]-SEGUIMIENTO_TPM_xlsx[[#This Row],[FECHA Y HORA INICIO]])</f>
        <v>0</v>
      </c>
    </row>
    <row r="161" spans="1:20" x14ac:dyDescent="0.25">
      <c r="A161">
        <v>160</v>
      </c>
      <c r="C161" s="1"/>
      <c r="D161" s="2"/>
      <c r="H161" s="1"/>
      <c r="I161" s="1"/>
      <c r="J161" s="2"/>
      <c r="Q161" s="1">
        <f>SEGUIMIENTO_TPM_xlsx[[#This Row],[HORA FIN  INTERVENCIÓN]]-SEGUIMIENTO_TPM_xlsx[[#This Row],[HORA INICIO INTERVENCIÓN]]</f>
        <v>0</v>
      </c>
      <c r="R161" s="20">
        <f>(SEGUIMIENTO_TPM_xlsx[[#This Row],[HORA REPORTE]]+SEGUIMIENTO_TPM_xlsx[[#This Row],[FECHA DE REPORTE]])</f>
        <v>0</v>
      </c>
      <c r="S161" s="20">
        <f>(SEGUIMIENTO_TPM_xlsx[[#This Row],[FECHA DE INTERVENCÓN]]+SEGUIMIENTO_TPM_xlsx[[#This Row],[HORA FIN  INTERVENCIÓN]])</f>
        <v>0</v>
      </c>
      <c r="T161" s="11">
        <f>(SEGUIMIENTO_TPM_xlsx[[#This Row],[FECHA Y HORA FINAL]]-SEGUIMIENTO_TPM_xlsx[[#This Row],[FECHA Y HORA INICIO]])</f>
        <v>0</v>
      </c>
    </row>
    <row r="162" spans="1:20" x14ac:dyDescent="0.25">
      <c r="A162">
        <v>161</v>
      </c>
      <c r="C162" s="1"/>
      <c r="D162" s="2"/>
      <c r="H162" s="1"/>
      <c r="I162" s="1"/>
      <c r="J162" s="2"/>
      <c r="Q162" s="1">
        <f>SEGUIMIENTO_TPM_xlsx[[#This Row],[HORA FIN  INTERVENCIÓN]]-SEGUIMIENTO_TPM_xlsx[[#This Row],[HORA INICIO INTERVENCIÓN]]</f>
        <v>0</v>
      </c>
      <c r="R162" s="20">
        <f>(SEGUIMIENTO_TPM_xlsx[[#This Row],[HORA REPORTE]]+SEGUIMIENTO_TPM_xlsx[[#This Row],[FECHA DE REPORTE]])</f>
        <v>0</v>
      </c>
      <c r="S162" s="20">
        <f>(SEGUIMIENTO_TPM_xlsx[[#This Row],[FECHA DE INTERVENCÓN]]+SEGUIMIENTO_TPM_xlsx[[#This Row],[HORA FIN  INTERVENCIÓN]])</f>
        <v>0</v>
      </c>
      <c r="T162" s="11">
        <f>(SEGUIMIENTO_TPM_xlsx[[#This Row],[FECHA Y HORA FINAL]]-SEGUIMIENTO_TPM_xlsx[[#This Row],[FECHA Y HORA INICIO]])</f>
        <v>0</v>
      </c>
    </row>
    <row r="163" spans="1:20" x14ac:dyDescent="0.25">
      <c r="A163">
        <v>162</v>
      </c>
      <c r="C163" s="1"/>
      <c r="D163" s="2"/>
      <c r="H163" s="1"/>
      <c r="I163" s="1"/>
      <c r="J163" s="2"/>
      <c r="Q163" s="1">
        <f>SEGUIMIENTO_TPM_xlsx[[#This Row],[HORA FIN  INTERVENCIÓN]]-SEGUIMIENTO_TPM_xlsx[[#This Row],[HORA INICIO INTERVENCIÓN]]</f>
        <v>0</v>
      </c>
      <c r="R163" s="20">
        <f>(SEGUIMIENTO_TPM_xlsx[[#This Row],[HORA REPORTE]]+SEGUIMIENTO_TPM_xlsx[[#This Row],[FECHA DE REPORTE]])</f>
        <v>0</v>
      </c>
      <c r="S163" s="20">
        <f>(SEGUIMIENTO_TPM_xlsx[[#This Row],[FECHA DE INTERVENCÓN]]+SEGUIMIENTO_TPM_xlsx[[#This Row],[HORA FIN  INTERVENCIÓN]])</f>
        <v>0</v>
      </c>
      <c r="T163" s="11">
        <f>(SEGUIMIENTO_TPM_xlsx[[#This Row],[FECHA Y HORA FINAL]]-SEGUIMIENTO_TPM_xlsx[[#This Row],[FECHA Y HORA INICIO]])</f>
        <v>0</v>
      </c>
    </row>
    <row r="164" spans="1:20" x14ac:dyDescent="0.25">
      <c r="A164">
        <v>163</v>
      </c>
      <c r="C164" s="1"/>
      <c r="D164" s="2"/>
      <c r="H164" s="1"/>
      <c r="I164" s="1"/>
      <c r="J164" s="2"/>
      <c r="Q164" s="1">
        <f>SEGUIMIENTO_TPM_xlsx[[#This Row],[HORA FIN  INTERVENCIÓN]]-SEGUIMIENTO_TPM_xlsx[[#This Row],[HORA INICIO INTERVENCIÓN]]</f>
        <v>0</v>
      </c>
      <c r="R164" s="20">
        <f>(SEGUIMIENTO_TPM_xlsx[[#This Row],[HORA REPORTE]]+SEGUIMIENTO_TPM_xlsx[[#This Row],[FECHA DE REPORTE]])</f>
        <v>0</v>
      </c>
      <c r="S164" s="20">
        <f>(SEGUIMIENTO_TPM_xlsx[[#This Row],[FECHA DE INTERVENCÓN]]+SEGUIMIENTO_TPM_xlsx[[#This Row],[HORA FIN  INTERVENCIÓN]])</f>
        <v>0</v>
      </c>
      <c r="T164" s="11">
        <f>(SEGUIMIENTO_TPM_xlsx[[#This Row],[FECHA Y HORA FINAL]]-SEGUIMIENTO_TPM_xlsx[[#This Row],[FECHA Y HORA INICIO]])</f>
        <v>0</v>
      </c>
    </row>
    <row r="165" spans="1:20" x14ac:dyDescent="0.25">
      <c r="A165">
        <v>164</v>
      </c>
      <c r="C165" s="1"/>
      <c r="D165" s="2"/>
      <c r="H165" s="1"/>
      <c r="I165" s="1"/>
      <c r="J165" s="2"/>
      <c r="Q165" s="1">
        <f>SEGUIMIENTO_TPM_xlsx[[#This Row],[HORA FIN  INTERVENCIÓN]]-SEGUIMIENTO_TPM_xlsx[[#This Row],[HORA INICIO INTERVENCIÓN]]</f>
        <v>0</v>
      </c>
      <c r="R165" s="20">
        <f>(SEGUIMIENTO_TPM_xlsx[[#This Row],[HORA REPORTE]]+SEGUIMIENTO_TPM_xlsx[[#This Row],[FECHA DE REPORTE]])</f>
        <v>0</v>
      </c>
      <c r="S165" s="20">
        <f>(SEGUIMIENTO_TPM_xlsx[[#This Row],[FECHA DE INTERVENCÓN]]+SEGUIMIENTO_TPM_xlsx[[#This Row],[HORA FIN  INTERVENCIÓN]])</f>
        <v>0</v>
      </c>
      <c r="T165" s="11">
        <f>(SEGUIMIENTO_TPM_xlsx[[#This Row],[FECHA Y HORA FINAL]]-SEGUIMIENTO_TPM_xlsx[[#This Row],[FECHA Y HORA INICIO]])</f>
        <v>0</v>
      </c>
    </row>
    <row r="166" spans="1:20" x14ac:dyDescent="0.25">
      <c r="A166">
        <v>165</v>
      </c>
      <c r="C166" s="1"/>
      <c r="D166" s="2"/>
      <c r="H166" s="1"/>
      <c r="I166" s="1"/>
      <c r="J166" s="2"/>
      <c r="Q166" s="1">
        <f>SEGUIMIENTO_TPM_xlsx[[#This Row],[HORA FIN  INTERVENCIÓN]]-SEGUIMIENTO_TPM_xlsx[[#This Row],[HORA INICIO INTERVENCIÓN]]</f>
        <v>0</v>
      </c>
      <c r="R166" s="20">
        <f>(SEGUIMIENTO_TPM_xlsx[[#This Row],[HORA REPORTE]]+SEGUIMIENTO_TPM_xlsx[[#This Row],[FECHA DE REPORTE]])</f>
        <v>0</v>
      </c>
      <c r="S166" s="20">
        <f>(SEGUIMIENTO_TPM_xlsx[[#This Row],[FECHA DE INTERVENCÓN]]+SEGUIMIENTO_TPM_xlsx[[#This Row],[HORA FIN  INTERVENCIÓN]])</f>
        <v>0</v>
      </c>
      <c r="T166" s="11">
        <f>(SEGUIMIENTO_TPM_xlsx[[#This Row],[FECHA Y HORA FINAL]]-SEGUIMIENTO_TPM_xlsx[[#This Row],[FECHA Y HORA INICIO]])</f>
        <v>0</v>
      </c>
    </row>
    <row r="167" spans="1:20" x14ac:dyDescent="0.25">
      <c r="A167">
        <v>166</v>
      </c>
      <c r="C167" s="1"/>
      <c r="D167" s="2"/>
      <c r="H167" s="1"/>
      <c r="I167" s="1"/>
      <c r="J167" s="2"/>
      <c r="Q167" s="1">
        <f>SEGUIMIENTO_TPM_xlsx[[#This Row],[HORA FIN  INTERVENCIÓN]]-SEGUIMIENTO_TPM_xlsx[[#This Row],[HORA INICIO INTERVENCIÓN]]</f>
        <v>0</v>
      </c>
      <c r="R167" s="20">
        <f>(SEGUIMIENTO_TPM_xlsx[[#This Row],[HORA REPORTE]]+SEGUIMIENTO_TPM_xlsx[[#This Row],[FECHA DE REPORTE]])</f>
        <v>0</v>
      </c>
      <c r="S167" s="20">
        <f>(SEGUIMIENTO_TPM_xlsx[[#This Row],[FECHA DE INTERVENCÓN]]+SEGUIMIENTO_TPM_xlsx[[#This Row],[HORA FIN  INTERVENCIÓN]])</f>
        <v>0</v>
      </c>
      <c r="T167" s="11">
        <f>(SEGUIMIENTO_TPM_xlsx[[#This Row],[FECHA Y HORA FINAL]]-SEGUIMIENTO_TPM_xlsx[[#This Row],[FECHA Y HORA INICIO]])</f>
        <v>0</v>
      </c>
    </row>
    <row r="168" spans="1:20" x14ac:dyDescent="0.25">
      <c r="A168">
        <v>167</v>
      </c>
      <c r="C168" s="1"/>
      <c r="D168" s="2"/>
      <c r="H168" s="1"/>
      <c r="I168" s="1"/>
      <c r="J168" s="2"/>
      <c r="Q168" s="1">
        <f>SEGUIMIENTO_TPM_xlsx[[#This Row],[HORA FIN  INTERVENCIÓN]]-SEGUIMIENTO_TPM_xlsx[[#This Row],[HORA INICIO INTERVENCIÓN]]</f>
        <v>0</v>
      </c>
      <c r="R168" s="20">
        <f>(SEGUIMIENTO_TPM_xlsx[[#This Row],[HORA REPORTE]]+SEGUIMIENTO_TPM_xlsx[[#This Row],[FECHA DE REPORTE]])</f>
        <v>0</v>
      </c>
      <c r="S168" s="20">
        <f>(SEGUIMIENTO_TPM_xlsx[[#This Row],[FECHA DE INTERVENCÓN]]+SEGUIMIENTO_TPM_xlsx[[#This Row],[HORA FIN  INTERVENCIÓN]])</f>
        <v>0</v>
      </c>
      <c r="T168" s="11">
        <f>(SEGUIMIENTO_TPM_xlsx[[#This Row],[FECHA Y HORA FINAL]]-SEGUIMIENTO_TPM_xlsx[[#This Row],[FECHA Y HORA INICIO]])</f>
        <v>0</v>
      </c>
    </row>
    <row r="169" spans="1:20" x14ac:dyDescent="0.25">
      <c r="A169">
        <v>168</v>
      </c>
      <c r="C169" s="1"/>
      <c r="D169" s="2"/>
      <c r="H169" s="1"/>
      <c r="I169" s="1"/>
      <c r="J169" s="2"/>
      <c r="Q169" s="1">
        <f>SEGUIMIENTO_TPM_xlsx[[#This Row],[HORA FIN  INTERVENCIÓN]]-SEGUIMIENTO_TPM_xlsx[[#This Row],[HORA INICIO INTERVENCIÓN]]</f>
        <v>0</v>
      </c>
      <c r="R169" s="20">
        <f>(SEGUIMIENTO_TPM_xlsx[[#This Row],[HORA REPORTE]]+SEGUIMIENTO_TPM_xlsx[[#This Row],[FECHA DE REPORTE]])</f>
        <v>0</v>
      </c>
      <c r="S169" s="20">
        <f>(SEGUIMIENTO_TPM_xlsx[[#This Row],[FECHA DE INTERVENCÓN]]+SEGUIMIENTO_TPM_xlsx[[#This Row],[HORA FIN  INTERVENCIÓN]])</f>
        <v>0</v>
      </c>
      <c r="T169" s="11">
        <f>(SEGUIMIENTO_TPM_xlsx[[#This Row],[FECHA Y HORA FINAL]]-SEGUIMIENTO_TPM_xlsx[[#This Row],[FECHA Y HORA INICIO]])</f>
        <v>0</v>
      </c>
    </row>
    <row r="170" spans="1:20" x14ac:dyDescent="0.25">
      <c r="A170">
        <v>169</v>
      </c>
      <c r="C170" s="1"/>
      <c r="D170" s="2"/>
      <c r="H170" s="1"/>
      <c r="I170" s="1"/>
      <c r="J170" s="2"/>
      <c r="Q170" s="1">
        <f>SEGUIMIENTO_TPM_xlsx[[#This Row],[HORA FIN  INTERVENCIÓN]]-SEGUIMIENTO_TPM_xlsx[[#This Row],[HORA INICIO INTERVENCIÓN]]</f>
        <v>0</v>
      </c>
      <c r="R170" s="20">
        <f>(SEGUIMIENTO_TPM_xlsx[[#This Row],[HORA REPORTE]]+SEGUIMIENTO_TPM_xlsx[[#This Row],[FECHA DE REPORTE]])</f>
        <v>0</v>
      </c>
      <c r="S170" s="20">
        <f>(SEGUIMIENTO_TPM_xlsx[[#This Row],[FECHA DE INTERVENCÓN]]+SEGUIMIENTO_TPM_xlsx[[#This Row],[HORA FIN  INTERVENCIÓN]])</f>
        <v>0</v>
      </c>
      <c r="T170" s="11">
        <f>(SEGUIMIENTO_TPM_xlsx[[#This Row],[FECHA Y HORA FINAL]]-SEGUIMIENTO_TPM_xlsx[[#This Row],[FECHA Y HORA INICIO]])</f>
        <v>0</v>
      </c>
    </row>
    <row r="171" spans="1:20" x14ac:dyDescent="0.25">
      <c r="A171">
        <v>170</v>
      </c>
      <c r="C171" s="1"/>
      <c r="D171" s="2"/>
      <c r="H171" s="1"/>
      <c r="I171" s="1"/>
      <c r="J171" s="2"/>
      <c r="Q171" s="1">
        <f>SEGUIMIENTO_TPM_xlsx[[#This Row],[HORA FIN  INTERVENCIÓN]]-SEGUIMIENTO_TPM_xlsx[[#This Row],[HORA INICIO INTERVENCIÓN]]</f>
        <v>0</v>
      </c>
      <c r="R171" s="20">
        <f>(SEGUIMIENTO_TPM_xlsx[[#This Row],[HORA REPORTE]]+SEGUIMIENTO_TPM_xlsx[[#This Row],[FECHA DE REPORTE]])</f>
        <v>0</v>
      </c>
      <c r="S171" s="20">
        <f>(SEGUIMIENTO_TPM_xlsx[[#This Row],[FECHA DE INTERVENCÓN]]+SEGUIMIENTO_TPM_xlsx[[#This Row],[HORA FIN  INTERVENCIÓN]])</f>
        <v>0</v>
      </c>
      <c r="T171" s="11">
        <f>(SEGUIMIENTO_TPM_xlsx[[#This Row],[FECHA Y HORA FINAL]]-SEGUIMIENTO_TPM_xlsx[[#This Row],[FECHA Y HORA INICIO]])</f>
        <v>0</v>
      </c>
    </row>
    <row r="172" spans="1:20" x14ac:dyDescent="0.25">
      <c r="A172">
        <v>171</v>
      </c>
      <c r="C172" s="1"/>
      <c r="D172" s="2"/>
      <c r="H172" s="1"/>
      <c r="I172" s="1"/>
      <c r="J172" s="2"/>
      <c r="Q172" s="1">
        <f>SEGUIMIENTO_TPM_xlsx[[#This Row],[HORA FIN  INTERVENCIÓN]]-SEGUIMIENTO_TPM_xlsx[[#This Row],[HORA INICIO INTERVENCIÓN]]</f>
        <v>0</v>
      </c>
      <c r="R172" s="20">
        <f>(SEGUIMIENTO_TPM_xlsx[[#This Row],[HORA REPORTE]]+SEGUIMIENTO_TPM_xlsx[[#This Row],[FECHA DE REPORTE]])</f>
        <v>0</v>
      </c>
      <c r="S172" s="20">
        <f>(SEGUIMIENTO_TPM_xlsx[[#This Row],[FECHA DE INTERVENCÓN]]+SEGUIMIENTO_TPM_xlsx[[#This Row],[HORA FIN  INTERVENCIÓN]])</f>
        <v>0</v>
      </c>
      <c r="T172" s="11">
        <f>(SEGUIMIENTO_TPM_xlsx[[#This Row],[FECHA Y HORA FINAL]]-SEGUIMIENTO_TPM_xlsx[[#This Row],[FECHA Y HORA INICIO]])</f>
        <v>0</v>
      </c>
    </row>
    <row r="173" spans="1:20" x14ac:dyDescent="0.25">
      <c r="A173">
        <v>172</v>
      </c>
      <c r="C173" s="1"/>
      <c r="D173" s="2"/>
      <c r="H173" s="1"/>
      <c r="I173" s="1"/>
      <c r="J173" s="2"/>
      <c r="Q173" s="1">
        <f>SEGUIMIENTO_TPM_xlsx[[#This Row],[HORA FIN  INTERVENCIÓN]]-SEGUIMIENTO_TPM_xlsx[[#This Row],[HORA INICIO INTERVENCIÓN]]</f>
        <v>0</v>
      </c>
      <c r="R173" s="20">
        <f>(SEGUIMIENTO_TPM_xlsx[[#This Row],[HORA REPORTE]]+SEGUIMIENTO_TPM_xlsx[[#This Row],[FECHA DE REPORTE]])</f>
        <v>0</v>
      </c>
      <c r="S173" s="20">
        <f>(SEGUIMIENTO_TPM_xlsx[[#This Row],[FECHA DE INTERVENCÓN]]+SEGUIMIENTO_TPM_xlsx[[#This Row],[HORA FIN  INTERVENCIÓN]])</f>
        <v>0</v>
      </c>
      <c r="T173" s="11">
        <f>(SEGUIMIENTO_TPM_xlsx[[#This Row],[FECHA Y HORA FINAL]]-SEGUIMIENTO_TPM_xlsx[[#This Row],[FECHA Y HORA INICIO]])</f>
        <v>0</v>
      </c>
    </row>
    <row r="174" spans="1:20" x14ac:dyDescent="0.25">
      <c r="A174">
        <v>173</v>
      </c>
      <c r="C174" s="1"/>
      <c r="D174" s="2"/>
      <c r="H174" s="1"/>
      <c r="I174" s="1"/>
      <c r="J174" s="2"/>
      <c r="Q174" s="1">
        <f>SEGUIMIENTO_TPM_xlsx[[#This Row],[HORA FIN  INTERVENCIÓN]]-SEGUIMIENTO_TPM_xlsx[[#This Row],[HORA INICIO INTERVENCIÓN]]</f>
        <v>0</v>
      </c>
      <c r="R174" s="20">
        <f>(SEGUIMIENTO_TPM_xlsx[[#This Row],[HORA REPORTE]]+SEGUIMIENTO_TPM_xlsx[[#This Row],[FECHA DE REPORTE]])</f>
        <v>0</v>
      </c>
      <c r="S174" s="20">
        <f>(SEGUIMIENTO_TPM_xlsx[[#This Row],[FECHA DE INTERVENCÓN]]+SEGUIMIENTO_TPM_xlsx[[#This Row],[HORA FIN  INTERVENCIÓN]])</f>
        <v>0</v>
      </c>
      <c r="T174" s="11">
        <f>(SEGUIMIENTO_TPM_xlsx[[#This Row],[FECHA Y HORA FINAL]]-SEGUIMIENTO_TPM_xlsx[[#This Row],[FECHA Y HORA INICIO]])</f>
        <v>0</v>
      </c>
    </row>
    <row r="175" spans="1:20" x14ac:dyDescent="0.25">
      <c r="A175">
        <v>174</v>
      </c>
      <c r="C175" s="1"/>
      <c r="D175" s="2"/>
      <c r="H175" s="1"/>
      <c r="I175" s="1"/>
      <c r="J175" s="2"/>
      <c r="Q175" s="1">
        <f>SEGUIMIENTO_TPM_xlsx[[#This Row],[HORA FIN  INTERVENCIÓN]]-SEGUIMIENTO_TPM_xlsx[[#This Row],[HORA INICIO INTERVENCIÓN]]</f>
        <v>0</v>
      </c>
      <c r="R175" s="20">
        <f>(SEGUIMIENTO_TPM_xlsx[[#This Row],[HORA REPORTE]]+SEGUIMIENTO_TPM_xlsx[[#This Row],[FECHA DE REPORTE]])</f>
        <v>0</v>
      </c>
      <c r="S175" s="20">
        <f>(SEGUIMIENTO_TPM_xlsx[[#This Row],[FECHA DE INTERVENCÓN]]+SEGUIMIENTO_TPM_xlsx[[#This Row],[HORA FIN  INTERVENCIÓN]])</f>
        <v>0</v>
      </c>
      <c r="T175" s="11">
        <f>(SEGUIMIENTO_TPM_xlsx[[#This Row],[FECHA Y HORA FINAL]]-SEGUIMIENTO_TPM_xlsx[[#This Row],[FECHA Y HORA INICIO]])</f>
        <v>0</v>
      </c>
    </row>
    <row r="176" spans="1:20" x14ac:dyDescent="0.25">
      <c r="A176">
        <v>175</v>
      </c>
      <c r="C176" s="1"/>
      <c r="D176" s="2"/>
      <c r="H176" s="1"/>
      <c r="I176" s="1"/>
      <c r="J176" s="2"/>
      <c r="Q176" s="1">
        <f>SEGUIMIENTO_TPM_xlsx[[#This Row],[HORA FIN  INTERVENCIÓN]]-SEGUIMIENTO_TPM_xlsx[[#This Row],[HORA INICIO INTERVENCIÓN]]</f>
        <v>0</v>
      </c>
      <c r="R176" s="20">
        <f>(SEGUIMIENTO_TPM_xlsx[[#This Row],[HORA REPORTE]]+SEGUIMIENTO_TPM_xlsx[[#This Row],[FECHA DE REPORTE]])</f>
        <v>0</v>
      </c>
      <c r="S176" s="20">
        <f>(SEGUIMIENTO_TPM_xlsx[[#This Row],[FECHA DE INTERVENCÓN]]+SEGUIMIENTO_TPM_xlsx[[#This Row],[HORA FIN  INTERVENCIÓN]])</f>
        <v>0</v>
      </c>
      <c r="T176" s="11">
        <f>(SEGUIMIENTO_TPM_xlsx[[#This Row],[FECHA Y HORA FINAL]]-SEGUIMIENTO_TPM_xlsx[[#This Row],[FECHA Y HORA INICIO]])</f>
        <v>0</v>
      </c>
    </row>
    <row r="177" spans="1:20" x14ac:dyDescent="0.25">
      <c r="A177">
        <v>176</v>
      </c>
      <c r="C177" s="1"/>
      <c r="D177" s="2"/>
      <c r="H177" s="1"/>
      <c r="I177" s="1"/>
      <c r="J177" s="2"/>
      <c r="Q177" s="1">
        <f>SEGUIMIENTO_TPM_xlsx[[#This Row],[HORA FIN  INTERVENCIÓN]]-SEGUIMIENTO_TPM_xlsx[[#This Row],[HORA INICIO INTERVENCIÓN]]</f>
        <v>0</v>
      </c>
      <c r="R177" s="20">
        <f>(SEGUIMIENTO_TPM_xlsx[[#This Row],[HORA REPORTE]]+SEGUIMIENTO_TPM_xlsx[[#This Row],[FECHA DE REPORTE]])</f>
        <v>0</v>
      </c>
      <c r="S177" s="20">
        <f>(SEGUIMIENTO_TPM_xlsx[[#This Row],[FECHA DE INTERVENCÓN]]+SEGUIMIENTO_TPM_xlsx[[#This Row],[HORA FIN  INTERVENCIÓN]])</f>
        <v>0</v>
      </c>
      <c r="T177" s="11">
        <f>(SEGUIMIENTO_TPM_xlsx[[#This Row],[FECHA Y HORA FINAL]]-SEGUIMIENTO_TPM_xlsx[[#This Row],[FECHA Y HORA INICIO]])</f>
        <v>0</v>
      </c>
    </row>
    <row r="178" spans="1:20" x14ac:dyDescent="0.25">
      <c r="A178">
        <v>177</v>
      </c>
      <c r="C178" s="1"/>
      <c r="D178" s="2"/>
      <c r="H178" s="1"/>
      <c r="I178" s="1"/>
      <c r="J178" s="2"/>
      <c r="Q178" s="1">
        <f>SEGUIMIENTO_TPM_xlsx[[#This Row],[HORA FIN  INTERVENCIÓN]]-SEGUIMIENTO_TPM_xlsx[[#This Row],[HORA INICIO INTERVENCIÓN]]</f>
        <v>0</v>
      </c>
      <c r="R178" s="20">
        <f>(SEGUIMIENTO_TPM_xlsx[[#This Row],[HORA REPORTE]]+SEGUIMIENTO_TPM_xlsx[[#This Row],[FECHA DE REPORTE]])</f>
        <v>0</v>
      </c>
      <c r="S178" s="20">
        <f>(SEGUIMIENTO_TPM_xlsx[[#This Row],[FECHA DE INTERVENCÓN]]+SEGUIMIENTO_TPM_xlsx[[#This Row],[HORA FIN  INTERVENCIÓN]])</f>
        <v>0</v>
      </c>
      <c r="T178" s="11">
        <f>(SEGUIMIENTO_TPM_xlsx[[#This Row],[FECHA Y HORA FINAL]]-SEGUIMIENTO_TPM_xlsx[[#This Row],[FECHA Y HORA INICIO]])</f>
        <v>0</v>
      </c>
    </row>
    <row r="179" spans="1:20" x14ac:dyDescent="0.25">
      <c r="A179">
        <v>178</v>
      </c>
      <c r="C179" s="1"/>
      <c r="D179" s="2"/>
      <c r="H179" s="1"/>
      <c r="I179" s="1"/>
      <c r="J179" s="2"/>
      <c r="Q179" s="1">
        <f>SEGUIMIENTO_TPM_xlsx[[#This Row],[HORA FIN  INTERVENCIÓN]]-SEGUIMIENTO_TPM_xlsx[[#This Row],[HORA INICIO INTERVENCIÓN]]</f>
        <v>0</v>
      </c>
      <c r="R179" s="20">
        <f>(SEGUIMIENTO_TPM_xlsx[[#This Row],[HORA REPORTE]]+SEGUIMIENTO_TPM_xlsx[[#This Row],[FECHA DE REPORTE]])</f>
        <v>0</v>
      </c>
      <c r="S179" s="20">
        <f>(SEGUIMIENTO_TPM_xlsx[[#This Row],[FECHA DE INTERVENCÓN]]+SEGUIMIENTO_TPM_xlsx[[#This Row],[HORA FIN  INTERVENCIÓN]])</f>
        <v>0</v>
      </c>
      <c r="T179" s="11">
        <f>(SEGUIMIENTO_TPM_xlsx[[#This Row],[FECHA Y HORA FINAL]]-SEGUIMIENTO_TPM_xlsx[[#This Row],[FECHA Y HORA INICIO]])</f>
        <v>0</v>
      </c>
    </row>
    <row r="180" spans="1:20" x14ac:dyDescent="0.25">
      <c r="A180">
        <v>179</v>
      </c>
      <c r="C180" s="1"/>
      <c r="D180" s="2"/>
      <c r="H180" s="1"/>
      <c r="I180" s="1"/>
      <c r="J180" s="2"/>
      <c r="Q180" s="1">
        <f>SEGUIMIENTO_TPM_xlsx[[#This Row],[HORA FIN  INTERVENCIÓN]]-SEGUIMIENTO_TPM_xlsx[[#This Row],[HORA INICIO INTERVENCIÓN]]</f>
        <v>0</v>
      </c>
      <c r="R180" s="20">
        <f>(SEGUIMIENTO_TPM_xlsx[[#This Row],[HORA REPORTE]]+SEGUIMIENTO_TPM_xlsx[[#This Row],[FECHA DE REPORTE]])</f>
        <v>0</v>
      </c>
      <c r="S180" s="20">
        <f>(SEGUIMIENTO_TPM_xlsx[[#This Row],[FECHA DE INTERVENCÓN]]+SEGUIMIENTO_TPM_xlsx[[#This Row],[HORA FIN  INTERVENCIÓN]])</f>
        <v>0</v>
      </c>
      <c r="T180" s="11">
        <f>(SEGUIMIENTO_TPM_xlsx[[#This Row],[FECHA Y HORA FINAL]]-SEGUIMIENTO_TPM_xlsx[[#This Row],[FECHA Y HORA INICIO]])</f>
        <v>0</v>
      </c>
    </row>
    <row r="181" spans="1:20" x14ac:dyDescent="0.25">
      <c r="A181">
        <v>180</v>
      </c>
      <c r="C181" s="1"/>
      <c r="D181" s="2"/>
      <c r="H181" s="1"/>
      <c r="I181" s="1"/>
      <c r="J181" s="2"/>
      <c r="Q181" s="1">
        <f>SEGUIMIENTO_TPM_xlsx[[#This Row],[HORA FIN  INTERVENCIÓN]]-SEGUIMIENTO_TPM_xlsx[[#This Row],[HORA INICIO INTERVENCIÓN]]</f>
        <v>0</v>
      </c>
      <c r="R181" s="20">
        <f>(SEGUIMIENTO_TPM_xlsx[[#This Row],[HORA REPORTE]]+SEGUIMIENTO_TPM_xlsx[[#This Row],[FECHA DE REPORTE]])</f>
        <v>0</v>
      </c>
      <c r="S181" s="20">
        <f>(SEGUIMIENTO_TPM_xlsx[[#This Row],[FECHA DE INTERVENCÓN]]+SEGUIMIENTO_TPM_xlsx[[#This Row],[HORA FIN  INTERVENCIÓN]])</f>
        <v>0</v>
      </c>
      <c r="T181" s="11">
        <f>(SEGUIMIENTO_TPM_xlsx[[#This Row],[FECHA Y HORA FINAL]]-SEGUIMIENTO_TPM_xlsx[[#This Row],[FECHA Y HORA INICIO]])</f>
        <v>0</v>
      </c>
    </row>
    <row r="182" spans="1:20" x14ac:dyDescent="0.25">
      <c r="A182">
        <v>181</v>
      </c>
      <c r="C182" s="1"/>
      <c r="D182" s="2"/>
      <c r="H182" s="1"/>
      <c r="I182" s="1"/>
      <c r="J182" s="2"/>
      <c r="Q182" s="1">
        <f>SEGUIMIENTO_TPM_xlsx[[#This Row],[HORA FIN  INTERVENCIÓN]]-SEGUIMIENTO_TPM_xlsx[[#This Row],[HORA INICIO INTERVENCIÓN]]</f>
        <v>0</v>
      </c>
      <c r="R182" s="20">
        <f>(SEGUIMIENTO_TPM_xlsx[[#This Row],[HORA REPORTE]]+SEGUIMIENTO_TPM_xlsx[[#This Row],[FECHA DE REPORTE]])</f>
        <v>0</v>
      </c>
      <c r="S182" s="20">
        <f>(SEGUIMIENTO_TPM_xlsx[[#This Row],[FECHA DE INTERVENCÓN]]+SEGUIMIENTO_TPM_xlsx[[#This Row],[HORA FIN  INTERVENCIÓN]])</f>
        <v>0</v>
      </c>
      <c r="T182" s="11">
        <f>(SEGUIMIENTO_TPM_xlsx[[#This Row],[FECHA Y HORA FINAL]]-SEGUIMIENTO_TPM_xlsx[[#This Row],[FECHA Y HORA INICIO]])</f>
        <v>0</v>
      </c>
    </row>
    <row r="183" spans="1:20" x14ac:dyDescent="0.25">
      <c r="A183">
        <v>182</v>
      </c>
      <c r="C183" s="1"/>
      <c r="D183" s="2"/>
      <c r="H183" s="1"/>
      <c r="I183" s="1"/>
      <c r="J183" s="2"/>
      <c r="Q183" s="1">
        <f>SEGUIMIENTO_TPM_xlsx[[#This Row],[HORA FIN  INTERVENCIÓN]]-SEGUIMIENTO_TPM_xlsx[[#This Row],[HORA INICIO INTERVENCIÓN]]</f>
        <v>0</v>
      </c>
      <c r="R183" s="20">
        <f>(SEGUIMIENTO_TPM_xlsx[[#This Row],[HORA REPORTE]]+SEGUIMIENTO_TPM_xlsx[[#This Row],[FECHA DE REPORTE]])</f>
        <v>0</v>
      </c>
      <c r="S183" s="20">
        <f>(SEGUIMIENTO_TPM_xlsx[[#This Row],[FECHA DE INTERVENCÓN]]+SEGUIMIENTO_TPM_xlsx[[#This Row],[HORA FIN  INTERVENCIÓN]])</f>
        <v>0</v>
      </c>
      <c r="T183" s="11">
        <f>(SEGUIMIENTO_TPM_xlsx[[#This Row],[FECHA Y HORA FINAL]]-SEGUIMIENTO_TPM_xlsx[[#This Row],[FECHA Y HORA INICIO]])</f>
        <v>0</v>
      </c>
    </row>
    <row r="184" spans="1:20" x14ac:dyDescent="0.25">
      <c r="A184">
        <v>183</v>
      </c>
      <c r="C184" s="1"/>
      <c r="D184" s="2"/>
      <c r="H184" s="1"/>
      <c r="I184" s="1"/>
      <c r="J184" s="2"/>
      <c r="Q184" s="1">
        <f>SEGUIMIENTO_TPM_xlsx[[#This Row],[HORA FIN  INTERVENCIÓN]]-SEGUIMIENTO_TPM_xlsx[[#This Row],[HORA INICIO INTERVENCIÓN]]</f>
        <v>0</v>
      </c>
      <c r="R184" s="20">
        <f>(SEGUIMIENTO_TPM_xlsx[[#This Row],[HORA REPORTE]]+SEGUIMIENTO_TPM_xlsx[[#This Row],[FECHA DE REPORTE]])</f>
        <v>0</v>
      </c>
      <c r="S184" s="20">
        <f>(SEGUIMIENTO_TPM_xlsx[[#This Row],[FECHA DE INTERVENCÓN]]+SEGUIMIENTO_TPM_xlsx[[#This Row],[HORA FIN  INTERVENCIÓN]])</f>
        <v>0</v>
      </c>
      <c r="T184" s="11">
        <f>(SEGUIMIENTO_TPM_xlsx[[#This Row],[FECHA Y HORA FINAL]]-SEGUIMIENTO_TPM_xlsx[[#This Row],[FECHA Y HORA INICIO]])</f>
        <v>0</v>
      </c>
    </row>
    <row r="185" spans="1:20" x14ac:dyDescent="0.25">
      <c r="A185">
        <v>184</v>
      </c>
      <c r="C185" s="1"/>
      <c r="D185" s="2"/>
      <c r="H185" s="1"/>
      <c r="I185" s="1"/>
      <c r="J185" s="2"/>
      <c r="Q185" s="1">
        <f>SEGUIMIENTO_TPM_xlsx[[#This Row],[HORA FIN  INTERVENCIÓN]]-SEGUIMIENTO_TPM_xlsx[[#This Row],[HORA INICIO INTERVENCIÓN]]</f>
        <v>0</v>
      </c>
      <c r="R185" s="20">
        <f>(SEGUIMIENTO_TPM_xlsx[[#This Row],[HORA REPORTE]]+SEGUIMIENTO_TPM_xlsx[[#This Row],[FECHA DE REPORTE]])</f>
        <v>0</v>
      </c>
      <c r="S185" s="20">
        <f>(SEGUIMIENTO_TPM_xlsx[[#This Row],[FECHA DE INTERVENCÓN]]+SEGUIMIENTO_TPM_xlsx[[#This Row],[HORA FIN  INTERVENCIÓN]])</f>
        <v>0</v>
      </c>
      <c r="T185" s="11">
        <f>(SEGUIMIENTO_TPM_xlsx[[#This Row],[FECHA Y HORA FINAL]]-SEGUIMIENTO_TPM_xlsx[[#This Row],[FECHA Y HORA INICIO]])</f>
        <v>0</v>
      </c>
    </row>
    <row r="186" spans="1:20" x14ac:dyDescent="0.25">
      <c r="A186">
        <v>185</v>
      </c>
      <c r="C186" s="1"/>
      <c r="D186" s="2"/>
      <c r="H186" s="1"/>
      <c r="I186" s="1"/>
      <c r="J186" s="2"/>
      <c r="Q186" s="1">
        <f>SEGUIMIENTO_TPM_xlsx[[#This Row],[HORA FIN  INTERVENCIÓN]]-SEGUIMIENTO_TPM_xlsx[[#This Row],[HORA INICIO INTERVENCIÓN]]</f>
        <v>0</v>
      </c>
      <c r="R186" s="20">
        <f>(SEGUIMIENTO_TPM_xlsx[[#This Row],[HORA REPORTE]]+SEGUIMIENTO_TPM_xlsx[[#This Row],[FECHA DE REPORTE]])</f>
        <v>0</v>
      </c>
      <c r="S186" s="20">
        <f>(SEGUIMIENTO_TPM_xlsx[[#This Row],[FECHA DE INTERVENCÓN]]+SEGUIMIENTO_TPM_xlsx[[#This Row],[HORA FIN  INTERVENCIÓN]])</f>
        <v>0</v>
      </c>
      <c r="T186" s="11">
        <f>(SEGUIMIENTO_TPM_xlsx[[#This Row],[FECHA Y HORA FINAL]]-SEGUIMIENTO_TPM_xlsx[[#This Row],[FECHA Y HORA INICIO]])</f>
        <v>0</v>
      </c>
    </row>
    <row r="187" spans="1:20" x14ac:dyDescent="0.25">
      <c r="A187">
        <v>186</v>
      </c>
      <c r="C187" s="1"/>
      <c r="D187" s="2"/>
      <c r="H187" s="1"/>
      <c r="I187" s="1"/>
      <c r="J187" s="2"/>
      <c r="Q187" s="1">
        <f>SEGUIMIENTO_TPM_xlsx[[#This Row],[HORA FIN  INTERVENCIÓN]]-SEGUIMIENTO_TPM_xlsx[[#This Row],[HORA INICIO INTERVENCIÓN]]</f>
        <v>0</v>
      </c>
      <c r="R187" s="20">
        <f>(SEGUIMIENTO_TPM_xlsx[[#This Row],[HORA REPORTE]]+SEGUIMIENTO_TPM_xlsx[[#This Row],[FECHA DE REPORTE]])</f>
        <v>0</v>
      </c>
      <c r="S187" s="20">
        <f>(SEGUIMIENTO_TPM_xlsx[[#This Row],[FECHA DE INTERVENCÓN]]+SEGUIMIENTO_TPM_xlsx[[#This Row],[HORA FIN  INTERVENCIÓN]])</f>
        <v>0</v>
      </c>
      <c r="T187" s="11">
        <f>(SEGUIMIENTO_TPM_xlsx[[#This Row],[FECHA Y HORA FINAL]]-SEGUIMIENTO_TPM_xlsx[[#This Row],[FECHA Y HORA INICIO]])</f>
        <v>0</v>
      </c>
    </row>
    <row r="188" spans="1:20" x14ac:dyDescent="0.25">
      <c r="A188">
        <v>187</v>
      </c>
      <c r="C188" s="1"/>
      <c r="D188" s="2"/>
      <c r="H188" s="1"/>
      <c r="I188" s="1"/>
      <c r="J188" s="2"/>
      <c r="Q188" s="1">
        <f>SEGUIMIENTO_TPM_xlsx[[#This Row],[HORA FIN  INTERVENCIÓN]]-SEGUIMIENTO_TPM_xlsx[[#This Row],[HORA INICIO INTERVENCIÓN]]</f>
        <v>0</v>
      </c>
      <c r="R188" s="20">
        <f>(SEGUIMIENTO_TPM_xlsx[[#This Row],[HORA REPORTE]]+SEGUIMIENTO_TPM_xlsx[[#This Row],[FECHA DE REPORTE]])</f>
        <v>0</v>
      </c>
      <c r="S188" s="20">
        <f>(SEGUIMIENTO_TPM_xlsx[[#This Row],[FECHA DE INTERVENCÓN]]+SEGUIMIENTO_TPM_xlsx[[#This Row],[HORA FIN  INTERVENCIÓN]])</f>
        <v>0</v>
      </c>
      <c r="T188" s="11">
        <f>(SEGUIMIENTO_TPM_xlsx[[#This Row],[FECHA Y HORA FINAL]]-SEGUIMIENTO_TPM_xlsx[[#This Row],[FECHA Y HORA INICIO]])</f>
        <v>0</v>
      </c>
    </row>
    <row r="189" spans="1:20" x14ac:dyDescent="0.25">
      <c r="A189">
        <v>188</v>
      </c>
      <c r="C189" s="1"/>
      <c r="D189" s="2"/>
      <c r="H189" s="1"/>
      <c r="I189" s="1"/>
      <c r="J189" s="2"/>
      <c r="Q189" s="1">
        <f>SEGUIMIENTO_TPM_xlsx[[#This Row],[HORA FIN  INTERVENCIÓN]]-SEGUIMIENTO_TPM_xlsx[[#This Row],[HORA INICIO INTERVENCIÓN]]</f>
        <v>0</v>
      </c>
      <c r="R189" s="20">
        <f>(SEGUIMIENTO_TPM_xlsx[[#This Row],[HORA REPORTE]]+SEGUIMIENTO_TPM_xlsx[[#This Row],[FECHA DE REPORTE]])</f>
        <v>0</v>
      </c>
      <c r="S189" s="20">
        <f>(SEGUIMIENTO_TPM_xlsx[[#This Row],[FECHA DE INTERVENCÓN]]+SEGUIMIENTO_TPM_xlsx[[#This Row],[HORA FIN  INTERVENCIÓN]])</f>
        <v>0</v>
      </c>
      <c r="T189" s="11">
        <f>(SEGUIMIENTO_TPM_xlsx[[#This Row],[FECHA Y HORA FINAL]]-SEGUIMIENTO_TPM_xlsx[[#This Row],[FECHA Y HORA INICIO]])</f>
        <v>0</v>
      </c>
    </row>
    <row r="190" spans="1:20" x14ac:dyDescent="0.25">
      <c r="A190">
        <v>189</v>
      </c>
      <c r="C190" s="1"/>
      <c r="D190" s="2"/>
      <c r="H190" s="1"/>
      <c r="I190" s="1"/>
      <c r="J190" s="2"/>
      <c r="Q190" s="1">
        <f>SEGUIMIENTO_TPM_xlsx[[#This Row],[HORA FIN  INTERVENCIÓN]]-SEGUIMIENTO_TPM_xlsx[[#This Row],[HORA INICIO INTERVENCIÓN]]</f>
        <v>0</v>
      </c>
      <c r="R190" s="20">
        <f>(SEGUIMIENTO_TPM_xlsx[[#This Row],[HORA REPORTE]]+SEGUIMIENTO_TPM_xlsx[[#This Row],[FECHA DE REPORTE]])</f>
        <v>0</v>
      </c>
      <c r="S190" s="20">
        <f>(SEGUIMIENTO_TPM_xlsx[[#This Row],[FECHA DE INTERVENCÓN]]+SEGUIMIENTO_TPM_xlsx[[#This Row],[HORA FIN  INTERVENCIÓN]])</f>
        <v>0</v>
      </c>
      <c r="T190" s="11">
        <f>(SEGUIMIENTO_TPM_xlsx[[#This Row],[FECHA Y HORA FINAL]]-SEGUIMIENTO_TPM_xlsx[[#This Row],[FECHA Y HORA INICIO]])</f>
        <v>0</v>
      </c>
    </row>
    <row r="191" spans="1:20" x14ac:dyDescent="0.25">
      <c r="A191">
        <v>190</v>
      </c>
      <c r="C191" s="1"/>
      <c r="D191" s="2"/>
      <c r="H191" s="1"/>
      <c r="I191" s="1"/>
      <c r="J191" s="2"/>
      <c r="Q191" s="1">
        <f>SEGUIMIENTO_TPM_xlsx[[#This Row],[HORA FIN  INTERVENCIÓN]]-SEGUIMIENTO_TPM_xlsx[[#This Row],[HORA INICIO INTERVENCIÓN]]</f>
        <v>0</v>
      </c>
      <c r="R191" s="20">
        <f>(SEGUIMIENTO_TPM_xlsx[[#This Row],[HORA REPORTE]]+SEGUIMIENTO_TPM_xlsx[[#This Row],[FECHA DE REPORTE]])</f>
        <v>0</v>
      </c>
      <c r="S191" s="20">
        <f>(SEGUIMIENTO_TPM_xlsx[[#This Row],[FECHA DE INTERVENCÓN]]+SEGUIMIENTO_TPM_xlsx[[#This Row],[HORA FIN  INTERVENCIÓN]])</f>
        <v>0</v>
      </c>
      <c r="T191" s="11">
        <f>(SEGUIMIENTO_TPM_xlsx[[#This Row],[FECHA Y HORA FINAL]]-SEGUIMIENTO_TPM_xlsx[[#This Row],[FECHA Y HORA INICIO]])</f>
        <v>0</v>
      </c>
    </row>
    <row r="192" spans="1:20" x14ac:dyDescent="0.25">
      <c r="A192">
        <v>191</v>
      </c>
      <c r="C192" s="1"/>
      <c r="D192" s="2"/>
      <c r="H192" s="1"/>
      <c r="I192" s="1"/>
      <c r="J192" s="2"/>
      <c r="Q192" s="1">
        <f>SEGUIMIENTO_TPM_xlsx[[#This Row],[HORA FIN  INTERVENCIÓN]]-SEGUIMIENTO_TPM_xlsx[[#This Row],[HORA INICIO INTERVENCIÓN]]</f>
        <v>0</v>
      </c>
      <c r="R192" s="20">
        <f>(SEGUIMIENTO_TPM_xlsx[[#This Row],[HORA REPORTE]]+SEGUIMIENTO_TPM_xlsx[[#This Row],[FECHA DE REPORTE]])</f>
        <v>0</v>
      </c>
      <c r="S192" s="20">
        <f>(SEGUIMIENTO_TPM_xlsx[[#This Row],[FECHA DE INTERVENCÓN]]+SEGUIMIENTO_TPM_xlsx[[#This Row],[HORA FIN  INTERVENCIÓN]])</f>
        <v>0</v>
      </c>
      <c r="T192" s="11">
        <f>(SEGUIMIENTO_TPM_xlsx[[#This Row],[FECHA Y HORA FINAL]]-SEGUIMIENTO_TPM_xlsx[[#This Row],[FECHA Y HORA INICIO]])</f>
        <v>0</v>
      </c>
    </row>
    <row r="193" spans="1:20" x14ac:dyDescent="0.25">
      <c r="A193">
        <v>201</v>
      </c>
      <c r="B193" t="s">
        <v>53</v>
      </c>
      <c r="C193" s="1">
        <v>0.4909722222222222</v>
      </c>
      <c r="D193" s="2">
        <v>45966</v>
      </c>
      <c r="E193" t="s">
        <v>17</v>
      </c>
      <c r="F193" t="s">
        <v>18</v>
      </c>
      <c r="G193" t="s">
        <v>54</v>
      </c>
      <c r="H193" s="1"/>
      <c r="I193" s="1"/>
      <c r="J193" s="2"/>
      <c r="P193" t="s">
        <v>33</v>
      </c>
      <c r="Q193" s="1">
        <f>SEGUIMIENTO_TPM_xlsx[[#This Row],[HORA FIN  INTERVENCIÓN]]-SEGUIMIENTO_TPM_xlsx[[#This Row],[HORA INICIO INTERVENCIÓN]]</f>
        <v>0</v>
      </c>
      <c r="R193" s="20">
        <f>(SEGUIMIENTO_TPM_xlsx[[#This Row],[HORA REPORTE]]+SEGUIMIENTO_TPM_xlsx[[#This Row],[FECHA DE REPORTE]])</f>
        <v>45966.490972222222</v>
      </c>
      <c r="S193" s="20">
        <f>(SEGUIMIENTO_TPM_xlsx[[#This Row],[FECHA DE INTERVENCÓN]]+SEGUIMIENTO_TPM_xlsx[[#This Row],[HORA FIN  INTERVENCIÓN]])</f>
        <v>0</v>
      </c>
      <c r="T193" s="11">
        <f>(SEGUIMIENTO_TPM_xlsx[[#This Row],[FECHA Y HORA FINAL]]-SEGUIMIENTO_TPM_xlsx[[#This Row],[FECHA Y HORA INICIO]])</f>
        <v>-45966.490972222222</v>
      </c>
    </row>
    <row r="194" spans="1:20" x14ac:dyDescent="0.25">
      <c r="A194">
        <v>202</v>
      </c>
      <c r="B194" t="s">
        <v>55</v>
      </c>
      <c r="C194" s="1">
        <v>0.29166666666666669</v>
      </c>
      <c r="D194" s="2">
        <v>45966</v>
      </c>
      <c r="E194" t="s">
        <v>17</v>
      </c>
      <c r="F194" t="s">
        <v>18</v>
      </c>
      <c r="G194" t="s">
        <v>56</v>
      </c>
      <c r="H194" s="1">
        <v>0.41666666666666669</v>
      </c>
      <c r="I194" s="1">
        <v>0.4375</v>
      </c>
      <c r="J194" s="2">
        <v>45966</v>
      </c>
      <c r="K194" t="s">
        <v>20</v>
      </c>
      <c r="L194" t="s">
        <v>57</v>
      </c>
      <c r="M194" t="s">
        <v>58</v>
      </c>
      <c r="N194" t="s">
        <v>22</v>
      </c>
      <c r="O194" t="s">
        <v>59</v>
      </c>
      <c r="P194" t="s">
        <v>23</v>
      </c>
      <c r="Q194" s="1">
        <f>SEGUIMIENTO_TPM_xlsx[[#This Row],[HORA FIN  INTERVENCIÓN]]-SEGUIMIENTO_TPM_xlsx[[#This Row],[HORA INICIO INTERVENCIÓN]]</f>
        <v>2.0833333333333315E-2</v>
      </c>
      <c r="R194" s="20">
        <f>(SEGUIMIENTO_TPM_xlsx[[#This Row],[HORA REPORTE]]+SEGUIMIENTO_TPM_xlsx[[#This Row],[FECHA DE REPORTE]])</f>
        <v>45966.291666666664</v>
      </c>
      <c r="S194" s="20">
        <f>(SEGUIMIENTO_TPM_xlsx[[#This Row],[FECHA DE INTERVENCÓN]]+SEGUIMIENTO_TPM_xlsx[[#This Row],[HORA FIN  INTERVENCIÓN]])</f>
        <v>45966.4375</v>
      </c>
      <c r="T194" s="11">
        <f>(SEGUIMIENTO_TPM_xlsx[[#This Row],[FECHA Y HORA FINAL]]-SEGUIMIENTO_TPM_xlsx[[#This Row],[FECHA Y HORA INICIO]])</f>
        <v>0.14583333333575865</v>
      </c>
    </row>
    <row r="195" spans="1:20" x14ac:dyDescent="0.25">
      <c r="A195">
        <v>203</v>
      </c>
      <c r="B195" t="s">
        <v>55</v>
      </c>
      <c r="C195" s="1">
        <v>0.29166666666666669</v>
      </c>
      <c r="D195" s="2">
        <v>45966</v>
      </c>
      <c r="E195" t="s">
        <v>17</v>
      </c>
      <c r="F195" t="s">
        <v>18</v>
      </c>
      <c r="G195" t="s">
        <v>60</v>
      </c>
      <c r="H195" s="1"/>
      <c r="I195" s="1"/>
      <c r="J195" s="2"/>
      <c r="P195" t="s">
        <v>33</v>
      </c>
      <c r="Q195" s="1">
        <f>SEGUIMIENTO_TPM_xlsx[[#This Row],[HORA FIN  INTERVENCIÓN]]-SEGUIMIENTO_TPM_xlsx[[#This Row],[HORA INICIO INTERVENCIÓN]]</f>
        <v>0</v>
      </c>
      <c r="R195" s="20">
        <f>(SEGUIMIENTO_TPM_xlsx[[#This Row],[HORA REPORTE]]+SEGUIMIENTO_TPM_xlsx[[#This Row],[FECHA DE REPORTE]])</f>
        <v>45966.291666666664</v>
      </c>
      <c r="S195" s="20">
        <f>(SEGUIMIENTO_TPM_xlsx[[#This Row],[FECHA DE INTERVENCÓN]]+SEGUIMIENTO_TPM_xlsx[[#This Row],[HORA FIN  INTERVENCIÓN]])</f>
        <v>0</v>
      </c>
      <c r="T195" s="11">
        <f>(SEGUIMIENTO_TPM_xlsx[[#This Row],[FECHA Y HORA FINAL]]-SEGUIMIENTO_TPM_xlsx[[#This Row],[FECHA Y HORA INICIO]])</f>
        <v>-45966.291666666664</v>
      </c>
    </row>
    <row r="196" spans="1:20" x14ac:dyDescent="0.25">
      <c r="A196">
        <v>204</v>
      </c>
      <c r="B196" t="s">
        <v>55</v>
      </c>
      <c r="C196" s="1">
        <v>0.29166666666666669</v>
      </c>
      <c r="D196" s="2">
        <v>45966</v>
      </c>
      <c r="E196" t="s">
        <v>17</v>
      </c>
      <c r="F196" t="s">
        <v>18</v>
      </c>
      <c r="G196" t="s">
        <v>61</v>
      </c>
      <c r="H196" s="1"/>
      <c r="I196" s="1"/>
      <c r="J196" s="2"/>
      <c r="P196" t="s">
        <v>33</v>
      </c>
      <c r="Q196" s="1">
        <f>SEGUIMIENTO_TPM_xlsx[[#This Row],[HORA FIN  INTERVENCIÓN]]-SEGUIMIENTO_TPM_xlsx[[#This Row],[HORA INICIO INTERVENCIÓN]]</f>
        <v>0</v>
      </c>
      <c r="R196" s="20">
        <f>(SEGUIMIENTO_TPM_xlsx[[#This Row],[HORA REPORTE]]+SEGUIMIENTO_TPM_xlsx[[#This Row],[FECHA DE REPORTE]])</f>
        <v>45966.291666666664</v>
      </c>
      <c r="S196" s="20">
        <f>(SEGUIMIENTO_TPM_xlsx[[#This Row],[FECHA DE INTERVENCÓN]]+SEGUIMIENTO_TPM_xlsx[[#This Row],[HORA FIN  INTERVENCIÓN]])</f>
        <v>0</v>
      </c>
      <c r="T196" s="11">
        <f>(SEGUIMIENTO_TPM_xlsx[[#This Row],[FECHA Y HORA FINAL]]-SEGUIMIENTO_TPM_xlsx[[#This Row],[FECHA Y HORA INICIO]])</f>
        <v>-45966.291666666664</v>
      </c>
    </row>
    <row r="197" spans="1:20" x14ac:dyDescent="0.25">
      <c r="A197">
        <v>205</v>
      </c>
      <c r="B197" t="s">
        <v>55</v>
      </c>
      <c r="C197" s="1">
        <v>0.29166666666666669</v>
      </c>
      <c r="D197" s="2">
        <v>45966</v>
      </c>
      <c r="E197" t="s">
        <v>17</v>
      </c>
      <c r="F197" t="s">
        <v>18</v>
      </c>
      <c r="G197" t="s">
        <v>62</v>
      </c>
      <c r="H197" s="1"/>
      <c r="I197" s="1"/>
      <c r="J197" s="2"/>
      <c r="P197" t="s">
        <v>33</v>
      </c>
      <c r="Q197" s="1">
        <f>SEGUIMIENTO_TPM_xlsx[[#This Row],[HORA FIN  INTERVENCIÓN]]-SEGUIMIENTO_TPM_xlsx[[#This Row],[HORA INICIO INTERVENCIÓN]]</f>
        <v>0</v>
      </c>
      <c r="R197" s="20">
        <f>(SEGUIMIENTO_TPM_xlsx[[#This Row],[HORA REPORTE]]+SEGUIMIENTO_TPM_xlsx[[#This Row],[FECHA DE REPORTE]])</f>
        <v>45966.291666666664</v>
      </c>
      <c r="S197" s="20">
        <f>(SEGUIMIENTO_TPM_xlsx[[#This Row],[FECHA DE INTERVENCÓN]]+SEGUIMIENTO_TPM_xlsx[[#This Row],[HORA FIN  INTERVENCIÓN]])</f>
        <v>0</v>
      </c>
      <c r="T197" s="11">
        <f>(SEGUIMIENTO_TPM_xlsx[[#This Row],[FECHA Y HORA FINAL]]-SEGUIMIENTO_TPM_xlsx[[#This Row],[FECHA Y HORA INICIO]])</f>
        <v>-45966.291666666664</v>
      </c>
    </row>
    <row r="198" spans="1:20" x14ac:dyDescent="0.25">
      <c r="A198">
        <v>206</v>
      </c>
      <c r="B198" t="s">
        <v>53</v>
      </c>
      <c r="C198" s="1">
        <v>0.29166666666666669</v>
      </c>
      <c r="D198" s="2">
        <v>45980</v>
      </c>
      <c r="E198" t="s">
        <v>17</v>
      </c>
      <c r="F198" t="s">
        <v>18</v>
      </c>
      <c r="G198" t="s">
        <v>63</v>
      </c>
      <c r="H198" s="1"/>
      <c r="I198" s="1"/>
      <c r="J198" s="2"/>
      <c r="P198" t="s">
        <v>33</v>
      </c>
      <c r="Q198" s="1">
        <f>SEGUIMIENTO_TPM_xlsx[[#This Row],[HORA FIN  INTERVENCIÓN]]-SEGUIMIENTO_TPM_xlsx[[#This Row],[HORA INICIO INTERVENCIÓN]]</f>
        <v>0</v>
      </c>
      <c r="R198" s="20">
        <f>(SEGUIMIENTO_TPM_xlsx[[#This Row],[HORA REPORTE]]+SEGUIMIENTO_TPM_xlsx[[#This Row],[FECHA DE REPORTE]])</f>
        <v>45980.291666666664</v>
      </c>
      <c r="S198" s="20">
        <f>(SEGUIMIENTO_TPM_xlsx[[#This Row],[FECHA DE INTERVENCÓN]]+SEGUIMIENTO_TPM_xlsx[[#This Row],[HORA FIN  INTERVENCIÓN]])</f>
        <v>0</v>
      </c>
      <c r="T198" s="11">
        <f>(SEGUIMIENTO_TPM_xlsx[[#This Row],[FECHA Y HORA FINAL]]-SEGUIMIENTO_TPM_xlsx[[#This Row],[FECHA Y HORA INICIO]])</f>
        <v>-45980.291666666664</v>
      </c>
    </row>
    <row r="199" spans="1:20" x14ac:dyDescent="0.25">
      <c r="A199">
        <v>207</v>
      </c>
      <c r="B199" t="s">
        <v>55</v>
      </c>
      <c r="C199" s="1">
        <v>0.29166666666666669</v>
      </c>
      <c r="D199" s="2">
        <v>45986</v>
      </c>
      <c r="E199" t="s">
        <v>17</v>
      </c>
      <c r="F199" t="s">
        <v>18</v>
      </c>
      <c r="G199" t="s">
        <v>64</v>
      </c>
      <c r="H199" s="1">
        <v>0.29166666666666669</v>
      </c>
      <c r="I199" s="1">
        <v>0.33333333333333331</v>
      </c>
      <c r="J199" s="2">
        <v>46003</v>
      </c>
      <c r="K199" t="s">
        <v>25</v>
      </c>
      <c r="L199" t="s">
        <v>65</v>
      </c>
      <c r="M199" t="s">
        <v>22</v>
      </c>
      <c r="N199" t="s">
        <v>22</v>
      </c>
      <c r="O199" t="s">
        <v>66</v>
      </c>
      <c r="P199" t="s">
        <v>23</v>
      </c>
      <c r="Q199" s="1">
        <f>SEGUIMIENTO_TPM_xlsx[[#This Row],[HORA FIN  INTERVENCIÓN]]-SEGUIMIENTO_TPM_xlsx[[#This Row],[HORA INICIO INTERVENCIÓN]]</f>
        <v>4.166666666666663E-2</v>
      </c>
      <c r="R199" s="20">
        <f>(SEGUIMIENTO_TPM_xlsx[[#This Row],[HORA REPORTE]]+SEGUIMIENTO_TPM_xlsx[[#This Row],[FECHA DE REPORTE]])</f>
        <v>45986.291666666664</v>
      </c>
      <c r="S199" s="20">
        <f>(SEGUIMIENTO_TPM_xlsx[[#This Row],[FECHA DE INTERVENCÓN]]+SEGUIMIENTO_TPM_xlsx[[#This Row],[HORA FIN  INTERVENCIÓN]])</f>
        <v>46003.333333333336</v>
      </c>
      <c r="T199" s="11">
        <f>(SEGUIMIENTO_TPM_xlsx[[#This Row],[FECHA Y HORA FINAL]]-SEGUIMIENTO_TPM_xlsx[[#This Row],[FECHA Y HORA INICIO]])</f>
        <v>17.041666666671517</v>
      </c>
    </row>
    <row r="200" spans="1:20" x14ac:dyDescent="0.25">
      <c r="A200">
        <v>208</v>
      </c>
      <c r="B200" t="s">
        <v>53</v>
      </c>
      <c r="C200" s="1">
        <v>0.64583333333333337</v>
      </c>
      <c r="D200" s="2">
        <v>45983</v>
      </c>
      <c r="E200" t="s">
        <v>17</v>
      </c>
      <c r="F200" t="s">
        <v>18</v>
      </c>
      <c r="G200" t="s">
        <v>67</v>
      </c>
      <c r="H200" s="1">
        <v>0.41666666666666669</v>
      </c>
      <c r="I200" s="1">
        <v>0.5</v>
      </c>
      <c r="J200" s="2">
        <v>45984</v>
      </c>
      <c r="K200" t="s">
        <v>20</v>
      </c>
      <c r="L200" t="s">
        <v>68</v>
      </c>
      <c r="M200" t="s">
        <v>22</v>
      </c>
      <c r="N200" t="s">
        <v>22</v>
      </c>
      <c r="O200" t="s">
        <v>66</v>
      </c>
      <c r="P200" t="s">
        <v>23</v>
      </c>
      <c r="Q200" s="1">
        <f>SEGUIMIENTO_TPM_xlsx[[#This Row],[HORA FIN  INTERVENCIÓN]]-SEGUIMIENTO_TPM_xlsx[[#This Row],[HORA INICIO INTERVENCIÓN]]</f>
        <v>8.3333333333333315E-2</v>
      </c>
      <c r="R200" s="20">
        <f>(SEGUIMIENTO_TPM_xlsx[[#This Row],[HORA REPORTE]]+SEGUIMIENTO_TPM_xlsx[[#This Row],[FECHA DE REPORTE]])</f>
        <v>45983.645833333336</v>
      </c>
      <c r="S200" s="20">
        <f>(SEGUIMIENTO_TPM_xlsx[[#This Row],[FECHA DE INTERVENCÓN]]+SEGUIMIENTO_TPM_xlsx[[#This Row],[HORA FIN  INTERVENCIÓN]])</f>
        <v>45984.5</v>
      </c>
      <c r="T200" s="11">
        <f>(SEGUIMIENTO_TPM_xlsx[[#This Row],[FECHA Y HORA FINAL]]-SEGUIMIENTO_TPM_xlsx[[#This Row],[FECHA Y HORA INICIO]])</f>
        <v>0.85416666666424135</v>
      </c>
    </row>
    <row r="201" spans="1:20" x14ac:dyDescent="0.25">
      <c r="A201">
        <v>209</v>
      </c>
      <c r="B201" t="s">
        <v>55</v>
      </c>
      <c r="C201" s="1">
        <v>0.29166666666666669</v>
      </c>
      <c r="D201" s="2">
        <v>45985</v>
      </c>
      <c r="E201" t="s">
        <v>91</v>
      </c>
      <c r="F201" t="s">
        <v>18</v>
      </c>
      <c r="G201" t="s">
        <v>69</v>
      </c>
      <c r="H201" s="1"/>
      <c r="I201" s="1"/>
      <c r="J201" s="2"/>
      <c r="Q201" s="1">
        <f>SEGUIMIENTO_TPM_xlsx[[#This Row],[HORA FIN  INTERVENCIÓN]]-SEGUIMIENTO_TPM_xlsx[[#This Row],[HORA INICIO INTERVENCIÓN]]</f>
        <v>0</v>
      </c>
      <c r="R201" s="20">
        <f>(SEGUIMIENTO_TPM_xlsx[[#This Row],[HORA REPORTE]]+SEGUIMIENTO_TPM_xlsx[[#This Row],[FECHA DE REPORTE]])</f>
        <v>45985.291666666664</v>
      </c>
      <c r="S201" s="20">
        <f>(SEGUIMIENTO_TPM_xlsx[[#This Row],[FECHA DE INTERVENCÓN]]+SEGUIMIENTO_TPM_xlsx[[#This Row],[HORA FIN  INTERVENCIÓN]])</f>
        <v>0</v>
      </c>
      <c r="T201" s="11">
        <f>(SEGUIMIENTO_TPM_xlsx[[#This Row],[FECHA Y HORA FINAL]]-SEGUIMIENTO_TPM_xlsx[[#This Row],[FECHA Y HORA INICIO]])</f>
        <v>-45985.291666666664</v>
      </c>
    </row>
    <row r="202" spans="1:20" x14ac:dyDescent="0.25">
      <c r="A202">
        <v>210</v>
      </c>
      <c r="B202" t="s">
        <v>55</v>
      </c>
      <c r="C202" s="1">
        <v>0.10416666666666667</v>
      </c>
      <c r="D202" s="2">
        <v>45978</v>
      </c>
      <c r="E202" t="s">
        <v>17</v>
      </c>
      <c r="F202" t="s">
        <v>18</v>
      </c>
      <c r="G202" t="s">
        <v>70</v>
      </c>
      <c r="H202" s="1"/>
      <c r="I202" s="1"/>
      <c r="J202" s="2"/>
      <c r="P202" t="s">
        <v>33</v>
      </c>
      <c r="Q202" s="1">
        <f>SEGUIMIENTO_TPM_xlsx[[#This Row],[HORA FIN  INTERVENCIÓN]]-SEGUIMIENTO_TPM_xlsx[[#This Row],[HORA INICIO INTERVENCIÓN]]</f>
        <v>0</v>
      </c>
      <c r="R202" s="20">
        <f>(SEGUIMIENTO_TPM_xlsx[[#This Row],[HORA REPORTE]]+SEGUIMIENTO_TPM_xlsx[[#This Row],[FECHA DE REPORTE]])</f>
        <v>45978.104166666664</v>
      </c>
      <c r="S202" s="20">
        <f>(SEGUIMIENTO_TPM_xlsx[[#This Row],[FECHA DE INTERVENCÓN]]+SEGUIMIENTO_TPM_xlsx[[#This Row],[HORA FIN  INTERVENCIÓN]])</f>
        <v>0</v>
      </c>
      <c r="T202" s="11">
        <f>(SEGUIMIENTO_TPM_xlsx[[#This Row],[FECHA Y HORA FINAL]]-SEGUIMIENTO_TPM_xlsx[[#This Row],[FECHA Y HORA INICIO]])</f>
        <v>-45978.104166666664</v>
      </c>
    </row>
    <row r="203" spans="1:20" x14ac:dyDescent="0.25">
      <c r="A203">
        <v>211</v>
      </c>
      <c r="B203" t="s">
        <v>53</v>
      </c>
      <c r="C203" s="1">
        <v>0.12847222222222221</v>
      </c>
      <c r="D203" s="2">
        <v>45993</v>
      </c>
      <c r="E203" t="s">
        <v>17</v>
      </c>
      <c r="F203" t="s">
        <v>18</v>
      </c>
      <c r="G203" t="s">
        <v>71</v>
      </c>
      <c r="H203" s="1">
        <v>0.33333333333333331</v>
      </c>
      <c r="I203" s="1">
        <v>0.41666666666666669</v>
      </c>
      <c r="J203" s="2">
        <v>45994</v>
      </c>
      <c r="K203" t="s">
        <v>25</v>
      </c>
      <c r="L203" t="s">
        <v>72</v>
      </c>
      <c r="M203" t="s">
        <v>22</v>
      </c>
      <c r="N203" t="s">
        <v>22</v>
      </c>
      <c r="O203" t="s">
        <v>66</v>
      </c>
      <c r="P203" t="s">
        <v>23</v>
      </c>
      <c r="Q203" s="1">
        <f>SEGUIMIENTO_TPM_xlsx[[#This Row],[HORA FIN  INTERVENCIÓN]]-SEGUIMIENTO_TPM_xlsx[[#This Row],[HORA INICIO INTERVENCIÓN]]</f>
        <v>8.333333333333337E-2</v>
      </c>
      <c r="R203" s="20">
        <f>(SEGUIMIENTO_TPM_xlsx[[#This Row],[HORA REPORTE]]+SEGUIMIENTO_TPM_xlsx[[#This Row],[FECHA DE REPORTE]])</f>
        <v>45993.128472222219</v>
      </c>
      <c r="S203" s="20">
        <f>(SEGUIMIENTO_TPM_xlsx[[#This Row],[FECHA DE INTERVENCÓN]]+SEGUIMIENTO_TPM_xlsx[[#This Row],[HORA FIN  INTERVENCIÓN]])</f>
        <v>45994.416666666664</v>
      </c>
      <c r="T203" s="11">
        <f>(SEGUIMIENTO_TPM_xlsx[[#This Row],[FECHA Y HORA FINAL]]-SEGUIMIENTO_TPM_xlsx[[#This Row],[FECHA Y HORA INICIO]])</f>
        <v>1.2881944444452529</v>
      </c>
    </row>
    <row r="204" spans="1:20" x14ac:dyDescent="0.25">
      <c r="A204">
        <v>212</v>
      </c>
      <c r="B204" t="s">
        <v>55</v>
      </c>
      <c r="C204" s="1">
        <v>0.25</v>
      </c>
      <c r="D204" s="2">
        <v>46002</v>
      </c>
      <c r="E204" t="s">
        <v>17</v>
      </c>
      <c r="F204" t="s">
        <v>18</v>
      </c>
      <c r="G204" t="s">
        <v>73</v>
      </c>
      <c r="H204" s="1">
        <v>0.29166666666666669</v>
      </c>
      <c r="I204" s="1">
        <v>0.375</v>
      </c>
      <c r="J204" s="2">
        <v>46002</v>
      </c>
      <c r="K204" t="s">
        <v>25</v>
      </c>
      <c r="L204" t="s">
        <v>74</v>
      </c>
      <c r="M204" t="s">
        <v>22</v>
      </c>
      <c r="N204" t="s">
        <v>22</v>
      </c>
      <c r="O204" t="s">
        <v>66</v>
      </c>
      <c r="P204" t="s">
        <v>23</v>
      </c>
      <c r="Q204" s="1">
        <f>SEGUIMIENTO_TPM_xlsx[[#This Row],[HORA FIN  INTERVENCIÓN]]-SEGUIMIENTO_TPM_xlsx[[#This Row],[HORA INICIO INTERVENCIÓN]]</f>
        <v>8.3333333333333315E-2</v>
      </c>
      <c r="R204" s="20">
        <f>(SEGUIMIENTO_TPM_xlsx[[#This Row],[HORA REPORTE]]+SEGUIMIENTO_TPM_xlsx[[#This Row],[FECHA DE REPORTE]])</f>
        <v>46002.25</v>
      </c>
      <c r="S204" s="20">
        <f>(SEGUIMIENTO_TPM_xlsx[[#This Row],[FECHA DE INTERVENCÓN]]+SEGUIMIENTO_TPM_xlsx[[#This Row],[HORA FIN  INTERVENCIÓN]])</f>
        <v>46002.375</v>
      </c>
      <c r="T204" s="11">
        <f>(SEGUIMIENTO_TPM_xlsx[[#This Row],[FECHA Y HORA FINAL]]-SEGUIMIENTO_TPM_xlsx[[#This Row],[FECHA Y HORA INICIO]])</f>
        <v>0.125</v>
      </c>
    </row>
    <row r="205" spans="1:20" x14ac:dyDescent="0.25">
      <c r="A205">
        <v>213</v>
      </c>
      <c r="B205" t="s">
        <v>55</v>
      </c>
      <c r="C205" s="1"/>
      <c r="D205" s="2">
        <v>46002</v>
      </c>
      <c r="E205" t="s">
        <v>17</v>
      </c>
      <c r="F205" t="s">
        <v>18</v>
      </c>
      <c r="G205" t="s">
        <v>75</v>
      </c>
      <c r="H205" s="1"/>
      <c r="I205" s="1"/>
      <c r="J205" s="2"/>
      <c r="P205" t="s">
        <v>33</v>
      </c>
      <c r="Q205" s="1">
        <f>SEGUIMIENTO_TPM_xlsx[[#This Row],[HORA FIN  INTERVENCIÓN]]-SEGUIMIENTO_TPM_xlsx[[#This Row],[HORA INICIO INTERVENCIÓN]]</f>
        <v>0</v>
      </c>
      <c r="R205" s="20">
        <f>(SEGUIMIENTO_TPM_xlsx[[#This Row],[HORA REPORTE]]+SEGUIMIENTO_TPM_xlsx[[#This Row],[FECHA DE REPORTE]])</f>
        <v>46002</v>
      </c>
      <c r="S205" s="20">
        <f>(SEGUIMIENTO_TPM_xlsx[[#This Row],[FECHA DE INTERVENCÓN]]+SEGUIMIENTO_TPM_xlsx[[#This Row],[HORA FIN  INTERVENCIÓN]])</f>
        <v>0</v>
      </c>
      <c r="T205" s="11">
        <f>(SEGUIMIENTO_TPM_xlsx[[#This Row],[FECHA Y HORA FINAL]]-SEGUIMIENTO_TPM_xlsx[[#This Row],[FECHA Y HORA INICIO]])</f>
        <v>-46002</v>
      </c>
    </row>
    <row r="206" spans="1:20" x14ac:dyDescent="0.25">
      <c r="A206">
        <v>214</v>
      </c>
      <c r="B206" t="s">
        <v>55</v>
      </c>
      <c r="C206" s="1"/>
      <c r="D206" s="2">
        <v>45703</v>
      </c>
      <c r="E206" t="s">
        <v>17</v>
      </c>
      <c r="F206" t="s">
        <v>18</v>
      </c>
      <c r="G206" t="s">
        <v>76</v>
      </c>
      <c r="H206" s="1"/>
      <c r="I206" s="1"/>
      <c r="J206" s="2"/>
      <c r="P206" t="s">
        <v>33</v>
      </c>
      <c r="Q206" s="1">
        <f>SEGUIMIENTO_TPM_xlsx[[#This Row],[HORA FIN  INTERVENCIÓN]]-SEGUIMIENTO_TPM_xlsx[[#This Row],[HORA INICIO INTERVENCIÓN]]</f>
        <v>0</v>
      </c>
      <c r="R206" s="20">
        <f>(SEGUIMIENTO_TPM_xlsx[[#This Row],[HORA REPORTE]]+SEGUIMIENTO_TPM_xlsx[[#This Row],[FECHA DE REPORTE]])</f>
        <v>45703</v>
      </c>
      <c r="S206" s="20">
        <f>(SEGUIMIENTO_TPM_xlsx[[#This Row],[FECHA DE INTERVENCÓN]]+SEGUIMIENTO_TPM_xlsx[[#This Row],[HORA FIN  INTERVENCIÓN]])</f>
        <v>0</v>
      </c>
      <c r="T206" s="11">
        <f>(SEGUIMIENTO_TPM_xlsx[[#This Row],[FECHA Y HORA FINAL]]-SEGUIMIENTO_TPM_xlsx[[#This Row],[FECHA Y HORA INICIO]])</f>
        <v>-45703</v>
      </c>
    </row>
    <row r="207" spans="1:20" x14ac:dyDescent="0.25">
      <c r="A207">
        <v>215</v>
      </c>
      <c r="B207" t="s">
        <v>55</v>
      </c>
      <c r="C207" s="1"/>
      <c r="D207" s="2">
        <v>46042</v>
      </c>
      <c r="E207" t="s">
        <v>17</v>
      </c>
      <c r="F207" t="s">
        <v>18</v>
      </c>
      <c r="G207" t="s">
        <v>77</v>
      </c>
      <c r="H207" s="1"/>
      <c r="I207" s="1"/>
      <c r="J207" s="2"/>
      <c r="P207" t="s">
        <v>33</v>
      </c>
      <c r="Q207" s="1">
        <f>SEGUIMIENTO_TPM_xlsx[[#This Row],[HORA FIN  INTERVENCIÓN]]-SEGUIMIENTO_TPM_xlsx[[#This Row],[HORA INICIO INTERVENCIÓN]]</f>
        <v>0</v>
      </c>
      <c r="R207" s="20">
        <f>(SEGUIMIENTO_TPM_xlsx[[#This Row],[HORA REPORTE]]+SEGUIMIENTO_TPM_xlsx[[#This Row],[FECHA DE REPORTE]])</f>
        <v>46042</v>
      </c>
      <c r="S207" s="20">
        <f>(SEGUIMIENTO_TPM_xlsx[[#This Row],[FECHA DE INTERVENCÓN]]+SEGUIMIENTO_TPM_xlsx[[#This Row],[HORA FIN  INTERVENCIÓN]])</f>
        <v>0</v>
      </c>
      <c r="T207" s="11">
        <f>(SEGUIMIENTO_TPM_xlsx[[#This Row],[FECHA Y HORA FINAL]]-SEGUIMIENTO_TPM_xlsx[[#This Row],[FECHA Y HORA INICIO]])</f>
        <v>-46042</v>
      </c>
    </row>
    <row r="208" spans="1:20" x14ac:dyDescent="0.25">
      <c r="A208">
        <v>216</v>
      </c>
      <c r="B208" t="s">
        <v>55</v>
      </c>
      <c r="C208" s="1"/>
      <c r="D208" s="2">
        <v>46042</v>
      </c>
      <c r="E208" t="s">
        <v>17</v>
      </c>
      <c r="F208" t="s">
        <v>18</v>
      </c>
      <c r="G208" t="s">
        <v>78</v>
      </c>
      <c r="H208" s="1"/>
      <c r="I208" s="1"/>
      <c r="J208" s="2"/>
      <c r="P208" t="s">
        <v>23</v>
      </c>
      <c r="Q208" s="1">
        <f>SEGUIMIENTO_TPM_xlsx[[#This Row],[HORA FIN  INTERVENCIÓN]]-SEGUIMIENTO_TPM_xlsx[[#This Row],[HORA INICIO INTERVENCIÓN]]</f>
        <v>0</v>
      </c>
      <c r="R208" s="20">
        <f>(SEGUIMIENTO_TPM_xlsx[[#This Row],[HORA REPORTE]]+SEGUIMIENTO_TPM_xlsx[[#This Row],[FECHA DE REPORTE]])</f>
        <v>46042</v>
      </c>
      <c r="S208" s="20">
        <f>(SEGUIMIENTO_TPM_xlsx[[#This Row],[FECHA DE INTERVENCÓN]]+SEGUIMIENTO_TPM_xlsx[[#This Row],[HORA FIN  INTERVENCIÓN]])</f>
        <v>0</v>
      </c>
      <c r="T208" s="11">
        <f>(SEGUIMIENTO_TPM_xlsx[[#This Row],[FECHA Y HORA FINAL]]-SEGUIMIENTO_TPM_xlsx[[#This Row],[FECHA Y HORA INICIO]])</f>
        <v>-46042</v>
      </c>
    </row>
    <row r="209" spans="1:20" x14ac:dyDescent="0.25">
      <c r="A209">
        <v>217</v>
      </c>
      <c r="C209" s="1"/>
      <c r="D209" s="2"/>
      <c r="F209" t="s">
        <v>18</v>
      </c>
      <c r="H209" s="1"/>
      <c r="I209" s="1"/>
      <c r="J209" s="2"/>
      <c r="Q209" s="1">
        <f>SEGUIMIENTO_TPM_xlsx[[#This Row],[HORA FIN  INTERVENCIÓN]]-SEGUIMIENTO_TPM_xlsx[[#This Row],[HORA INICIO INTERVENCIÓN]]</f>
        <v>0</v>
      </c>
      <c r="R209" s="20">
        <f>(SEGUIMIENTO_TPM_xlsx[[#This Row],[HORA REPORTE]]+SEGUIMIENTO_TPM_xlsx[[#This Row],[FECHA DE REPORTE]])</f>
        <v>0</v>
      </c>
      <c r="S209" s="20">
        <f>(SEGUIMIENTO_TPM_xlsx[[#This Row],[FECHA DE INTERVENCÓN]]+SEGUIMIENTO_TPM_xlsx[[#This Row],[HORA FIN  INTERVENCIÓN]])</f>
        <v>0</v>
      </c>
      <c r="T209" s="11">
        <f>(SEGUIMIENTO_TPM_xlsx[[#This Row],[FECHA Y HORA FINAL]]-SEGUIMIENTO_TPM_xlsx[[#This Row],[FECHA Y HORA INICIO]])</f>
        <v>0</v>
      </c>
    </row>
    <row r="210" spans="1:20" x14ac:dyDescent="0.25">
      <c r="A210">
        <v>218</v>
      </c>
      <c r="B210" t="s">
        <v>55</v>
      </c>
      <c r="C210" s="1"/>
      <c r="D210" s="2">
        <v>46051</v>
      </c>
      <c r="E210" t="s">
        <v>17</v>
      </c>
      <c r="F210" t="s">
        <v>18</v>
      </c>
      <c r="G210" t="s">
        <v>79</v>
      </c>
      <c r="H210" s="1"/>
      <c r="I210" s="1"/>
      <c r="J210" s="2"/>
      <c r="P210" t="s">
        <v>33</v>
      </c>
      <c r="Q210" s="1">
        <f>SEGUIMIENTO_TPM_xlsx[[#This Row],[HORA FIN  INTERVENCIÓN]]-SEGUIMIENTO_TPM_xlsx[[#This Row],[HORA INICIO INTERVENCIÓN]]</f>
        <v>0</v>
      </c>
      <c r="R210" s="20">
        <f>(SEGUIMIENTO_TPM_xlsx[[#This Row],[HORA REPORTE]]+SEGUIMIENTO_TPM_xlsx[[#This Row],[FECHA DE REPORTE]])</f>
        <v>46051</v>
      </c>
      <c r="S210" s="20">
        <f>(SEGUIMIENTO_TPM_xlsx[[#This Row],[FECHA DE INTERVENCÓN]]+SEGUIMIENTO_TPM_xlsx[[#This Row],[HORA FIN  INTERVENCIÓN]])</f>
        <v>0</v>
      </c>
      <c r="T210" s="11">
        <f>(SEGUIMIENTO_TPM_xlsx[[#This Row],[FECHA Y HORA FINAL]]-SEGUIMIENTO_TPM_xlsx[[#This Row],[FECHA Y HORA INICIO]])</f>
        <v>-46051</v>
      </c>
    </row>
    <row r="211" spans="1:20" x14ac:dyDescent="0.25">
      <c r="A211">
        <v>219</v>
      </c>
      <c r="B211" t="s">
        <v>55</v>
      </c>
      <c r="C211" s="1"/>
      <c r="D211" s="2">
        <v>46052</v>
      </c>
      <c r="E211" t="s">
        <v>17</v>
      </c>
      <c r="F211" t="s">
        <v>18</v>
      </c>
      <c r="G211" t="s">
        <v>80</v>
      </c>
      <c r="H211" s="1"/>
      <c r="I211" s="1"/>
      <c r="J211" s="2"/>
      <c r="P211" t="s">
        <v>33</v>
      </c>
      <c r="Q211" s="1">
        <f>SEGUIMIENTO_TPM_xlsx[[#This Row],[HORA FIN  INTERVENCIÓN]]-SEGUIMIENTO_TPM_xlsx[[#This Row],[HORA INICIO INTERVENCIÓN]]</f>
        <v>0</v>
      </c>
      <c r="R211" s="20">
        <f>(SEGUIMIENTO_TPM_xlsx[[#This Row],[HORA REPORTE]]+SEGUIMIENTO_TPM_xlsx[[#This Row],[FECHA DE REPORTE]])</f>
        <v>46052</v>
      </c>
      <c r="S211" s="20">
        <f>(SEGUIMIENTO_TPM_xlsx[[#This Row],[FECHA DE INTERVENCÓN]]+SEGUIMIENTO_TPM_xlsx[[#This Row],[HORA FIN  INTERVENCIÓN]])</f>
        <v>0</v>
      </c>
      <c r="T211" s="11">
        <f>(SEGUIMIENTO_TPM_xlsx[[#This Row],[FECHA Y HORA FINAL]]-SEGUIMIENTO_TPM_xlsx[[#This Row],[FECHA Y HORA INICIO]])</f>
        <v>-46052</v>
      </c>
    </row>
    <row r="212" spans="1:20" x14ac:dyDescent="0.25">
      <c r="A212">
        <v>220</v>
      </c>
      <c r="B212" t="s">
        <v>55</v>
      </c>
      <c r="C212" s="1"/>
      <c r="D212" s="2">
        <v>46052</v>
      </c>
      <c r="E212" t="s">
        <v>17</v>
      </c>
      <c r="F212" t="s">
        <v>18</v>
      </c>
      <c r="G212" t="s">
        <v>81</v>
      </c>
      <c r="H212" s="1"/>
      <c r="I212" s="1"/>
      <c r="J212" s="2"/>
      <c r="P212" t="s">
        <v>33</v>
      </c>
      <c r="Q212" s="1">
        <f>SEGUIMIENTO_TPM_xlsx[[#This Row],[HORA FIN  INTERVENCIÓN]]-SEGUIMIENTO_TPM_xlsx[[#This Row],[HORA INICIO INTERVENCIÓN]]</f>
        <v>0</v>
      </c>
      <c r="R212" s="20">
        <f>(SEGUIMIENTO_TPM_xlsx[[#This Row],[HORA REPORTE]]+SEGUIMIENTO_TPM_xlsx[[#This Row],[FECHA DE REPORTE]])</f>
        <v>46052</v>
      </c>
      <c r="S212" s="20">
        <f>(SEGUIMIENTO_TPM_xlsx[[#This Row],[FECHA DE INTERVENCÓN]]+SEGUIMIENTO_TPM_xlsx[[#This Row],[HORA FIN  INTERVENCIÓN]])</f>
        <v>0</v>
      </c>
      <c r="T212" s="11">
        <f>(SEGUIMIENTO_TPM_xlsx[[#This Row],[FECHA Y HORA FINAL]]-SEGUIMIENTO_TPM_xlsx[[#This Row],[FECHA Y HORA INICIO]])</f>
        <v>-46052</v>
      </c>
    </row>
    <row r="213" spans="1:20" x14ac:dyDescent="0.25">
      <c r="A213">
        <v>221</v>
      </c>
      <c r="B213" t="s">
        <v>55</v>
      </c>
      <c r="C213" s="1"/>
      <c r="D213" s="2">
        <v>46025</v>
      </c>
      <c r="E213" t="s">
        <v>17</v>
      </c>
      <c r="F213" t="s">
        <v>18</v>
      </c>
      <c r="G213" t="s">
        <v>82</v>
      </c>
      <c r="H213" s="1"/>
      <c r="I213" s="1"/>
      <c r="J213" s="2"/>
      <c r="P213" t="s">
        <v>33</v>
      </c>
      <c r="Q213" s="1">
        <f>SEGUIMIENTO_TPM_xlsx[[#This Row],[HORA FIN  INTERVENCIÓN]]-SEGUIMIENTO_TPM_xlsx[[#This Row],[HORA INICIO INTERVENCIÓN]]</f>
        <v>0</v>
      </c>
      <c r="R213" s="20">
        <f>(SEGUIMIENTO_TPM_xlsx[[#This Row],[HORA REPORTE]]+SEGUIMIENTO_TPM_xlsx[[#This Row],[FECHA DE REPORTE]])</f>
        <v>46025</v>
      </c>
      <c r="S213" s="20">
        <f>(SEGUIMIENTO_TPM_xlsx[[#This Row],[FECHA DE INTERVENCÓN]]+SEGUIMIENTO_TPM_xlsx[[#This Row],[HORA FIN  INTERVENCIÓN]])</f>
        <v>0</v>
      </c>
      <c r="T213" s="11">
        <f>(SEGUIMIENTO_TPM_xlsx[[#This Row],[FECHA Y HORA FINAL]]-SEGUIMIENTO_TPM_xlsx[[#This Row],[FECHA Y HORA INICIO]])</f>
        <v>-46025</v>
      </c>
    </row>
    <row r="214" spans="1:20" x14ac:dyDescent="0.25">
      <c r="A214">
        <v>222</v>
      </c>
      <c r="B214" t="s">
        <v>83</v>
      </c>
      <c r="C214" s="1"/>
      <c r="D214" s="2">
        <v>46065</v>
      </c>
      <c r="E214" t="s">
        <v>17</v>
      </c>
      <c r="F214" t="s">
        <v>18</v>
      </c>
      <c r="G214" t="s">
        <v>84</v>
      </c>
      <c r="H214" s="1"/>
      <c r="I214" s="1"/>
      <c r="J214" s="2"/>
      <c r="P214" t="s">
        <v>33</v>
      </c>
      <c r="Q214" s="1">
        <f>SEGUIMIENTO_TPM_xlsx[[#This Row],[HORA FIN  INTERVENCIÓN]]-SEGUIMIENTO_TPM_xlsx[[#This Row],[HORA INICIO INTERVENCIÓN]]</f>
        <v>0</v>
      </c>
      <c r="R214" s="20">
        <f>(SEGUIMIENTO_TPM_xlsx[[#This Row],[HORA REPORTE]]+SEGUIMIENTO_TPM_xlsx[[#This Row],[FECHA DE REPORTE]])</f>
        <v>46065</v>
      </c>
      <c r="S214" s="20">
        <f>(SEGUIMIENTO_TPM_xlsx[[#This Row],[FECHA DE INTERVENCÓN]]+SEGUIMIENTO_TPM_xlsx[[#This Row],[HORA FIN  INTERVENCIÓN]])</f>
        <v>0</v>
      </c>
      <c r="T214" s="11">
        <f>(SEGUIMIENTO_TPM_xlsx[[#This Row],[FECHA Y HORA FINAL]]-SEGUIMIENTO_TPM_xlsx[[#This Row],[FECHA Y HORA INICIO]])</f>
        <v>-46065</v>
      </c>
    </row>
    <row r="215" spans="1:20" x14ac:dyDescent="0.25">
      <c r="A215">
        <v>223</v>
      </c>
      <c r="B215" t="s">
        <v>55</v>
      </c>
      <c r="C215" s="1"/>
      <c r="D215" s="2">
        <v>46066</v>
      </c>
      <c r="E215" t="s">
        <v>91</v>
      </c>
      <c r="F215" t="s">
        <v>18</v>
      </c>
      <c r="G215" t="s">
        <v>86</v>
      </c>
      <c r="H215" s="1"/>
      <c r="I215" s="1"/>
      <c r="J215" s="2"/>
      <c r="P215" t="s">
        <v>33</v>
      </c>
      <c r="Q215" s="1">
        <f>SEGUIMIENTO_TPM_xlsx[[#This Row],[HORA FIN  INTERVENCIÓN]]-SEGUIMIENTO_TPM_xlsx[[#This Row],[HORA INICIO INTERVENCIÓN]]</f>
        <v>0</v>
      </c>
      <c r="R215" s="20">
        <f>(SEGUIMIENTO_TPM_xlsx[[#This Row],[HORA REPORTE]]+SEGUIMIENTO_TPM_xlsx[[#This Row],[FECHA DE REPORTE]])</f>
        <v>46066</v>
      </c>
      <c r="S215" s="20">
        <f>(SEGUIMIENTO_TPM_xlsx[[#This Row],[FECHA DE INTERVENCÓN]]+SEGUIMIENTO_TPM_xlsx[[#This Row],[HORA FIN  INTERVENCIÓN]])</f>
        <v>0</v>
      </c>
      <c r="T215" s="11">
        <f>(SEGUIMIENTO_TPM_xlsx[[#This Row],[FECHA Y HORA FINAL]]-SEGUIMIENTO_TPM_xlsx[[#This Row],[FECHA Y HORA INICIO]])</f>
        <v>-46066</v>
      </c>
    </row>
    <row r="216" spans="1:20" x14ac:dyDescent="0.25">
      <c r="A216">
        <v>224</v>
      </c>
      <c r="B216" t="s">
        <v>55</v>
      </c>
      <c r="C216" s="1"/>
      <c r="D216" s="2">
        <v>46066</v>
      </c>
      <c r="E216" t="s">
        <v>87</v>
      </c>
      <c r="F216" t="s">
        <v>18</v>
      </c>
      <c r="G216" t="s">
        <v>88</v>
      </c>
      <c r="H216" s="1"/>
      <c r="I216" s="1"/>
      <c r="J216" s="2"/>
      <c r="P216" t="s">
        <v>33</v>
      </c>
      <c r="Q216" s="1">
        <f>SEGUIMIENTO_TPM_xlsx[[#This Row],[HORA FIN  INTERVENCIÓN]]-SEGUIMIENTO_TPM_xlsx[[#This Row],[HORA INICIO INTERVENCIÓN]]</f>
        <v>0</v>
      </c>
      <c r="R216" s="20">
        <f>(SEGUIMIENTO_TPM_xlsx[[#This Row],[HORA REPORTE]]+SEGUIMIENTO_TPM_xlsx[[#This Row],[FECHA DE REPORTE]])</f>
        <v>46066</v>
      </c>
      <c r="S216" s="20">
        <f>(SEGUIMIENTO_TPM_xlsx[[#This Row],[FECHA DE INTERVENCÓN]]+SEGUIMIENTO_TPM_xlsx[[#This Row],[HORA FIN  INTERVENCIÓN]])</f>
        <v>0</v>
      </c>
      <c r="T216" s="11">
        <f>(SEGUIMIENTO_TPM_xlsx[[#This Row],[FECHA Y HORA FINAL]]-SEGUIMIENTO_TPM_xlsx[[#This Row],[FECHA Y HORA INICIO]])</f>
        <v>-46066</v>
      </c>
    </row>
    <row r="217" spans="1:20" x14ac:dyDescent="0.25">
      <c r="A217">
        <v>225</v>
      </c>
      <c r="B217" t="s">
        <v>55</v>
      </c>
      <c r="C217" s="1"/>
      <c r="D217" s="2">
        <v>46070</v>
      </c>
      <c r="E217" t="s">
        <v>17</v>
      </c>
      <c r="F217" t="s">
        <v>18</v>
      </c>
      <c r="G217" t="s">
        <v>89</v>
      </c>
      <c r="H217" s="1"/>
      <c r="I217" s="1"/>
      <c r="J217" s="2"/>
      <c r="P217" t="s">
        <v>33</v>
      </c>
      <c r="Q217" s="1">
        <f>SEGUIMIENTO_TPM_xlsx[[#This Row],[HORA FIN  INTERVENCIÓN]]-SEGUIMIENTO_TPM_xlsx[[#This Row],[HORA INICIO INTERVENCIÓN]]</f>
        <v>0</v>
      </c>
      <c r="R217" s="20">
        <f>(SEGUIMIENTO_TPM_xlsx[[#This Row],[HORA REPORTE]]+SEGUIMIENTO_TPM_xlsx[[#This Row],[FECHA DE REPORTE]])</f>
        <v>46070</v>
      </c>
      <c r="S217" s="20">
        <f>(SEGUIMIENTO_TPM_xlsx[[#This Row],[FECHA DE INTERVENCÓN]]+SEGUIMIENTO_TPM_xlsx[[#This Row],[HORA FIN  INTERVENCIÓN]])</f>
        <v>0</v>
      </c>
      <c r="T217" s="11">
        <f>(SEGUIMIENTO_TPM_xlsx[[#This Row],[FECHA Y HORA FINAL]]-SEGUIMIENTO_TPM_xlsx[[#This Row],[FECHA Y HORA INICIO]])</f>
        <v>-46070</v>
      </c>
    </row>
    <row r="218" spans="1:20" x14ac:dyDescent="0.25">
      <c r="A218">
        <v>226</v>
      </c>
      <c r="B218" t="s">
        <v>55</v>
      </c>
      <c r="C218" s="1"/>
      <c r="D218" s="2">
        <v>46070</v>
      </c>
      <c r="E218" t="s">
        <v>17</v>
      </c>
      <c r="F218" t="s">
        <v>18</v>
      </c>
      <c r="G218" t="s">
        <v>90</v>
      </c>
      <c r="H218" s="1"/>
      <c r="I218" s="1"/>
      <c r="J218" s="2"/>
      <c r="P218" t="s">
        <v>33</v>
      </c>
      <c r="Q218" s="1">
        <f>SEGUIMIENTO_TPM_xlsx[[#This Row],[HORA FIN  INTERVENCIÓN]]-SEGUIMIENTO_TPM_xlsx[[#This Row],[HORA INICIO INTERVENCIÓN]]</f>
        <v>0</v>
      </c>
      <c r="R218" s="20">
        <f>(SEGUIMIENTO_TPM_xlsx[[#This Row],[HORA REPORTE]]+SEGUIMIENTO_TPM_xlsx[[#This Row],[FECHA DE REPORTE]])</f>
        <v>46070</v>
      </c>
      <c r="S218" s="20">
        <f>(SEGUIMIENTO_TPM_xlsx[[#This Row],[FECHA DE INTERVENCÓN]]+SEGUIMIENTO_TPM_xlsx[[#This Row],[HORA FIN  INTERVENCIÓN]])</f>
        <v>0</v>
      </c>
      <c r="T218" s="11">
        <f>(SEGUIMIENTO_TPM_xlsx[[#This Row],[FECHA Y HORA FINAL]]-SEGUIMIENTO_TPM_xlsx[[#This Row],[FECHA Y HORA INICIO]])</f>
        <v>-46070</v>
      </c>
    </row>
    <row r="219" spans="1:20" x14ac:dyDescent="0.25">
      <c r="A219">
        <v>227</v>
      </c>
      <c r="B219" t="s">
        <v>55</v>
      </c>
      <c r="C219" s="1"/>
      <c r="D219" s="2">
        <v>46087</v>
      </c>
      <c r="E219" t="s">
        <v>91</v>
      </c>
      <c r="F219" t="s">
        <v>18</v>
      </c>
      <c r="G219" t="s">
        <v>92</v>
      </c>
      <c r="H219" s="1"/>
      <c r="I219" s="1"/>
      <c r="J219" s="2"/>
      <c r="Q219" s="1">
        <f>SEGUIMIENTO_TPM_xlsx[[#This Row],[HORA FIN  INTERVENCIÓN]]-SEGUIMIENTO_TPM_xlsx[[#This Row],[HORA INICIO INTERVENCIÓN]]</f>
        <v>0</v>
      </c>
      <c r="R219" s="20">
        <f>(SEGUIMIENTO_TPM_xlsx[[#This Row],[HORA REPORTE]]+SEGUIMIENTO_TPM_xlsx[[#This Row],[FECHA DE REPORTE]])</f>
        <v>46087</v>
      </c>
      <c r="S219" s="20">
        <f>(SEGUIMIENTO_TPM_xlsx[[#This Row],[FECHA DE INTERVENCÓN]]+SEGUIMIENTO_TPM_xlsx[[#This Row],[HORA FIN  INTERVENCIÓN]])</f>
        <v>0</v>
      </c>
      <c r="T219" s="11">
        <f>(SEGUIMIENTO_TPM_xlsx[[#This Row],[FECHA Y HORA FINAL]]-SEGUIMIENTO_TPM_xlsx[[#This Row],[FECHA Y HORA INICIO]])</f>
        <v>-46087</v>
      </c>
    </row>
    <row r="220" spans="1:20" x14ac:dyDescent="0.25">
      <c r="A220">
        <v>228</v>
      </c>
      <c r="C220" s="1"/>
      <c r="D220" s="2"/>
      <c r="H220" s="1"/>
      <c r="I220" s="1"/>
      <c r="J220" s="2"/>
      <c r="Q220" s="1">
        <f>SEGUIMIENTO_TPM_xlsx[[#This Row],[HORA FIN  INTERVENCIÓN]]-SEGUIMIENTO_TPM_xlsx[[#This Row],[HORA INICIO INTERVENCIÓN]]</f>
        <v>0</v>
      </c>
      <c r="R220" s="20">
        <f>(SEGUIMIENTO_TPM_xlsx[[#This Row],[HORA REPORTE]]+SEGUIMIENTO_TPM_xlsx[[#This Row],[FECHA DE REPORTE]])</f>
        <v>0</v>
      </c>
      <c r="S220" s="20">
        <f>(SEGUIMIENTO_TPM_xlsx[[#This Row],[FECHA DE INTERVENCÓN]]+SEGUIMIENTO_TPM_xlsx[[#This Row],[HORA FIN  INTERVENCIÓN]])</f>
        <v>0</v>
      </c>
      <c r="T220" s="11">
        <f>(SEGUIMIENTO_TPM_xlsx[[#This Row],[FECHA Y HORA FINAL]]-SEGUIMIENTO_TPM_xlsx[[#This Row],[FECHA Y HORA INICIO]])</f>
        <v>0</v>
      </c>
    </row>
    <row r="221" spans="1:20" x14ac:dyDescent="0.25">
      <c r="A221">
        <v>229</v>
      </c>
      <c r="B221" t="s">
        <v>695</v>
      </c>
      <c r="C221" s="1">
        <v>0.15555555555555556</v>
      </c>
      <c r="D221" s="2">
        <v>46126</v>
      </c>
      <c r="E221" t="s">
        <v>17</v>
      </c>
      <c r="F221" t="s">
        <v>18</v>
      </c>
      <c r="G221" t="s">
        <v>1907</v>
      </c>
      <c r="H221" s="1"/>
      <c r="I221" s="1"/>
      <c r="J221" s="2"/>
      <c r="P221" t="s">
        <v>33</v>
      </c>
      <c r="Q221" s="1">
        <f>SEGUIMIENTO_TPM_xlsx[[#This Row],[HORA FIN  INTERVENCIÓN]]-SEGUIMIENTO_TPM_xlsx[[#This Row],[HORA INICIO INTERVENCIÓN]]</f>
        <v>0</v>
      </c>
      <c r="R221" s="20">
        <f>(SEGUIMIENTO_TPM_xlsx[[#This Row],[HORA REPORTE]]+SEGUIMIENTO_TPM_xlsx[[#This Row],[FECHA DE REPORTE]])</f>
        <v>46126.155555555553</v>
      </c>
      <c r="S221" s="20">
        <f>(SEGUIMIENTO_TPM_xlsx[[#This Row],[FECHA DE INTERVENCÓN]]+SEGUIMIENTO_TPM_xlsx[[#This Row],[HORA FIN  INTERVENCIÓN]])</f>
        <v>0</v>
      </c>
      <c r="T221" s="11">
        <f>(SEGUIMIENTO_TPM_xlsx[[#This Row],[FECHA Y HORA FINAL]]-SEGUIMIENTO_TPM_xlsx[[#This Row],[FECHA Y HORA INICIO]])</f>
        <v>-46126.155555555553</v>
      </c>
    </row>
    <row r="222" spans="1:20" x14ac:dyDescent="0.25">
      <c r="A222">
        <v>230</v>
      </c>
      <c r="B222" t="s">
        <v>55</v>
      </c>
      <c r="C222" s="1"/>
      <c r="D222" s="2">
        <v>46136</v>
      </c>
      <c r="E222" t="s">
        <v>17</v>
      </c>
      <c r="F222" t="s">
        <v>18</v>
      </c>
      <c r="G222" t="s">
        <v>2010</v>
      </c>
      <c r="H222" s="1"/>
      <c r="I222" s="1"/>
      <c r="J222" s="2"/>
      <c r="P222" t="s">
        <v>33</v>
      </c>
      <c r="Q222" s="1">
        <f>SEGUIMIENTO_TPM_xlsx[[#This Row],[HORA FIN  INTERVENCIÓN]]-SEGUIMIENTO_TPM_xlsx[[#This Row],[HORA INICIO INTERVENCIÓN]]</f>
        <v>0</v>
      </c>
      <c r="R222" s="20">
        <f>(SEGUIMIENTO_TPM_xlsx[[#This Row],[HORA REPORTE]]+SEGUIMIENTO_TPM_xlsx[[#This Row],[FECHA DE REPORTE]])</f>
        <v>46136</v>
      </c>
      <c r="S222" s="20">
        <f>(SEGUIMIENTO_TPM_xlsx[[#This Row],[FECHA DE INTERVENCÓN]]+SEGUIMIENTO_TPM_xlsx[[#This Row],[HORA FIN  INTERVENCIÓN]])</f>
        <v>0</v>
      </c>
      <c r="T222" s="11">
        <f>(SEGUIMIENTO_TPM_xlsx[[#This Row],[FECHA Y HORA FINAL]]-SEGUIMIENTO_TPM_xlsx[[#This Row],[FECHA Y HORA INICIO]])</f>
        <v>-46136</v>
      </c>
    </row>
    <row r="223" spans="1:20" x14ac:dyDescent="0.25">
      <c r="A223">
        <v>231</v>
      </c>
      <c r="C223" s="1"/>
      <c r="D223" s="2"/>
      <c r="H223" s="1"/>
      <c r="I223" s="1"/>
      <c r="J223" s="2"/>
      <c r="Q223" s="1">
        <f>SEGUIMIENTO_TPM_xlsx[[#This Row],[HORA FIN  INTERVENCIÓN]]-SEGUIMIENTO_TPM_xlsx[[#This Row],[HORA INICIO INTERVENCIÓN]]</f>
        <v>0</v>
      </c>
      <c r="R223" s="20">
        <f>(SEGUIMIENTO_TPM_xlsx[[#This Row],[HORA REPORTE]]+SEGUIMIENTO_TPM_xlsx[[#This Row],[FECHA DE REPORTE]])</f>
        <v>0</v>
      </c>
      <c r="S223" s="20">
        <f>(SEGUIMIENTO_TPM_xlsx[[#This Row],[FECHA DE INTERVENCÓN]]+SEGUIMIENTO_TPM_xlsx[[#This Row],[HORA FIN  INTERVENCIÓN]])</f>
        <v>0</v>
      </c>
      <c r="T223" s="11">
        <f>(SEGUIMIENTO_TPM_xlsx[[#This Row],[FECHA Y HORA FINAL]]-SEGUIMIENTO_TPM_xlsx[[#This Row],[FECHA Y HORA INICIO]])</f>
        <v>0</v>
      </c>
    </row>
    <row r="224" spans="1:20" x14ac:dyDescent="0.25">
      <c r="A224">
        <v>232</v>
      </c>
      <c r="C224" s="1"/>
      <c r="D224" s="2"/>
      <c r="H224" s="1"/>
      <c r="I224" s="1"/>
      <c r="J224" s="2"/>
      <c r="Q224" s="1">
        <f>SEGUIMIENTO_TPM_xlsx[[#This Row],[HORA FIN  INTERVENCIÓN]]-SEGUIMIENTO_TPM_xlsx[[#This Row],[HORA INICIO INTERVENCIÓN]]</f>
        <v>0</v>
      </c>
      <c r="R224" s="20">
        <f>(SEGUIMIENTO_TPM_xlsx[[#This Row],[HORA REPORTE]]+SEGUIMIENTO_TPM_xlsx[[#This Row],[FECHA DE REPORTE]])</f>
        <v>0</v>
      </c>
      <c r="S224" s="20">
        <f>(SEGUIMIENTO_TPM_xlsx[[#This Row],[FECHA DE INTERVENCÓN]]+SEGUIMIENTO_TPM_xlsx[[#This Row],[HORA FIN  INTERVENCIÓN]])</f>
        <v>0</v>
      </c>
      <c r="T224" s="11">
        <f>(SEGUIMIENTO_TPM_xlsx[[#This Row],[FECHA Y HORA FINAL]]-SEGUIMIENTO_TPM_xlsx[[#This Row],[FECHA Y HORA INICIO]])</f>
        <v>0</v>
      </c>
    </row>
    <row r="225" spans="1:20" x14ac:dyDescent="0.25">
      <c r="A225">
        <v>233</v>
      </c>
      <c r="C225" s="1"/>
      <c r="D225" s="2"/>
      <c r="H225" s="1"/>
      <c r="I225" s="1"/>
      <c r="J225" s="2"/>
      <c r="Q225" s="1">
        <f>SEGUIMIENTO_TPM_xlsx[[#This Row],[HORA FIN  INTERVENCIÓN]]-SEGUIMIENTO_TPM_xlsx[[#This Row],[HORA INICIO INTERVENCIÓN]]</f>
        <v>0</v>
      </c>
      <c r="R225" s="20">
        <f>(SEGUIMIENTO_TPM_xlsx[[#This Row],[HORA REPORTE]]+SEGUIMIENTO_TPM_xlsx[[#This Row],[FECHA DE REPORTE]])</f>
        <v>0</v>
      </c>
      <c r="S225" s="20">
        <f>(SEGUIMIENTO_TPM_xlsx[[#This Row],[FECHA DE INTERVENCÓN]]+SEGUIMIENTO_TPM_xlsx[[#This Row],[HORA FIN  INTERVENCIÓN]])</f>
        <v>0</v>
      </c>
      <c r="T225" s="11">
        <f>(SEGUIMIENTO_TPM_xlsx[[#This Row],[FECHA Y HORA FINAL]]-SEGUIMIENTO_TPM_xlsx[[#This Row],[FECHA Y HORA INICIO]])</f>
        <v>0</v>
      </c>
    </row>
    <row r="226" spans="1:20" x14ac:dyDescent="0.25">
      <c r="A226">
        <v>234</v>
      </c>
      <c r="C226" s="1"/>
      <c r="D226" s="2"/>
      <c r="H226" s="1"/>
      <c r="I226" s="1"/>
      <c r="J226" s="2"/>
      <c r="Q226" s="1">
        <f>SEGUIMIENTO_TPM_xlsx[[#This Row],[HORA FIN  INTERVENCIÓN]]-SEGUIMIENTO_TPM_xlsx[[#This Row],[HORA INICIO INTERVENCIÓN]]</f>
        <v>0</v>
      </c>
      <c r="R226" s="20">
        <f>(SEGUIMIENTO_TPM_xlsx[[#This Row],[HORA REPORTE]]+SEGUIMIENTO_TPM_xlsx[[#This Row],[FECHA DE REPORTE]])</f>
        <v>0</v>
      </c>
      <c r="S226" s="20">
        <f>(SEGUIMIENTO_TPM_xlsx[[#This Row],[FECHA DE INTERVENCÓN]]+SEGUIMIENTO_TPM_xlsx[[#This Row],[HORA FIN  INTERVENCIÓN]])</f>
        <v>0</v>
      </c>
      <c r="T226" s="11">
        <f>(SEGUIMIENTO_TPM_xlsx[[#This Row],[FECHA Y HORA FINAL]]-SEGUIMIENTO_TPM_xlsx[[#This Row],[FECHA Y HORA INICIO]])</f>
        <v>0</v>
      </c>
    </row>
    <row r="227" spans="1:20" x14ac:dyDescent="0.25">
      <c r="A227">
        <v>235</v>
      </c>
      <c r="C227" s="1"/>
      <c r="D227" s="2"/>
      <c r="H227" s="1"/>
      <c r="I227" s="1"/>
      <c r="J227" s="2"/>
      <c r="Q227" s="1">
        <f>SEGUIMIENTO_TPM_xlsx[[#This Row],[HORA FIN  INTERVENCIÓN]]-SEGUIMIENTO_TPM_xlsx[[#This Row],[HORA INICIO INTERVENCIÓN]]</f>
        <v>0</v>
      </c>
      <c r="R227" s="20">
        <f>(SEGUIMIENTO_TPM_xlsx[[#This Row],[HORA REPORTE]]+SEGUIMIENTO_TPM_xlsx[[#This Row],[FECHA DE REPORTE]])</f>
        <v>0</v>
      </c>
      <c r="S227" s="20">
        <f>(SEGUIMIENTO_TPM_xlsx[[#This Row],[FECHA DE INTERVENCÓN]]+SEGUIMIENTO_TPM_xlsx[[#This Row],[HORA FIN  INTERVENCIÓN]])</f>
        <v>0</v>
      </c>
      <c r="T227" s="11">
        <f>(SEGUIMIENTO_TPM_xlsx[[#This Row],[FECHA Y HORA FINAL]]-SEGUIMIENTO_TPM_xlsx[[#This Row],[FECHA Y HORA INICIO]])</f>
        <v>0</v>
      </c>
    </row>
    <row r="228" spans="1:20" x14ac:dyDescent="0.25">
      <c r="A228">
        <v>236</v>
      </c>
      <c r="C228" s="1"/>
      <c r="D228" s="2"/>
      <c r="H228" s="1"/>
      <c r="I228" s="1"/>
      <c r="J228" s="2"/>
      <c r="Q228" s="1">
        <f>SEGUIMIENTO_TPM_xlsx[[#This Row],[HORA FIN  INTERVENCIÓN]]-SEGUIMIENTO_TPM_xlsx[[#This Row],[HORA INICIO INTERVENCIÓN]]</f>
        <v>0</v>
      </c>
      <c r="R228" s="20">
        <f>(SEGUIMIENTO_TPM_xlsx[[#This Row],[HORA REPORTE]]+SEGUIMIENTO_TPM_xlsx[[#This Row],[FECHA DE REPORTE]])</f>
        <v>0</v>
      </c>
      <c r="S228" s="20">
        <f>(SEGUIMIENTO_TPM_xlsx[[#This Row],[FECHA DE INTERVENCÓN]]+SEGUIMIENTO_TPM_xlsx[[#This Row],[HORA FIN  INTERVENCIÓN]])</f>
        <v>0</v>
      </c>
      <c r="T228" s="11">
        <f>(SEGUIMIENTO_TPM_xlsx[[#This Row],[FECHA Y HORA FINAL]]-SEGUIMIENTO_TPM_xlsx[[#This Row],[FECHA Y HORA INICIO]])</f>
        <v>0</v>
      </c>
    </row>
    <row r="229" spans="1:20" x14ac:dyDescent="0.25">
      <c r="A229">
        <v>237</v>
      </c>
      <c r="C229" s="1"/>
      <c r="D229" s="2"/>
      <c r="H229" s="1"/>
      <c r="I229" s="1"/>
      <c r="J229" s="2"/>
      <c r="Q229" s="1">
        <f>SEGUIMIENTO_TPM_xlsx[[#This Row],[HORA FIN  INTERVENCIÓN]]-SEGUIMIENTO_TPM_xlsx[[#This Row],[HORA INICIO INTERVENCIÓN]]</f>
        <v>0</v>
      </c>
      <c r="R229" s="20">
        <f>(SEGUIMIENTO_TPM_xlsx[[#This Row],[HORA REPORTE]]+SEGUIMIENTO_TPM_xlsx[[#This Row],[FECHA DE REPORTE]])</f>
        <v>0</v>
      </c>
      <c r="S229" s="20">
        <f>(SEGUIMIENTO_TPM_xlsx[[#This Row],[FECHA DE INTERVENCÓN]]+SEGUIMIENTO_TPM_xlsx[[#This Row],[HORA FIN  INTERVENCIÓN]])</f>
        <v>0</v>
      </c>
      <c r="T229" s="11">
        <f>(SEGUIMIENTO_TPM_xlsx[[#This Row],[FECHA Y HORA FINAL]]-SEGUIMIENTO_TPM_xlsx[[#This Row],[FECHA Y HORA INICIO]])</f>
        <v>0</v>
      </c>
    </row>
    <row r="230" spans="1:20" x14ac:dyDescent="0.25">
      <c r="A230">
        <v>238</v>
      </c>
      <c r="C230" s="1"/>
      <c r="D230" s="2"/>
      <c r="H230" s="1"/>
      <c r="I230" s="1"/>
      <c r="J230" s="2"/>
      <c r="Q230" s="1">
        <f>SEGUIMIENTO_TPM_xlsx[[#This Row],[HORA FIN  INTERVENCIÓN]]-SEGUIMIENTO_TPM_xlsx[[#This Row],[HORA INICIO INTERVENCIÓN]]</f>
        <v>0</v>
      </c>
      <c r="R230" s="20">
        <f>(SEGUIMIENTO_TPM_xlsx[[#This Row],[HORA REPORTE]]+SEGUIMIENTO_TPM_xlsx[[#This Row],[FECHA DE REPORTE]])</f>
        <v>0</v>
      </c>
      <c r="S230" s="20">
        <f>(SEGUIMIENTO_TPM_xlsx[[#This Row],[FECHA DE INTERVENCÓN]]+SEGUIMIENTO_TPM_xlsx[[#This Row],[HORA FIN  INTERVENCIÓN]])</f>
        <v>0</v>
      </c>
      <c r="T230" s="11">
        <f>(SEGUIMIENTO_TPM_xlsx[[#This Row],[FECHA Y HORA FINAL]]-SEGUIMIENTO_TPM_xlsx[[#This Row],[FECHA Y HORA INICIO]])</f>
        <v>0</v>
      </c>
    </row>
    <row r="231" spans="1:20" x14ac:dyDescent="0.25">
      <c r="A231">
        <v>239</v>
      </c>
      <c r="C231" s="1"/>
      <c r="D231" s="2"/>
      <c r="H231" s="1"/>
      <c r="I231" s="1"/>
      <c r="J231" s="2"/>
      <c r="Q231" s="1">
        <f>SEGUIMIENTO_TPM_xlsx[[#This Row],[HORA FIN  INTERVENCIÓN]]-SEGUIMIENTO_TPM_xlsx[[#This Row],[HORA INICIO INTERVENCIÓN]]</f>
        <v>0</v>
      </c>
      <c r="R231" s="20">
        <f>(SEGUIMIENTO_TPM_xlsx[[#This Row],[HORA REPORTE]]+SEGUIMIENTO_TPM_xlsx[[#This Row],[FECHA DE REPORTE]])</f>
        <v>0</v>
      </c>
      <c r="S231" s="20">
        <f>(SEGUIMIENTO_TPM_xlsx[[#This Row],[FECHA DE INTERVENCÓN]]+SEGUIMIENTO_TPM_xlsx[[#This Row],[HORA FIN  INTERVENCIÓN]])</f>
        <v>0</v>
      </c>
      <c r="T231" s="11">
        <f>(SEGUIMIENTO_TPM_xlsx[[#This Row],[FECHA Y HORA FINAL]]-SEGUIMIENTO_TPM_xlsx[[#This Row],[FECHA Y HORA INICIO]])</f>
        <v>0</v>
      </c>
    </row>
    <row r="232" spans="1:20" x14ac:dyDescent="0.25">
      <c r="A232">
        <v>240</v>
      </c>
      <c r="C232" s="1"/>
      <c r="D232" s="2"/>
      <c r="H232" s="1"/>
      <c r="I232" s="1"/>
      <c r="J232" s="2"/>
      <c r="Q232" s="1">
        <f>SEGUIMIENTO_TPM_xlsx[[#This Row],[HORA FIN  INTERVENCIÓN]]-SEGUIMIENTO_TPM_xlsx[[#This Row],[HORA INICIO INTERVENCIÓN]]</f>
        <v>0</v>
      </c>
      <c r="R232" s="20">
        <f>(SEGUIMIENTO_TPM_xlsx[[#This Row],[HORA REPORTE]]+SEGUIMIENTO_TPM_xlsx[[#This Row],[FECHA DE REPORTE]])</f>
        <v>0</v>
      </c>
      <c r="S232" s="20">
        <f>(SEGUIMIENTO_TPM_xlsx[[#This Row],[FECHA DE INTERVENCÓN]]+SEGUIMIENTO_TPM_xlsx[[#This Row],[HORA FIN  INTERVENCIÓN]])</f>
        <v>0</v>
      </c>
      <c r="T232" s="11">
        <f>(SEGUIMIENTO_TPM_xlsx[[#This Row],[FECHA Y HORA FINAL]]-SEGUIMIENTO_TPM_xlsx[[#This Row],[FECHA Y HORA INICIO]])</f>
        <v>0</v>
      </c>
    </row>
    <row r="233" spans="1:20" x14ac:dyDescent="0.25">
      <c r="A233">
        <v>241</v>
      </c>
      <c r="C233" s="1"/>
      <c r="D233" s="2"/>
      <c r="H233" s="1"/>
      <c r="I233" s="1"/>
      <c r="J233" s="2"/>
      <c r="Q233" s="1">
        <f>SEGUIMIENTO_TPM_xlsx[[#This Row],[HORA FIN  INTERVENCIÓN]]-SEGUIMIENTO_TPM_xlsx[[#This Row],[HORA INICIO INTERVENCIÓN]]</f>
        <v>0</v>
      </c>
      <c r="R233" s="20">
        <f>(SEGUIMIENTO_TPM_xlsx[[#This Row],[HORA REPORTE]]+SEGUIMIENTO_TPM_xlsx[[#This Row],[FECHA DE REPORTE]])</f>
        <v>0</v>
      </c>
      <c r="S233" s="20">
        <f>(SEGUIMIENTO_TPM_xlsx[[#This Row],[FECHA DE INTERVENCÓN]]+SEGUIMIENTO_TPM_xlsx[[#This Row],[HORA FIN  INTERVENCIÓN]])</f>
        <v>0</v>
      </c>
      <c r="T233" s="11">
        <f>(SEGUIMIENTO_TPM_xlsx[[#This Row],[FECHA Y HORA FINAL]]-SEGUIMIENTO_TPM_xlsx[[#This Row],[FECHA Y HORA INICIO]])</f>
        <v>0</v>
      </c>
    </row>
    <row r="234" spans="1:20" x14ac:dyDescent="0.25">
      <c r="A234">
        <v>242</v>
      </c>
      <c r="C234" s="1"/>
      <c r="D234" s="2"/>
      <c r="H234" s="1"/>
      <c r="I234" s="1"/>
      <c r="J234" s="2"/>
      <c r="Q234" s="1">
        <f>SEGUIMIENTO_TPM_xlsx[[#This Row],[HORA FIN  INTERVENCIÓN]]-SEGUIMIENTO_TPM_xlsx[[#This Row],[HORA INICIO INTERVENCIÓN]]</f>
        <v>0</v>
      </c>
      <c r="R234" s="20">
        <f>(SEGUIMIENTO_TPM_xlsx[[#This Row],[HORA REPORTE]]+SEGUIMIENTO_TPM_xlsx[[#This Row],[FECHA DE REPORTE]])</f>
        <v>0</v>
      </c>
      <c r="S234" s="20">
        <f>(SEGUIMIENTO_TPM_xlsx[[#This Row],[FECHA DE INTERVENCÓN]]+SEGUIMIENTO_TPM_xlsx[[#This Row],[HORA FIN  INTERVENCIÓN]])</f>
        <v>0</v>
      </c>
      <c r="T234" s="11">
        <f>(SEGUIMIENTO_TPM_xlsx[[#This Row],[FECHA Y HORA FINAL]]-SEGUIMIENTO_TPM_xlsx[[#This Row],[FECHA Y HORA INICIO]])</f>
        <v>0</v>
      </c>
    </row>
    <row r="235" spans="1:20" x14ac:dyDescent="0.25">
      <c r="A235">
        <v>243</v>
      </c>
      <c r="C235" s="1"/>
      <c r="D235" s="2"/>
      <c r="H235" s="1"/>
      <c r="I235" s="1"/>
      <c r="J235" s="2"/>
      <c r="Q235" s="1">
        <f>SEGUIMIENTO_TPM_xlsx[[#This Row],[HORA FIN  INTERVENCIÓN]]-SEGUIMIENTO_TPM_xlsx[[#This Row],[HORA INICIO INTERVENCIÓN]]</f>
        <v>0</v>
      </c>
      <c r="R235" s="20">
        <f>(SEGUIMIENTO_TPM_xlsx[[#This Row],[HORA REPORTE]]+SEGUIMIENTO_TPM_xlsx[[#This Row],[FECHA DE REPORTE]])</f>
        <v>0</v>
      </c>
      <c r="S235" s="20">
        <f>(SEGUIMIENTO_TPM_xlsx[[#This Row],[FECHA DE INTERVENCÓN]]+SEGUIMIENTO_TPM_xlsx[[#This Row],[HORA FIN  INTERVENCIÓN]])</f>
        <v>0</v>
      </c>
      <c r="T235" s="11">
        <f>(SEGUIMIENTO_TPM_xlsx[[#This Row],[FECHA Y HORA FINAL]]-SEGUIMIENTO_TPM_xlsx[[#This Row],[FECHA Y HORA INICIO]])</f>
        <v>0</v>
      </c>
    </row>
    <row r="236" spans="1:20" x14ac:dyDescent="0.25">
      <c r="A236">
        <v>244</v>
      </c>
      <c r="C236" s="1"/>
      <c r="D236" s="2"/>
      <c r="H236" s="1"/>
      <c r="I236" s="1"/>
      <c r="J236" s="2"/>
      <c r="Q236" s="1">
        <f>SEGUIMIENTO_TPM_xlsx[[#This Row],[HORA FIN  INTERVENCIÓN]]-SEGUIMIENTO_TPM_xlsx[[#This Row],[HORA INICIO INTERVENCIÓN]]</f>
        <v>0</v>
      </c>
      <c r="R236" s="20">
        <f>(SEGUIMIENTO_TPM_xlsx[[#This Row],[HORA REPORTE]]+SEGUIMIENTO_TPM_xlsx[[#This Row],[FECHA DE REPORTE]])</f>
        <v>0</v>
      </c>
      <c r="S236" s="20">
        <f>(SEGUIMIENTO_TPM_xlsx[[#This Row],[FECHA DE INTERVENCÓN]]+SEGUIMIENTO_TPM_xlsx[[#This Row],[HORA FIN  INTERVENCIÓN]])</f>
        <v>0</v>
      </c>
      <c r="T236" s="11">
        <f>(SEGUIMIENTO_TPM_xlsx[[#This Row],[FECHA Y HORA FINAL]]-SEGUIMIENTO_TPM_xlsx[[#This Row],[FECHA Y HORA INICIO]])</f>
        <v>0</v>
      </c>
    </row>
    <row r="237" spans="1:20" x14ac:dyDescent="0.25">
      <c r="A237">
        <v>245</v>
      </c>
      <c r="C237" s="1"/>
      <c r="D237" s="2"/>
      <c r="H237" s="1"/>
      <c r="I237" s="1"/>
      <c r="J237" s="2"/>
      <c r="Q237" s="1">
        <f>SEGUIMIENTO_TPM_xlsx[[#This Row],[HORA FIN  INTERVENCIÓN]]-SEGUIMIENTO_TPM_xlsx[[#This Row],[HORA INICIO INTERVENCIÓN]]</f>
        <v>0</v>
      </c>
      <c r="R237" s="20">
        <f>(SEGUIMIENTO_TPM_xlsx[[#This Row],[HORA REPORTE]]+SEGUIMIENTO_TPM_xlsx[[#This Row],[FECHA DE REPORTE]])</f>
        <v>0</v>
      </c>
      <c r="S237" s="20">
        <f>(SEGUIMIENTO_TPM_xlsx[[#This Row],[FECHA DE INTERVENCÓN]]+SEGUIMIENTO_TPM_xlsx[[#This Row],[HORA FIN  INTERVENCIÓN]])</f>
        <v>0</v>
      </c>
      <c r="T237" s="11">
        <f>(SEGUIMIENTO_TPM_xlsx[[#This Row],[FECHA Y HORA FINAL]]-SEGUIMIENTO_TPM_xlsx[[#This Row],[FECHA Y HORA INICIO]])</f>
        <v>0</v>
      </c>
    </row>
    <row r="238" spans="1:20" x14ac:dyDescent="0.25">
      <c r="A238">
        <v>246</v>
      </c>
      <c r="C238" s="1"/>
      <c r="D238" s="2"/>
      <c r="H238" s="1"/>
      <c r="I238" s="1"/>
      <c r="J238" s="2"/>
      <c r="Q238" s="1">
        <f>SEGUIMIENTO_TPM_xlsx[[#This Row],[HORA FIN  INTERVENCIÓN]]-SEGUIMIENTO_TPM_xlsx[[#This Row],[HORA INICIO INTERVENCIÓN]]</f>
        <v>0</v>
      </c>
      <c r="R238" s="20">
        <f>(SEGUIMIENTO_TPM_xlsx[[#This Row],[HORA REPORTE]]+SEGUIMIENTO_TPM_xlsx[[#This Row],[FECHA DE REPORTE]])</f>
        <v>0</v>
      </c>
      <c r="S238" s="20">
        <f>(SEGUIMIENTO_TPM_xlsx[[#This Row],[FECHA DE INTERVENCÓN]]+SEGUIMIENTO_TPM_xlsx[[#This Row],[HORA FIN  INTERVENCIÓN]])</f>
        <v>0</v>
      </c>
      <c r="T238" s="11">
        <f>(SEGUIMIENTO_TPM_xlsx[[#This Row],[FECHA Y HORA FINAL]]-SEGUIMIENTO_TPM_xlsx[[#This Row],[FECHA Y HORA INICIO]])</f>
        <v>0</v>
      </c>
    </row>
    <row r="239" spans="1:20" x14ac:dyDescent="0.25">
      <c r="A239">
        <v>247</v>
      </c>
      <c r="C239" s="1"/>
      <c r="D239" s="2"/>
      <c r="H239" s="1"/>
      <c r="I239" s="1"/>
      <c r="J239" s="2"/>
      <c r="Q239" s="1">
        <f>SEGUIMIENTO_TPM_xlsx[[#This Row],[HORA FIN  INTERVENCIÓN]]-SEGUIMIENTO_TPM_xlsx[[#This Row],[HORA INICIO INTERVENCIÓN]]</f>
        <v>0</v>
      </c>
      <c r="R239" s="20">
        <f>(SEGUIMIENTO_TPM_xlsx[[#This Row],[HORA REPORTE]]+SEGUIMIENTO_TPM_xlsx[[#This Row],[FECHA DE REPORTE]])</f>
        <v>0</v>
      </c>
      <c r="S239" s="20">
        <f>(SEGUIMIENTO_TPM_xlsx[[#This Row],[FECHA DE INTERVENCÓN]]+SEGUIMIENTO_TPM_xlsx[[#This Row],[HORA FIN  INTERVENCIÓN]])</f>
        <v>0</v>
      </c>
      <c r="T239" s="11">
        <f>(SEGUIMIENTO_TPM_xlsx[[#This Row],[FECHA Y HORA FINAL]]-SEGUIMIENTO_TPM_xlsx[[#This Row],[FECHA Y HORA INICIO]])</f>
        <v>0</v>
      </c>
    </row>
    <row r="240" spans="1:20" x14ac:dyDescent="0.25">
      <c r="A240">
        <v>248</v>
      </c>
      <c r="C240" s="1"/>
      <c r="D240" s="2"/>
      <c r="H240" s="1"/>
      <c r="I240" s="1"/>
      <c r="J240" s="2"/>
      <c r="Q240" s="1">
        <f>SEGUIMIENTO_TPM_xlsx[[#This Row],[HORA FIN  INTERVENCIÓN]]-SEGUIMIENTO_TPM_xlsx[[#This Row],[HORA INICIO INTERVENCIÓN]]</f>
        <v>0</v>
      </c>
      <c r="R240" s="20">
        <f>(SEGUIMIENTO_TPM_xlsx[[#This Row],[HORA REPORTE]]+SEGUIMIENTO_TPM_xlsx[[#This Row],[FECHA DE REPORTE]])</f>
        <v>0</v>
      </c>
      <c r="S240" s="20">
        <f>(SEGUIMIENTO_TPM_xlsx[[#This Row],[FECHA DE INTERVENCÓN]]+SEGUIMIENTO_TPM_xlsx[[#This Row],[HORA FIN  INTERVENCIÓN]])</f>
        <v>0</v>
      </c>
      <c r="T240" s="11">
        <f>(SEGUIMIENTO_TPM_xlsx[[#This Row],[FECHA Y HORA FINAL]]-SEGUIMIENTO_TPM_xlsx[[#This Row],[FECHA Y HORA INICIO]])</f>
        <v>0</v>
      </c>
    </row>
    <row r="241" spans="1:20" x14ac:dyDescent="0.25">
      <c r="A241">
        <v>249</v>
      </c>
      <c r="C241" s="1"/>
      <c r="D241" s="2"/>
      <c r="H241" s="1"/>
      <c r="I241" s="1"/>
      <c r="J241" s="2"/>
      <c r="Q241" s="1">
        <f>SEGUIMIENTO_TPM_xlsx[[#This Row],[HORA FIN  INTERVENCIÓN]]-SEGUIMIENTO_TPM_xlsx[[#This Row],[HORA INICIO INTERVENCIÓN]]</f>
        <v>0</v>
      </c>
      <c r="R241" s="20">
        <f>(SEGUIMIENTO_TPM_xlsx[[#This Row],[HORA REPORTE]]+SEGUIMIENTO_TPM_xlsx[[#This Row],[FECHA DE REPORTE]])</f>
        <v>0</v>
      </c>
      <c r="S241" s="20">
        <f>(SEGUIMIENTO_TPM_xlsx[[#This Row],[FECHA DE INTERVENCÓN]]+SEGUIMIENTO_TPM_xlsx[[#This Row],[HORA FIN  INTERVENCIÓN]])</f>
        <v>0</v>
      </c>
      <c r="T241" s="11">
        <f>(SEGUIMIENTO_TPM_xlsx[[#This Row],[FECHA Y HORA FINAL]]-SEGUIMIENTO_TPM_xlsx[[#This Row],[FECHA Y HORA INICIO]])</f>
        <v>0</v>
      </c>
    </row>
    <row r="242" spans="1:20" x14ac:dyDescent="0.25">
      <c r="A242">
        <v>250</v>
      </c>
      <c r="C242" s="1"/>
      <c r="D242" s="2"/>
      <c r="H242" s="1"/>
      <c r="I242" s="1"/>
      <c r="J242" s="2"/>
      <c r="Q242" s="1">
        <f>SEGUIMIENTO_TPM_xlsx[[#This Row],[HORA FIN  INTERVENCIÓN]]-SEGUIMIENTO_TPM_xlsx[[#This Row],[HORA INICIO INTERVENCIÓN]]</f>
        <v>0</v>
      </c>
      <c r="R242" s="20">
        <f>(SEGUIMIENTO_TPM_xlsx[[#This Row],[HORA REPORTE]]+SEGUIMIENTO_TPM_xlsx[[#This Row],[FECHA DE REPORTE]])</f>
        <v>0</v>
      </c>
      <c r="S242" s="20">
        <f>(SEGUIMIENTO_TPM_xlsx[[#This Row],[FECHA DE INTERVENCÓN]]+SEGUIMIENTO_TPM_xlsx[[#This Row],[HORA FIN  INTERVENCIÓN]])</f>
        <v>0</v>
      </c>
      <c r="T242" s="11">
        <f>(SEGUIMIENTO_TPM_xlsx[[#This Row],[FECHA Y HORA FINAL]]-SEGUIMIENTO_TPM_xlsx[[#This Row],[FECHA Y HORA INICIO]])</f>
        <v>0</v>
      </c>
    </row>
    <row r="243" spans="1:20" x14ac:dyDescent="0.25">
      <c r="A243">
        <v>251</v>
      </c>
      <c r="C243" s="1"/>
      <c r="D243" s="2"/>
      <c r="H243" s="1"/>
      <c r="I243" s="1"/>
      <c r="J243" s="2"/>
      <c r="Q243" s="1">
        <f>SEGUIMIENTO_TPM_xlsx[[#This Row],[HORA FIN  INTERVENCIÓN]]-SEGUIMIENTO_TPM_xlsx[[#This Row],[HORA INICIO INTERVENCIÓN]]</f>
        <v>0</v>
      </c>
      <c r="R243" s="20">
        <f>(SEGUIMIENTO_TPM_xlsx[[#This Row],[HORA REPORTE]]+SEGUIMIENTO_TPM_xlsx[[#This Row],[FECHA DE REPORTE]])</f>
        <v>0</v>
      </c>
      <c r="S243" s="20">
        <f>(SEGUIMIENTO_TPM_xlsx[[#This Row],[FECHA DE INTERVENCÓN]]+SEGUIMIENTO_TPM_xlsx[[#This Row],[HORA FIN  INTERVENCIÓN]])</f>
        <v>0</v>
      </c>
      <c r="T243" s="11">
        <f>(SEGUIMIENTO_TPM_xlsx[[#This Row],[FECHA Y HORA FINAL]]-SEGUIMIENTO_TPM_xlsx[[#This Row],[FECHA Y HORA INICIO]])</f>
        <v>0</v>
      </c>
    </row>
    <row r="244" spans="1:20" x14ac:dyDescent="0.25">
      <c r="A244">
        <v>252</v>
      </c>
      <c r="C244" s="1"/>
      <c r="D244" s="2"/>
      <c r="H244" s="1"/>
      <c r="I244" s="1"/>
      <c r="J244" s="2"/>
      <c r="Q244" s="1">
        <f>SEGUIMIENTO_TPM_xlsx[[#This Row],[HORA FIN  INTERVENCIÓN]]-SEGUIMIENTO_TPM_xlsx[[#This Row],[HORA INICIO INTERVENCIÓN]]</f>
        <v>0</v>
      </c>
      <c r="R244" s="20">
        <f>(SEGUIMIENTO_TPM_xlsx[[#This Row],[HORA REPORTE]]+SEGUIMIENTO_TPM_xlsx[[#This Row],[FECHA DE REPORTE]])</f>
        <v>0</v>
      </c>
      <c r="S244" s="20">
        <f>(SEGUIMIENTO_TPM_xlsx[[#This Row],[FECHA DE INTERVENCÓN]]+SEGUIMIENTO_TPM_xlsx[[#This Row],[HORA FIN  INTERVENCIÓN]])</f>
        <v>0</v>
      </c>
      <c r="T244" s="11">
        <f>(SEGUIMIENTO_TPM_xlsx[[#This Row],[FECHA Y HORA FINAL]]-SEGUIMIENTO_TPM_xlsx[[#This Row],[FECHA Y HORA INICIO]])</f>
        <v>0</v>
      </c>
    </row>
    <row r="245" spans="1:20" x14ac:dyDescent="0.25">
      <c r="A245">
        <v>253</v>
      </c>
      <c r="C245" s="1"/>
      <c r="D245" s="2"/>
      <c r="H245" s="1"/>
      <c r="I245" s="1"/>
      <c r="J245" s="2"/>
      <c r="Q245" s="1">
        <f>SEGUIMIENTO_TPM_xlsx[[#This Row],[HORA FIN  INTERVENCIÓN]]-SEGUIMIENTO_TPM_xlsx[[#This Row],[HORA INICIO INTERVENCIÓN]]</f>
        <v>0</v>
      </c>
      <c r="R245" s="20">
        <f>(SEGUIMIENTO_TPM_xlsx[[#This Row],[HORA REPORTE]]+SEGUIMIENTO_TPM_xlsx[[#This Row],[FECHA DE REPORTE]])</f>
        <v>0</v>
      </c>
      <c r="S245" s="20">
        <f>(SEGUIMIENTO_TPM_xlsx[[#This Row],[FECHA DE INTERVENCÓN]]+SEGUIMIENTO_TPM_xlsx[[#This Row],[HORA FIN  INTERVENCIÓN]])</f>
        <v>0</v>
      </c>
      <c r="T245" s="11">
        <f>(SEGUIMIENTO_TPM_xlsx[[#This Row],[FECHA Y HORA FINAL]]-SEGUIMIENTO_TPM_xlsx[[#This Row],[FECHA Y HORA INICIO]])</f>
        <v>0</v>
      </c>
    </row>
    <row r="246" spans="1:20" x14ac:dyDescent="0.25">
      <c r="A246">
        <v>254</v>
      </c>
      <c r="C246" s="1"/>
      <c r="D246" s="2"/>
      <c r="H246" s="1"/>
      <c r="I246" s="1"/>
      <c r="J246" s="2"/>
      <c r="Q246" s="1">
        <f>SEGUIMIENTO_TPM_xlsx[[#This Row],[HORA FIN  INTERVENCIÓN]]-SEGUIMIENTO_TPM_xlsx[[#This Row],[HORA INICIO INTERVENCIÓN]]</f>
        <v>0</v>
      </c>
      <c r="R246" s="20">
        <f>(SEGUIMIENTO_TPM_xlsx[[#This Row],[HORA REPORTE]]+SEGUIMIENTO_TPM_xlsx[[#This Row],[FECHA DE REPORTE]])</f>
        <v>0</v>
      </c>
      <c r="S246" s="20">
        <f>(SEGUIMIENTO_TPM_xlsx[[#This Row],[FECHA DE INTERVENCÓN]]+SEGUIMIENTO_TPM_xlsx[[#This Row],[HORA FIN  INTERVENCIÓN]])</f>
        <v>0</v>
      </c>
      <c r="T246" s="11">
        <f>(SEGUIMIENTO_TPM_xlsx[[#This Row],[FECHA Y HORA FINAL]]-SEGUIMIENTO_TPM_xlsx[[#This Row],[FECHA Y HORA INICIO]])</f>
        <v>0</v>
      </c>
    </row>
    <row r="247" spans="1:20" x14ac:dyDescent="0.25">
      <c r="A247">
        <v>255</v>
      </c>
      <c r="C247" s="1"/>
      <c r="D247" s="2"/>
      <c r="H247" s="1"/>
      <c r="I247" s="1"/>
      <c r="J247" s="2"/>
      <c r="Q247" s="1">
        <f>SEGUIMIENTO_TPM_xlsx[[#This Row],[HORA FIN  INTERVENCIÓN]]-SEGUIMIENTO_TPM_xlsx[[#This Row],[HORA INICIO INTERVENCIÓN]]</f>
        <v>0</v>
      </c>
      <c r="R247" s="20">
        <f>(SEGUIMIENTO_TPM_xlsx[[#This Row],[HORA REPORTE]]+SEGUIMIENTO_TPM_xlsx[[#This Row],[FECHA DE REPORTE]])</f>
        <v>0</v>
      </c>
      <c r="S247" s="20">
        <f>(SEGUIMIENTO_TPM_xlsx[[#This Row],[FECHA DE INTERVENCÓN]]+SEGUIMIENTO_TPM_xlsx[[#This Row],[HORA FIN  INTERVENCIÓN]])</f>
        <v>0</v>
      </c>
      <c r="T247" s="11">
        <f>(SEGUIMIENTO_TPM_xlsx[[#This Row],[FECHA Y HORA FINAL]]-SEGUIMIENTO_TPM_xlsx[[#This Row],[FECHA Y HORA INICIO]])</f>
        <v>0</v>
      </c>
    </row>
    <row r="248" spans="1:20" x14ac:dyDescent="0.25">
      <c r="A248">
        <v>256</v>
      </c>
      <c r="C248" s="1"/>
      <c r="D248" s="2"/>
      <c r="H248" s="1"/>
      <c r="I248" s="1"/>
      <c r="J248" s="2"/>
      <c r="Q248" s="1">
        <f>SEGUIMIENTO_TPM_xlsx[[#This Row],[HORA FIN  INTERVENCIÓN]]-SEGUIMIENTO_TPM_xlsx[[#This Row],[HORA INICIO INTERVENCIÓN]]</f>
        <v>0</v>
      </c>
      <c r="R248" s="20">
        <f>(SEGUIMIENTO_TPM_xlsx[[#This Row],[HORA REPORTE]]+SEGUIMIENTO_TPM_xlsx[[#This Row],[FECHA DE REPORTE]])</f>
        <v>0</v>
      </c>
      <c r="S248" s="20">
        <f>(SEGUIMIENTO_TPM_xlsx[[#This Row],[FECHA DE INTERVENCÓN]]+SEGUIMIENTO_TPM_xlsx[[#This Row],[HORA FIN  INTERVENCIÓN]])</f>
        <v>0</v>
      </c>
      <c r="T248" s="11">
        <f>(SEGUIMIENTO_TPM_xlsx[[#This Row],[FECHA Y HORA FINAL]]-SEGUIMIENTO_TPM_xlsx[[#This Row],[FECHA Y HORA INICIO]])</f>
        <v>0</v>
      </c>
    </row>
    <row r="249" spans="1:20" x14ac:dyDescent="0.25">
      <c r="A249">
        <v>257</v>
      </c>
      <c r="C249" s="1"/>
      <c r="D249" s="2"/>
      <c r="H249" s="1"/>
      <c r="I249" s="1"/>
      <c r="J249" s="2"/>
      <c r="Q249" s="1">
        <f>SEGUIMIENTO_TPM_xlsx[[#This Row],[HORA FIN  INTERVENCIÓN]]-SEGUIMIENTO_TPM_xlsx[[#This Row],[HORA INICIO INTERVENCIÓN]]</f>
        <v>0</v>
      </c>
      <c r="R249" s="20">
        <f>(SEGUIMIENTO_TPM_xlsx[[#This Row],[HORA REPORTE]]+SEGUIMIENTO_TPM_xlsx[[#This Row],[FECHA DE REPORTE]])</f>
        <v>0</v>
      </c>
      <c r="S249" s="20">
        <f>(SEGUIMIENTO_TPM_xlsx[[#This Row],[FECHA DE INTERVENCÓN]]+SEGUIMIENTO_TPM_xlsx[[#This Row],[HORA FIN  INTERVENCIÓN]])</f>
        <v>0</v>
      </c>
      <c r="T249" s="11">
        <f>(SEGUIMIENTO_TPM_xlsx[[#This Row],[FECHA Y HORA FINAL]]-SEGUIMIENTO_TPM_xlsx[[#This Row],[FECHA Y HORA INICIO]])</f>
        <v>0</v>
      </c>
    </row>
    <row r="250" spans="1:20" x14ac:dyDescent="0.25">
      <c r="A250">
        <v>258</v>
      </c>
      <c r="C250" s="1"/>
      <c r="D250" s="2"/>
      <c r="H250" s="1"/>
      <c r="I250" s="1"/>
      <c r="J250" s="2"/>
      <c r="Q250" s="1">
        <f>SEGUIMIENTO_TPM_xlsx[[#This Row],[HORA FIN  INTERVENCIÓN]]-SEGUIMIENTO_TPM_xlsx[[#This Row],[HORA INICIO INTERVENCIÓN]]</f>
        <v>0</v>
      </c>
      <c r="R250" s="20">
        <f>(SEGUIMIENTO_TPM_xlsx[[#This Row],[HORA REPORTE]]+SEGUIMIENTO_TPM_xlsx[[#This Row],[FECHA DE REPORTE]])</f>
        <v>0</v>
      </c>
      <c r="S250" s="20">
        <f>(SEGUIMIENTO_TPM_xlsx[[#This Row],[FECHA DE INTERVENCÓN]]+SEGUIMIENTO_TPM_xlsx[[#This Row],[HORA FIN  INTERVENCIÓN]])</f>
        <v>0</v>
      </c>
      <c r="T250" s="11">
        <f>(SEGUIMIENTO_TPM_xlsx[[#This Row],[FECHA Y HORA FINAL]]-SEGUIMIENTO_TPM_xlsx[[#This Row],[FECHA Y HORA INICIO]])</f>
        <v>0</v>
      </c>
    </row>
    <row r="251" spans="1:20" x14ac:dyDescent="0.25">
      <c r="A251">
        <v>259</v>
      </c>
      <c r="C251" s="1"/>
      <c r="D251" s="2"/>
      <c r="H251" s="1"/>
      <c r="I251" s="1"/>
      <c r="J251" s="2"/>
      <c r="Q251" s="1">
        <f>SEGUIMIENTO_TPM_xlsx[[#This Row],[HORA FIN  INTERVENCIÓN]]-SEGUIMIENTO_TPM_xlsx[[#This Row],[HORA INICIO INTERVENCIÓN]]</f>
        <v>0</v>
      </c>
      <c r="R251" s="20">
        <f>(SEGUIMIENTO_TPM_xlsx[[#This Row],[HORA REPORTE]]+SEGUIMIENTO_TPM_xlsx[[#This Row],[FECHA DE REPORTE]])</f>
        <v>0</v>
      </c>
      <c r="S251" s="20">
        <f>(SEGUIMIENTO_TPM_xlsx[[#This Row],[FECHA DE INTERVENCÓN]]+SEGUIMIENTO_TPM_xlsx[[#This Row],[HORA FIN  INTERVENCIÓN]])</f>
        <v>0</v>
      </c>
      <c r="T251" s="11">
        <f>(SEGUIMIENTO_TPM_xlsx[[#This Row],[FECHA Y HORA FINAL]]-SEGUIMIENTO_TPM_xlsx[[#This Row],[FECHA Y HORA INICIO]])</f>
        <v>0</v>
      </c>
    </row>
    <row r="252" spans="1:20" x14ac:dyDescent="0.25">
      <c r="A252">
        <v>260</v>
      </c>
      <c r="C252" s="1"/>
      <c r="D252" s="2"/>
      <c r="H252" s="1"/>
      <c r="I252" s="1"/>
      <c r="J252" s="2"/>
      <c r="Q252" s="1">
        <f>SEGUIMIENTO_TPM_xlsx[[#This Row],[HORA FIN  INTERVENCIÓN]]-SEGUIMIENTO_TPM_xlsx[[#This Row],[HORA INICIO INTERVENCIÓN]]</f>
        <v>0</v>
      </c>
      <c r="R252" s="20">
        <f>(SEGUIMIENTO_TPM_xlsx[[#This Row],[HORA REPORTE]]+SEGUIMIENTO_TPM_xlsx[[#This Row],[FECHA DE REPORTE]])</f>
        <v>0</v>
      </c>
      <c r="S252" s="20">
        <f>(SEGUIMIENTO_TPM_xlsx[[#This Row],[FECHA DE INTERVENCÓN]]+SEGUIMIENTO_TPM_xlsx[[#This Row],[HORA FIN  INTERVENCIÓN]])</f>
        <v>0</v>
      </c>
      <c r="T252" s="11">
        <f>(SEGUIMIENTO_TPM_xlsx[[#This Row],[FECHA Y HORA FINAL]]-SEGUIMIENTO_TPM_xlsx[[#This Row],[FECHA Y HORA INICIO]])</f>
        <v>0</v>
      </c>
    </row>
    <row r="253" spans="1:20" x14ac:dyDescent="0.25">
      <c r="A253">
        <v>261</v>
      </c>
      <c r="C253" s="1"/>
      <c r="D253" s="2"/>
      <c r="H253" s="1"/>
      <c r="I253" s="1"/>
      <c r="J253" s="2"/>
      <c r="Q253" s="1">
        <f>SEGUIMIENTO_TPM_xlsx[[#This Row],[HORA FIN  INTERVENCIÓN]]-SEGUIMIENTO_TPM_xlsx[[#This Row],[HORA INICIO INTERVENCIÓN]]</f>
        <v>0</v>
      </c>
      <c r="R253" s="20">
        <f>(SEGUIMIENTO_TPM_xlsx[[#This Row],[HORA REPORTE]]+SEGUIMIENTO_TPM_xlsx[[#This Row],[FECHA DE REPORTE]])</f>
        <v>0</v>
      </c>
      <c r="S253" s="20">
        <f>(SEGUIMIENTO_TPM_xlsx[[#This Row],[FECHA DE INTERVENCÓN]]+SEGUIMIENTO_TPM_xlsx[[#This Row],[HORA FIN  INTERVENCIÓN]])</f>
        <v>0</v>
      </c>
      <c r="T253" s="11">
        <f>(SEGUIMIENTO_TPM_xlsx[[#This Row],[FECHA Y HORA FINAL]]-SEGUIMIENTO_TPM_xlsx[[#This Row],[FECHA Y HORA INICIO]])</f>
        <v>0</v>
      </c>
    </row>
    <row r="254" spans="1:20" x14ac:dyDescent="0.25">
      <c r="A254">
        <v>262</v>
      </c>
      <c r="C254" s="1"/>
      <c r="D254" s="2"/>
      <c r="H254" s="1"/>
      <c r="I254" s="1"/>
      <c r="J254" s="2"/>
      <c r="Q254" s="1">
        <f>SEGUIMIENTO_TPM_xlsx[[#This Row],[HORA FIN  INTERVENCIÓN]]-SEGUIMIENTO_TPM_xlsx[[#This Row],[HORA INICIO INTERVENCIÓN]]</f>
        <v>0</v>
      </c>
      <c r="R254" s="20">
        <f>(SEGUIMIENTO_TPM_xlsx[[#This Row],[HORA REPORTE]]+SEGUIMIENTO_TPM_xlsx[[#This Row],[FECHA DE REPORTE]])</f>
        <v>0</v>
      </c>
      <c r="S254" s="20">
        <f>(SEGUIMIENTO_TPM_xlsx[[#This Row],[FECHA DE INTERVENCÓN]]+SEGUIMIENTO_TPM_xlsx[[#This Row],[HORA FIN  INTERVENCIÓN]])</f>
        <v>0</v>
      </c>
      <c r="T254" s="11">
        <f>(SEGUIMIENTO_TPM_xlsx[[#This Row],[FECHA Y HORA FINAL]]-SEGUIMIENTO_TPM_xlsx[[#This Row],[FECHA Y HORA INICIO]])</f>
        <v>0</v>
      </c>
    </row>
    <row r="255" spans="1:20" x14ac:dyDescent="0.25">
      <c r="A255">
        <v>263</v>
      </c>
      <c r="C255" s="1"/>
      <c r="D255" s="2"/>
      <c r="H255" s="1"/>
      <c r="I255" s="1"/>
      <c r="J255" s="2"/>
      <c r="Q255" s="1">
        <f>SEGUIMIENTO_TPM_xlsx[[#This Row],[HORA FIN  INTERVENCIÓN]]-SEGUIMIENTO_TPM_xlsx[[#This Row],[HORA INICIO INTERVENCIÓN]]</f>
        <v>0</v>
      </c>
      <c r="R255" s="20">
        <f>(SEGUIMIENTO_TPM_xlsx[[#This Row],[HORA REPORTE]]+SEGUIMIENTO_TPM_xlsx[[#This Row],[FECHA DE REPORTE]])</f>
        <v>0</v>
      </c>
      <c r="S255" s="20">
        <f>(SEGUIMIENTO_TPM_xlsx[[#This Row],[FECHA DE INTERVENCÓN]]+SEGUIMIENTO_TPM_xlsx[[#This Row],[HORA FIN  INTERVENCIÓN]])</f>
        <v>0</v>
      </c>
      <c r="T255" s="11">
        <f>(SEGUIMIENTO_TPM_xlsx[[#This Row],[FECHA Y HORA FINAL]]-SEGUIMIENTO_TPM_xlsx[[#This Row],[FECHA Y HORA INICIO]])</f>
        <v>0</v>
      </c>
    </row>
    <row r="256" spans="1:20" x14ac:dyDescent="0.25">
      <c r="A256">
        <v>264</v>
      </c>
      <c r="C256" s="1"/>
      <c r="D256" s="2"/>
      <c r="H256" s="1"/>
      <c r="I256" s="1"/>
      <c r="J256" s="2"/>
      <c r="Q256" s="1">
        <f>SEGUIMIENTO_TPM_xlsx[[#This Row],[HORA FIN  INTERVENCIÓN]]-SEGUIMIENTO_TPM_xlsx[[#This Row],[HORA INICIO INTERVENCIÓN]]</f>
        <v>0</v>
      </c>
      <c r="R256" s="20">
        <f>(SEGUIMIENTO_TPM_xlsx[[#This Row],[HORA REPORTE]]+SEGUIMIENTO_TPM_xlsx[[#This Row],[FECHA DE REPORTE]])</f>
        <v>0</v>
      </c>
      <c r="S256" s="20">
        <f>(SEGUIMIENTO_TPM_xlsx[[#This Row],[FECHA DE INTERVENCÓN]]+SEGUIMIENTO_TPM_xlsx[[#This Row],[HORA FIN  INTERVENCIÓN]])</f>
        <v>0</v>
      </c>
      <c r="T256" s="11">
        <f>(SEGUIMIENTO_TPM_xlsx[[#This Row],[FECHA Y HORA FINAL]]-SEGUIMIENTO_TPM_xlsx[[#This Row],[FECHA Y HORA INICIO]])</f>
        <v>0</v>
      </c>
    </row>
    <row r="257" spans="1:20" x14ac:dyDescent="0.25">
      <c r="A257">
        <v>265</v>
      </c>
      <c r="C257" s="1"/>
      <c r="D257" s="2"/>
      <c r="H257" s="1"/>
      <c r="I257" s="1"/>
      <c r="J257" s="2"/>
      <c r="Q257" s="1">
        <f>SEGUIMIENTO_TPM_xlsx[[#This Row],[HORA FIN  INTERVENCIÓN]]-SEGUIMIENTO_TPM_xlsx[[#This Row],[HORA INICIO INTERVENCIÓN]]</f>
        <v>0</v>
      </c>
      <c r="R257" s="20">
        <f>(SEGUIMIENTO_TPM_xlsx[[#This Row],[HORA REPORTE]]+SEGUIMIENTO_TPM_xlsx[[#This Row],[FECHA DE REPORTE]])</f>
        <v>0</v>
      </c>
      <c r="S257" s="20">
        <f>(SEGUIMIENTO_TPM_xlsx[[#This Row],[FECHA DE INTERVENCÓN]]+SEGUIMIENTO_TPM_xlsx[[#This Row],[HORA FIN  INTERVENCIÓN]])</f>
        <v>0</v>
      </c>
      <c r="T257" s="11">
        <f>(SEGUIMIENTO_TPM_xlsx[[#This Row],[FECHA Y HORA FINAL]]-SEGUIMIENTO_TPM_xlsx[[#This Row],[FECHA Y HORA INICIO]])</f>
        <v>0</v>
      </c>
    </row>
    <row r="258" spans="1:20" x14ac:dyDescent="0.25">
      <c r="A258">
        <v>266</v>
      </c>
      <c r="C258" s="1"/>
      <c r="D258" s="2"/>
      <c r="H258" s="1"/>
      <c r="I258" s="1"/>
      <c r="J258" s="2"/>
      <c r="Q258" s="1">
        <f>SEGUIMIENTO_TPM_xlsx[[#This Row],[HORA FIN  INTERVENCIÓN]]-SEGUIMIENTO_TPM_xlsx[[#This Row],[HORA INICIO INTERVENCIÓN]]</f>
        <v>0</v>
      </c>
      <c r="R258" s="20">
        <f>(SEGUIMIENTO_TPM_xlsx[[#This Row],[HORA REPORTE]]+SEGUIMIENTO_TPM_xlsx[[#This Row],[FECHA DE REPORTE]])</f>
        <v>0</v>
      </c>
      <c r="S258" s="20">
        <f>(SEGUIMIENTO_TPM_xlsx[[#This Row],[FECHA DE INTERVENCÓN]]+SEGUIMIENTO_TPM_xlsx[[#This Row],[HORA FIN  INTERVENCIÓN]])</f>
        <v>0</v>
      </c>
      <c r="T258" s="11">
        <f>(SEGUIMIENTO_TPM_xlsx[[#This Row],[FECHA Y HORA FINAL]]-SEGUIMIENTO_TPM_xlsx[[#This Row],[FECHA Y HORA INICIO]])</f>
        <v>0</v>
      </c>
    </row>
    <row r="259" spans="1:20" x14ac:dyDescent="0.25">
      <c r="A259">
        <v>267</v>
      </c>
      <c r="C259" s="1"/>
      <c r="D259" s="2"/>
      <c r="H259" s="1"/>
      <c r="I259" s="1"/>
      <c r="J259" s="2"/>
      <c r="Q259" s="1">
        <f>SEGUIMIENTO_TPM_xlsx[[#This Row],[HORA FIN  INTERVENCIÓN]]-SEGUIMIENTO_TPM_xlsx[[#This Row],[HORA INICIO INTERVENCIÓN]]</f>
        <v>0</v>
      </c>
      <c r="R259" s="20">
        <f>(SEGUIMIENTO_TPM_xlsx[[#This Row],[HORA REPORTE]]+SEGUIMIENTO_TPM_xlsx[[#This Row],[FECHA DE REPORTE]])</f>
        <v>0</v>
      </c>
      <c r="S259" s="20">
        <f>(SEGUIMIENTO_TPM_xlsx[[#This Row],[FECHA DE INTERVENCÓN]]+SEGUIMIENTO_TPM_xlsx[[#This Row],[HORA FIN  INTERVENCIÓN]])</f>
        <v>0</v>
      </c>
      <c r="T259" s="11">
        <f>(SEGUIMIENTO_TPM_xlsx[[#This Row],[FECHA Y HORA FINAL]]-SEGUIMIENTO_TPM_xlsx[[#This Row],[FECHA Y HORA INICIO]])</f>
        <v>0</v>
      </c>
    </row>
    <row r="260" spans="1:20" x14ac:dyDescent="0.25">
      <c r="A260">
        <v>268</v>
      </c>
      <c r="C260" s="1"/>
      <c r="D260" s="2"/>
      <c r="H260" s="1"/>
      <c r="I260" s="1"/>
      <c r="J260" s="2"/>
      <c r="Q260" s="1">
        <f>SEGUIMIENTO_TPM_xlsx[[#This Row],[HORA FIN  INTERVENCIÓN]]-SEGUIMIENTO_TPM_xlsx[[#This Row],[HORA INICIO INTERVENCIÓN]]</f>
        <v>0</v>
      </c>
      <c r="R260" s="20">
        <f>(SEGUIMIENTO_TPM_xlsx[[#This Row],[HORA REPORTE]]+SEGUIMIENTO_TPM_xlsx[[#This Row],[FECHA DE REPORTE]])</f>
        <v>0</v>
      </c>
      <c r="S260" s="20">
        <f>(SEGUIMIENTO_TPM_xlsx[[#This Row],[FECHA DE INTERVENCÓN]]+SEGUIMIENTO_TPM_xlsx[[#This Row],[HORA FIN  INTERVENCIÓN]])</f>
        <v>0</v>
      </c>
      <c r="T260" s="11">
        <f>(SEGUIMIENTO_TPM_xlsx[[#This Row],[FECHA Y HORA FINAL]]-SEGUIMIENTO_TPM_xlsx[[#This Row],[FECHA Y HORA INICIO]])</f>
        <v>0</v>
      </c>
    </row>
    <row r="261" spans="1:20" x14ac:dyDescent="0.25">
      <c r="A261">
        <v>269</v>
      </c>
      <c r="C261" s="1"/>
      <c r="D261" s="2"/>
      <c r="H261" s="1"/>
      <c r="I261" s="1"/>
      <c r="J261" s="2"/>
      <c r="Q261" s="1">
        <f>SEGUIMIENTO_TPM_xlsx[[#This Row],[HORA FIN  INTERVENCIÓN]]-SEGUIMIENTO_TPM_xlsx[[#This Row],[HORA INICIO INTERVENCIÓN]]</f>
        <v>0</v>
      </c>
      <c r="R261" s="20">
        <f>(SEGUIMIENTO_TPM_xlsx[[#This Row],[HORA REPORTE]]+SEGUIMIENTO_TPM_xlsx[[#This Row],[FECHA DE REPORTE]])</f>
        <v>0</v>
      </c>
      <c r="S261" s="20">
        <f>(SEGUIMIENTO_TPM_xlsx[[#This Row],[FECHA DE INTERVENCÓN]]+SEGUIMIENTO_TPM_xlsx[[#This Row],[HORA FIN  INTERVENCIÓN]])</f>
        <v>0</v>
      </c>
      <c r="T261" s="11">
        <f>(SEGUIMIENTO_TPM_xlsx[[#This Row],[FECHA Y HORA FINAL]]-SEGUIMIENTO_TPM_xlsx[[#This Row],[FECHA Y HORA INICIO]])</f>
        <v>0</v>
      </c>
    </row>
    <row r="262" spans="1:20" x14ac:dyDescent="0.25">
      <c r="A262">
        <v>270</v>
      </c>
      <c r="C262" s="1"/>
      <c r="D262" s="2"/>
      <c r="H262" s="1"/>
      <c r="I262" s="1"/>
      <c r="J262" s="2"/>
      <c r="Q262" s="1">
        <f>SEGUIMIENTO_TPM_xlsx[[#This Row],[HORA FIN  INTERVENCIÓN]]-SEGUIMIENTO_TPM_xlsx[[#This Row],[HORA INICIO INTERVENCIÓN]]</f>
        <v>0</v>
      </c>
      <c r="R262" s="20">
        <f>(SEGUIMIENTO_TPM_xlsx[[#This Row],[HORA REPORTE]]+SEGUIMIENTO_TPM_xlsx[[#This Row],[FECHA DE REPORTE]])</f>
        <v>0</v>
      </c>
      <c r="S262" s="20">
        <f>(SEGUIMIENTO_TPM_xlsx[[#This Row],[FECHA DE INTERVENCÓN]]+SEGUIMIENTO_TPM_xlsx[[#This Row],[HORA FIN  INTERVENCIÓN]])</f>
        <v>0</v>
      </c>
      <c r="T262" s="11">
        <f>(SEGUIMIENTO_TPM_xlsx[[#This Row],[FECHA Y HORA FINAL]]-SEGUIMIENTO_TPM_xlsx[[#This Row],[FECHA Y HORA INICIO]])</f>
        <v>0</v>
      </c>
    </row>
    <row r="263" spans="1:20" x14ac:dyDescent="0.25">
      <c r="A263">
        <v>271</v>
      </c>
      <c r="C263" s="1"/>
      <c r="D263" s="2"/>
      <c r="H263" s="1"/>
      <c r="I263" s="1"/>
      <c r="J263" s="2"/>
      <c r="Q263" s="1">
        <f>SEGUIMIENTO_TPM_xlsx[[#This Row],[HORA FIN  INTERVENCIÓN]]-SEGUIMIENTO_TPM_xlsx[[#This Row],[HORA INICIO INTERVENCIÓN]]</f>
        <v>0</v>
      </c>
      <c r="R263" s="20">
        <f>(SEGUIMIENTO_TPM_xlsx[[#This Row],[HORA REPORTE]]+SEGUIMIENTO_TPM_xlsx[[#This Row],[FECHA DE REPORTE]])</f>
        <v>0</v>
      </c>
      <c r="S263" s="20">
        <f>(SEGUIMIENTO_TPM_xlsx[[#This Row],[FECHA DE INTERVENCÓN]]+SEGUIMIENTO_TPM_xlsx[[#This Row],[HORA FIN  INTERVENCIÓN]])</f>
        <v>0</v>
      </c>
      <c r="T263" s="11">
        <f>(SEGUIMIENTO_TPM_xlsx[[#This Row],[FECHA Y HORA FINAL]]-SEGUIMIENTO_TPM_xlsx[[#This Row],[FECHA Y HORA INICIO]])</f>
        <v>0</v>
      </c>
    </row>
    <row r="264" spans="1:20" x14ac:dyDescent="0.25">
      <c r="A264">
        <v>272</v>
      </c>
      <c r="C264" s="1"/>
      <c r="D264" s="2"/>
      <c r="H264" s="1"/>
      <c r="I264" s="1"/>
      <c r="J264" s="2"/>
      <c r="Q264" s="1">
        <f>SEGUIMIENTO_TPM_xlsx[[#This Row],[HORA FIN  INTERVENCIÓN]]-SEGUIMIENTO_TPM_xlsx[[#This Row],[HORA INICIO INTERVENCIÓN]]</f>
        <v>0</v>
      </c>
      <c r="R264" s="20">
        <f>(SEGUIMIENTO_TPM_xlsx[[#This Row],[HORA REPORTE]]+SEGUIMIENTO_TPM_xlsx[[#This Row],[FECHA DE REPORTE]])</f>
        <v>0</v>
      </c>
      <c r="S264" s="20">
        <f>(SEGUIMIENTO_TPM_xlsx[[#This Row],[FECHA DE INTERVENCÓN]]+SEGUIMIENTO_TPM_xlsx[[#This Row],[HORA FIN  INTERVENCIÓN]])</f>
        <v>0</v>
      </c>
      <c r="T264" s="11">
        <f>(SEGUIMIENTO_TPM_xlsx[[#This Row],[FECHA Y HORA FINAL]]-SEGUIMIENTO_TPM_xlsx[[#This Row],[FECHA Y HORA INICIO]])</f>
        <v>0</v>
      </c>
    </row>
    <row r="265" spans="1:20" x14ac:dyDescent="0.25">
      <c r="A265">
        <v>273</v>
      </c>
      <c r="C265" s="1"/>
      <c r="D265" s="2"/>
      <c r="H265" s="1"/>
      <c r="I265" s="1"/>
      <c r="J265" s="2"/>
      <c r="Q265" s="1">
        <f>SEGUIMIENTO_TPM_xlsx[[#This Row],[HORA FIN  INTERVENCIÓN]]-SEGUIMIENTO_TPM_xlsx[[#This Row],[HORA INICIO INTERVENCIÓN]]</f>
        <v>0</v>
      </c>
      <c r="R265" s="20">
        <f>(SEGUIMIENTO_TPM_xlsx[[#This Row],[HORA REPORTE]]+SEGUIMIENTO_TPM_xlsx[[#This Row],[FECHA DE REPORTE]])</f>
        <v>0</v>
      </c>
      <c r="S265" s="20">
        <f>(SEGUIMIENTO_TPM_xlsx[[#This Row],[FECHA DE INTERVENCÓN]]+SEGUIMIENTO_TPM_xlsx[[#This Row],[HORA FIN  INTERVENCIÓN]])</f>
        <v>0</v>
      </c>
      <c r="T265" s="11">
        <f>(SEGUIMIENTO_TPM_xlsx[[#This Row],[FECHA Y HORA FINAL]]-SEGUIMIENTO_TPM_xlsx[[#This Row],[FECHA Y HORA INICIO]])</f>
        <v>0</v>
      </c>
    </row>
    <row r="266" spans="1:20" x14ac:dyDescent="0.25">
      <c r="A266">
        <v>274</v>
      </c>
      <c r="C266" s="1"/>
      <c r="D266" s="2"/>
      <c r="H266" s="1"/>
      <c r="I266" s="1"/>
      <c r="J266" s="2"/>
      <c r="Q266" s="1">
        <f>SEGUIMIENTO_TPM_xlsx[[#This Row],[HORA FIN  INTERVENCIÓN]]-SEGUIMIENTO_TPM_xlsx[[#This Row],[HORA INICIO INTERVENCIÓN]]</f>
        <v>0</v>
      </c>
      <c r="R266" s="20">
        <f>(SEGUIMIENTO_TPM_xlsx[[#This Row],[HORA REPORTE]]+SEGUIMIENTO_TPM_xlsx[[#This Row],[FECHA DE REPORTE]])</f>
        <v>0</v>
      </c>
      <c r="S266" s="20">
        <f>(SEGUIMIENTO_TPM_xlsx[[#This Row],[FECHA DE INTERVENCÓN]]+SEGUIMIENTO_TPM_xlsx[[#This Row],[HORA FIN  INTERVENCIÓN]])</f>
        <v>0</v>
      </c>
      <c r="T266" s="11">
        <f>(SEGUIMIENTO_TPM_xlsx[[#This Row],[FECHA Y HORA FINAL]]-SEGUIMIENTO_TPM_xlsx[[#This Row],[FECHA Y HORA INICIO]])</f>
        <v>0</v>
      </c>
    </row>
    <row r="267" spans="1:20" x14ac:dyDescent="0.25">
      <c r="A267">
        <v>275</v>
      </c>
      <c r="C267" s="1"/>
      <c r="D267" s="2"/>
      <c r="H267" s="1"/>
      <c r="I267" s="1"/>
      <c r="J267" s="2"/>
      <c r="Q267" s="1">
        <f>SEGUIMIENTO_TPM_xlsx[[#This Row],[HORA FIN  INTERVENCIÓN]]-SEGUIMIENTO_TPM_xlsx[[#This Row],[HORA INICIO INTERVENCIÓN]]</f>
        <v>0</v>
      </c>
      <c r="R267" s="20">
        <f>(SEGUIMIENTO_TPM_xlsx[[#This Row],[HORA REPORTE]]+SEGUIMIENTO_TPM_xlsx[[#This Row],[FECHA DE REPORTE]])</f>
        <v>0</v>
      </c>
      <c r="S267" s="20">
        <f>(SEGUIMIENTO_TPM_xlsx[[#This Row],[FECHA DE INTERVENCÓN]]+SEGUIMIENTO_TPM_xlsx[[#This Row],[HORA FIN  INTERVENCIÓN]])</f>
        <v>0</v>
      </c>
      <c r="T267" s="11">
        <f>(SEGUIMIENTO_TPM_xlsx[[#This Row],[FECHA Y HORA FINAL]]-SEGUIMIENTO_TPM_xlsx[[#This Row],[FECHA Y HORA INICIO]])</f>
        <v>0</v>
      </c>
    </row>
    <row r="268" spans="1:20" x14ac:dyDescent="0.25">
      <c r="A268">
        <v>276</v>
      </c>
      <c r="C268" s="1"/>
      <c r="D268" s="2"/>
      <c r="H268" s="1"/>
      <c r="I268" s="1"/>
      <c r="J268" s="2"/>
      <c r="Q268" s="1">
        <f>SEGUIMIENTO_TPM_xlsx[[#This Row],[HORA FIN  INTERVENCIÓN]]-SEGUIMIENTO_TPM_xlsx[[#This Row],[HORA INICIO INTERVENCIÓN]]</f>
        <v>0</v>
      </c>
      <c r="R268" s="20">
        <f>(SEGUIMIENTO_TPM_xlsx[[#This Row],[HORA REPORTE]]+SEGUIMIENTO_TPM_xlsx[[#This Row],[FECHA DE REPORTE]])</f>
        <v>0</v>
      </c>
      <c r="S268" s="20">
        <f>(SEGUIMIENTO_TPM_xlsx[[#This Row],[FECHA DE INTERVENCÓN]]+SEGUIMIENTO_TPM_xlsx[[#This Row],[HORA FIN  INTERVENCIÓN]])</f>
        <v>0</v>
      </c>
      <c r="T268" s="11">
        <f>(SEGUIMIENTO_TPM_xlsx[[#This Row],[FECHA Y HORA FINAL]]-SEGUIMIENTO_TPM_xlsx[[#This Row],[FECHA Y HORA INICIO]])</f>
        <v>0</v>
      </c>
    </row>
    <row r="269" spans="1:20" x14ac:dyDescent="0.25">
      <c r="A269">
        <v>277</v>
      </c>
      <c r="C269" s="1"/>
      <c r="D269" s="2"/>
      <c r="H269" s="1"/>
      <c r="I269" s="1"/>
      <c r="J269" s="2"/>
      <c r="Q269" s="1">
        <f>SEGUIMIENTO_TPM_xlsx[[#This Row],[HORA FIN  INTERVENCIÓN]]-SEGUIMIENTO_TPM_xlsx[[#This Row],[HORA INICIO INTERVENCIÓN]]</f>
        <v>0</v>
      </c>
      <c r="R269" s="20">
        <f>(SEGUIMIENTO_TPM_xlsx[[#This Row],[HORA REPORTE]]+SEGUIMIENTO_TPM_xlsx[[#This Row],[FECHA DE REPORTE]])</f>
        <v>0</v>
      </c>
      <c r="S269" s="20">
        <f>(SEGUIMIENTO_TPM_xlsx[[#This Row],[FECHA DE INTERVENCÓN]]+SEGUIMIENTO_TPM_xlsx[[#This Row],[HORA FIN  INTERVENCIÓN]])</f>
        <v>0</v>
      </c>
      <c r="T269" s="11">
        <f>(SEGUIMIENTO_TPM_xlsx[[#This Row],[FECHA Y HORA FINAL]]-SEGUIMIENTO_TPM_xlsx[[#This Row],[FECHA Y HORA INICIO]])</f>
        <v>0</v>
      </c>
    </row>
    <row r="270" spans="1:20" x14ac:dyDescent="0.25">
      <c r="A270">
        <v>278</v>
      </c>
      <c r="C270" s="1"/>
      <c r="D270" s="2"/>
      <c r="H270" s="1"/>
      <c r="I270" s="1"/>
      <c r="J270" s="2"/>
      <c r="Q270" s="1">
        <f>SEGUIMIENTO_TPM_xlsx[[#This Row],[HORA FIN  INTERVENCIÓN]]-SEGUIMIENTO_TPM_xlsx[[#This Row],[HORA INICIO INTERVENCIÓN]]</f>
        <v>0</v>
      </c>
      <c r="R270" s="20">
        <f>(SEGUIMIENTO_TPM_xlsx[[#This Row],[HORA REPORTE]]+SEGUIMIENTO_TPM_xlsx[[#This Row],[FECHA DE REPORTE]])</f>
        <v>0</v>
      </c>
      <c r="S270" s="20">
        <f>(SEGUIMIENTO_TPM_xlsx[[#This Row],[FECHA DE INTERVENCÓN]]+SEGUIMIENTO_TPM_xlsx[[#This Row],[HORA FIN  INTERVENCIÓN]])</f>
        <v>0</v>
      </c>
      <c r="T270" s="11">
        <f>(SEGUIMIENTO_TPM_xlsx[[#This Row],[FECHA Y HORA FINAL]]-SEGUIMIENTO_TPM_xlsx[[#This Row],[FECHA Y HORA INICIO]])</f>
        <v>0</v>
      </c>
    </row>
    <row r="271" spans="1:20" x14ac:dyDescent="0.25">
      <c r="A271">
        <v>279</v>
      </c>
      <c r="C271" s="1"/>
      <c r="D271" s="2"/>
      <c r="H271" s="1"/>
      <c r="I271" s="1"/>
      <c r="J271" s="2"/>
      <c r="Q271" s="1">
        <f>SEGUIMIENTO_TPM_xlsx[[#This Row],[HORA FIN  INTERVENCIÓN]]-SEGUIMIENTO_TPM_xlsx[[#This Row],[HORA INICIO INTERVENCIÓN]]</f>
        <v>0</v>
      </c>
      <c r="R271" s="20">
        <f>(SEGUIMIENTO_TPM_xlsx[[#This Row],[HORA REPORTE]]+SEGUIMIENTO_TPM_xlsx[[#This Row],[FECHA DE REPORTE]])</f>
        <v>0</v>
      </c>
      <c r="S271" s="20">
        <f>(SEGUIMIENTO_TPM_xlsx[[#This Row],[FECHA DE INTERVENCÓN]]+SEGUIMIENTO_TPM_xlsx[[#This Row],[HORA FIN  INTERVENCIÓN]])</f>
        <v>0</v>
      </c>
      <c r="T271" s="11">
        <f>(SEGUIMIENTO_TPM_xlsx[[#This Row],[FECHA Y HORA FINAL]]-SEGUIMIENTO_TPM_xlsx[[#This Row],[FECHA Y HORA INICIO]])</f>
        <v>0</v>
      </c>
    </row>
    <row r="272" spans="1:20" x14ac:dyDescent="0.25">
      <c r="A272">
        <v>280</v>
      </c>
      <c r="C272" s="1"/>
      <c r="D272" s="2"/>
      <c r="H272" s="1"/>
      <c r="I272" s="1"/>
      <c r="J272" s="2"/>
      <c r="Q272" s="1">
        <f>SEGUIMIENTO_TPM_xlsx[[#This Row],[HORA FIN  INTERVENCIÓN]]-SEGUIMIENTO_TPM_xlsx[[#This Row],[HORA INICIO INTERVENCIÓN]]</f>
        <v>0</v>
      </c>
      <c r="R272" s="20">
        <f>(SEGUIMIENTO_TPM_xlsx[[#This Row],[HORA REPORTE]]+SEGUIMIENTO_TPM_xlsx[[#This Row],[FECHA DE REPORTE]])</f>
        <v>0</v>
      </c>
      <c r="S272" s="20">
        <f>(SEGUIMIENTO_TPM_xlsx[[#This Row],[FECHA DE INTERVENCÓN]]+SEGUIMIENTO_TPM_xlsx[[#This Row],[HORA FIN  INTERVENCIÓN]])</f>
        <v>0</v>
      </c>
      <c r="T272" s="11">
        <f>(SEGUIMIENTO_TPM_xlsx[[#This Row],[FECHA Y HORA FINAL]]-SEGUIMIENTO_TPM_xlsx[[#This Row],[FECHA Y HORA INICIO]])</f>
        <v>0</v>
      </c>
    </row>
    <row r="273" spans="1:20" x14ac:dyDescent="0.25">
      <c r="A273">
        <v>281</v>
      </c>
      <c r="C273" s="1"/>
      <c r="D273" s="2"/>
      <c r="H273" s="1"/>
      <c r="I273" s="1"/>
      <c r="J273" s="2"/>
      <c r="Q273" s="1">
        <f>SEGUIMIENTO_TPM_xlsx[[#This Row],[HORA FIN  INTERVENCIÓN]]-SEGUIMIENTO_TPM_xlsx[[#This Row],[HORA INICIO INTERVENCIÓN]]</f>
        <v>0</v>
      </c>
      <c r="R273" s="20">
        <f>(SEGUIMIENTO_TPM_xlsx[[#This Row],[HORA REPORTE]]+SEGUIMIENTO_TPM_xlsx[[#This Row],[FECHA DE REPORTE]])</f>
        <v>0</v>
      </c>
      <c r="S273" s="20">
        <f>(SEGUIMIENTO_TPM_xlsx[[#This Row],[FECHA DE INTERVENCÓN]]+SEGUIMIENTO_TPM_xlsx[[#This Row],[HORA FIN  INTERVENCIÓN]])</f>
        <v>0</v>
      </c>
      <c r="T273" s="11">
        <f>(SEGUIMIENTO_TPM_xlsx[[#This Row],[FECHA Y HORA FINAL]]-SEGUIMIENTO_TPM_xlsx[[#This Row],[FECHA Y HORA INICIO]])</f>
        <v>0</v>
      </c>
    </row>
    <row r="274" spans="1:20" x14ac:dyDescent="0.25">
      <c r="A274">
        <v>282</v>
      </c>
      <c r="C274" s="1"/>
      <c r="D274" s="2"/>
      <c r="H274" s="1"/>
      <c r="I274" s="1"/>
      <c r="J274" s="2"/>
      <c r="Q274" s="1">
        <f>SEGUIMIENTO_TPM_xlsx[[#This Row],[HORA FIN  INTERVENCIÓN]]-SEGUIMIENTO_TPM_xlsx[[#This Row],[HORA INICIO INTERVENCIÓN]]</f>
        <v>0</v>
      </c>
      <c r="R274" s="20">
        <f>(SEGUIMIENTO_TPM_xlsx[[#This Row],[HORA REPORTE]]+SEGUIMIENTO_TPM_xlsx[[#This Row],[FECHA DE REPORTE]])</f>
        <v>0</v>
      </c>
      <c r="S274" s="20">
        <f>(SEGUIMIENTO_TPM_xlsx[[#This Row],[FECHA DE INTERVENCÓN]]+SEGUIMIENTO_TPM_xlsx[[#This Row],[HORA FIN  INTERVENCIÓN]])</f>
        <v>0</v>
      </c>
      <c r="T274" s="11">
        <f>(SEGUIMIENTO_TPM_xlsx[[#This Row],[FECHA Y HORA FINAL]]-SEGUIMIENTO_TPM_xlsx[[#This Row],[FECHA Y HORA INICIO]])</f>
        <v>0</v>
      </c>
    </row>
    <row r="275" spans="1:20" x14ac:dyDescent="0.25">
      <c r="A275">
        <v>283</v>
      </c>
      <c r="C275" s="1"/>
      <c r="D275" s="2"/>
      <c r="H275" s="1"/>
      <c r="I275" s="1"/>
      <c r="J275" s="2"/>
      <c r="Q275" s="1">
        <f>SEGUIMIENTO_TPM_xlsx[[#This Row],[HORA FIN  INTERVENCIÓN]]-SEGUIMIENTO_TPM_xlsx[[#This Row],[HORA INICIO INTERVENCIÓN]]</f>
        <v>0</v>
      </c>
      <c r="R275" s="20">
        <f>(SEGUIMIENTO_TPM_xlsx[[#This Row],[HORA REPORTE]]+SEGUIMIENTO_TPM_xlsx[[#This Row],[FECHA DE REPORTE]])</f>
        <v>0</v>
      </c>
      <c r="S275" s="20">
        <f>(SEGUIMIENTO_TPM_xlsx[[#This Row],[FECHA DE INTERVENCÓN]]+SEGUIMIENTO_TPM_xlsx[[#This Row],[HORA FIN  INTERVENCIÓN]])</f>
        <v>0</v>
      </c>
      <c r="T275" s="11">
        <f>(SEGUIMIENTO_TPM_xlsx[[#This Row],[FECHA Y HORA FINAL]]-SEGUIMIENTO_TPM_xlsx[[#This Row],[FECHA Y HORA INICIO]])</f>
        <v>0</v>
      </c>
    </row>
    <row r="276" spans="1:20" x14ac:dyDescent="0.25">
      <c r="A276">
        <v>284</v>
      </c>
      <c r="C276" s="1"/>
      <c r="D276" s="2"/>
      <c r="H276" s="1"/>
      <c r="I276" s="1"/>
      <c r="J276" s="2"/>
      <c r="Q276" s="1">
        <f>SEGUIMIENTO_TPM_xlsx[[#This Row],[HORA FIN  INTERVENCIÓN]]-SEGUIMIENTO_TPM_xlsx[[#This Row],[HORA INICIO INTERVENCIÓN]]</f>
        <v>0</v>
      </c>
      <c r="R276" s="20">
        <f>(SEGUIMIENTO_TPM_xlsx[[#This Row],[HORA REPORTE]]+SEGUIMIENTO_TPM_xlsx[[#This Row],[FECHA DE REPORTE]])</f>
        <v>0</v>
      </c>
      <c r="S276" s="20">
        <f>(SEGUIMIENTO_TPM_xlsx[[#This Row],[FECHA DE INTERVENCÓN]]+SEGUIMIENTO_TPM_xlsx[[#This Row],[HORA FIN  INTERVENCIÓN]])</f>
        <v>0</v>
      </c>
      <c r="T276" s="11">
        <f>(SEGUIMIENTO_TPM_xlsx[[#This Row],[FECHA Y HORA FINAL]]-SEGUIMIENTO_TPM_xlsx[[#This Row],[FECHA Y HORA INICIO]])</f>
        <v>0</v>
      </c>
    </row>
    <row r="277" spans="1:20" x14ac:dyDescent="0.25">
      <c r="A277">
        <v>285</v>
      </c>
      <c r="C277" s="1"/>
      <c r="D277" s="2"/>
      <c r="H277" s="1"/>
      <c r="I277" s="1"/>
      <c r="J277" s="2"/>
      <c r="Q277" s="1">
        <f>SEGUIMIENTO_TPM_xlsx[[#This Row],[HORA FIN  INTERVENCIÓN]]-SEGUIMIENTO_TPM_xlsx[[#This Row],[HORA INICIO INTERVENCIÓN]]</f>
        <v>0</v>
      </c>
      <c r="R277" s="20">
        <f>(SEGUIMIENTO_TPM_xlsx[[#This Row],[HORA REPORTE]]+SEGUIMIENTO_TPM_xlsx[[#This Row],[FECHA DE REPORTE]])</f>
        <v>0</v>
      </c>
      <c r="S277" s="20">
        <f>(SEGUIMIENTO_TPM_xlsx[[#This Row],[FECHA DE INTERVENCÓN]]+SEGUIMIENTO_TPM_xlsx[[#This Row],[HORA FIN  INTERVENCIÓN]])</f>
        <v>0</v>
      </c>
      <c r="T277" s="11">
        <f>(SEGUIMIENTO_TPM_xlsx[[#This Row],[FECHA Y HORA FINAL]]-SEGUIMIENTO_TPM_xlsx[[#This Row],[FECHA Y HORA INICIO]])</f>
        <v>0</v>
      </c>
    </row>
    <row r="278" spans="1:20" x14ac:dyDescent="0.25">
      <c r="A278">
        <v>286</v>
      </c>
      <c r="C278" s="1"/>
      <c r="D278" s="2"/>
      <c r="H278" s="1"/>
      <c r="I278" s="1"/>
      <c r="J278" s="2"/>
      <c r="Q278" s="1">
        <f>SEGUIMIENTO_TPM_xlsx[[#This Row],[HORA FIN  INTERVENCIÓN]]-SEGUIMIENTO_TPM_xlsx[[#This Row],[HORA INICIO INTERVENCIÓN]]</f>
        <v>0</v>
      </c>
      <c r="R278" s="20">
        <f>(SEGUIMIENTO_TPM_xlsx[[#This Row],[HORA REPORTE]]+SEGUIMIENTO_TPM_xlsx[[#This Row],[FECHA DE REPORTE]])</f>
        <v>0</v>
      </c>
      <c r="S278" s="20">
        <f>(SEGUIMIENTO_TPM_xlsx[[#This Row],[FECHA DE INTERVENCÓN]]+SEGUIMIENTO_TPM_xlsx[[#This Row],[HORA FIN  INTERVENCIÓN]])</f>
        <v>0</v>
      </c>
      <c r="T278" s="11">
        <f>(SEGUIMIENTO_TPM_xlsx[[#This Row],[FECHA Y HORA FINAL]]-SEGUIMIENTO_TPM_xlsx[[#This Row],[FECHA Y HORA INICIO]])</f>
        <v>0</v>
      </c>
    </row>
    <row r="279" spans="1:20" x14ac:dyDescent="0.25">
      <c r="A279">
        <v>287</v>
      </c>
      <c r="C279" s="1"/>
      <c r="D279" s="2"/>
      <c r="H279" s="1"/>
      <c r="I279" s="1"/>
      <c r="J279" s="2"/>
      <c r="Q279" s="1">
        <f>SEGUIMIENTO_TPM_xlsx[[#This Row],[HORA FIN  INTERVENCIÓN]]-SEGUIMIENTO_TPM_xlsx[[#This Row],[HORA INICIO INTERVENCIÓN]]</f>
        <v>0</v>
      </c>
      <c r="R279" s="20">
        <f>(SEGUIMIENTO_TPM_xlsx[[#This Row],[HORA REPORTE]]+SEGUIMIENTO_TPM_xlsx[[#This Row],[FECHA DE REPORTE]])</f>
        <v>0</v>
      </c>
      <c r="S279" s="20">
        <f>(SEGUIMIENTO_TPM_xlsx[[#This Row],[FECHA DE INTERVENCÓN]]+SEGUIMIENTO_TPM_xlsx[[#This Row],[HORA FIN  INTERVENCIÓN]])</f>
        <v>0</v>
      </c>
      <c r="T279" s="11">
        <f>(SEGUIMIENTO_TPM_xlsx[[#This Row],[FECHA Y HORA FINAL]]-SEGUIMIENTO_TPM_xlsx[[#This Row],[FECHA Y HORA INICIO]])</f>
        <v>0</v>
      </c>
    </row>
    <row r="280" spans="1:20" x14ac:dyDescent="0.25">
      <c r="A280">
        <v>288</v>
      </c>
      <c r="C280" s="1"/>
      <c r="D280" s="2"/>
      <c r="H280" s="1"/>
      <c r="I280" s="1"/>
      <c r="J280" s="2"/>
      <c r="Q280" s="1">
        <f>SEGUIMIENTO_TPM_xlsx[[#This Row],[HORA FIN  INTERVENCIÓN]]-SEGUIMIENTO_TPM_xlsx[[#This Row],[HORA INICIO INTERVENCIÓN]]</f>
        <v>0</v>
      </c>
      <c r="R280" s="20">
        <f>(SEGUIMIENTO_TPM_xlsx[[#This Row],[HORA REPORTE]]+SEGUIMIENTO_TPM_xlsx[[#This Row],[FECHA DE REPORTE]])</f>
        <v>0</v>
      </c>
      <c r="S280" s="20">
        <f>(SEGUIMIENTO_TPM_xlsx[[#This Row],[FECHA DE INTERVENCÓN]]+SEGUIMIENTO_TPM_xlsx[[#This Row],[HORA FIN  INTERVENCIÓN]])</f>
        <v>0</v>
      </c>
      <c r="T280" s="11">
        <f>(SEGUIMIENTO_TPM_xlsx[[#This Row],[FECHA Y HORA FINAL]]-SEGUIMIENTO_TPM_xlsx[[#This Row],[FECHA Y HORA INICIO]])</f>
        <v>0</v>
      </c>
    </row>
    <row r="281" spans="1:20" x14ac:dyDescent="0.25">
      <c r="A281">
        <v>289</v>
      </c>
      <c r="C281" s="1"/>
      <c r="D281" s="2"/>
      <c r="H281" s="1"/>
      <c r="I281" s="1"/>
      <c r="J281" s="2"/>
      <c r="Q281" s="1">
        <f>SEGUIMIENTO_TPM_xlsx[[#This Row],[HORA FIN  INTERVENCIÓN]]-SEGUIMIENTO_TPM_xlsx[[#This Row],[HORA INICIO INTERVENCIÓN]]</f>
        <v>0</v>
      </c>
      <c r="R281" s="20">
        <f>(SEGUIMIENTO_TPM_xlsx[[#This Row],[HORA REPORTE]]+SEGUIMIENTO_TPM_xlsx[[#This Row],[FECHA DE REPORTE]])</f>
        <v>0</v>
      </c>
      <c r="S281" s="20">
        <f>(SEGUIMIENTO_TPM_xlsx[[#This Row],[FECHA DE INTERVENCÓN]]+SEGUIMIENTO_TPM_xlsx[[#This Row],[HORA FIN  INTERVENCIÓN]])</f>
        <v>0</v>
      </c>
      <c r="T281" s="11">
        <f>(SEGUIMIENTO_TPM_xlsx[[#This Row],[FECHA Y HORA FINAL]]-SEGUIMIENTO_TPM_xlsx[[#This Row],[FECHA Y HORA INICIO]])</f>
        <v>0</v>
      </c>
    </row>
    <row r="282" spans="1:20" x14ac:dyDescent="0.25">
      <c r="A282">
        <v>290</v>
      </c>
      <c r="C282" s="1"/>
      <c r="D282" s="2"/>
      <c r="H282" s="1"/>
      <c r="I282" s="1"/>
      <c r="J282" s="2"/>
      <c r="Q282" s="1">
        <f>SEGUIMIENTO_TPM_xlsx[[#This Row],[HORA FIN  INTERVENCIÓN]]-SEGUIMIENTO_TPM_xlsx[[#This Row],[HORA INICIO INTERVENCIÓN]]</f>
        <v>0</v>
      </c>
      <c r="R282" s="20">
        <f>(SEGUIMIENTO_TPM_xlsx[[#This Row],[HORA REPORTE]]+SEGUIMIENTO_TPM_xlsx[[#This Row],[FECHA DE REPORTE]])</f>
        <v>0</v>
      </c>
      <c r="S282" s="20">
        <f>(SEGUIMIENTO_TPM_xlsx[[#This Row],[FECHA DE INTERVENCÓN]]+SEGUIMIENTO_TPM_xlsx[[#This Row],[HORA FIN  INTERVENCIÓN]])</f>
        <v>0</v>
      </c>
      <c r="T282" s="11">
        <f>(SEGUIMIENTO_TPM_xlsx[[#This Row],[FECHA Y HORA FINAL]]-SEGUIMIENTO_TPM_xlsx[[#This Row],[FECHA Y HORA INICIO]])</f>
        <v>0</v>
      </c>
    </row>
    <row r="283" spans="1:20" x14ac:dyDescent="0.25">
      <c r="A283">
        <v>291</v>
      </c>
      <c r="C283" s="1"/>
      <c r="D283" s="2"/>
      <c r="H283" s="1"/>
      <c r="I283" s="1"/>
      <c r="J283" s="2"/>
      <c r="Q283" s="1">
        <f>SEGUIMIENTO_TPM_xlsx[[#This Row],[HORA FIN  INTERVENCIÓN]]-SEGUIMIENTO_TPM_xlsx[[#This Row],[HORA INICIO INTERVENCIÓN]]</f>
        <v>0</v>
      </c>
      <c r="R283" s="20">
        <f>(SEGUIMIENTO_TPM_xlsx[[#This Row],[HORA REPORTE]]+SEGUIMIENTO_TPM_xlsx[[#This Row],[FECHA DE REPORTE]])</f>
        <v>0</v>
      </c>
      <c r="S283" s="20">
        <f>(SEGUIMIENTO_TPM_xlsx[[#This Row],[FECHA DE INTERVENCÓN]]+SEGUIMIENTO_TPM_xlsx[[#This Row],[HORA FIN  INTERVENCIÓN]])</f>
        <v>0</v>
      </c>
      <c r="T283" s="11">
        <f>(SEGUIMIENTO_TPM_xlsx[[#This Row],[FECHA Y HORA FINAL]]-SEGUIMIENTO_TPM_xlsx[[#This Row],[FECHA Y HORA INICIO]])</f>
        <v>0</v>
      </c>
    </row>
    <row r="284" spans="1:20" x14ac:dyDescent="0.25">
      <c r="A284">
        <v>292</v>
      </c>
      <c r="C284" s="1"/>
      <c r="D284" s="2"/>
      <c r="H284" s="1"/>
      <c r="I284" s="1"/>
      <c r="J284" s="2"/>
      <c r="Q284" s="1">
        <f>SEGUIMIENTO_TPM_xlsx[[#This Row],[HORA FIN  INTERVENCIÓN]]-SEGUIMIENTO_TPM_xlsx[[#This Row],[HORA INICIO INTERVENCIÓN]]</f>
        <v>0</v>
      </c>
      <c r="R284" s="20">
        <f>(SEGUIMIENTO_TPM_xlsx[[#This Row],[HORA REPORTE]]+SEGUIMIENTO_TPM_xlsx[[#This Row],[FECHA DE REPORTE]])</f>
        <v>0</v>
      </c>
      <c r="S284" s="20">
        <f>(SEGUIMIENTO_TPM_xlsx[[#This Row],[FECHA DE INTERVENCÓN]]+SEGUIMIENTO_TPM_xlsx[[#This Row],[HORA FIN  INTERVENCIÓN]])</f>
        <v>0</v>
      </c>
      <c r="T284" s="11">
        <f>(SEGUIMIENTO_TPM_xlsx[[#This Row],[FECHA Y HORA FINAL]]-SEGUIMIENTO_TPM_xlsx[[#This Row],[FECHA Y HORA INICIO]])</f>
        <v>0</v>
      </c>
    </row>
    <row r="285" spans="1:20" x14ac:dyDescent="0.25">
      <c r="A285">
        <v>293</v>
      </c>
      <c r="C285" s="1"/>
      <c r="D285" s="2"/>
      <c r="H285" s="1"/>
      <c r="I285" s="1"/>
      <c r="J285" s="2"/>
      <c r="Q285" s="1">
        <f>SEGUIMIENTO_TPM_xlsx[[#This Row],[HORA FIN  INTERVENCIÓN]]-SEGUIMIENTO_TPM_xlsx[[#This Row],[HORA INICIO INTERVENCIÓN]]</f>
        <v>0</v>
      </c>
      <c r="R285" s="20">
        <f>(SEGUIMIENTO_TPM_xlsx[[#This Row],[HORA REPORTE]]+SEGUIMIENTO_TPM_xlsx[[#This Row],[FECHA DE REPORTE]])</f>
        <v>0</v>
      </c>
      <c r="S285" s="20">
        <f>(SEGUIMIENTO_TPM_xlsx[[#This Row],[FECHA DE INTERVENCÓN]]+SEGUIMIENTO_TPM_xlsx[[#This Row],[HORA FIN  INTERVENCIÓN]])</f>
        <v>0</v>
      </c>
      <c r="T285" s="11">
        <f>(SEGUIMIENTO_TPM_xlsx[[#This Row],[FECHA Y HORA FINAL]]-SEGUIMIENTO_TPM_xlsx[[#This Row],[FECHA Y HORA INICIO]])</f>
        <v>0</v>
      </c>
    </row>
    <row r="286" spans="1:20" x14ac:dyDescent="0.25">
      <c r="A286">
        <v>294</v>
      </c>
      <c r="C286" s="1"/>
      <c r="D286" s="2"/>
      <c r="H286" s="1"/>
      <c r="I286" s="1"/>
      <c r="J286" s="2"/>
      <c r="Q286" s="1">
        <f>SEGUIMIENTO_TPM_xlsx[[#This Row],[HORA FIN  INTERVENCIÓN]]-SEGUIMIENTO_TPM_xlsx[[#This Row],[HORA INICIO INTERVENCIÓN]]</f>
        <v>0</v>
      </c>
      <c r="R286" s="20">
        <f>(SEGUIMIENTO_TPM_xlsx[[#This Row],[HORA REPORTE]]+SEGUIMIENTO_TPM_xlsx[[#This Row],[FECHA DE REPORTE]])</f>
        <v>0</v>
      </c>
      <c r="S286" s="20">
        <f>(SEGUIMIENTO_TPM_xlsx[[#This Row],[FECHA DE INTERVENCÓN]]+SEGUIMIENTO_TPM_xlsx[[#This Row],[HORA FIN  INTERVENCIÓN]])</f>
        <v>0</v>
      </c>
      <c r="T286" s="11">
        <f>(SEGUIMIENTO_TPM_xlsx[[#This Row],[FECHA Y HORA FINAL]]-SEGUIMIENTO_TPM_xlsx[[#This Row],[FECHA Y HORA INICIO]])</f>
        <v>0</v>
      </c>
    </row>
    <row r="287" spans="1:20" x14ac:dyDescent="0.25">
      <c r="A287">
        <v>295</v>
      </c>
      <c r="C287" s="1"/>
      <c r="D287" s="2"/>
      <c r="H287" s="1"/>
      <c r="I287" s="1"/>
      <c r="J287" s="2"/>
      <c r="Q287" s="1">
        <f>SEGUIMIENTO_TPM_xlsx[[#This Row],[HORA FIN  INTERVENCIÓN]]-SEGUIMIENTO_TPM_xlsx[[#This Row],[HORA INICIO INTERVENCIÓN]]</f>
        <v>0</v>
      </c>
      <c r="R287" s="20">
        <f>(SEGUIMIENTO_TPM_xlsx[[#This Row],[HORA REPORTE]]+SEGUIMIENTO_TPM_xlsx[[#This Row],[FECHA DE REPORTE]])</f>
        <v>0</v>
      </c>
      <c r="S287" s="20">
        <f>(SEGUIMIENTO_TPM_xlsx[[#This Row],[FECHA DE INTERVENCÓN]]+SEGUIMIENTO_TPM_xlsx[[#This Row],[HORA FIN  INTERVENCIÓN]])</f>
        <v>0</v>
      </c>
      <c r="T287" s="11">
        <f>(SEGUIMIENTO_TPM_xlsx[[#This Row],[FECHA Y HORA FINAL]]-SEGUIMIENTO_TPM_xlsx[[#This Row],[FECHA Y HORA INICIO]])</f>
        <v>0</v>
      </c>
    </row>
    <row r="288" spans="1:20" x14ac:dyDescent="0.25">
      <c r="A288">
        <v>296</v>
      </c>
      <c r="C288" s="1"/>
      <c r="D288" s="2"/>
      <c r="H288" s="1"/>
      <c r="I288" s="1"/>
      <c r="J288" s="2"/>
      <c r="Q288" s="1">
        <f>SEGUIMIENTO_TPM_xlsx[[#This Row],[HORA FIN  INTERVENCIÓN]]-SEGUIMIENTO_TPM_xlsx[[#This Row],[HORA INICIO INTERVENCIÓN]]</f>
        <v>0</v>
      </c>
      <c r="R288" s="20">
        <f>(SEGUIMIENTO_TPM_xlsx[[#This Row],[HORA REPORTE]]+SEGUIMIENTO_TPM_xlsx[[#This Row],[FECHA DE REPORTE]])</f>
        <v>0</v>
      </c>
      <c r="S288" s="20">
        <f>(SEGUIMIENTO_TPM_xlsx[[#This Row],[FECHA DE INTERVENCÓN]]+SEGUIMIENTO_TPM_xlsx[[#This Row],[HORA FIN  INTERVENCIÓN]])</f>
        <v>0</v>
      </c>
      <c r="T288" s="11">
        <f>(SEGUIMIENTO_TPM_xlsx[[#This Row],[FECHA Y HORA FINAL]]-SEGUIMIENTO_TPM_xlsx[[#This Row],[FECHA Y HORA INICIO]])</f>
        <v>0</v>
      </c>
    </row>
    <row r="289" spans="1:20" x14ac:dyDescent="0.25">
      <c r="A289">
        <v>297</v>
      </c>
      <c r="C289" s="1"/>
      <c r="D289" s="2"/>
      <c r="H289" s="1"/>
      <c r="I289" s="1"/>
      <c r="J289" s="2"/>
      <c r="Q289" s="1">
        <f>SEGUIMIENTO_TPM_xlsx[[#This Row],[HORA FIN  INTERVENCIÓN]]-SEGUIMIENTO_TPM_xlsx[[#This Row],[HORA INICIO INTERVENCIÓN]]</f>
        <v>0</v>
      </c>
      <c r="R289" s="20">
        <f>(SEGUIMIENTO_TPM_xlsx[[#This Row],[HORA REPORTE]]+SEGUIMIENTO_TPM_xlsx[[#This Row],[FECHA DE REPORTE]])</f>
        <v>0</v>
      </c>
      <c r="S289" s="20">
        <f>(SEGUIMIENTO_TPM_xlsx[[#This Row],[FECHA DE INTERVENCÓN]]+SEGUIMIENTO_TPM_xlsx[[#This Row],[HORA FIN  INTERVENCIÓN]])</f>
        <v>0</v>
      </c>
      <c r="T289" s="11">
        <f>(SEGUIMIENTO_TPM_xlsx[[#This Row],[FECHA Y HORA FINAL]]-SEGUIMIENTO_TPM_xlsx[[#This Row],[FECHA Y HORA INICIO]])</f>
        <v>0</v>
      </c>
    </row>
    <row r="290" spans="1:20" x14ac:dyDescent="0.25">
      <c r="A290">
        <v>298</v>
      </c>
      <c r="C290" s="1"/>
      <c r="D290" s="2"/>
      <c r="H290" s="1"/>
      <c r="I290" s="1"/>
      <c r="J290" s="2"/>
      <c r="Q290" s="1">
        <f>SEGUIMIENTO_TPM_xlsx[[#This Row],[HORA FIN  INTERVENCIÓN]]-SEGUIMIENTO_TPM_xlsx[[#This Row],[HORA INICIO INTERVENCIÓN]]</f>
        <v>0</v>
      </c>
      <c r="R290" s="20">
        <f>(SEGUIMIENTO_TPM_xlsx[[#This Row],[HORA REPORTE]]+SEGUIMIENTO_TPM_xlsx[[#This Row],[FECHA DE REPORTE]])</f>
        <v>0</v>
      </c>
      <c r="S290" s="20">
        <f>(SEGUIMIENTO_TPM_xlsx[[#This Row],[FECHA DE INTERVENCÓN]]+SEGUIMIENTO_TPM_xlsx[[#This Row],[HORA FIN  INTERVENCIÓN]])</f>
        <v>0</v>
      </c>
      <c r="T290" s="11">
        <f>(SEGUIMIENTO_TPM_xlsx[[#This Row],[FECHA Y HORA FINAL]]-SEGUIMIENTO_TPM_xlsx[[#This Row],[FECHA Y HORA INICIO]])</f>
        <v>0</v>
      </c>
    </row>
    <row r="291" spans="1:20" x14ac:dyDescent="0.25">
      <c r="A291">
        <v>299</v>
      </c>
      <c r="C291" s="1"/>
      <c r="D291" s="2"/>
      <c r="H291" s="1"/>
      <c r="I291" s="1"/>
      <c r="J291" s="2"/>
      <c r="Q291" s="1">
        <f>SEGUIMIENTO_TPM_xlsx[[#This Row],[HORA FIN  INTERVENCIÓN]]-SEGUIMIENTO_TPM_xlsx[[#This Row],[HORA INICIO INTERVENCIÓN]]</f>
        <v>0</v>
      </c>
      <c r="R291" s="20">
        <f>(SEGUIMIENTO_TPM_xlsx[[#This Row],[HORA REPORTE]]+SEGUIMIENTO_TPM_xlsx[[#This Row],[FECHA DE REPORTE]])</f>
        <v>0</v>
      </c>
      <c r="S291" s="20">
        <f>(SEGUIMIENTO_TPM_xlsx[[#This Row],[FECHA DE INTERVENCÓN]]+SEGUIMIENTO_TPM_xlsx[[#This Row],[HORA FIN  INTERVENCIÓN]])</f>
        <v>0</v>
      </c>
      <c r="T291" s="11">
        <f>(SEGUIMIENTO_TPM_xlsx[[#This Row],[FECHA Y HORA FINAL]]-SEGUIMIENTO_TPM_xlsx[[#This Row],[FECHA Y HORA INICIO]])</f>
        <v>0</v>
      </c>
    </row>
    <row r="292" spans="1:20" x14ac:dyDescent="0.25">
      <c r="A292">
        <v>300</v>
      </c>
      <c r="C292" s="1"/>
      <c r="D292" s="2"/>
      <c r="H292" s="1"/>
      <c r="I292" s="1"/>
      <c r="J292" s="2"/>
      <c r="Q292" s="1">
        <f>SEGUIMIENTO_TPM_xlsx[[#This Row],[HORA FIN  INTERVENCIÓN]]-SEGUIMIENTO_TPM_xlsx[[#This Row],[HORA INICIO INTERVENCIÓN]]</f>
        <v>0</v>
      </c>
      <c r="R292" s="20">
        <f>(SEGUIMIENTO_TPM_xlsx[[#This Row],[HORA REPORTE]]+SEGUIMIENTO_TPM_xlsx[[#This Row],[FECHA DE REPORTE]])</f>
        <v>0</v>
      </c>
      <c r="S292" s="20">
        <f>(SEGUIMIENTO_TPM_xlsx[[#This Row],[FECHA DE INTERVENCÓN]]+SEGUIMIENTO_TPM_xlsx[[#This Row],[HORA FIN  INTERVENCIÓN]])</f>
        <v>0</v>
      </c>
      <c r="T292" s="11">
        <f>(SEGUIMIENTO_TPM_xlsx[[#This Row],[FECHA Y HORA FINAL]]-SEGUIMIENTO_TPM_xlsx[[#This Row],[FECHA Y HORA INICIO]])</f>
        <v>0</v>
      </c>
    </row>
    <row r="293" spans="1:20" x14ac:dyDescent="0.25">
      <c r="A293">
        <v>301</v>
      </c>
      <c r="B293" t="s">
        <v>341</v>
      </c>
      <c r="C293" s="1">
        <v>0.71180555555555558</v>
      </c>
      <c r="D293" s="2">
        <v>45985</v>
      </c>
      <c r="E293" t="s">
        <v>143</v>
      </c>
      <c r="F293" t="s">
        <v>95</v>
      </c>
      <c r="G293" t="s">
        <v>342</v>
      </c>
      <c r="H293" s="1">
        <v>0.71180555555555558</v>
      </c>
      <c r="I293" s="1">
        <v>0.72222222222222221</v>
      </c>
      <c r="J293" s="2">
        <v>45985</v>
      </c>
      <c r="K293" t="s">
        <v>25</v>
      </c>
      <c r="L293" t="s">
        <v>343</v>
      </c>
      <c r="M293" t="s">
        <v>22</v>
      </c>
      <c r="N293" t="s">
        <v>22</v>
      </c>
      <c r="O293" t="s">
        <v>44</v>
      </c>
      <c r="P293" t="s">
        <v>23</v>
      </c>
      <c r="Q293" s="1">
        <f>SEGUIMIENTO_TPM_xlsx[[#This Row],[HORA FIN  INTERVENCIÓN]]-SEGUIMIENTO_TPM_xlsx[[#This Row],[HORA INICIO INTERVENCIÓN]]</f>
        <v>1.041666666666663E-2</v>
      </c>
      <c r="R293" s="20">
        <f>(SEGUIMIENTO_TPM_xlsx[[#This Row],[HORA REPORTE]]+SEGUIMIENTO_TPM_xlsx[[#This Row],[FECHA DE REPORTE]])</f>
        <v>45985.711805555555</v>
      </c>
      <c r="S293" s="20">
        <f>(SEGUIMIENTO_TPM_xlsx[[#This Row],[FECHA DE INTERVENCÓN]]+SEGUIMIENTO_TPM_xlsx[[#This Row],[HORA FIN  INTERVENCIÓN]])</f>
        <v>45985.722222222219</v>
      </c>
      <c r="T293" s="11">
        <f>(SEGUIMIENTO_TPM_xlsx[[#This Row],[FECHA Y HORA FINAL]]-SEGUIMIENTO_TPM_xlsx[[#This Row],[FECHA Y HORA INICIO]])</f>
        <v>1.0416666664241347E-2</v>
      </c>
    </row>
    <row r="294" spans="1:20" x14ac:dyDescent="0.25">
      <c r="A294">
        <v>302</v>
      </c>
      <c r="B294" t="s">
        <v>93</v>
      </c>
      <c r="C294" s="1">
        <v>0.625</v>
      </c>
      <c r="D294" s="2">
        <v>45985</v>
      </c>
      <c r="E294" t="s">
        <v>94</v>
      </c>
      <c r="F294" t="s">
        <v>95</v>
      </c>
      <c r="G294" t="s">
        <v>344</v>
      </c>
      <c r="H294" s="1">
        <v>0.625</v>
      </c>
      <c r="I294" s="1">
        <v>0.66666666666666663</v>
      </c>
      <c r="J294" s="2">
        <v>45985</v>
      </c>
      <c r="K294" t="s">
        <v>25</v>
      </c>
      <c r="L294" t="s">
        <v>345</v>
      </c>
      <c r="M294" t="s">
        <v>22</v>
      </c>
      <c r="N294" t="s">
        <v>22</v>
      </c>
      <c r="O294" t="s">
        <v>44</v>
      </c>
      <c r="P294" t="s">
        <v>23</v>
      </c>
      <c r="Q294" s="1">
        <f>SEGUIMIENTO_TPM_xlsx[[#This Row],[HORA FIN  INTERVENCIÓN]]-SEGUIMIENTO_TPM_xlsx[[#This Row],[HORA INICIO INTERVENCIÓN]]</f>
        <v>4.166666666666663E-2</v>
      </c>
      <c r="R294" s="20">
        <f>(SEGUIMIENTO_TPM_xlsx[[#This Row],[HORA REPORTE]]+SEGUIMIENTO_TPM_xlsx[[#This Row],[FECHA DE REPORTE]])</f>
        <v>45985.625</v>
      </c>
      <c r="S294" s="20">
        <f>(SEGUIMIENTO_TPM_xlsx[[#This Row],[FECHA DE INTERVENCÓN]]+SEGUIMIENTO_TPM_xlsx[[#This Row],[HORA FIN  INTERVENCIÓN]])</f>
        <v>45985.666666666664</v>
      </c>
      <c r="T294" s="11">
        <f>(SEGUIMIENTO_TPM_xlsx[[#This Row],[FECHA Y HORA FINAL]]-SEGUIMIENTO_TPM_xlsx[[#This Row],[FECHA Y HORA INICIO]])</f>
        <v>4.1666666664241347E-2</v>
      </c>
    </row>
    <row r="295" spans="1:20" x14ac:dyDescent="0.25">
      <c r="A295">
        <v>303</v>
      </c>
      <c r="B295" t="s">
        <v>93</v>
      </c>
      <c r="C295" s="1">
        <v>0.74305555555555558</v>
      </c>
      <c r="D295" s="2">
        <v>45985</v>
      </c>
      <c r="E295" t="s">
        <v>94</v>
      </c>
      <c r="F295" t="s">
        <v>95</v>
      </c>
      <c r="G295" t="s">
        <v>346</v>
      </c>
      <c r="H295" s="1">
        <v>0.75</v>
      </c>
      <c r="I295" s="1"/>
      <c r="J295" s="2">
        <v>45985</v>
      </c>
      <c r="K295" t="s">
        <v>20</v>
      </c>
      <c r="L295" t="s">
        <v>347</v>
      </c>
      <c r="M295" t="s">
        <v>22</v>
      </c>
      <c r="N295" t="s">
        <v>22</v>
      </c>
      <c r="P295" t="s">
        <v>33</v>
      </c>
      <c r="Q295" s="1">
        <f>SEGUIMIENTO_TPM_xlsx[[#This Row],[HORA FIN  INTERVENCIÓN]]-SEGUIMIENTO_TPM_xlsx[[#This Row],[HORA INICIO INTERVENCIÓN]]</f>
        <v>-0.75</v>
      </c>
      <c r="R295" s="20">
        <f>(SEGUIMIENTO_TPM_xlsx[[#This Row],[HORA REPORTE]]+SEGUIMIENTO_TPM_xlsx[[#This Row],[FECHA DE REPORTE]])</f>
        <v>45985.743055555555</v>
      </c>
      <c r="S295" s="20">
        <f>(SEGUIMIENTO_TPM_xlsx[[#This Row],[FECHA DE INTERVENCÓN]]+SEGUIMIENTO_TPM_xlsx[[#This Row],[HORA FIN  INTERVENCIÓN]])</f>
        <v>45985</v>
      </c>
      <c r="T295" s="11">
        <f>(SEGUIMIENTO_TPM_xlsx[[#This Row],[FECHA Y HORA FINAL]]-SEGUIMIENTO_TPM_xlsx[[#This Row],[FECHA Y HORA INICIO]])</f>
        <v>-0.74305555555474712</v>
      </c>
    </row>
    <row r="296" spans="1:20" x14ac:dyDescent="0.25">
      <c r="A296">
        <v>304</v>
      </c>
      <c r="B296" t="s">
        <v>231</v>
      </c>
      <c r="C296" s="1">
        <v>4.8611111111111112E-2</v>
      </c>
      <c r="D296" s="2">
        <v>45986</v>
      </c>
      <c r="E296" t="s">
        <v>143</v>
      </c>
      <c r="F296" t="s">
        <v>95</v>
      </c>
      <c r="G296" t="s">
        <v>348</v>
      </c>
      <c r="H296" s="1">
        <v>5.0694444444444445E-2</v>
      </c>
      <c r="I296" s="1">
        <v>6.9444444444444448E-2</v>
      </c>
      <c r="J296" s="2">
        <v>45985</v>
      </c>
      <c r="K296" t="s">
        <v>25</v>
      </c>
      <c r="L296" t="s">
        <v>349</v>
      </c>
      <c r="M296" t="s">
        <v>350</v>
      </c>
      <c r="N296" t="s">
        <v>22</v>
      </c>
      <c r="O296" t="s">
        <v>112</v>
      </c>
      <c r="P296" t="s">
        <v>23</v>
      </c>
      <c r="Q296" s="1">
        <f>SEGUIMIENTO_TPM_xlsx[[#This Row],[HORA FIN  INTERVENCIÓN]]-SEGUIMIENTO_TPM_xlsx[[#This Row],[HORA INICIO INTERVENCIÓN]]</f>
        <v>1.8750000000000003E-2</v>
      </c>
      <c r="R296" s="20">
        <f>(SEGUIMIENTO_TPM_xlsx[[#This Row],[HORA REPORTE]]+SEGUIMIENTO_TPM_xlsx[[#This Row],[FECHA DE REPORTE]])</f>
        <v>45986.048611111109</v>
      </c>
      <c r="S296" s="20">
        <f>(SEGUIMIENTO_TPM_xlsx[[#This Row],[FECHA DE INTERVENCÓN]]+SEGUIMIENTO_TPM_xlsx[[#This Row],[HORA FIN  INTERVENCIÓN]])</f>
        <v>45985.069444444445</v>
      </c>
      <c r="T296" s="11">
        <f>(SEGUIMIENTO_TPM_xlsx[[#This Row],[FECHA Y HORA FINAL]]-SEGUIMIENTO_TPM_xlsx[[#This Row],[FECHA Y HORA INICIO]])</f>
        <v>-0.97916666666424135</v>
      </c>
    </row>
    <row r="297" spans="1:20" x14ac:dyDescent="0.25">
      <c r="A297">
        <v>305</v>
      </c>
      <c r="C297" s="1"/>
      <c r="D297" s="2"/>
      <c r="H297" s="1"/>
      <c r="I297" s="1"/>
      <c r="J297" s="2"/>
      <c r="Q297" s="1">
        <f>SEGUIMIENTO_TPM_xlsx[[#This Row],[HORA FIN  INTERVENCIÓN]]-SEGUIMIENTO_TPM_xlsx[[#This Row],[HORA INICIO INTERVENCIÓN]]</f>
        <v>0</v>
      </c>
      <c r="R297" s="20">
        <f>(SEGUIMIENTO_TPM_xlsx[[#This Row],[HORA REPORTE]]+SEGUIMIENTO_TPM_xlsx[[#This Row],[FECHA DE REPORTE]])</f>
        <v>0</v>
      </c>
      <c r="S297" s="20">
        <f>(SEGUIMIENTO_TPM_xlsx[[#This Row],[FECHA DE INTERVENCÓN]]+SEGUIMIENTO_TPM_xlsx[[#This Row],[HORA FIN  INTERVENCIÓN]])</f>
        <v>0</v>
      </c>
      <c r="T297" s="11">
        <f>(SEGUIMIENTO_TPM_xlsx[[#This Row],[FECHA Y HORA FINAL]]-SEGUIMIENTO_TPM_xlsx[[#This Row],[FECHA Y HORA INICIO]])</f>
        <v>0</v>
      </c>
    </row>
    <row r="298" spans="1:20" x14ac:dyDescent="0.25">
      <c r="A298">
        <v>306</v>
      </c>
      <c r="C298" s="1"/>
      <c r="D298" s="2"/>
      <c r="H298" s="1"/>
      <c r="I298" s="1"/>
      <c r="J298" s="2"/>
      <c r="Q298" s="1">
        <f>SEGUIMIENTO_TPM_xlsx[[#This Row],[HORA FIN  INTERVENCIÓN]]-SEGUIMIENTO_TPM_xlsx[[#This Row],[HORA INICIO INTERVENCIÓN]]</f>
        <v>0</v>
      </c>
      <c r="R298" s="20">
        <f>(SEGUIMIENTO_TPM_xlsx[[#This Row],[HORA REPORTE]]+SEGUIMIENTO_TPM_xlsx[[#This Row],[FECHA DE REPORTE]])</f>
        <v>0</v>
      </c>
      <c r="S298" s="20">
        <f>(SEGUIMIENTO_TPM_xlsx[[#This Row],[FECHA DE INTERVENCÓN]]+SEGUIMIENTO_TPM_xlsx[[#This Row],[HORA FIN  INTERVENCIÓN]])</f>
        <v>0</v>
      </c>
      <c r="T298" s="11">
        <f>(SEGUIMIENTO_TPM_xlsx[[#This Row],[FECHA Y HORA FINAL]]-SEGUIMIENTO_TPM_xlsx[[#This Row],[FECHA Y HORA INICIO]])</f>
        <v>0</v>
      </c>
    </row>
    <row r="299" spans="1:20" x14ac:dyDescent="0.25">
      <c r="A299">
        <v>307</v>
      </c>
      <c r="B299" t="s">
        <v>341</v>
      </c>
      <c r="C299" s="1">
        <v>0.29166666666666669</v>
      </c>
      <c r="D299" s="2">
        <v>45986</v>
      </c>
      <c r="E299" t="s">
        <v>143</v>
      </c>
      <c r="F299" t="s">
        <v>95</v>
      </c>
      <c r="G299" t="s">
        <v>351</v>
      </c>
      <c r="H299" s="1"/>
      <c r="I299" s="1"/>
      <c r="J299" s="2"/>
      <c r="P299" t="s">
        <v>33</v>
      </c>
      <c r="Q299" s="1">
        <f>SEGUIMIENTO_TPM_xlsx[[#This Row],[HORA FIN  INTERVENCIÓN]]-SEGUIMIENTO_TPM_xlsx[[#This Row],[HORA INICIO INTERVENCIÓN]]</f>
        <v>0</v>
      </c>
      <c r="R299" s="20">
        <f>(SEGUIMIENTO_TPM_xlsx[[#This Row],[HORA REPORTE]]+SEGUIMIENTO_TPM_xlsx[[#This Row],[FECHA DE REPORTE]])</f>
        <v>45986.291666666664</v>
      </c>
      <c r="S299" s="20">
        <f>(SEGUIMIENTO_TPM_xlsx[[#This Row],[FECHA DE INTERVENCÓN]]+SEGUIMIENTO_TPM_xlsx[[#This Row],[HORA FIN  INTERVENCIÓN]])</f>
        <v>0</v>
      </c>
      <c r="T299" s="11">
        <f>(SEGUIMIENTO_TPM_xlsx[[#This Row],[FECHA Y HORA FINAL]]-SEGUIMIENTO_TPM_xlsx[[#This Row],[FECHA Y HORA INICIO]])</f>
        <v>-45986.291666666664</v>
      </c>
    </row>
    <row r="300" spans="1:20" x14ac:dyDescent="0.25">
      <c r="A300">
        <v>308</v>
      </c>
      <c r="B300" t="s">
        <v>352</v>
      </c>
      <c r="C300" s="1">
        <v>0.29166666666666669</v>
      </c>
      <c r="D300" s="2">
        <v>45986</v>
      </c>
      <c r="E300" t="s">
        <v>353</v>
      </c>
      <c r="F300" t="s">
        <v>95</v>
      </c>
      <c r="G300" t="s">
        <v>354</v>
      </c>
      <c r="H300" s="1"/>
      <c r="I300" s="1"/>
      <c r="J300" s="2"/>
      <c r="P300" t="s">
        <v>33</v>
      </c>
      <c r="Q300" s="1">
        <f>SEGUIMIENTO_TPM_xlsx[[#This Row],[HORA FIN  INTERVENCIÓN]]-SEGUIMIENTO_TPM_xlsx[[#This Row],[HORA INICIO INTERVENCIÓN]]</f>
        <v>0</v>
      </c>
      <c r="R300" s="20">
        <f>(SEGUIMIENTO_TPM_xlsx[[#This Row],[HORA REPORTE]]+SEGUIMIENTO_TPM_xlsx[[#This Row],[FECHA DE REPORTE]])</f>
        <v>45986.291666666664</v>
      </c>
      <c r="S300" s="20">
        <f>(SEGUIMIENTO_TPM_xlsx[[#This Row],[FECHA DE INTERVENCÓN]]+SEGUIMIENTO_TPM_xlsx[[#This Row],[HORA FIN  INTERVENCIÓN]])</f>
        <v>0</v>
      </c>
      <c r="T300" s="11">
        <f>(SEGUIMIENTO_TPM_xlsx[[#This Row],[FECHA Y HORA FINAL]]-SEGUIMIENTO_TPM_xlsx[[#This Row],[FECHA Y HORA INICIO]])</f>
        <v>-45986.291666666664</v>
      </c>
    </row>
    <row r="301" spans="1:20" x14ac:dyDescent="0.25">
      <c r="A301">
        <v>309</v>
      </c>
      <c r="B301" t="s">
        <v>242</v>
      </c>
      <c r="C301" s="1">
        <v>0.52083333333333337</v>
      </c>
      <c r="D301" s="2">
        <v>45986</v>
      </c>
      <c r="E301" t="s">
        <v>227</v>
      </c>
      <c r="F301" t="s">
        <v>100</v>
      </c>
      <c r="G301" t="s">
        <v>355</v>
      </c>
      <c r="H301" s="1"/>
      <c r="I301" s="1"/>
      <c r="J301" s="2"/>
      <c r="P301" t="s">
        <v>33</v>
      </c>
      <c r="Q301" s="1">
        <f>SEGUIMIENTO_TPM_xlsx[[#This Row],[HORA FIN  INTERVENCIÓN]]-SEGUIMIENTO_TPM_xlsx[[#This Row],[HORA INICIO INTERVENCIÓN]]</f>
        <v>0</v>
      </c>
      <c r="R301" s="20">
        <f>(SEGUIMIENTO_TPM_xlsx[[#This Row],[HORA REPORTE]]+SEGUIMIENTO_TPM_xlsx[[#This Row],[FECHA DE REPORTE]])</f>
        <v>45986.520833333336</v>
      </c>
      <c r="S301" s="20">
        <f>(SEGUIMIENTO_TPM_xlsx[[#This Row],[FECHA DE INTERVENCÓN]]+SEGUIMIENTO_TPM_xlsx[[#This Row],[HORA FIN  INTERVENCIÓN]])</f>
        <v>0</v>
      </c>
      <c r="T301" s="11">
        <f>(SEGUIMIENTO_TPM_xlsx[[#This Row],[FECHA Y HORA FINAL]]-SEGUIMIENTO_TPM_xlsx[[#This Row],[FECHA Y HORA INICIO]])</f>
        <v>-45986.520833333336</v>
      </c>
    </row>
    <row r="302" spans="1:20" x14ac:dyDescent="0.25">
      <c r="A302">
        <v>310</v>
      </c>
      <c r="B302" t="s">
        <v>238</v>
      </c>
      <c r="C302" s="1">
        <v>0.5625</v>
      </c>
      <c r="D302" s="2">
        <v>45986</v>
      </c>
      <c r="E302" t="s">
        <v>109</v>
      </c>
      <c r="F302" t="s">
        <v>95</v>
      </c>
      <c r="G302" t="s">
        <v>356</v>
      </c>
      <c r="H302" s="1">
        <v>0.5625</v>
      </c>
      <c r="I302" s="1">
        <v>0.58333333333333337</v>
      </c>
      <c r="J302" s="2">
        <v>45986</v>
      </c>
      <c r="K302" t="s">
        <v>20</v>
      </c>
      <c r="L302" t="s">
        <v>357</v>
      </c>
      <c r="M302" t="s">
        <v>22</v>
      </c>
      <c r="N302" t="s">
        <v>22</v>
      </c>
      <c r="O302" t="s">
        <v>268</v>
      </c>
      <c r="P302" t="s">
        <v>23</v>
      </c>
      <c r="Q302" s="1">
        <f>SEGUIMIENTO_TPM_xlsx[[#This Row],[HORA FIN  INTERVENCIÓN]]-SEGUIMIENTO_TPM_xlsx[[#This Row],[HORA INICIO INTERVENCIÓN]]</f>
        <v>2.083333333333337E-2</v>
      </c>
      <c r="R302" s="20">
        <f>(SEGUIMIENTO_TPM_xlsx[[#This Row],[HORA REPORTE]]+SEGUIMIENTO_TPM_xlsx[[#This Row],[FECHA DE REPORTE]])</f>
        <v>45986.5625</v>
      </c>
      <c r="S302" s="20">
        <f>(SEGUIMIENTO_TPM_xlsx[[#This Row],[FECHA DE INTERVENCÓN]]+SEGUIMIENTO_TPM_xlsx[[#This Row],[HORA FIN  INTERVENCIÓN]])</f>
        <v>45986.583333333336</v>
      </c>
      <c r="T302" s="11">
        <f>(SEGUIMIENTO_TPM_xlsx[[#This Row],[FECHA Y HORA FINAL]]-SEGUIMIENTO_TPM_xlsx[[#This Row],[FECHA Y HORA INICIO]])</f>
        <v>2.0833333335758653E-2</v>
      </c>
    </row>
    <row r="303" spans="1:20" x14ac:dyDescent="0.25">
      <c r="A303">
        <v>311</v>
      </c>
      <c r="C303" s="1"/>
      <c r="D303" s="2"/>
      <c r="H303" s="1"/>
      <c r="I303" s="1"/>
      <c r="J303" s="2"/>
      <c r="Q303" s="1">
        <f>SEGUIMIENTO_TPM_xlsx[[#This Row],[HORA FIN  INTERVENCIÓN]]-SEGUIMIENTO_TPM_xlsx[[#This Row],[HORA INICIO INTERVENCIÓN]]</f>
        <v>0</v>
      </c>
      <c r="R303" s="20">
        <f>(SEGUIMIENTO_TPM_xlsx[[#This Row],[HORA REPORTE]]+SEGUIMIENTO_TPM_xlsx[[#This Row],[FECHA DE REPORTE]])</f>
        <v>0</v>
      </c>
      <c r="S303" s="20">
        <f>(SEGUIMIENTO_TPM_xlsx[[#This Row],[FECHA DE INTERVENCÓN]]+SEGUIMIENTO_TPM_xlsx[[#This Row],[HORA FIN  INTERVENCIÓN]])</f>
        <v>0</v>
      </c>
      <c r="T303" s="11">
        <f>(SEGUIMIENTO_TPM_xlsx[[#This Row],[FECHA Y HORA FINAL]]-SEGUIMIENTO_TPM_xlsx[[#This Row],[FECHA Y HORA INICIO]])</f>
        <v>0</v>
      </c>
    </row>
    <row r="304" spans="1:20" x14ac:dyDescent="0.25">
      <c r="A304">
        <v>312</v>
      </c>
      <c r="B304" t="s">
        <v>139</v>
      </c>
      <c r="C304" s="1">
        <v>0.84722222222222221</v>
      </c>
      <c r="D304" s="2">
        <v>45986</v>
      </c>
      <c r="E304" t="s">
        <v>91</v>
      </c>
      <c r="F304" t="s">
        <v>95</v>
      </c>
      <c r="G304" t="s">
        <v>358</v>
      </c>
      <c r="H304" s="1">
        <v>0.84722222222222221</v>
      </c>
      <c r="I304" s="1">
        <v>0.90277777777777779</v>
      </c>
      <c r="J304" s="2">
        <v>45986</v>
      </c>
      <c r="K304" t="s">
        <v>20</v>
      </c>
      <c r="L304" t="s">
        <v>359</v>
      </c>
      <c r="M304" t="s">
        <v>22</v>
      </c>
      <c r="N304" t="s">
        <v>22</v>
      </c>
      <c r="O304" t="s">
        <v>112</v>
      </c>
      <c r="P304" t="s">
        <v>23</v>
      </c>
      <c r="Q304" s="1">
        <f>SEGUIMIENTO_TPM_xlsx[[#This Row],[HORA FIN  INTERVENCIÓN]]-SEGUIMIENTO_TPM_xlsx[[#This Row],[HORA INICIO INTERVENCIÓN]]</f>
        <v>5.555555555555558E-2</v>
      </c>
      <c r="R304" s="20">
        <f>(SEGUIMIENTO_TPM_xlsx[[#This Row],[HORA REPORTE]]+SEGUIMIENTO_TPM_xlsx[[#This Row],[FECHA DE REPORTE]])</f>
        <v>45986.847222222219</v>
      </c>
      <c r="S304" s="20">
        <f>(SEGUIMIENTO_TPM_xlsx[[#This Row],[FECHA DE INTERVENCÓN]]+SEGUIMIENTO_TPM_xlsx[[#This Row],[HORA FIN  INTERVENCIÓN]])</f>
        <v>45986.902777777781</v>
      </c>
      <c r="T304" s="11">
        <f>(SEGUIMIENTO_TPM_xlsx[[#This Row],[FECHA Y HORA FINAL]]-SEGUIMIENTO_TPM_xlsx[[#This Row],[FECHA Y HORA INICIO]])</f>
        <v>5.5555555562023073E-2</v>
      </c>
    </row>
    <row r="305" spans="1:20" x14ac:dyDescent="0.25">
      <c r="A305">
        <v>313</v>
      </c>
      <c r="C305" s="1"/>
      <c r="D305" s="2"/>
      <c r="H305" s="1"/>
      <c r="I305" s="1"/>
      <c r="J305" s="2"/>
      <c r="Q305" s="1">
        <f>SEGUIMIENTO_TPM_xlsx[[#This Row],[HORA FIN  INTERVENCIÓN]]-SEGUIMIENTO_TPM_xlsx[[#This Row],[HORA INICIO INTERVENCIÓN]]</f>
        <v>0</v>
      </c>
      <c r="R305" s="20">
        <f>(SEGUIMIENTO_TPM_xlsx[[#This Row],[HORA REPORTE]]+SEGUIMIENTO_TPM_xlsx[[#This Row],[FECHA DE REPORTE]])</f>
        <v>0</v>
      </c>
      <c r="S305" s="20">
        <f>(SEGUIMIENTO_TPM_xlsx[[#This Row],[FECHA DE INTERVENCÓN]]+SEGUIMIENTO_TPM_xlsx[[#This Row],[HORA FIN  INTERVENCIÓN]])</f>
        <v>0</v>
      </c>
      <c r="T305" s="11">
        <f>(SEGUIMIENTO_TPM_xlsx[[#This Row],[FECHA Y HORA FINAL]]-SEGUIMIENTO_TPM_xlsx[[#This Row],[FECHA Y HORA INICIO]])</f>
        <v>0</v>
      </c>
    </row>
    <row r="306" spans="1:20" x14ac:dyDescent="0.25">
      <c r="A306">
        <v>314</v>
      </c>
      <c r="B306" t="s">
        <v>335</v>
      </c>
      <c r="C306" s="1">
        <v>0.25</v>
      </c>
      <c r="D306" s="2">
        <v>45987</v>
      </c>
      <c r="E306" t="s">
        <v>162</v>
      </c>
      <c r="F306" t="s">
        <v>100</v>
      </c>
      <c r="G306" t="s">
        <v>360</v>
      </c>
      <c r="H306" s="1">
        <v>0.25694444444444442</v>
      </c>
      <c r="I306" s="1">
        <v>0.27083333333333331</v>
      </c>
      <c r="J306" s="2">
        <v>45987</v>
      </c>
      <c r="K306" t="s">
        <v>361</v>
      </c>
      <c r="L306" t="s">
        <v>362</v>
      </c>
      <c r="M306" t="s">
        <v>22</v>
      </c>
      <c r="N306" t="s">
        <v>22</v>
      </c>
      <c r="O306" t="s">
        <v>44</v>
      </c>
      <c r="P306" t="s">
        <v>23</v>
      </c>
      <c r="Q306" s="1">
        <f>SEGUIMIENTO_TPM_xlsx[[#This Row],[HORA FIN  INTERVENCIÓN]]-SEGUIMIENTO_TPM_xlsx[[#This Row],[HORA INICIO INTERVENCIÓN]]</f>
        <v>1.3888888888888895E-2</v>
      </c>
      <c r="R306" s="20">
        <f>(SEGUIMIENTO_TPM_xlsx[[#This Row],[HORA REPORTE]]+SEGUIMIENTO_TPM_xlsx[[#This Row],[FECHA DE REPORTE]])</f>
        <v>45987.25</v>
      </c>
      <c r="S306" s="20">
        <f>(SEGUIMIENTO_TPM_xlsx[[#This Row],[FECHA DE INTERVENCÓN]]+SEGUIMIENTO_TPM_xlsx[[#This Row],[HORA FIN  INTERVENCIÓN]])</f>
        <v>45987.270833333336</v>
      </c>
      <c r="T306" s="11">
        <f>(SEGUIMIENTO_TPM_xlsx[[#This Row],[FECHA Y HORA FINAL]]-SEGUIMIENTO_TPM_xlsx[[#This Row],[FECHA Y HORA INICIO]])</f>
        <v>2.0833333335758653E-2</v>
      </c>
    </row>
    <row r="307" spans="1:20" x14ac:dyDescent="0.25">
      <c r="A307">
        <v>315</v>
      </c>
      <c r="B307" t="s">
        <v>341</v>
      </c>
      <c r="C307" s="1">
        <v>0.29166666666666669</v>
      </c>
      <c r="D307" s="2">
        <v>45987</v>
      </c>
      <c r="E307" t="s">
        <v>143</v>
      </c>
      <c r="F307" t="s">
        <v>95</v>
      </c>
      <c r="G307" t="s">
        <v>363</v>
      </c>
      <c r="H307" s="1">
        <v>0.2986111111111111</v>
      </c>
      <c r="I307" s="1">
        <v>0.3125</v>
      </c>
      <c r="J307" s="2">
        <v>45987</v>
      </c>
      <c r="K307" t="s">
        <v>25</v>
      </c>
      <c r="L307" t="s">
        <v>364</v>
      </c>
      <c r="M307" t="s">
        <v>365</v>
      </c>
      <c r="N307" t="s">
        <v>22</v>
      </c>
      <c r="O307" t="s">
        <v>44</v>
      </c>
      <c r="P307" t="s">
        <v>23</v>
      </c>
      <c r="Q307" s="1">
        <f>SEGUIMIENTO_TPM_xlsx[[#This Row],[HORA FIN  INTERVENCIÓN]]-SEGUIMIENTO_TPM_xlsx[[#This Row],[HORA INICIO INTERVENCIÓN]]</f>
        <v>1.3888888888888895E-2</v>
      </c>
      <c r="R307" s="20">
        <f>(SEGUIMIENTO_TPM_xlsx[[#This Row],[HORA REPORTE]]+SEGUIMIENTO_TPM_xlsx[[#This Row],[FECHA DE REPORTE]])</f>
        <v>45987.291666666664</v>
      </c>
      <c r="S307" s="20">
        <f>(SEGUIMIENTO_TPM_xlsx[[#This Row],[FECHA DE INTERVENCÓN]]+SEGUIMIENTO_TPM_xlsx[[#This Row],[HORA FIN  INTERVENCIÓN]])</f>
        <v>45987.3125</v>
      </c>
      <c r="T307" s="11">
        <f>(SEGUIMIENTO_TPM_xlsx[[#This Row],[FECHA Y HORA FINAL]]-SEGUIMIENTO_TPM_xlsx[[#This Row],[FECHA Y HORA INICIO]])</f>
        <v>2.0833333335758653E-2</v>
      </c>
    </row>
    <row r="308" spans="1:20" x14ac:dyDescent="0.25">
      <c r="A308">
        <v>316</v>
      </c>
      <c r="C308" s="1"/>
      <c r="D308" s="2"/>
      <c r="H308" s="1"/>
      <c r="I308" s="1"/>
      <c r="J308" s="2"/>
      <c r="Q308" s="1">
        <f>SEGUIMIENTO_TPM_xlsx[[#This Row],[HORA FIN  INTERVENCIÓN]]-SEGUIMIENTO_TPM_xlsx[[#This Row],[HORA INICIO INTERVENCIÓN]]</f>
        <v>0</v>
      </c>
      <c r="R308" s="20">
        <f>(SEGUIMIENTO_TPM_xlsx[[#This Row],[HORA REPORTE]]+SEGUIMIENTO_TPM_xlsx[[#This Row],[FECHA DE REPORTE]])</f>
        <v>0</v>
      </c>
      <c r="S308" s="20">
        <f>(SEGUIMIENTO_TPM_xlsx[[#This Row],[FECHA DE INTERVENCÓN]]+SEGUIMIENTO_TPM_xlsx[[#This Row],[HORA FIN  INTERVENCIÓN]])</f>
        <v>0</v>
      </c>
      <c r="T308" s="11">
        <f>(SEGUIMIENTO_TPM_xlsx[[#This Row],[FECHA Y HORA FINAL]]-SEGUIMIENTO_TPM_xlsx[[#This Row],[FECHA Y HORA INICIO]])</f>
        <v>0</v>
      </c>
    </row>
    <row r="309" spans="1:20" x14ac:dyDescent="0.25">
      <c r="A309">
        <v>317</v>
      </c>
      <c r="B309" t="s">
        <v>113</v>
      </c>
      <c r="C309" s="1">
        <v>0.3576388888888889</v>
      </c>
      <c r="D309" s="2">
        <v>45987</v>
      </c>
      <c r="E309" t="s">
        <v>104</v>
      </c>
      <c r="F309" t="s">
        <v>95</v>
      </c>
      <c r="G309" t="s">
        <v>366</v>
      </c>
      <c r="H309" s="1">
        <v>0.3611111111111111</v>
      </c>
      <c r="I309" s="1">
        <v>0.39583333333333331</v>
      </c>
      <c r="J309" s="2">
        <v>45987</v>
      </c>
      <c r="K309" t="s">
        <v>20</v>
      </c>
      <c r="L309" t="s">
        <v>367</v>
      </c>
      <c r="M309" t="s">
        <v>22</v>
      </c>
      <c r="N309" t="s">
        <v>22</v>
      </c>
      <c r="O309" t="s">
        <v>44</v>
      </c>
      <c r="P309" t="s">
        <v>23</v>
      </c>
      <c r="Q309" s="1">
        <f>SEGUIMIENTO_TPM_xlsx[[#This Row],[HORA FIN  INTERVENCIÓN]]-SEGUIMIENTO_TPM_xlsx[[#This Row],[HORA INICIO INTERVENCIÓN]]</f>
        <v>3.472222222222221E-2</v>
      </c>
      <c r="R309" s="20">
        <f>(SEGUIMIENTO_TPM_xlsx[[#This Row],[HORA REPORTE]]+SEGUIMIENTO_TPM_xlsx[[#This Row],[FECHA DE REPORTE]])</f>
        <v>45987.357638888891</v>
      </c>
      <c r="S309" s="20">
        <f>(SEGUIMIENTO_TPM_xlsx[[#This Row],[FECHA DE INTERVENCÓN]]+SEGUIMIENTO_TPM_xlsx[[#This Row],[HORA FIN  INTERVENCIÓN]])</f>
        <v>45987.395833333336</v>
      </c>
      <c r="T309" s="11">
        <f>(SEGUIMIENTO_TPM_xlsx[[#This Row],[FECHA Y HORA FINAL]]-SEGUIMIENTO_TPM_xlsx[[#This Row],[FECHA Y HORA INICIO]])</f>
        <v>3.8194444445252884E-2</v>
      </c>
    </row>
    <row r="310" spans="1:20" x14ac:dyDescent="0.25">
      <c r="A310">
        <v>318</v>
      </c>
      <c r="B310" t="s">
        <v>192</v>
      </c>
      <c r="C310" s="1">
        <v>0.77083333333333337</v>
      </c>
      <c r="D310" s="2">
        <v>45987</v>
      </c>
      <c r="E310" t="s">
        <v>162</v>
      </c>
      <c r="F310" t="s">
        <v>95</v>
      </c>
      <c r="G310" t="s">
        <v>368</v>
      </c>
      <c r="H310" s="1"/>
      <c r="I310" s="1"/>
      <c r="J310" s="2"/>
      <c r="P310" t="s">
        <v>33</v>
      </c>
      <c r="Q310" s="1">
        <f>SEGUIMIENTO_TPM_xlsx[[#This Row],[HORA FIN  INTERVENCIÓN]]-SEGUIMIENTO_TPM_xlsx[[#This Row],[HORA INICIO INTERVENCIÓN]]</f>
        <v>0</v>
      </c>
      <c r="R310" s="20">
        <f>(SEGUIMIENTO_TPM_xlsx[[#This Row],[HORA REPORTE]]+SEGUIMIENTO_TPM_xlsx[[#This Row],[FECHA DE REPORTE]])</f>
        <v>45987.770833333336</v>
      </c>
      <c r="S310" s="20">
        <f>(SEGUIMIENTO_TPM_xlsx[[#This Row],[FECHA DE INTERVENCÓN]]+SEGUIMIENTO_TPM_xlsx[[#This Row],[HORA FIN  INTERVENCIÓN]])</f>
        <v>0</v>
      </c>
      <c r="T310" s="11">
        <f>(SEGUIMIENTO_TPM_xlsx[[#This Row],[FECHA Y HORA FINAL]]-SEGUIMIENTO_TPM_xlsx[[#This Row],[FECHA Y HORA INICIO]])</f>
        <v>-45987.770833333336</v>
      </c>
    </row>
    <row r="311" spans="1:20" x14ac:dyDescent="0.25">
      <c r="A311">
        <v>319</v>
      </c>
      <c r="B311" t="s">
        <v>16</v>
      </c>
      <c r="C311" s="1">
        <v>0.20833333333333334</v>
      </c>
      <c r="D311" s="2">
        <v>45988</v>
      </c>
      <c r="E311" t="s">
        <v>207</v>
      </c>
      <c r="F311" t="s">
        <v>95</v>
      </c>
      <c r="G311" t="s">
        <v>369</v>
      </c>
      <c r="H311" s="1">
        <v>0.20833333333333334</v>
      </c>
      <c r="I311" s="1">
        <v>0.22222222222222221</v>
      </c>
      <c r="J311" s="2">
        <v>45988</v>
      </c>
      <c r="K311" t="s">
        <v>20</v>
      </c>
      <c r="L311" t="s">
        <v>370</v>
      </c>
      <c r="M311" t="s">
        <v>371</v>
      </c>
      <c r="N311" t="s">
        <v>22</v>
      </c>
      <c r="O311" t="s">
        <v>108</v>
      </c>
      <c r="P311" t="s">
        <v>23</v>
      </c>
      <c r="Q311" s="1">
        <f>SEGUIMIENTO_TPM_xlsx[[#This Row],[HORA FIN  INTERVENCIÓN]]-SEGUIMIENTO_TPM_xlsx[[#This Row],[HORA INICIO INTERVENCIÓN]]</f>
        <v>1.3888888888888867E-2</v>
      </c>
      <c r="R311" s="20">
        <f>(SEGUIMIENTO_TPM_xlsx[[#This Row],[HORA REPORTE]]+SEGUIMIENTO_TPM_xlsx[[#This Row],[FECHA DE REPORTE]])</f>
        <v>45988.208333333336</v>
      </c>
      <c r="S311" s="20">
        <f>(SEGUIMIENTO_TPM_xlsx[[#This Row],[FECHA DE INTERVENCÓN]]+SEGUIMIENTO_TPM_xlsx[[#This Row],[HORA FIN  INTERVENCIÓN]])</f>
        <v>45988.222222222219</v>
      </c>
      <c r="T311" s="11">
        <f>(SEGUIMIENTO_TPM_xlsx[[#This Row],[FECHA Y HORA FINAL]]-SEGUIMIENTO_TPM_xlsx[[#This Row],[FECHA Y HORA INICIO]])</f>
        <v>1.3888888883229811E-2</v>
      </c>
    </row>
    <row r="312" spans="1:20" x14ac:dyDescent="0.25">
      <c r="A312">
        <v>320</v>
      </c>
      <c r="B312" t="s">
        <v>16</v>
      </c>
      <c r="C312" s="1">
        <v>0.91666666666666663</v>
      </c>
      <c r="D312" s="2">
        <v>45988</v>
      </c>
      <c r="E312" t="s">
        <v>116</v>
      </c>
      <c r="F312" t="s">
        <v>95</v>
      </c>
      <c r="G312" t="s">
        <v>372</v>
      </c>
      <c r="H312" s="1">
        <v>0.91666666666666663</v>
      </c>
      <c r="I312" s="1">
        <v>0.95833333333333337</v>
      </c>
      <c r="J312" s="2">
        <v>45988</v>
      </c>
      <c r="K312" t="s">
        <v>25</v>
      </c>
      <c r="L312" t="s">
        <v>373</v>
      </c>
      <c r="M312" t="s">
        <v>22</v>
      </c>
      <c r="N312" t="s">
        <v>22</v>
      </c>
      <c r="O312" t="s">
        <v>108</v>
      </c>
      <c r="P312" t="s">
        <v>23</v>
      </c>
      <c r="Q312" s="1">
        <f>SEGUIMIENTO_TPM_xlsx[[#This Row],[HORA FIN  INTERVENCIÓN]]-SEGUIMIENTO_TPM_xlsx[[#This Row],[HORA INICIO INTERVENCIÓN]]</f>
        <v>4.1666666666666741E-2</v>
      </c>
      <c r="R312" s="20">
        <f>(SEGUIMIENTO_TPM_xlsx[[#This Row],[HORA REPORTE]]+SEGUIMIENTO_TPM_xlsx[[#This Row],[FECHA DE REPORTE]])</f>
        <v>45988.916666666664</v>
      </c>
      <c r="S312" s="20">
        <f>(SEGUIMIENTO_TPM_xlsx[[#This Row],[FECHA DE INTERVENCÓN]]+SEGUIMIENTO_TPM_xlsx[[#This Row],[HORA FIN  INTERVENCIÓN]])</f>
        <v>45988.958333333336</v>
      </c>
      <c r="T312" s="11">
        <f>(SEGUIMIENTO_TPM_xlsx[[#This Row],[FECHA Y HORA FINAL]]-SEGUIMIENTO_TPM_xlsx[[#This Row],[FECHA Y HORA INICIO]])</f>
        <v>4.1666666671517305E-2</v>
      </c>
    </row>
    <row r="313" spans="1:20" x14ac:dyDescent="0.25">
      <c r="A313">
        <v>321</v>
      </c>
      <c r="B313" t="s">
        <v>16</v>
      </c>
      <c r="C313" s="1">
        <v>0.91666666666666663</v>
      </c>
      <c r="D313" s="2">
        <v>45988</v>
      </c>
      <c r="E313" t="s">
        <v>177</v>
      </c>
      <c r="F313" t="s">
        <v>95</v>
      </c>
      <c r="G313" t="s">
        <v>374</v>
      </c>
      <c r="H313" s="1">
        <v>0.91666666666666663</v>
      </c>
      <c r="I313" s="1">
        <v>0.95833333333333337</v>
      </c>
      <c r="J313" s="2">
        <v>45988</v>
      </c>
      <c r="K313" t="s">
        <v>25</v>
      </c>
      <c r="L313" t="s">
        <v>375</v>
      </c>
      <c r="M313" t="s">
        <v>376</v>
      </c>
      <c r="N313" t="s">
        <v>22</v>
      </c>
      <c r="O313" t="s">
        <v>112</v>
      </c>
      <c r="P313" t="s">
        <v>23</v>
      </c>
      <c r="Q313" s="1">
        <f>SEGUIMIENTO_TPM_xlsx[[#This Row],[HORA FIN  INTERVENCIÓN]]-SEGUIMIENTO_TPM_xlsx[[#This Row],[HORA INICIO INTERVENCIÓN]]</f>
        <v>4.1666666666666741E-2</v>
      </c>
      <c r="R313" s="20">
        <f>(SEGUIMIENTO_TPM_xlsx[[#This Row],[HORA REPORTE]]+SEGUIMIENTO_TPM_xlsx[[#This Row],[FECHA DE REPORTE]])</f>
        <v>45988.916666666664</v>
      </c>
      <c r="S313" s="20">
        <f>(SEGUIMIENTO_TPM_xlsx[[#This Row],[FECHA DE INTERVENCÓN]]+SEGUIMIENTO_TPM_xlsx[[#This Row],[HORA FIN  INTERVENCIÓN]])</f>
        <v>45988.958333333336</v>
      </c>
      <c r="T313" s="11">
        <f>(SEGUIMIENTO_TPM_xlsx[[#This Row],[FECHA Y HORA FINAL]]-SEGUIMIENTO_TPM_xlsx[[#This Row],[FECHA Y HORA INICIO]])</f>
        <v>4.1666666671517305E-2</v>
      </c>
    </row>
    <row r="314" spans="1:20" x14ac:dyDescent="0.25">
      <c r="A314">
        <v>322</v>
      </c>
      <c r="B314" t="s">
        <v>192</v>
      </c>
      <c r="C314" s="1">
        <v>0.15277777777777779</v>
      </c>
      <c r="D314" s="2">
        <v>45989</v>
      </c>
      <c r="E314" t="s">
        <v>162</v>
      </c>
      <c r="F314" t="s">
        <v>100</v>
      </c>
      <c r="G314" t="s">
        <v>377</v>
      </c>
      <c r="H314" s="1">
        <v>0.16666666666666666</v>
      </c>
      <c r="I314" s="1">
        <v>0.1875</v>
      </c>
      <c r="J314" s="2">
        <v>45989</v>
      </c>
      <c r="K314" t="s">
        <v>25</v>
      </c>
      <c r="L314" t="s">
        <v>378</v>
      </c>
      <c r="M314" t="s">
        <v>22</v>
      </c>
      <c r="N314" t="s">
        <v>22</v>
      </c>
      <c r="O314" t="s">
        <v>108</v>
      </c>
      <c r="P314" t="s">
        <v>23</v>
      </c>
      <c r="Q314" s="1">
        <f>SEGUIMIENTO_TPM_xlsx[[#This Row],[HORA FIN  INTERVENCIÓN]]-SEGUIMIENTO_TPM_xlsx[[#This Row],[HORA INICIO INTERVENCIÓN]]</f>
        <v>2.0833333333333343E-2</v>
      </c>
      <c r="R314" s="20">
        <f>(SEGUIMIENTO_TPM_xlsx[[#This Row],[HORA REPORTE]]+SEGUIMIENTO_TPM_xlsx[[#This Row],[FECHA DE REPORTE]])</f>
        <v>45989.152777777781</v>
      </c>
      <c r="S314" s="20">
        <f>(SEGUIMIENTO_TPM_xlsx[[#This Row],[FECHA DE INTERVENCÓN]]+SEGUIMIENTO_TPM_xlsx[[#This Row],[HORA FIN  INTERVENCIÓN]])</f>
        <v>45989.1875</v>
      </c>
      <c r="T314" s="11">
        <f>(SEGUIMIENTO_TPM_xlsx[[#This Row],[FECHA Y HORA FINAL]]-SEGUIMIENTO_TPM_xlsx[[#This Row],[FECHA Y HORA INICIO]])</f>
        <v>3.4722222218988463E-2</v>
      </c>
    </row>
    <row r="315" spans="1:20" x14ac:dyDescent="0.25">
      <c r="A315">
        <v>323</v>
      </c>
      <c r="B315" t="s">
        <v>120</v>
      </c>
      <c r="C315" s="1">
        <v>0.27777777777777779</v>
      </c>
      <c r="D315" s="2">
        <v>45989</v>
      </c>
      <c r="E315" t="s">
        <v>185</v>
      </c>
      <c r="F315" t="s">
        <v>95</v>
      </c>
      <c r="G315" t="s">
        <v>379</v>
      </c>
      <c r="H315" s="1">
        <v>0.27777777777777779</v>
      </c>
      <c r="I315" s="1">
        <v>0.30555555555555558</v>
      </c>
      <c r="J315" s="2">
        <v>45989</v>
      </c>
      <c r="K315" t="s">
        <v>25</v>
      </c>
      <c r="L315" t="s">
        <v>379</v>
      </c>
      <c r="M315" t="s">
        <v>22</v>
      </c>
      <c r="N315" t="s">
        <v>22</v>
      </c>
      <c r="O315" t="s">
        <v>44</v>
      </c>
      <c r="P315" t="s">
        <v>23</v>
      </c>
      <c r="Q315" s="1">
        <f>SEGUIMIENTO_TPM_xlsx[[#This Row],[HORA FIN  INTERVENCIÓN]]-SEGUIMIENTO_TPM_xlsx[[#This Row],[HORA INICIO INTERVENCIÓN]]</f>
        <v>2.777777777777779E-2</v>
      </c>
      <c r="R315" s="20">
        <f>(SEGUIMIENTO_TPM_xlsx[[#This Row],[HORA REPORTE]]+SEGUIMIENTO_TPM_xlsx[[#This Row],[FECHA DE REPORTE]])</f>
        <v>45989.277777777781</v>
      </c>
      <c r="S315" s="20">
        <f>(SEGUIMIENTO_TPM_xlsx[[#This Row],[FECHA DE INTERVENCÓN]]+SEGUIMIENTO_TPM_xlsx[[#This Row],[HORA FIN  INTERVENCIÓN]])</f>
        <v>45989.305555555555</v>
      </c>
      <c r="T315" s="11">
        <f>(SEGUIMIENTO_TPM_xlsx[[#This Row],[FECHA Y HORA FINAL]]-SEGUIMIENTO_TPM_xlsx[[#This Row],[FECHA Y HORA INICIO]])</f>
        <v>2.7777777773735579E-2</v>
      </c>
    </row>
    <row r="316" spans="1:20" x14ac:dyDescent="0.25">
      <c r="A316">
        <v>324</v>
      </c>
      <c r="B316" t="s">
        <v>335</v>
      </c>
      <c r="C316" s="1">
        <v>0.3611111111111111</v>
      </c>
      <c r="D316" s="2">
        <v>45983</v>
      </c>
      <c r="E316" t="s">
        <v>162</v>
      </c>
      <c r="F316" t="s">
        <v>100</v>
      </c>
      <c r="G316" t="s">
        <v>380</v>
      </c>
      <c r="H316" s="1">
        <v>0.3611111111111111</v>
      </c>
      <c r="I316" s="1">
        <v>0.375</v>
      </c>
      <c r="J316" s="2">
        <v>45983</v>
      </c>
      <c r="K316" t="s">
        <v>25</v>
      </c>
      <c r="L316" t="s">
        <v>381</v>
      </c>
      <c r="M316" t="s">
        <v>22</v>
      </c>
      <c r="N316" t="s">
        <v>22</v>
      </c>
      <c r="O316" t="s">
        <v>44</v>
      </c>
      <c r="P316" t="s">
        <v>23</v>
      </c>
      <c r="Q316" s="1">
        <f>SEGUIMIENTO_TPM_xlsx[[#This Row],[HORA FIN  INTERVENCIÓN]]-SEGUIMIENTO_TPM_xlsx[[#This Row],[HORA INICIO INTERVENCIÓN]]</f>
        <v>1.3888888888888895E-2</v>
      </c>
      <c r="R316" s="20">
        <f>(SEGUIMIENTO_TPM_xlsx[[#This Row],[HORA REPORTE]]+SEGUIMIENTO_TPM_xlsx[[#This Row],[FECHA DE REPORTE]])</f>
        <v>45983.361111111109</v>
      </c>
      <c r="S316" s="20">
        <f>(SEGUIMIENTO_TPM_xlsx[[#This Row],[FECHA DE INTERVENCÓN]]+SEGUIMIENTO_TPM_xlsx[[#This Row],[HORA FIN  INTERVENCIÓN]])</f>
        <v>45983.375</v>
      </c>
      <c r="T316" s="11">
        <f>(SEGUIMIENTO_TPM_xlsx[[#This Row],[FECHA Y HORA FINAL]]-SEGUIMIENTO_TPM_xlsx[[#This Row],[FECHA Y HORA INICIO]])</f>
        <v>1.3888888890505768E-2</v>
      </c>
    </row>
    <row r="317" spans="1:20" x14ac:dyDescent="0.25">
      <c r="A317">
        <v>325</v>
      </c>
      <c r="B317" t="s">
        <v>335</v>
      </c>
      <c r="C317" s="1">
        <v>0.59027777777777779</v>
      </c>
      <c r="D317" s="2">
        <v>45989</v>
      </c>
      <c r="E317" t="s">
        <v>162</v>
      </c>
      <c r="F317" t="s">
        <v>100</v>
      </c>
      <c r="G317" t="s">
        <v>382</v>
      </c>
      <c r="H317" s="1">
        <v>0.59027777777777779</v>
      </c>
      <c r="I317" s="1">
        <v>0.625</v>
      </c>
      <c r="J317" s="2">
        <v>45989</v>
      </c>
      <c r="K317" t="s">
        <v>156</v>
      </c>
      <c r="L317" t="s">
        <v>383</v>
      </c>
      <c r="M317" t="s">
        <v>384</v>
      </c>
      <c r="N317" t="s">
        <v>22</v>
      </c>
      <c r="O317" t="s">
        <v>99</v>
      </c>
      <c r="P317" t="s">
        <v>23</v>
      </c>
      <c r="Q317" s="1">
        <f>SEGUIMIENTO_TPM_xlsx[[#This Row],[HORA FIN  INTERVENCIÓN]]-SEGUIMIENTO_TPM_xlsx[[#This Row],[HORA INICIO INTERVENCIÓN]]</f>
        <v>3.472222222222221E-2</v>
      </c>
      <c r="R317" s="20">
        <f>(SEGUIMIENTO_TPM_xlsx[[#This Row],[HORA REPORTE]]+SEGUIMIENTO_TPM_xlsx[[#This Row],[FECHA DE REPORTE]])</f>
        <v>45989.590277777781</v>
      </c>
      <c r="S317" s="20">
        <f>(SEGUIMIENTO_TPM_xlsx[[#This Row],[FECHA DE INTERVENCÓN]]+SEGUIMIENTO_TPM_xlsx[[#This Row],[HORA FIN  INTERVENCIÓN]])</f>
        <v>45989.625</v>
      </c>
      <c r="T317" s="11">
        <f>(SEGUIMIENTO_TPM_xlsx[[#This Row],[FECHA Y HORA FINAL]]-SEGUIMIENTO_TPM_xlsx[[#This Row],[FECHA Y HORA INICIO]])</f>
        <v>3.4722222218988463E-2</v>
      </c>
    </row>
    <row r="318" spans="1:20" x14ac:dyDescent="0.25">
      <c r="A318">
        <v>326</v>
      </c>
      <c r="B318" t="s">
        <v>385</v>
      </c>
      <c r="C318" s="1">
        <v>0.71875</v>
      </c>
      <c r="D318" s="2">
        <v>45989</v>
      </c>
      <c r="E318" t="s">
        <v>116</v>
      </c>
      <c r="F318" t="s">
        <v>95</v>
      </c>
      <c r="G318" t="s">
        <v>386</v>
      </c>
      <c r="H318" s="1">
        <v>0.71875</v>
      </c>
      <c r="I318" s="1">
        <v>0.75</v>
      </c>
      <c r="J318" s="2">
        <v>45989</v>
      </c>
      <c r="K318" t="s">
        <v>25</v>
      </c>
      <c r="L318" t="s">
        <v>387</v>
      </c>
      <c r="M318" t="s">
        <v>22</v>
      </c>
      <c r="N318" t="s">
        <v>22</v>
      </c>
      <c r="O318" t="s">
        <v>112</v>
      </c>
      <c r="P318" t="s">
        <v>23</v>
      </c>
      <c r="Q318" s="1">
        <f>SEGUIMIENTO_TPM_xlsx[[#This Row],[HORA FIN  INTERVENCIÓN]]-SEGUIMIENTO_TPM_xlsx[[#This Row],[HORA INICIO INTERVENCIÓN]]</f>
        <v>3.125E-2</v>
      </c>
      <c r="R318" s="20">
        <f>(SEGUIMIENTO_TPM_xlsx[[#This Row],[HORA REPORTE]]+SEGUIMIENTO_TPM_xlsx[[#This Row],[FECHA DE REPORTE]])</f>
        <v>45989.71875</v>
      </c>
      <c r="S318" s="20">
        <f>(SEGUIMIENTO_TPM_xlsx[[#This Row],[FECHA DE INTERVENCÓN]]+SEGUIMIENTO_TPM_xlsx[[#This Row],[HORA FIN  INTERVENCIÓN]])</f>
        <v>45989.75</v>
      </c>
      <c r="T318" s="11">
        <f>(SEGUIMIENTO_TPM_xlsx[[#This Row],[FECHA Y HORA FINAL]]-SEGUIMIENTO_TPM_xlsx[[#This Row],[FECHA Y HORA INICIO]])</f>
        <v>3.125E-2</v>
      </c>
    </row>
    <row r="319" spans="1:20" x14ac:dyDescent="0.25">
      <c r="A319">
        <v>327</v>
      </c>
      <c r="B319" t="s">
        <v>341</v>
      </c>
      <c r="C319" s="1">
        <v>0.79861111111111116</v>
      </c>
      <c r="D319" s="2">
        <v>45989</v>
      </c>
      <c r="E319" t="s">
        <v>143</v>
      </c>
      <c r="F319" t="s">
        <v>95</v>
      </c>
      <c r="G319" t="s">
        <v>388</v>
      </c>
      <c r="H319" s="1">
        <v>0.79861111111111116</v>
      </c>
      <c r="I319" s="1">
        <v>0.8125</v>
      </c>
      <c r="J319" s="2">
        <v>45989</v>
      </c>
      <c r="K319" t="s">
        <v>25</v>
      </c>
      <c r="L319" t="s">
        <v>389</v>
      </c>
      <c r="M319" t="s">
        <v>390</v>
      </c>
      <c r="N319" t="s">
        <v>22</v>
      </c>
      <c r="O319" t="s">
        <v>112</v>
      </c>
      <c r="P319" t="s">
        <v>23</v>
      </c>
      <c r="Q319" s="1">
        <f>SEGUIMIENTO_TPM_xlsx[[#This Row],[HORA FIN  INTERVENCIÓN]]-SEGUIMIENTO_TPM_xlsx[[#This Row],[HORA INICIO INTERVENCIÓN]]</f>
        <v>1.388888888888884E-2</v>
      </c>
      <c r="R319" s="20">
        <f>(SEGUIMIENTO_TPM_xlsx[[#This Row],[HORA REPORTE]]+SEGUIMIENTO_TPM_xlsx[[#This Row],[FECHA DE REPORTE]])</f>
        <v>45989.798611111109</v>
      </c>
      <c r="S319" s="20">
        <f>(SEGUIMIENTO_TPM_xlsx[[#This Row],[FECHA DE INTERVENCÓN]]+SEGUIMIENTO_TPM_xlsx[[#This Row],[HORA FIN  INTERVENCIÓN]])</f>
        <v>45989.8125</v>
      </c>
      <c r="T319" s="11">
        <f>(SEGUIMIENTO_TPM_xlsx[[#This Row],[FECHA Y HORA FINAL]]-SEGUIMIENTO_TPM_xlsx[[#This Row],[FECHA Y HORA INICIO]])</f>
        <v>1.3888888890505768E-2</v>
      </c>
    </row>
    <row r="320" spans="1:20" x14ac:dyDescent="0.25">
      <c r="A320">
        <v>328</v>
      </c>
      <c r="B320" t="s">
        <v>385</v>
      </c>
      <c r="C320" s="1">
        <v>0.76736111111111116</v>
      </c>
      <c r="D320" s="2">
        <v>45989</v>
      </c>
      <c r="E320" t="s">
        <v>109</v>
      </c>
      <c r="F320" t="s">
        <v>95</v>
      </c>
      <c r="G320" t="s">
        <v>391</v>
      </c>
      <c r="H320" s="1">
        <v>0.76736111111111116</v>
      </c>
      <c r="I320" s="1">
        <v>0.77777777777777779</v>
      </c>
      <c r="J320" s="2">
        <v>45989</v>
      </c>
      <c r="K320" t="s">
        <v>20</v>
      </c>
      <c r="L320" t="s">
        <v>392</v>
      </c>
      <c r="M320" t="s">
        <v>22</v>
      </c>
      <c r="N320" t="s">
        <v>22</v>
      </c>
      <c r="O320" t="s">
        <v>112</v>
      </c>
      <c r="P320" t="s">
        <v>23</v>
      </c>
      <c r="Q320" s="1">
        <f>SEGUIMIENTO_TPM_xlsx[[#This Row],[HORA FIN  INTERVENCIÓN]]-SEGUIMIENTO_TPM_xlsx[[#This Row],[HORA INICIO INTERVENCIÓN]]</f>
        <v>1.041666666666663E-2</v>
      </c>
      <c r="R320" s="20">
        <f>(SEGUIMIENTO_TPM_xlsx[[#This Row],[HORA REPORTE]]+SEGUIMIENTO_TPM_xlsx[[#This Row],[FECHA DE REPORTE]])</f>
        <v>45989.767361111109</v>
      </c>
      <c r="S320" s="20">
        <f>(SEGUIMIENTO_TPM_xlsx[[#This Row],[FECHA DE INTERVENCÓN]]+SEGUIMIENTO_TPM_xlsx[[#This Row],[HORA FIN  INTERVENCIÓN]])</f>
        <v>45989.777777777781</v>
      </c>
      <c r="T320" s="11">
        <f>(SEGUIMIENTO_TPM_xlsx[[#This Row],[FECHA Y HORA FINAL]]-SEGUIMIENTO_TPM_xlsx[[#This Row],[FECHA Y HORA INICIO]])</f>
        <v>1.0416666671517305E-2</v>
      </c>
    </row>
    <row r="321" spans="1:20" x14ac:dyDescent="0.25">
      <c r="A321">
        <v>329</v>
      </c>
      <c r="B321" t="s">
        <v>393</v>
      </c>
      <c r="C321" s="1">
        <v>0.73958333333333337</v>
      </c>
      <c r="D321" s="2">
        <v>45990</v>
      </c>
      <c r="E321" t="s">
        <v>143</v>
      </c>
      <c r="F321" t="s">
        <v>95</v>
      </c>
      <c r="G321" t="s">
        <v>394</v>
      </c>
      <c r="H321" s="1">
        <v>0.75</v>
      </c>
      <c r="I321" s="1">
        <v>0.76388888888888884</v>
      </c>
      <c r="J321" s="2">
        <v>45990</v>
      </c>
      <c r="K321" t="s">
        <v>25</v>
      </c>
      <c r="L321" t="s">
        <v>395</v>
      </c>
      <c r="M321" t="s">
        <v>22</v>
      </c>
      <c r="N321" t="s">
        <v>22</v>
      </c>
      <c r="O321" t="s">
        <v>112</v>
      </c>
      <c r="P321" t="s">
        <v>23</v>
      </c>
      <c r="Q321" s="1">
        <f>SEGUIMIENTO_TPM_xlsx[[#This Row],[HORA FIN  INTERVENCIÓN]]-SEGUIMIENTO_TPM_xlsx[[#This Row],[HORA INICIO INTERVENCIÓN]]</f>
        <v>1.388888888888884E-2</v>
      </c>
      <c r="R321" s="20">
        <f>(SEGUIMIENTO_TPM_xlsx[[#This Row],[HORA REPORTE]]+SEGUIMIENTO_TPM_xlsx[[#This Row],[FECHA DE REPORTE]])</f>
        <v>45990.739583333336</v>
      </c>
      <c r="S321" s="20">
        <f>(SEGUIMIENTO_TPM_xlsx[[#This Row],[FECHA DE INTERVENCÓN]]+SEGUIMIENTO_TPM_xlsx[[#This Row],[HORA FIN  INTERVENCIÓN]])</f>
        <v>45990.763888888891</v>
      </c>
      <c r="T321" s="11">
        <f>(SEGUIMIENTO_TPM_xlsx[[#This Row],[FECHA Y HORA FINAL]]-SEGUIMIENTO_TPM_xlsx[[#This Row],[FECHA Y HORA INICIO]])</f>
        <v>2.4305555554747116E-2</v>
      </c>
    </row>
    <row r="322" spans="1:20" x14ac:dyDescent="0.25">
      <c r="A322">
        <v>330</v>
      </c>
      <c r="B322" t="s">
        <v>113</v>
      </c>
      <c r="C322" s="1">
        <v>0.79166666666666663</v>
      </c>
      <c r="D322" s="2">
        <v>45990</v>
      </c>
      <c r="E322" t="s">
        <v>91</v>
      </c>
      <c r="F322" t="s">
        <v>95</v>
      </c>
      <c r="G322" t="s">
        <v>396</v>
      </c>
      <c r="H322" s="1">
        <v>0.79166666666666663</v>
      </c>
      <c r="I322" s="1">
        <v>0.91666666666666663</v>
      </c>
      <c r="J322" s="2">
        <v>45990</v>
      </c>
      <c r="K322" t="s">
        <v>25</v>
      </c>
      <c r="L322" t="s">
        <v>397</v>
      </c>
      <c r="M322" t="s">
        <v>398</v>
      </c>
      <c r="N322" t="s">
        <v>22</v>
      </c>
      <c r="O322" t="s">
        <v>112</v>
      </c>
      <c r="P322" t="s">
        <v>23</v>
      </c>
      <c r="Q322" s="1">
        <f>SEGUIMIENTO_TPM_xlsx[[#This Row],[HORA FIN  INTERVENCIÓN]]-SEGUIMIENTO_TPM_xlsx[[#This Row],[HORA INICIO INTERVENCIÓN]]</f>
        <v>0.125</v>
      </c>
      <c r="R322" s="20">
        <f>(SEGUIMIENTO_TPM_xlsx[[#This Row],[HORA REPORTE]]+SEGUIMIENTO_TPM_xlsx[[#This Row],[FECHA DE REPORTE]])</f>
        <v>45990.791666666664</v>
      </c>
      <c r="S322" s="20">
        <f>(SEGUIMIENTO_TPM_xlsx[[#This Row],[FECHA DE INTERVENCÓN]]+SEGUIMIENTO_TPM_xlsx[[#This Row],[HORA FIN  INTERVENCIÓN]])</f>
        <v>45990.916666666664</v>
      </c>
      <c r="T322" s="11">
        <f>(SEGUIMIENTO_TPM_xlsx[[#This Row],[FECHA Y HORA FINAL]]-SEGUIMIENTO_TPM_xlsx[[#This Row],[FECHA Y HORA INICIO]])</f>
        <v>0.125</v>
      </c>
    </row>
    <row r="323" spans="1:20" x14ac:dyDescent="0.25">
      <c r="A323">
        <v>331</v>
      </c>
      <c r="B323" t="s">
        <v>113</v>
      </c>
      <c r="C323" s="1">
        <v>0.2013888888888889</v>
      </c>
      <c r="D323" s="2">
        <v>45991</v>
      </c>
      <c r="E323" t="s">
        <v>91</v>
      </c>
      <c r="F323" t="s">
        <v>95</v>
      </c>
      <c r="G323" t="s">
        <v>399</v>
      </c>
      <c r="H323" s="1">
        <v>0.2013888888888889</v>
      </c>
      <c r="I323" s="1">
        <v>0.21527777777777779</v>
      </c>
      <c r="J323" s="2">
        <v>45991</v>
      </c>
      <c r="K323" t="s">
        <v>156</v>
      </c>
      <c r="L323" t="s">
        <v>400</v>
      </c>
      <c r="M323" t="s">
        <v>22</v>
      </c>
      <c r="N323" t="s">
        <v>22</v>
      </c>
      <c r="O323" t="s">
        <v>112</v>
      </c>
      <c r="P323" t="s">
        <v>23</v>
      </c>
      <c r="Q323" s="1">
        <f>SEGUIMIENTO_TPM_xlsx[[#This Row],[HORA FIN  INTERVENCIÓN]]-SEGUIMIENTO_TPM_xlsx[[#This Row],[HORA INICIO INTERVENCIÓN]]</f>
        <v>1.3888888888888895E-2</v>
      </c>
      <c r="R323" s="20">
        <f>(SEGUIMIENTO_TPM_xlsx[[#This Row],[HORA REPORTE]]+SEGUIMIENTO_TPM_xlsx[[#This Row],[FECHA DE REPORTE]])</f>
        <v>45991.201388888891</v>
      </c>
      <c r="S323" s="20">
        <f>(SEGUIMIENTO_TPM_xlsx[[#This Row],[FECHA DE INTERVENCÓN]]+SEGUIMIENTO_TPM_xlsx[[#This Row],[HORA FIN  INTERVENCIÓN]])</f>
        <v>45991.215277777781</v>
      </c>
      <c r="T323" s="11">
        <f>(SEGUIMIENTO_TPM_xlsx[[#This Row],[FECHA Y HORA FINAL]]-SEGUIMIENTO_TPM_xlsx[[#This Row],[FECHA Y HORA INICIO]])</f>
        <v>1.3888888890505768E-2</v>
      </c>
    </row>
    <row r="324" spans="1:20" x14ac:dyDescent="0.25">
      <c r="A324">
        <v>332</v>
      </c>
      <c r="B324" t="s">
        <v>120</v>
      </c>
      <c r="C324" s="1">
        <v>0.51388888888888884</v>
      </c>
      <c r="D324" s="2">
        <v>45991</v>
      </c>
      <c r="E324" t="s">
        <v>177</v>
      </c>
      <c r="F324" t="s">
        <v>95</v>
      </c>
      <c r="G324" t="s">
        <v>401</v>
      </c>
      <c r="H324" s="1"/>
      <c r="I324" s="1"/>
      <c r="J324" s="2"/>
      <c r="P324" t="s">
        <v>33</v>
      </c>
      <c r="Q324" s="1">
        <f>SEGUIMIENTO_TPM_xlsx[[#This Row],[HORA FIN  INTERVENCIÓN]]-SEGUIMIENTO_TPM_xlsx[[#This Row],[HORA INICIO INTERVENCIÓN]]</f>
        <v>0</v>
      </c>
      <c r="R324" s="20">
        <f>(SEGUIMIENTO_TPM_xlsx[[#This Row],[HORA REPORTE]]+SEGUIMIENTO_TPM_xlsx[[#This Row],[FECHA DE REPORTE]])</f>
        <v>45991.513888888891</v>
      </c>
      <c r="S324" s="20">
        <f>(SEGUIMIENTO_TPM_xlsx[[#This Row],[FECHA DE INTERVENCÓN]]+SEGUIMIENTO_TPM_xlsx[[#This Row],[HORA FIN  INTERVENCIÓN]])</f>
        <v>0</v>
      </c>
      <c r="T324" s="11">
        <f>(SEGUIMIENTO_TPM_xlsx[[#This Row],[FECHA Y HORA FINAL]]-SEGUIMIENTO_TPM_xlsx[[#This Row],[FECHA Y HORA INICIO]])</f>
        <v>-45991.513888888891</v>
      </c>
    </row>
    <row r="325" spans="1:20" x14ac:dyDescent="0.25">
      <c r="A325">
        <v>333</v>
      </c>
      <c r="B325" t="s">
        <v>402</v>
      </c>
      <c r="C325" s="1">
        <v>0.38194444444444442</v>
      </c>
      <c r="D325" s="2">
        <v>45991</v>
      </c>
      <c r="E325" t="s">
        <v>143</v>
      </c>
      <c r="F325" t="s">
        <v>95</v>
      </c>
      <c r="G325" t="s">
        <v>403</v>
      </c>
      <c r="H325" s="1">
        <v>0.38194444444444442</v>
      </c>
      <c r="I325" s="1">
        <v>0.42708333333333331</v>
      </c>
      <c r="J325" s="2">
        <v>45991</v>
      </c>
      <c r="K325" t="s">
        <v>25</v>
      </c>
      <c r="L325" t="s">
        <v>404</v>
      </c>
      <c r="M325" t="s">
        <v>22</v>
      </c>
      <c r="N325" t="s">
        <v>22</v>
      </c>
      <c r="O325" t="s">
        <v>44</v>
      </c>
      <c r="P325" t="s">
        <v>23</v>
      </c>
      <c r="Q325" s="1">
        <f>SEGUIMIENTO_TPM_xlsx[[#This Row],[HORA FIN  INTERVENCIÓN]]-SEGUIMIENTO_TPM_xlsx[[#This Row],[HORA INICIO INTERVENCIÓN]]</f>
        <v>4.5138888888888895E-2</v>
      </c>
      <c r="R325" s="20">
        <f>(SEGUIMIENTO_TPM_xlsx[[#This Row],[HORA REPORTE]]+SEGUIMIENTO_TPM_xlsx[[#This Row],[FECHA DE REPORTE]])</f>
        <v>45991.381944444445</v>
      </c>
      <c r="S325" s="20">
        <f>(SEGUIMIENTO_TPM_xlsx[[#This Row],[FECHA DE INTERVENCÓN]]+SEGUIMIENTO_TPM_xlsx[[#This Row],[HORA FIN  INTERVENCIÓN]])</f>
        <v>45991.427083333336</v>
      </c>
      <c r="T325" s="11">
        <f>(SEGUIMIENTO_TPM_xlsx[[#This Row],[FECHA Y HORA FINAL]]-SEGUIMIENTO_TPM_xlsx[[#This Row],[FECHA Y HORA INICIO]])</f>
        <v>4.5138888890505768E-2</v>
      </c>
    </row>
    <row r="326" spans="1:20" x14ac:dyDescent="0.25">
      <c r="A326">
        <v>334</v>
      </c>
      <c r="B326" t="s">
        <v>199</v>
      </c>
      <c r="C326" s="1">
        <v>0.78472222222222221</v>
      </c>
      <c r="D326" s="2">
        <v>45991</v>
      </c>
      <c r="E326" t="s">
        <v>91</v>
      </c>
      <c r="F326" t="s">
        <v>95</v>
      </c>
      <c r="G326" t="s">
        <v>405</v>
      </c>
      <c r="H326" s="1">
        <v>0.79166666666666663</v>
      </c>
      <c r="I326" s="1">
        <v>0.89583333333333337</v>
      </c>
      <c r="J326" s="2">
        <v>45991</v>
      </c>
      <c r="K326" t="s">
        <v>20</v>
      </c>
      <c r="L326" t="s">
        <v>406</v>
      </c>
      <c r="M326" t="s">
        <v>22</v>
      </c>
      <c r="N326" t="s">
        <v>22</v>
      </c>
      <c r="O326" t="s">
        <v>112</v>
      </c>
      <c r="P326" t="s">
        <v>23</v>
      </c>
      <c r="Q326" s="1">
        <f>SEGUIMIENTO_TPM_xlsx[[#This Row],[HORA FIN  INTERVENCIÓN]]-SEGUIMIENTO_TPM_xlsx[[#This Row],[HORA INICIO INTERVENCIÓN]]</f>
        <v>0.10416666666666674</v>
      </c>
      <c r="R326" s="20">
        <f>(SEGUIMIENTO_TPM_xlsx[[#This Row],[HORA REPORTE]]+SEGUIMIENTO_TPM_xlsx[[#This Row],[FECHA DE REPORTE]])</f>
        <v>45991.784722222219</v>
      </c>
      <c r="S326" s="20">
        <f>(SEGUIMIENTO_TPM_xlsx[[#This Row],[FECHA DE INTERVENCÓN]]+SEGUIMIENTO_TPM_xlsx[[#This Row],[HORA FIN  INTERVENCIÓN]])</f>
        <v>45991.895833333336</v>
      </c>
      <c r="T326" s="11">
        <f>(SEGUIMIENTO_TPM_xlsx[[#This Row],[FECHA Y HORA FINAL]]-SEGUIMIENTO_TPM_xlsx[[#This Row],[FECHA Y HORA INICIO]])</f>
        <v>0.11111111111677019</v>
      </c>
    </row>
    <row r="327" spans="1:20" x14ac:dyDescent="0.25">
      <c r="A327">
        <v>335</v>
      </c>
      <c r="B327" t="s">
        <v>199</v>
      </c>
      <c r="C327" s="1">
        <v>0.78472222222222221</v>
      </c>
      <c r="D327" s="2">
        <v>45991</v>
      </c>
      <c r="E327" t="s">
        <v>91</v>
      </c>
      <c r="F327" t="s">
        <v>95</v>
      </c>
      <c r="G327" t="s">
        <v>407</v>
      </c>
      <c r="H327" s="1"/>
      <c r="I327" s="1"/>
      <c r="J327" s="2"/>
      <c r="P327" t="s">
        <v>33</v>
      </c>
      <c r="Q327" s="1">
        <f>SEGUIMIENTO_TPM_xlsx[[#This Row],[HORA FIN  INTERVENCIÓN]]-SEGUIMIENTO_TPM_xlsx[[#This Row],[HORA INICIO INTERVENCIÓN]]</f>
        <v>0</v>
      </c>
      <c r="R327" s="20">
        <f>(SEGUIMIENTO_TPM_xlsx[[#This Row],[HORA REPORTE]]+SEGUIMIENTO_TPM_xlsx[[#This Row],[FECHA DE REPORTE]])</f>
        <v>45991.784722222219</v>
      </c>
      <c r="S327" s="20">
        <f>(SEGUIMIENTO_TPM_xlsx[[#This Row],[FECHA DE INTERVENCÓN]]+SEGUIMIENTO_TPM_xlsx[[#This Row],[HORA FIN  INTERVENCIÓN]])</f>
        <v>0</v>
      </c>
      <c r="T327" s="11">
        <f>(SEGUIMIENTO_TPM_xlsx[[#This Row],[FECHA Y HORA FINAL]]-SEGUIMIENTO_TPM_xlsx[[#This Row],[FECHA Y HORA INICIO]])</f>
        <v>-45991.784722222219</v>
      </c>
    </row>
    <row r="328" spans="1:20" x14ac:dyDescent="0.25">
      <c r="A328">
        <v>336</v>
      </c>
      <c r="B328" t="s">
        <v>199</v>
      </c>
      <c r="C328" s="1">
        <v>0.84722222222222221</v>
      </c>
      <c r="D328" s="2">
        <v>45991</v>
      </c>
      <c r="E328" t="s">
        <v>91</v>
      </c>
      <c r="F328" t="s">
        <v>95</v>
      </c>
      <c r="G328" t="s">
        <v>408</v>
      </c>
      <c r="H328" s="1">
        <v>0.85416666666666663</v>
      </c>
      <c r="I328" s="1">
        <v>0.83333333333333337</v>
      </c>
      <c r="J328" s="2">
        <v>45991</v>
      </c>
      <c r="K328" t="s">
        <v>25</v>
      </c>
      <c r="L328" t="s">
        <v>409</v>
      </c>
      <c r="M328" t="s">
        <v>22</v>
      </c>
      <c r="N328" t="s">
        <v>22</v>
      </c>
      <c r="O328" t="s">
        <v>112</v>
      </c>
      <c r="P328" t="s">
        <v>23</v>
      </c>
      <c r="Q328" s="1">
        <f>SEGUIMIENTO_TPM_xlsx[[#This Row],[HORA FIN  INTERVENCIÓN]]-SEGUIMIENTO_TPM_xlsx[[#This Row],[HORA INICIO INTERVENCIÓN]]</f>
        <v>-2.0833333333333259E-2</v>
      </c>
      <c r="R328" s="20">
        <f>(SEGUIMIENTO_TPM_xlsx[[#This Row],[HORA REPORTE]]+SEGUIMIENTO_TPM_xlsx[[#This Row],[FECHA DE REPORTE]])</f>
        <v>45991.847222222219</v>
      </c>
      <c r="S328" s="20">
        <f>(SEGUIMIENTO_TPM_xlsx[[#This Row],[FECHA DE INTERVENCÓN]]+SEGUIMIENTO_TPM_xlsx[[#This Row],[HORA FIN  INTERVENCIÓN]])</f>
        <v>45991.833333333336</v>
      </c>
      <c r="T328" s="11">
        <f>(SEGUIMIENTO_TPM_xlsx[[#This Row],[FECHA Y HORA FINAL]]-SEGUIMIENTO_TPM_xlsx[[#This Row],[FECHA Y HORA INICIO]])</f>
        <v>-1.3888888883229811E-2</v>
      </c>
    </row>
    <row r="329" spans="1:20" x14ac:dyDescent="0.25">
      <c r="A329">
        <v>337</v>
      </c>
      <c r="B329" t="s">
        <v>187</v>
      </c>
      <c r="C329" s="1">
        <v>0.31944444444444442</v>
      </c>
      <c r="D329" s="2">
        <v>45992</v>
      </c>
      <c r="E329" t="s">
        <v>22</v>
      </c>
      <c r="F329" t="s">
        <v>22</v>
      </c>
      <c r="G329" t="s">
        <v>410</v>
      </c>
      <c r="H329" s="1">
        <v>0.31944444444444442</v>
      </c>
      <c r="I329" s="1">
        <v>0.34375</v>
      </c>
      <c r="J329" s="2">
        <v>45992</v>
      </c>
      <c r="K329" t="s">
        <v>20</v>
      </c>
      <c r="L329" t="s">
        <v>411</v>
      </c>
      <c r="M329" t="s">
        <v>412</v>
      </c>
      <c r="N329" t="s">
        <v>22</v>
      </c>
      <c r="O329" t="s">
        <v>108</v>
      </c>
      <c r="P329" t="s">
        <v>23</v>
      </c>
      <c r="Q329" s="1">
        <f>SEGUIMIENTO_TPM_xlsx[[#This Row],[HORA FIN  INTERVENCIÓN]]-SEGUIMIENTO_TPM_xlsx[[#This Row],[HORA INICIO INTERVENCIÓN]]</f>
        <v>2.430555555555558E-2</v>
      </c>
      <c r="R329" s="20">
        <f>(SEGUIMIENTO_TPM_xlsx[[#This Row],[HORA REPORTE]]+SEGUIMIENTO_TPM_xlsx[[#This Row],[FECHA DE REPORTE]])</f>
        <v>45992.319444444445</v>
      </c>
      <c r="S329" s="20">
        <f>(SEGUIMIENTO_TPM_xlsx[[#This Row],[FECHA DE INTERVENCÓN]]+SEGUIMIENTO_TPM_xlsx[[#This Row],[HORA FIN  INTERVENCIÓN]])</f>
        <v>45992.34375</v>
      </c>
      <c r="T329" s="11">
        <f>(SEGUIMIENTO_TPM_xlsx[[#This Row],[FECHA Y HORA FINAL]]-SEGUIMIENTO_TPM_xlsx[[#This Row],[FECHA Y HORA INICIO]])</f>
        <v>2.4305555554747116E-2</v>
      </c>
    </row>
    <row r="330" spans="1:20" x14ac:dyDescent="0.25">
      <c r="A330">
        <v>338</v>
      </c>
      <c r="B330" t="s">
        <v>16</v>
      </c>
      <c r="C330" s="1">
        <v>0.35069444444444442</v>
      </c>
      <c r="D330" s="2">
        <v>45992</v>
      </c>
      <c r="E330" t="s">
        <v>116</v>
      </c>
      <c r="F330" t="s">
        <v>95</v>
      </c>
      <c r="G330" t="s">
        <v>413</v>
      </c>
      <c r="H330" s="1">
        <v>0.35069444444444442</v>
      </c>
      <c r="I330" s="1">
        <v>0.3611111111111111</v>
      </c>
      <c r="J330" s="2">
        <v>45992</v>
      </c>
      <c r="K330" t="s">
        <v>20</v>
      </c>
      <c r="L330" t="s">
        <v>414</v>
      </c>
      <c r="M330" t="s">
        <v>22</v>
      </c>
      <c r="N330" t="s">
        <v>22</v>
      </c>
      <c r="O330" t="s">
        <v>268</v>
      </c>
      <c r="P330" t="s">
        <v>23</v>
      </c>
      <c r="Q330" s="1">
        <f>SEGUIMIENTO_TPM_xlsx[[#This Row],[HORA FIN  INTERVENCIÓN]]-SEGUIMIENTO_TPM_xlsx[[#This Row],[HORA INICIO INTERVENCIÓN]]</f>
        <v>1.0416666666666685E-2</v>
      </c>
      <c r="R330" s="20">
        <f>(SEGUIMIENTO_TPM_xlsx[[#This Row],[HORA REPORTE]]+SEGUIMIENTO_TPM_xlsx[[#This Row],[FECHA DE REPORTE]])</f>
        <v>45992.350694444445</v>
      </c>
      <c r="S330" s="20">
        <f>(SEGUIMIENTO_TPM_xlsx[[#This Row],[FECHA DE INTERVENCÓN]]+SEGUIMIENTO_TPM_xlsx[[#This Row],[HORA FIN  INTERVENCIÓN]])</f>
        <v>45992.361111111109</v>
      </c>
      <c r="T330" s="11">
        <f>(SEGUIMIENTO_TPM_xlsx[[#This Row],[FECHA Y HORA FINAL]]-SEGUIMIENTO_TPM_xlsx[[#This Row],[FECHA Y HORA INICIO]])</f>
        <v>1.0416666664241347E-2</v>
      </c>
    </row>
    <row r="331" spans="1:20" x14ac:dyDescent="0.25">
      <c r="A331">
        <v>339</v>
      </c>
      <c r="B331" t="s">
        <v>187</v>
      </c>
      <c r="C331" s="1">
        <v>0.25</v>
      </c>
      <c r="D331" s="2">
        <v>45690</v>
      </c>
      <c r="E331" t="s">
        <v>85</v>
      </c>
      <c r="F331" t="s">
        <v>95</v>
      </c>
      <c r="G331" t="s">
        <v>415</v>
      </c>
      <c r="H331" s="1"/>
      <c r="I331" s="1"/>
      <c r="J331" s="2"/>
      <c r="P331" t="s">
        <v>33</v>
      </c>
      <c r="Q331" s="1">
        <f>SEGUIMIENTO_TPM_xlsx[[#This Row],[HORA FIN  INTERVENCIÓN]]-SEGUIMIENTO_TPM_xlsx[[#This Row],[HORA INICIO INTERVENCIÓN]]</f>
        <v>0</v>
      </c>
      <c r="R331" s="20">
        <f>(SEGUIMIENTO_TPM_xlsx[[#This Row],[HORA REPORTE]]+SEGUIMIENTO_TPM_xlsx[[#This Row],[FECHA DE REPORTE]])</f>
        <v>45690.25</v>
      </c>
      <c r="S331" s="20">
        <f>(SEGUIMIENTO_TPM_xlsx[[#This Row],[FECHA DE INTERVENCÓN]]+SEGUIMIENTO_TPM_xlsx[[#This Row],[HORA FIN  INTERVENCIÓN]])</f>
        <v>0</v>
      </c>
      <c r="T331" s="11">
        <f>(SEGUIMIENTO_TPM_xlsx[[#This Row],[FECHA Y HORA FINAL]]-SEGUIMIENTO_TPM_xlsx[[#This Row],[FECHA Y HORA INICIO]])</f>
        <v>-45690.25</v>
      </c>
    </row>
    <row r="332" spans="1:20" x14ac:dyDescent="0.25">
      <c r="A332">
        <v>340</v>
      </c>
      <c r="B332" t="s">
        <v>416</v>
      </c>
      <c r="C332" s="1">
        <v>0.4375</v>
      </c>
      <c r="D332" s="2">
        <v>45992</v>
      </c>
      <c r="E332" t="s">
        <v>91</v>
      </c>
      <c r="F332" t="s">
        <v>95</v>
      </c>
      <c r="G332" t="s">
        <v>417</v>
      </c>
      <c r="H332" s="1"/>
      <c r="I332" s="1"/>
      <c r="J332" s="2"/>
      <c r="P332" t="s">
        <v>33</v>
      </c>
      <c r="Q332" s="1">
        <f>SEGUIMIENTO_TPM_xlsx[[#This Row],[HORA FIN  INTERVENCIÓN]]-SEGUIMIENTO_TPM_xlsx[[#This Row],[HORA INICIO INTERVENCIÓN]]</f>
        <v>0</v>
      </c>
      <c r="R332" s="20">
        <f>(SEGUIMIENTO_TPM_xlsx[[#This Row],[HORA REPORTE]]+SEGUIMIENTO_TPM_xlsx[[#This Row],[FECHA DE REPORTE]])</f>
        <v>45992.4375</v>
      </c>
      <c r="S332" s="20">
        <f>(SEGUIMIENTO_TPM_xlsx[[#This Row],[FECHA DE INTERVENCÓN]]+SEGUIMIENTO_TPM_xlsx[[#This Row],[HORA FIN  INTERVENCIÓN]])</f>
        <v>0</v>
      </c>
      <c r="T332" s="11">
        <f>(SEGUIMIENTO_TPM_xlsx[[#This Row],[FECHA Y HORA FINAL]]-SEGUIMIENTO_TPM_xlsx[[#This Row],[FECHA Y HORA INICIO]])</f>
        <v>-45992.4375</v>
      </c>
    </row>
    <row r="333" spans="1:20" x14ac:dyDescent="0.25">
      <c r="A333">
        <v>341</v>
      </c>
      <c r="B333" t="s">
        <v>393</v>
      </c>
      <c r="C333" s="1">
        <v>0.4375</v>
      </c>
      <c r="D333" s="2">
        <v>45992</v>
      </c>
      <c r="E333" t="s">
        <v>143</v>
      </c>
      <c r="F333" t="s">
        <v>95</v>
      </c>
      <c r="G333" t="s">
        <v>418</v>
      </c>
      <c r="H333" s="1"/>
      <c r="I333" s="1"/>
      <c r="J333" s="2"/>
      <c r="K333" t="s">
        <v>20</v>
      </c>
      <c r="L333" t="s">
        <v>419</v>
      </c>
      <c r="P333" t="s">
        <v>33</v>
      </c>
      <c r="Q333" s="1">
        <f>SEGUIMIENTO_TPM_xlsx[[#This Row],[HORA FIN  INTERVENCIÓN]]-SEGUIMIENTO_TPM_xlsx[[#This Row],[HORA INICIO INTERVENCIÓN]]</f>
        <v>0</v>
      </c>
      <c r="R333" s="20">
        <f>(SEGUIMIENTO_TPM_xlsx[[#This Row],[HORA REPORTE]]+SEGUIMIENTO_TPM_xlsx[[#This Row],[FECHA DE REPORTE]])</f>
        <v>45992.4375</v>
      </c>
      <c r="S333" s="20">
        <f>(SEGUIMIENTO_TPM_xlsx[[#This Row],[FECHA DE INTERVENCÓN]]+SEGUIMIENTO_TPM_xlsx[[#This Row],[HORA FIN  INTERVENCIÓN]])</f>
        <v>0</v>
      </c>
      <c r="T333" s="11">
        <f>(SEGUIMIENTO_TPM_xlsx[[#This Row],[FECHA Y HORA FINAL]]-SEGUIMIENTO_TPM_xlsx[[#This Row],[FECHA Y HORA INICIO]])</f>
        <v>-45992.4375</v>
      </c>
    </row>
    <row r="334" spans="1:20" x14ac:dyDescent="0.25">
      <c r="A334">
        <v>342</v>
      </c>
      <c r="B334" t="s">
        <v>113</v>
      </c>
      <c r="C334" s="1">
        <v>0.46875</v>
      </c>
      <c r="D334" s="2">
        <v>45992</v>
      </c>
      <c r="E334" t="s">
        <v>143</v>
      </c>
      <c r="F334" t="s">
        <v>95</v>
      </c>
      <c r="G334" t="s">
        <v>420</v>
      </c>
      <c r="H334" s="1">
        <v>0.47569444444444442</v>
      </c>
      <c r="I334" s="1">
        <v>0.51388888888888884</v>
      </c>
      <c r="J334" s="2">
        <v>45992</v>
      </c>
      <c r="K334" t="s">
        <v>25</v>
      </c>
      <c r="L334" t="s">
        <v>421</v>
      </c>
      <c r="M334" t="s">
        <v>422</v>
      </c>
      <c r="N334" t="s">
        <v>22</v>
      </c>
      <c r="O334" t="s">
        <v>108</v>
      </c>
      <c r="P334" t="s">
        <v>23</v>
      </c>
      <c r="Q334" s="1">
        <f>SEGUIMIENTO_TPM_xlsx[[#This Row],[HORA FIN  INTERVENCIÓN]]-SEGUIMIENTO_TPM_xlsx[[#This Row],[HORA INICIO INTERVENCIÓN]]</f>
        <v>3.819444444444442E-2</v>
      </c>
      <c r="R334" s="20">
        <f>(SEGUIMIENTO_TPM_xlsx[[#This Row],[HORA REPORTE]]+SEGUIMIENTO_TPM_xlsx[[#This Row],[FECHA DE REPORTE]])</f>
        <v>45992.46875</v>
      </c>
      <c r="S334" s="20">
        <f>(SEGUIMIENTO_TPM_xlsx[[#This Row],[FECHA DE INTERVENCÓN]]+SEGUIMIENTO_TPM_xlsx[[#This Row],[HORA FIN  INTERVENCIÓN]])</f>
        <v>45992.513888888891</v>
      </c>
      <c r="T334" s="11">
        <f>(SEGUIMIENTO_TPM_xlsx[[#This Row],[FECHA Y HORA FINAL]]-SEGUIMIENTO_TPM_xlsx[[#This Row],[FECHA Y HORA INICIO]])</f>
        <v>4.5138888890505768E-2</v>
      </c>
    </row>
    <row r="335" spans="1:20" x14ac:dyDescent="0.25">
      <c r="A335">
        <v>343</v>
      </c>
      <c r="B335" t="s">
        <v>113</v>
      </c>
      <c r="C335" s="1">
        <v>6.9444444444444448E-2</v>
      </c>
      <c r="D335" s="2">
        <v>45993</v>
      </c>
      <c r="E335" t="s">
        <v>104</v>
      </c>
      <c r="F335" t="s">
        <v>95</v>
      </c>
      <c r="G335" t="s">
        <v>423</v>
      </c>
      <c r="H335" s="1">
        <v>6.9444444444444448E-2</v>
      </c>
      <c r="I335" s="1">
        <v>0.33333333333333331</v>
      </c>
      <c r="J335" s="2">
        <v>45993</v>
      </c>
      <c r="K335" t="s">
        <v>20</v>
      </c>
      <c r="L335" t="s">
        <v>424</v>
      </c>
      <c r="M335" t="s">
        <v>22</v>
      </c>
      <c r="N335" t="s">
        <v>22</v>
      </c>
      <c r="O335" t="s">
        <v>99</v>
      </c>
      <c r="P335" t="s">
        <v>23</v>
      </c>
      <c r="Q335" s="1">
        <f>SEGUIMIENTO_TPM_xlsx[[#This Row],[HORA FIN  INTERVENCIÓN]]-SEGUIMIENTO_TPM_xlsx[[#This Row],[HORA INICIO INTERVENCIÓN]]</f>
        <v>0.26388888888888884</v>
      </c>
      <c r="R335" s="20">
        <f>(SEGUIMIENTO_TPM_xlsx[[#This Row],[HORA REPORTE]]+SEGUIMIENTO_TPM_xlsx[[#This Row],[FECHA DE REPORTE]])</f>
        <v>45993.069444444445</v>
      </c>
      <c r="S335" s="20">
        <f>(SEGUIMIENTO_TPM_xlsx[[#This Row],[FECHA DE INTERVENCÓN]]+SEGUIMIENTO_TPM_xlsx[[#This Row],[HORA FIN  INTERVENCIÓN]])</f>
        <v>45993.333333333336</v>
      </c>
      <c r="T335" s="11">
        <f>(SEGUIMIENTO_TPM_xlsx[[#This Row],[FECHA Y HORA FINAL]]-SEGUIMIENTO_TPM_xlsx[[#This Row],[FECHA Y HORA INICIO]])</f>
        <v>0.26388888889050577</v>
      </c>
    </row>
    <row r="336" spans="1:20" x14ac:dyDescent="0.25">
      <c r="A336">
        <v>344</v>
      </c>
      <c r="B336" t="s">
        <v>385</v>
      </c>
      <c r="C336" s="1">
        <v>6.9444444444444447E-4</v>
      </c>
      <c r="D336" s="2">
        <v>45993</v>
      </c>
      <c r="E336" t="s">
        <v>116</v>
      </c>
      <c r="F336" t="s">
        <v>95</v>
      </c>
      <c r="G336" t="s">
        <v>425</v>
      </c>
      <c r="H336" s="1">
        <v>6.9444444444444447E-4</v>
      </c>
      <c r="I336" s="1">
        <v>8.3333333333333329E-2</v>
      </c>
      <c r="J336" s="2">
        <v>45993</v>
      </c>
      <c r="K336" t="s">
        <v>20</v>
      </c>
      <c r="L336" t="s">
        <v>426</v>
      </c>
      <c r="M336" t="s">
        <v>427</v>
      </c>
      <c r="N336" t="s">
        <v>22</v>
      </c>
      <c r="O336" t="s">
        <v>99</v>
      </c>
      <c r="P336" t="s">
        <v>23</v>
      </c>
      <c r="Q336" s="1">
        <f>SEGUIMIENTO_TPM_xlsx[[#This Row],[HORA FIN  INTERVENCIÓN]]-SEGUIMIENTO_TPM_xlsx[[#This Row],[HORA INICIO INTERVENCIÓN]]</f>
        <v>8.2638888888888887E-2</v>
      </c>
      <c r="R336" s="20">
        <f>(SEGUIMIENTO_TPM_xlsx[[#This Row],[HORA REPORTE]]+SEGUIMIENTO_TPM_xlsx[[#This Row],[FECHA DE REPORTE]])</f>
        <v>45993.000694444447</v>
      </c>
      <c r="S336" s="20">
        <f>(SEGUIMIENTO_TPM_xlsx[[#This Row],[FECHA DE INTERVENCÓN]]+SEGUIMIENTO_TPM_xlsx[[#This Row],[HORA FIN  INTERVENCIÓN]])</f>
        <v>45993.083333333336</v>
      </c>
      <c r="T336" s="11">
        <f>(SEGUIMIENTO_TPM_xlsx[[#This Row],[FECHA Y HORA FINAL]]-SEGUIMIENTO_TPM_xlsx[[#This Row],[FECHA Y HORA INICIO]])</f>
        <v>8.2638888889050577E-2</v>
      </c>
    </row>
    <row r="337" spans="1:20" x14ac:dyDescent="0.25">
      <c r="A337">
        <v>345</v>
      </c>
      <c r="B337" t="s">
        <v>385</v>
      </c>
      <c r="C337" s="1">
        <v>0.125</v>
      </c>
      <c r="D337" s="2">
        <v>45993</v>
      </c>
      <c r="E337" t="s">
        <v>116</v>
      </c>
      <c r="F337" t="s">
        <v>100</v>
      </c>
      <c r="G337" t="s">
        <v>428</v>
      </c>
      <c r="H337" s="1">
        <v>0.125</v>
      </c>
      <c r="I337" s="1">
        <v>0.16666666666666666</v>
      </c>
      <c r="J337" s="2">
        <v>45993</v>
      </c>
      <c r="K337" t="s">
        <v>25</v>
      </c>
      <c r="L337" t="s">
        <v>429</v>
      </c>
      <c r="M337" t="s">
        <v>430</v>
      </c>
      <c r="N337" t="s">
        <v>22</v>
      </c>
      <c r="O337" t="s">
        <v>99</v>
      </c>
      <c r="P337" t="s">
        <v>23</v>
      </c>
      <c r="Q337" s="1">
        <f>SEGUIMIENTO_TPM_xlsx[[#This Row],[HORA FIN  INTERVENCIÓN]]-SEGUIMIENTO_TPM_xlsx[[#This Row],[HORA INICIO INTERVENCIÓN]]</f>
        <v>4.1666666666666657E-2</v>
      </c>
      <c r="R337" s="20">
        <f>(SEGUIMIENTO_TPM_xlsx[[#This Row],[HORA REPORTE]]+SEGUIMIENTO_TPM_xlsx[[#This Row],[FECHA DE REPORTE]])</f>
        <v>45993.125</v>
      </c>
      <c r="S337" s="20">
        <f>(SEGUIMIENTO_TPM_xlsx[[#This Row],[FECHA DE INTERVENCÓN]]+SEGUIMIENTO_TPM_xlsx[[#This Row],[HORA FIN  INTERVENCIÓN]])</f>
        <v>45993.166666666664</v>
      </c>
      <c r="T337" s="11">
        <f>(SEGUIMIENTO_TPM_xlsx[[#This Row],[FECHA Y HORA FINAL]]-SEGUIMIENTO_TPM_xlsx[[#This Row],[FECHA Y HORA INICIO]])</f>
        <v>4.1666666664241347E-2</v>
      </c>
    </row>
    <row r="338" spans="1:20" x14ac:dyDescent="0.25">
      <c r="A338">
        <v>346</v>
      </c>
      <c r="B338" t="s">
        <v>180</v>
      </c>
      <c r="C338" s="1">
        <v>0.42777777777777776</v>
      </c>
      <c r="D338" s="2">
        <v>45993</v>
      </c>
      <c r="E338" t="s">
        <v>431</v>
      </c>
      <c r="F338" t="s">
        <v>95</v>
      </c>
      <c r="G338" t="s">
        <v>432</v>
      </c>
      <c r="H338" s="1">
        <v>0.42777777777777776</v>
      </c>
      <c r="I338" s="1">
        <v>0.47361111111111109</v>
      </c>
      <c r="J338" s="2">
        <v>45993</v>
      </c>
      <c r="K338" t="s">
        <v>25</v>
      </c>
      <c r="L338" t="s">
        <v>433</v>
      </c>
      <c r="M338" t="s">
        <v>22</v>
      </c>
      <c r="N338" t="s">
        <v>22</v>
      </c>
      <c r="O338" t="s">
        <v>268</v>
      </c>
      <c r="P338" t="s">
        <v>23</v>
      </c>
      <c r="Q338" s="1">
        <f>SEGUIMIENTO_TPM_xlsx[[#This Row],[HORA FIN  INTERVENCIÓN]]-SEGUIMIENTO_TPM_xlsx[[#This Row],[HORA INICIO INTERVENCIÓN]]</f>
        <v>4.5833333333333337E-2</v>
      </c>
      <c r="R338" s="20">
        <f>(SEGUIMIENTO_TPM_xlsx[[#This Row],[HORA REPORTE]]+SEGUIMIENTO_TPM_xlsx[[#This Row],[FECHA DE REPORTE]])</f>
        <v>45993.427777777775</v>
      </c>
      <c r="S338" s="20">
        <f>(SEGUIMIENTO_TPM_xlsx[[#This Row],[FECHA DE INTERVENCÓN]]+SEGUIMIENTO_TPM_xlsx[[#This Row],[HORA FIN  INTERVENCIÓN]])</f>
        <v>45993.473611111112</v>
      </c>
      <c r="T338" s="11">
        <f>(SEGUIMIENTO_TPM_xlsx[[#This Row],[FECHA Y HORA FINAL]]-SEGUIMIENTO_TPM_xlsx[[#This Row],[FECHA Y HORA INICIO]])</f>
        <v>4.5833333337213844E-2</v>
      </c>
    </row>
    <row r="339" spans="1:20" x14ac:dyDescent="0.25">
      <c r="A339">
        <v>347</v>
      </c>
      <c r="B339" t="s">
        <v>16</v>
      </c>
      <c r="C339" s="1">
        <v>0.45833333333333331</v>
      </c>
      <c r="D339" s="2">
        <v>45993</v>
      </c>
      <c r="E339" t="s">
        <v>185</v>
      </c>
      <c r="F339" t="s">
        <v>95</v>
      </c>
      <c r="G339" t="s">
        <v>434</v>
      </c>
      <c r="H339" s="1">
        <v>0.46875</v>
      </c>
      <c r="I339" s="1">
        <v>0.5</v>
      </c>
      <c r="J339" s="2">
        <v>45993</v>
      </c>
      <c r="K339" t="s">
        <v>20</v>
      </c>
      <c r="L339" t="s">
        <v>435</v>
      </c>
      <c r="M339" t="s">
        <v>22</v>
      </c>
      <c r="N339" t="s">
        <v>22</v>
      </c>
      <c r="O339" t="s">
        <v>112</v>
      </c>
      <c r="P339" t="s">
        <v>23</v>
      </c>
      <c r="Q339" s="1">
        <f>SEGUIMIENTO_TPM_xlsx[[#This Row],[HORA FIN  INTERVENCIÓN]]-SEGUIMIENTO_TPM_xlsx[[#This Row],[HORA INICIO INTERVENCIÓN]]</f>
        <v>3.125E-2</v>
      </c>
      <c r="R339" s="20">
        <f>(SEGUIMIENTO_TPM_xlsx[[#This Row],[HORA REPORTE]]+SEGUIMIENTO_TPM_xlsx[[#This Row],[FECHA DE REPORTE]])</f>
        <v>45993.458333333336</v>
      </c>
      <c r="S339" s="20">
        <f>(SEGUIMIENTO_TPM_xlsx[[#This Row],[FECHA DE INTERVENCÓN]]+SEGUIMIENTO_TPM_xlsx[[#This Row],[HORA FIN  INTERVENCIÓN]])</f>
        <v>45993.5</v>
      </c>
      <c r="T339" s="11">
        <f>(SEGUIMIENTO_TPM_xlsx[[#This Row],[FECHA Y HORA FINAL]]-SEGUIMIENTO_TPM_xlsx[[#This Row],[FECHA Y HORA INICIO]])</f>
        <v>4.1666666664241347E-2</v>
      </c>
    </row>
    <row r="340" spans="1:20" x14ac:dyDescent="0.25">
      <c r="A340">
        <v>348</v>
      </c>
      <c r="B340" t="s">
        <v>16</v>
      </c>
      <c r="C340" s="1">
        <v>0.41666666666666669</v>
      </c>
      <c r="D340" s="2">
        <v>45993</v>
      </c>
      <c r="E340" t="s">
        <v>116</v>
      </c>
      <c r="F340" t="s">
        <v>95</v>
      </c>
      <c r="G340" t="s">
        <v>436</v>
      </c>
      <c r="H340" s="1">
        <v>0.41666666666666669</v>
      </c>
      <c r="I340" s="1">
        <v>0.4375</v>
      </c>
      <c r="J340" s="2">
        <v>45993</v>
      </c>
      <c r="K340" t="s">
        <v>25</v>
      </c>
      <c r="L340" t="s">
        <v>437</v>
      </c>
      <c r="M340" t="s">
        <v>438</v>
      </c>
      <c r="N340" t="s">
        <v>22</v>
      </c>
      <c r="O340" t="s">
        <v>108</v>
      </c>
      <c r="P340" t="s">
        <v>23</v>
      </c>
      <c r="Q340" s="1">
        <f>SEGUIMIENTO_TPM_xlsx[[#This Row],[HORA FIN  INTERVENCIÓN]]-SEGUIMIENTO_TPM_xlsx[[#This Row],[HORA INICIO INTERVENCIÓN]]</f>
        <v>2.0833333333333315E-2</v>
      </c>
      <c r="R340" s="20">
        <f>(SEGUIMIENTO_TPM_xlsx[[#This Row],[HORA REPORTE]]+SEGUIMIENTO_TPM_xlsx[[#This Row],[FECHA DE REPORTE]])</f>
        <v>45993.416666666664</v>
      </c>
      <c r="S340" s="20">
        <f>(SEGUIMIENTO_TPM_xlsx[[#This Row],[FECHA DE INTERVENCÓN]]+SEGUIMIENTO_TPM_xlsx[[#This Row],[HORA FIN  INTERVENCIÓN]])</f>
        <v>45993.4375</v>
      </c>
      <c r="T340" s="11">
        <f>(SEGUIMIENTO_TPM_xlsx[[#This Row],[FECHA Y HORA FINAL]]-SEGUIMIENTO_TPM_xlsx[[#This Row],[FECHA Y HORA INICIO]])</f>
        <v>2.0833333335758653E-2</v>
      </c>
    </row>
    <row r="341" spans="1:20" x14ac:dyDescent="0.25">
      <c r="A341">
        <v>349</v>
      </c>
      <c r="B341" t="s">
        <v>341</v>
      </c>
      <c r="C341" s="1">
        <v>0.69444444444444442</v>
      </c>
      <c r="D341" s="2">
        <v>45993</v>
      </c>
      <c r="E341" t="s">
        <v>143</v>
      </c>
      <c r="F341" t="s">
        <v>95</v>
      </c>
      <c r="G341" t="s">
        <v>439</v>
      </c>
      <c r="H341" s="1">
        <v>0.69444444444444442</v>
      </c>
      <c r="I341" s="1">
        <v>0.70833333333333337</v>
      </c>
      <c r="J341" s="2">
        <v>45993</v>
      </c>
      <c r="K341" t="s">
        <v>25</v>
      </c>
      <c r="L341" t="s">
        <v>440</v>
      </c>
      <c r="M341" t="s">
        <v>22</v>
      </c>
      <c r="N341" t="s">
        <v>441</v>
      </c>
      <c r="O341" t="s">
        <v>44</v>
      </c>
      <c r="P341" t="s">
        <v>23</v>
      </c>
      <c r="Q341" s="1">
        <f>SEGUIMIENTO_TPM_xlsx[[#This Row],[HORA FIN  INTERVENCIÓN]]-SEGUIMIENTO_TPM_xlsx[[#This Row],[HORA INICIO INTERVENCIÓN]]</f>
        <v>1.3888888888888951E-2</v>
      </c>
      <c r="R341" s="20">
        <f>(SEGUIMIENTO_TPM_xlsx[[#This Row],[HORA REPORTE]]+SEGUIMIENTO_TPM_xlsx[[#This Row],[FECHA DE REPORTE]])</f>
        <v>45993.694444444445</v>
      </c>
      <c r="S341" s="20">
        <f>(SEGUIMIENTO_TPM_xlsx[[#This Row],[FECHA DE INTERVENCÓN]]+SEGUIMIENTO_TPM_xlsx[[#This Row],[HORA FIN  INTERVENCIÓN]])</f>
        <v>45993.708333333336</v>
      </c>
      <c r="T341" s="11">
        <f>(SEGUIMIENTO_TPM_xlsx[[#This Row],[FECHA Y HORA FINAL]]-SEGUIMIENTO_TPM_xlsx[[#This Row],[FECHA Y HORA INICIO]])</f>
        <v>1.3888888890505768E-2</v>
      </c>
    </row>
    <row r="342" spans="1:20" x14ac:dyDescent="0.25">
      <c r="A342">
        <v>350</v>
      </c>
      <c r="C342" s="1"/>
      <c r="D342" s="2"/>
      <c r="H342" s="1"/>
      <c r="I342" s="1"/>
      <c r="J342" s="2"/>
      <c r="Q342" s="1">
        <f>SEGUIMIENTO_TPM_xlsx[[#This Row],[HORA FIN  INTERVENCIÓN]]-SEGUIMIENTO_TPM_xlsx[[#This Row],[HORA INICIO INTERVENCIÓN]]</f>
        <v>0</v>
      </c>
      <c r="R342" s="20">
        <f>(SEGUIMIENTO_TPM_xlsx[[#This Row],[HORA REPORTE]]+SEGUIMIENTO_TPM_xlsx[[#This Row],[FECHA DE REPORTE]])</f>
        <v>0</v>
      </c>
      <c r="S342" s="20">
        <f>(SEGUIMIENTO_TPM_xlsx[[#This Row],[FECHA DE INTERVENCÓN]]+SEGUIMIENTO_TPM_xlsx[[#This Row],[HORA FIN  INTERVENCIÓN]])</f>
        <v>0</v>
      </c>
      <c r="T342" s="11">
        <f>(SEGUIMIENTO_TPM_xlsx[[#This Row],[FECHA Y HORA FINAL]]-SEGUIMIENTO_TPM_xlsx[[#This Row],[FECHA Y HORA INICIO]])</f>
        <v>0</v>
      </c>
    </row>
    <row r="343" spans="1:20" x14ac:dyDescent="0.25">
      <c r="A343">
        <v>351</v>
      </c>
      <c r="B343" t="s">
        <v>103</v>
      </c>
      <c r="C343" s="1">
        <v>0.89583333333333337</v>
      </c>
      <c r="D343" s="2">
        <v>45993</v>
      </c>
      <c r="E343" t="s">
        <v>147</v>
      </c>
      <c r="F343" t="s">
        <v>95</v>
      </c>
      <c r="G343" t="s">
        <v>442</v>
      </c>
      <c r="H343" s="1">
        <v>0.86111111111111116</v>
      </c>
      <c r="I343" s="1">
        <v>0.88194444444444442</v>
      </c>
      <c r="J343" s="2">
        <v>45993</v>
      </c>
      <c r="K343" t="s">
        <v>20</v>
      </c>
      <c r="L343" t="s">
        <v>443</v>
      </c>
      <c r="M343" t="s">
        <v>444</v>
      </c>
      <c r="N343" t="s">
        <v>22</v>
      </c>
      <c r="O343" t="s">
        <v>44</v>
      </c>
      <c r="P343" t="s">
        <v>23</v>
      </c>
      <c r="Q343" s="1">
        <f>SEGUIMIENTO_TPM_xlsx[[#This Row],[HORA FIN  INTERVENCIÓN]]-SEGUIMIENTO_TPM_xlsx[[#This Row],[HORA INICIO INTERVENCIÓN]]</f>
        <v>2.0833333333333259E-2</v>
      </c>
      <c r="R343" s="20">
        <f>(SEGUIMIENTO_TPM_xlsx[[#This Row],[HORA REPORTE]]+SEGUIMIENTO_TPM_xlsx[[#This Row],[FECHA DE REPORTE]])</f>
        <v>45993.895833333336</v>
      </c>
      <c r="S343" s="20">
        <f>(SEGUIMIENTO_TPM_xlsx[[#This Row],[FECHA DE INTERVENCÓN]]+SEGUIMIENTO_TPM_xlsx[[#This Row],[HORA FIN  INTERVENCIÓN]])</f>
        <v>45993.881944444445</v>
      </c>
      <c r="T343" s="11">
        <f>(SEGUIMIENTO_TPM_xlsx[[#This Row],[FECHA Y HORA FINAL]]-SEGUIMIENTO_TPM_xlsx[[#This Row],[FECHA Y HORA INICIO]])</f>
        <v>-1.3888888890505768E-2</v>
      </c>
    </row>
    <row r="344" spans="1:20" x14ac:dyDescent="0.25">
      <c r="A344">
        <v>352</v>
      </c>
      <c r="B344" t="s">
        <v>445</v>
      </c>
      <c r="C344" s="1">
        <v>7.1527777777777773E-2</v>
      </c>
      <c r="D344" s="2">
        <v>45994</v>
      </c>
      <c r="E344" t="s">
        <v>143</v>
      </c>
      <c r="F344" t="s">
        <v>95</v>
      </c>
      <c r="G344" t="s">
        <v>446</v>
      </c>
      <c r="H344" s="1">
        <v>7.1527777777777773E-2</v>
      </c>
      <c r="I344" s="1">
        <v>8.3333333333333329E-2</v>
      </c>
      <c r="J344" s="2">
        <v>45994</v>
      </c>
      <c r="K344" t="s">
        <v>25</v>
      </c>
      <c r="L344" t="s">
        <v>447</v>
      </c>
      <c r="M344" t="s">
        <v>390</v>
      </c>
      <c r="N344" t="s">
        <v>22</v>
      </c>
      <c r="O344" t="s">
        <v>99</v>
      </c>
      <c r="P344" t="s">
        <v>23</v>
      </c>
      <c r="Q344" s="1">
        <f>SEGUIMIENTO_TPM_xlsx[[#This Row],[HORA FIN  INTERVENCIÓN]]-SEGUIMIENTO_TPM_xlsx[[#This Row],[HORA INICIO INTERVENCIÓN]]</f>
        <v>1.1805555555555555E-2</v>
      </c>
      <c r="R344" s="20">
        <f>(SEGUIMIENTO_TPM_xlsx[[#This Row],[HORA REPORTE]]+SEGUIMIENTO_TPM_xlsx[[#This Row],[FECHA DE REPORTE]])</f>
        <v>45994.071527777778</v>
      </c>
      <c r="S344" s="20">
        <f>(SEGUIMIENTO_TPM_xlsx[[#This Row],[FECHA DE INTERVENCÓN]]+SEGUIMIENTO_TPM_xlsx[[#This Row],[HORA FIN  INTERVENCIÓN]])</f>
        <v>45994.083333333336</v>
      </c>
      <c r="T344" s="11">
        <f>(SEGUIMIENTO_TPM_xlsx[[#This Row],[FECHA Y HORA FINAL]]-SEGUIMIENTO_TPM_xlsx[[#This Row],[FECHA Y HORA INICIO]])</f>
        <v>1.1805555557657499E-2</v>
      </c>
    </row>
    <row r="345" spans="1:20" x14ac:dyDescent="0.25">
      <c r="A345">
        <v>353</v>
      </c>
      <c r="C345" s="1"/>
      <c r="D345" s="2"/>
      <c r="H345" s="1"/>
      <c r="I345" s="1"/>
      <c r="J345" s="2"/>
      <c r="Q345" s="1">
        <f>SEGUIMIENTO_TPM_xlsx[[#This Row],[HORA FIN  INTERVENCIÓN]]-SEGUIMIENTO_TPM_xlsx[[#This Row],[HORA INICIO INTERVENCIÓN]]</f>
        <v>0</v>
      </c>
      <c r="R345" s="20">
        <f>(SEGUIMIENTO_TPM_xlsx[[#This Row],[HORA REPORTE]]+SEGUIMIENTO_TPM_xlsx[[#This Row],[FECHA DE REPORTE]])</f>
        <v>0</v>
      </c>
      <c r="S345" s="20">
        <f>(SEGUIMIENTO_TPM_xlsx[[#This Row],[FECHA DE INTERVENCÓN]]+SEGUIMIENTO_TPM_xlsx[[#This Row],[HORA FIN  INTERVENCIÓN]])</f>
        <v>0</v>
      </c>
      <c r="T345" s="11">
        <f>(SEGUIMIENTO_TPM_xlsx[[#This Row],[FECHA Y HORA FINAL]]-SEGUIMIENTO_TPM_xlsx[[#This Row],[FECHA Y HORA INICIO]])</f>
        <v>0</v>
      </c>
    </row>
    <row r="346" spans="1:20" x14ac:dyDescent="0.25">
      <c r="A346">
        <v>354</v>
      </c>
      <c r="B346" t="s">
        <v>242</v>
      </c>
      <c r="C346" s="1">
        <v>0.51041666666666663</v>
      </c>
      <c r="D346" s="2">
        <v>45994</v>
      </c>
      <c r="E346" t="s">
        <v>227</v>
      </c>
      <c r="F346" t="s">
        <v>95</v>
      </c>
      <c r="G346" t="s">
        <v>448</v>
      </c>
      <c r="H346" s="1">
        <v>0.52083333333333337</v>
      </c>
      <c r="I346" s="1">
        <v>4.1666666666666664E-2</v>
      </c>
      <c r="J346" s="2">
        <v>45994</v>
      </c>
      <c r="K346" t="s">
        <v>25</v>
      </c>
      <c r="L346" t="s">
        <v>449</v>
      </c>
      <c r="M346" t="s">
        <v>22</v>
      </c>
      <c r="N346" t="s">
        <v>22</v>
      </c>
      <c r="O346" t="s">
        <v>108</v>
      </c>
      <c r="P346" t="s">
        <v>23</v>
      </c>
      <c r="Q346" s="1">
        <f>SEGUIMIENTO_TPM_xlsx[[#This Row],[HORA FIN  INTERVENCIÓN]]-SEGUIMIENTO_TPM_xlsx[[#This Row],[HORA INICIO INTERVENCIÓN]]</f>
        <v>-0.47916666666666669</v>
      </c>
      <c r="R346" s="20">
        <f>(SEGUIMIENTO_TPM_xlsx[[#This Row],[HORA REPORTE]]+SEGUIMIENTO_TPM_xlsx[[#This Row],[FECHA DE REPORTE]])</f>
        <v>45994.510416666664</v>
      </c>
      <c r="S346" s="20">
        <f>(SEGUIMIENTO_TPM_xlsx[[#This Row],[FECHA DE INTERVENCÓN]]+SEGUIMIENTO_TPM_xlsx[[#This Row],[HORA FIN  INTERVENCIÓN]])</f>
        <v>45994.041666666664</v>
      </c>
      <c r="T346" s="11">
        <f>(SEGUIMIENTO_TPM_xlsx[[#This Row],[FECHA Y HORA FINAL]]-SEGUIMIENTO_TPM_xlsx[[#This Row],[FECHA Y HORA INICIO]])</f>
        <v>-0.46875</v>
      </c>
    </row>
    <row r="347" spans="1:20" x14ac:dyDescent="0.25">
      <c r="A347">
        <v>355</v>
      </c>
      <c r="B347" t="s">
        <v>139</v>
      </c>
      <c r="C347" s="1">
        <v>0.6875</v>
      </c>
      <c r="D347" s="2">
        <v>45994</v>
      </c>
      <c r="E347" t="s">
        <v>91</v>
      </c>
      <c r="F347" t="s">
        <v>95</v>
      </c>
      <c r="G347" t="s">
        <v>450</v>
      </c>
      <c r="H347" s="1">
        <v>0.72222222222222221</v>
      </c>
      <c r="I347" s="1">
        <v>0.78472222222222221</v>
      </c>
      <c r="J347" s="2">
        <v>45994</v>
      </c>
      <c r="K347" t="s">
        <v>25</v>
      </c>
      <c r="L347" t="s">
        <v>451</v>
      </c>
      <c r="M347" t="s">
        <v>452</v>
      </c>
      <c r="N347" t="s">
        <v>22</v>
      </c>
      <c r="O347" t="s">
        <v>44</v>
      </c>
      <c r="P347" t="s">
        <v>23</v>
      </c>
      <c r="Q347" s="1">
        <f>SEGUIMIENTO_TPM_xlsx[[#This Row],[HORA FIN  INTERVENCIÓN]]-SEGUIMIENTO_TPM_xlsx[[#This Row],[HORA INICIO INTERVENCIÓN]]</f>
        <v>6.25E-2</v>
      </c>
      <c r="R347" s="20">
        <f>(SEGUIMIENTO_TPM_xlsx[[#This Row],[HORA REPORTE]]+SEGUIMIENTO_TPM_xlsx[[#This Row],[FECHA DE REPORTE]])</f>
        <v>45994.6875</v>
      </c>
      <c r="S347" s="20">
        <f>(SEGUIMIENTO_TPM_xlsx[[#This Row],[FECHA DE INTERVENCÓN]]+SEGUIMIENTO_TPM_xlsx[[#This Row],[HORA FIN  INTERVENCIÓN]])</f>
        <v>45994.784722222219</v>
      </c>
      <c r="T347" s="11">
        <f>(SEGUIMIENTO_TPM_xlsx[[#This Row],[FECHA Y HORA FINAL]]-SEGUIMIENTO_TPM_xlsx[[#This Row],[FECHA Y HORA INICIO]])</f>
        <v>9.7222222218988463E-2</v>
      </c>
    </row>
    <row r="348" spans="1:20" x14ac:dyDescent="0.25">
      <c r="A348">
        <v>356</v>
      </c>
      <c r="B348" t="s">
        <v>113</v>
      </c>
      <c r="C348" s="1">
        <v>0.97916666666666663</v>
      </c>
      <c r="D348" s="2">
        <v>45994</v>
      </c>
      <c r="E348" t="s">
        <v>147</v>
      </c>
      <c r="F348" t="s">
        <v>95</v>
      </c>
      <c r="G348" t="s">
        <v>453</v>
      </c>
      <c r="H348" s="1">
        <v>0.98263888888888884</v>
      </c>
      <c r="I348" s="1">
        <v>0</v>
      </c>
      <c r="J348" s="2">
        <v>45994</v>
      </c>
      <c r="K348" t="s">
        <v>20</v>
      </c>
      <c r="L348" t="s">
        <v>454</v>
      </c>
      <c r="M348" t="s">
        <v>310</v>
      </c>
      <c r="N348" t="s">
        <v>22</v>
      </c>
      <c r="O348" t="s">
        <v>44</v>
      </c>
      <c r="P348" t="s">
        <v>23</v>
      </c>
      <c r="Q348" s="1">
        <f>SEGUIMIENTO_TPM_xlsx[[#This Row],[HORA FIN  INTERVENCIÓN]]-SEGUIMIENTO_TPM_xlsx[[#This Row],[HORA INICIO INTERVENCIÓN]]</f>
        <v>-0.98263888888888884</v>
      </c>
      <c r="R348" s="20">
        <f>(SEGUIMIENTO_TPM_xlsx[[#This Row],[HORA REPORTE]]+SEGUIMIENTO_TPM_xlsx[[#This Row],[FECHA DE REPORTE]])</f>
        <v>45994.979166666664</v>
      </c>
      <c r="S348" s="20">
        <f>(SEGUIMIENTO_TPM_xlsx[[#This Row],[FECHA DE INTERVENCÓN]]+SEGUIMIENTO_TPM_xlsx[[#This Row],[HORA FIN  INTERVENCIÓN]])</f>
        <v>45994</v>
      </c>
      <c r="T348" s="11">
        <f>(SEGUIMIENTO_TPM_xlsx[[#This Row],[FECHA Y HORA FINAL]]-SEGUIMIENTO_TPM_xlsx[[#This Row],[FECHA Y HORA INICIO]])</f>
        <v>-0.97916666666424135</v>
      </c>
    </row>
    <row r="349" spans="1:20" x14ac:dyDescent="0.25">
      <c r="A349">
        <v>357</v>
      </c>
      <c r="B349" t="s">
        <v>335</v>
      </c>
      <c r="C349" s="1">
        <v>0.99305555555555558</v>
      </c>
      <c r="D349" s="2">
        <v>45994</v>
      </c>
      <c r="E349" t="s">
        <v>162</v>
      </c>
      <c r="F349" t="s">
        <v>100</v>
      </c>
      <c r="G349" t="s">
        <v>380</v>
      </c>
      <c r="H349" s="1">
        <v>0</v>
      </c>
      <c r="I349" s="1">
        <v>1.3888888888888888E-2</v>
      </c>
      <c r="J349" s="2">
        <v>45994</v>
      </c>
      <c r="K349" t="s">
        <v>25</v>
      </c>
      <c r="L349" t="s">
        <v>455</v>
      </c>
      <c r="M349" t="s">
        <v>22</v>
      </c>
      <c r="N349" t="s">
        <v>22</v>
      </c>
      <c r="O349" t="s">
        <v>44</v>
      </c>
      <c r="P349" t="s">
        <v>23</v>
      </c>
      <c r="Q349" s="1">
        <f>SEGUIMIENTO_TPM_xlsx[[#This Row],[HORA FIN  INTERVENCIÓN]]-SEGUIMIENTO_TPM_xlsx[[#This Row],[HORA INICIO INTERVENCIÓN]]</f>
        <v>1.3888888888888888E-2</v>
      </c>
      <c r="R349" s="20">
        <f>(SEGUIMIENTO_TPM_xlsx[[#This Row],[HORA REPORTE]]+SEGUIMIENTO_TPM_xlsx[[#This Row],[FECHA DE REPORTE]])</f>
        <v>45994.993055555555</v>
      </c>
      <c r="S349" s="20">
        <f>(SEGUIMIENTO_TPM_xlsx[[#This Row],[FECHA DE INTERVENCÓN]]+SEGUIMIENTO_TPM_xlsx[[#This Row],[HORA FIN  INTERVENCIÓN]])</f>
        <v>45994.013888888891</v>
      </c>
      <c r="T349" s="11">
        <f>(SEGUIMIENTO_TPM_xlsx[[#This Row],[FECHA Y HORA FINAL]]-SEGUIMIENTO_TPM_xlsx[[#This Row],[FECHA Y HORA INICIO]])</f>
        <v>-0.97916666666424135</v>
      </c>
    </row>
    <row r="350" spans="1:20" x14ac:dyDescent="0.25">
      <c r="A350">
        <v>358</v>
      </c>
      <c r="B350" t="s">
        <v>335</v>
      </c>
      <c r="C350" s="1">
        <v>0.1111111111111111</v>
      </c>
      <c r="D350" s="2">
        <v>45995</v>
      </c>
      <c r="E350" t="s">
        <v>162</v>
      </c>
      <c r="F350" t="s">
        <v>95</v>
      </c>
      <c r="G350" t="s">
        <v>456</v>
      </c>
      <c r="H350" s="1">
        <v>0.11458333333333333</v>
      </c>
      <c r="I350" s="1">
        <v>0.13541666666666666</v>
      </c>
      <c r="J350" s="2">
        <v>45995</v>
      </c>
      <c r="K350" t="s">
        <v>25</v>
      </c>
      <c r="L350" t="s">
        <v>457</v>
      </c>
      <c r="M350" t="s">
        <v>22</v>
      </c>
      <c r="N350" t="s">
        <v>22</v>
      </c>
      <c r="O350" t="s">
        <v>44</v>
      </c>
      <c r="P350" t="s">
        <v>23</v>
      </c>
      <c r="Q350" s="1">
        <f>SEGUIMIENTO_TPM_xlsx[[#This Row],[HORA FIN  INTERVENCIÓN]]-SEGUIMIENTO_TPM_xlsx[[#This Row],[HORA INICIO INTERVENCIÓN]]</f>
        <v>2.0833333333333329E-2</v>
      </c>
      <c r="R350" s="20">
        <f>(SEGUIMIENTO_TPM_xlsx[[#This Row],[HORA REPORTE]]+SEGUIMIENTO_TPM_xlsx[[#This Row],[FECHA DE REPORTE]])</f>
        <v>45995.111111111109</v>
      </c>
      <c r="S350" s="20">
        <f>(SEGUIMIENTO_TPM_xlsx[[#This Row],[FECHA DE INTERVENCÓN]]+SEGUIMIENTO_TPM_xlsx[[#This Row],[HORA FIN  INTERVENCIÓN]])</f>
        <v>45995.135416666664</v>
      </c>
      <c r="T350" s="11">
        <f>(SEGUIMIENTO_TPM_xlsx[[#This Row],[FECHA Y HORA FINAL]]-SEGUIMIENTO_TPM_xlsx[[#This Row],[FECHA Y HORA INICIO]])</f>
        <v>2.4305555554747116E-2</v>
      </c>
    </row>
    <row r="351" spans="1:20" x14ac:dyDescent="0.25">
      <c r="A351">
        <v>359</v>
      </c>
      <c r="B351" t="s">
        <v>93</v>
      </c>
      <c r="C351" s="1">
        <v>0.14583333333333334</v>
      </c>
      <c r="D351" s="2">
        <v>45995</v>
      </c>
      <c r="E351" t="s">
        <v>116</v>
      </c>
      <c r="F351" t="s">
        <v>95</v>
      </c>
      <c r="G351" t="s">
        <v>458</v>
      </c>
      <c r="H351" s="1">
        <v>0.14583333333333334</v>
      </c>
      <c r="I351" s="1">
        <v>0.15972222222222221</v>
      </c>
      <c r="J351" s="2">
        <v>45995</v>
      </c>
      <c r="K351" t="s">
        <v>25</v>
      </c>
      <c r="L351" t="s">
        <v>459</v>
      </c>
      <c r="M351" t="s">
        <v>22</v>
      </c>
      <c r="N351" t="s">
        <v>22</v>
      </c>
      <c r="O351" t="s">
        <v>44</v>
      </c>
      <c r="P351" t="s">
        <v>23</v>
      </c>
      <c r="Q351" s="1">
        <f>SEGUIMIENTO_TPM_xlsx[[#This Row],[HORA FIN  INTERVENCIÓN]]-SEGUIMIENTO_TPM_xlsx[[#This Row],[HORA INICIO INTERVENCIÓN]]</f>
        <v>1.3888888888888867E-2</v>
      </c>
      <c r="R351" s="20">
        <f>(SEGUIMIENTO_TPM_xlsx[[#This Row],[HORA REPORTE]]+SEGUIMIENTO_TPM_xlsx[[#This Row],[FECHA DE REPORTE]])</f>
        <v>45995.145833333336</v>
      </c>
      <c r="S351" s="20">
        <f>(SEGUIMIENTO_TPM_xlsx[[#This Row],[FECHA DE INTERVENCÓN]]+SEGUIMIENTO_TPM_xlsx[[#This Row],[HORA FIN  INTERVENCIÓN]])</f>
        <v>45995.159722222219</v>
      </c>
      <c r="T351" s="11">
        <f>(SEGUIMIENTO_TPM_xlsx[[#This Row],[FECHA Y HORA FINAL]]-SEGUIMIENTO_TPM_xlsx[[#This Row],[FECHA Y HORA INICIO]])</f>
        <v>1.3888888883229811E-2</v>
      </c>
    </row>
    <row r="352" spans="1:20" x14ac:dyDescent="0.25">
      <c r="A352">
        <v>360</v>
      </c>
      <c r="C352" s="1"/>
      <c r="D352" s="2"/>
      <c r="H352" s="1"/>
      <c r="I352" s="1"/>
      <c r="J352" s="2"/>
      <c r="Q352" s="1">
        <f>SEGUIMIENTO_TPM_xlsx[[#This Row],[HORA FIN  INTERVENCIÓN]]-SEGUIMIENTO_TPM_xlsx[[#This Row],[HORA INICIO INTERVENCIÓN]]</f>
        <v>0</v>
      </c>
      <c r="R352" s="20">
        <f>(SEGUIMIENTO_TPM_xlsx[[#This Row],[HORA REPORTE]]+SEGUIMIENTO_TPM_xlsx[[#This Row],[FECHA DE REPORTE]])</f>
        <v>0</v>
      </c>
      <c r="S352" s="20">
        <f>(SEGUIMIENTO_TPM_xlsx[[#This Row],[FECHA DE INTERVENCÓN]]+SEGUIMIENTO_TPM_xlsx[[#This Row],[HORA FIN  INTERVENCIÓN]])</f>
        <v>0</v>
      </c>
      <c r="T352" s="11">
        <f>(SEGUIMIENTO_TPM_xlsx[[#This Row],[FECHA Y HORA FINAL]]-SEGUIMIENTO_TPM_xlsx[[#This Row],[FECHA Y HORA INICIO]])</f>
        <v>0</v>
      </c>
    </row>
    <row r="353" spans="1:20" x14ac:dyDescent="0.25">
      <c r="A353">
        <v>361</v>
      </c>
      <c r="B353" t="s">
        <v>460</v>
      </c>
      <c r="C353" s="1">
        <v>0.3576388888888889</v>
      </c>
      <c r="D353" s="2">
        <v>45995</v>
      </c>
      <c r="E353" t="s">
        <v>162</v>
      </c>
      <c r="F353" t="s">
        <v>95</v>
      </c>
      <c r="G353" t="s">
        <v>461</v>
      </c>
      <c r="H353" s="1">
        <v>0.375</v>
      </c>
      <c r="I353" s="1">
        <v>0.48680555555555555</v>
      </c>
      <c r="J353" s="2">
        <v>45995</v>
      </c>
      <c r="K353" t="s">
        <v>20</v>
      </c>
      <c r="L353" t="s">
        <v>462</v>
      </c>
      <c r="M353" t="s">
        <v>463</v>
      </c>
      <c r="N353" t="s">
        <v>22</v>
      </c>
      <c r="O353" t="s">
        <v>108</v>
      </c>
      <c r="P353" t="s">
        <v>23</v>
      </c>
      <c r="Q353" s="1">
        <f>SEGUIMIENTO_TPM_xlsx[[#This Row],[HORA FIN  INTERVENCIÓN]]-SEGUIMIENTO_TPM_xlsx[[#This Row],[HORA INICIO INTERVENCIÓN]]</f>
        <v>0.11180555555555555</v>
      </c>
      <c r="R353" s="20">
        <f>(SEGUIMIENTO_TPM_xlsx[[#This Row],[HORA REPORTE]]+SEGUIMIENTO_TPM_xlsx[[#This Row],[FECHA DE REPORTE]])</f>
        <v>45995.357638888891</v>
      </c>
      <c r="S353" s="20">
        <f>(SEGUIMIENTO_TPM_xlsx[[#This Row],[FECHA DE INTERVENCÓN]]+SEGUIMIENTO_TPM_xlsx[[#This Row],[HORA FIN  INTERVENCIÓN]])</f>
        <v>45995.486805555556</v>
      </c>
      <c r="T353" s="11">
        <f>(SEGUIMIENTO_TPM_xlsx[[#This Row],[FECHA Y HORA FINAL]]-SEGUIMIENTO_TPM_xlsx[[#This Row],[FECHA Y HORA INICIO]])</f>
        <v>0.12916666666569654</v>
      </c>
    </row>
    <row r="354" spans="1:20" x14ac:dyDescent="0.25">
      <c r="A354">
        <v>362</v>
      </c>
      <c r="B354" t="s">
        <v>120</v>
      </c>
      <c r="C354" s="1">
        <v>0.60416666666666663</v>
      </c>
      <c r="D354" s="2">
        <v>45965</v>
      </c>
      <c r="E354" t="s">
        <v>116</v>
      </c>
      <c r="F354" t="s">
        <v>95</v>
      </c>
      <c r="G354" t="s">
        <v>464</v>
      </c>
      <c r="H354" s="1">
        <v>0.60416666666666663</v>
      </c>
      <c r="I354" s="1">
        <v>0.63541666666666663</v>
      </c>
      <c r="J354" s="2">
        <v>45995</v>
      </c>
      <c r="K354" t="s">
        <v>20</v>
      </c>
      <c r="L354" t="s">
        <v>465</v>
      </c>
      <c r="M354" t="s">
        <v>466</v>
      </c>
      <c r="N354" t="s">
        <v>22</v>
      </c>
      <c r="O354" t="s">
        <v>108</v>
      </c>
      <c r="P354" t="s">
        <v>23</v>
      </c>
      <c r="Q354" s="1">
        <f>SEGUIMIENTO_TPM_xlsx[[#This Row],[HORA FIN  INTERVENCIÓN]]-SEGUIMIENTO_TPM_xlsx[[#This Row],[HORA INICIO INTERVENCIÓN]]</f>
        <v>3.125E-2</v>
      </c>
      <c r="R354" s="20">
        <f>(SEGUIMIENTO_TPM_xlsx[[#This Row],[HORA REPORTE]]+SEGUIMIENTO_TPM_xlsx[[#This Row],[FECHA DE REPORTE]])</f>
        <v>45965.604166666664</v>
      </c>
      <c r="S354" s="20">
        <f>(SEGUIMIENTO_TPM_xlsx[[#This Row],[FECHA DE INTERVENCÓN]]+SEGUIMIENTO_TPM_xlsx[[#This Row],[HORA FIN  INTERVENCIÓN]])</f>
        <v>45995.635416666664</v>
      </c>
      <c r="T354" s="11">
        <f>(SEGUIMIENTO_TPM_xlsx[[#This Row],[FECHA Y HORA FINAL]]-SEGUIMIENTO_TPM_xlsx[[#This Row],[FECHA Y HORA INICIO]])</f>
        <v>30.03125</v>
      </c>
    </row>
    <row r="355" spans="1:20" x14ac:dyDescent="0.25">
      <c r="A355">
        <v>363</v>
      </c>
      <c r="B355" t="s">
        <v>139</v>
      </c>
      <c r="C355" s="1">
        <v>0.58333333333333337</v>
      </c>
      <c r="D355" s="2">
        <v>45995</v>
      </c>
      <c r="E355" t="s">
        <v>91</v>
      </c>
      <c r="F355" t="s">
        <v>95</v>
      </c>
      <c r="G355" t="s">
        <v>467</v>
      </c>
      <c r="H355" s="1">
        <v>0.58333333333333337</v>
      </c>
      <c r="I355" s="1">
        <v>0.8125</v>
      </c>
      <c r="J355" s="2">
        <v>45995</v>
      </c>
      <c r="K355" t="s">
        <v>25</v>
      </c>
      <c r="L355" t="s">
        <v>468</v>
      </c>
      <c r="M355" t="s">
        <v>22</v>
      </c>
      <c r="N355" t="s">
        <v>22</v>
      </c>
      <c r="O355" t="s">
        <v>112</v>
      </c>
      <c r="P355" t="s">
        <v>23</v>
      </c>
      <c r="Q355" s="1">
        <f>SEGUIMIENTO_TPM_xlsx[[#This Row],[HORA FIN  INTERVENCIÓN]]-SEGUIMIENTO_TPM_xlsx[[#This Row],[HORA INICIO INTERVENCIÓN]]</f>
        <v>0.22916666666666663</v>
      </c>
      <c r="R355" s="20">
        <f>(SEGUIMIENTO_TPM_xlsx[[#This Row],[HORA REPORTE]]+SEGUIMIENTO_TPM_xlsx[[#This Row],[FECHA DE REPORTE]])</f>
        <v>45995.583333333336</v>
      </c>
      <c r="S355" s="20">
        <f>(SEGUIMIENTO_TPM_xlsx[[#This Row],[FECHA DE INTERVENCÓN]]+SEGUIMIENTO_TPM_xlsx[[#This Row],[HORA FIN  INTERVENCIÓN]])</f>
        <v>45995.8125</v>
      </c>
      <c r="T355" s="11">
        <f>(SEGUIMIENTO_TPM_xlsx[[#This Row],[FECHA Y HORA FINAL]]-SEGUIMIENTO_TPM_xlsx[[#This Row],[FECHA Y HORA INICIO]])</f>
        <v>0.22916666666424135</v>
      </c>
    </row>
    <row r="356" spans="1:20" x14ac:dyDescent="0.25">
      <c r="A356">
        <v>364</v>
      </c>
      <c r="B356" t="s">
        <v>335</v>
      </c>
      <c r="C356" s="1">
        <v>0.75</v>
      </c>
      <c r="D356" s="2">
        <v>45995</v>
      </c>
      <c r="E356" t="s">
        <v>162</v>
      </c>
      <c r="F356" t="s">
        <v>95</v>
      </c>
      <c r="G356" t="s">
        <v>469</v>
      </c>
      <c r="H356" s="1">
        <v>0.75694444444444442</v>
      </c>
      <c r="I356" s="1">
        <v>0.76388888888888884</v>
      </c>
      <c r="J356" s="2">
        <v>45995</v>
      </c>
      <c r="K356" t="s">
        <v>25</v>
      </c>
      <c r="L356" t="s">
        <v>470</v>
      </c>
      <c r="M356" t="s">
        <v>22</v>
      </c>
      <c r="N356" t="s">
        <v>22</v>
      </c>
      <c r="O356" t="s">
        <v>112</v>
      </c>
      <c r="P356" t="s">
        <v>23</v>
      </c>
      <c r="Q356" s="1">
        <f>SEGUIMIENTO_TPM_xlsx[[#This Row],[HORA FIN  INTERVENCIÓN]]-SEGUIMIENTO_TPM_xlsx[[#This Row],[HORA INICIO INTERVENCIÓN]]</f>
        <v>6.9444444444444198E-3</v>
      </c>
      <c r="R356" s="20">
        <f>(SEGUIMIENTO_TPM_xlsx[[#This Row],[HORA REPORTE]]+SEGUIMIENTO_TPM_xlsx[[#This Row],[FECHA DE REPORTE]])</f>
        <v>45995.75</v>
      </c>
      <c r="S356" s="20">
        <f>(SEGUIMIENTO_TPM_xlsx[[#This Row],[FECHA DE INTERVENCÓN]]+SEGUIMIENTO_TPM_xlsx[[#This Row],[HORA FIN  INTERVENCIÓN]])</f>
        <v>45995.763888888891</v>
      </c>
      <c r="T356" s="11">
        <f>(SEGUIMIENTO_TPM_xlsx[[#This Row],[FECHA Y HORA FINAL]]-SEGUIMIENTO_TPM_xlsx[[#This Row],[FECHA Y HORA INICIO]])</f>
        <v>1.3888888890505768E-2</v>
      </c>
    </row>
    <row r="357" spans="1:20" x14ac:dyDescent="0.25">
      <c r="A357">
        <v>365</v>
      </c>
      <c r="B357" t="s">
        <v>335</v>
      </c>
      <c r="C357" s="1">
        <v>0.78472222222222221</v>
      </c>
      <c r="D357" s="2">
        <v>45995</v>
      </c>
      <c r="E357" t="s">
        <v>162</v>
      </c>
      <c r="F357" t="s">
        <v>100</v>
      </c>
      <c r="G357" t="s">
        <v>471</v>
      </c>
      <c r="H357" s="1">
        <v>0.79166666666666663</v>
      </c>
      <c r="I357" s="1">
        <v>0.85416666666666663</v>
      </c>
      <c r="J357" s="2">
        <v>45995</v>
      </c>
      <c r="K357" t="s">
        <v>156</v>
      </c>
      <c r="L357" t="s">
        <v>472</v>
      </c>
      <c r="M357" t="s">
        <v>473</v>
      </c>
      <c r="N357" t="s">
        <v>474</v>
      </c>
      <c r="O357" t="s">
        <v>112</v>
      </c>
      <c r="P357" t="s">
        <v>23</v>
      </c>
      <c r="Q357" s="1">
        <f>SEGUIMIENTO_TPM_xlsx[[#This Row],[HORA FIN  INTERVENCIÓN]]-SEGUIMIENTO_TPM_xlsx[[#This Row],[HORA INICIO INTERVENCIÓN]]</f>
        <v>6.25E-2</v>
      </c>
      <c r="R357" s="20">
        <f>(SEGUIMIENTO_TPM_xlsx[[#This Row],[HORA REPORTE]]+SEGUIMIENTO_TPM_xlsx[[#This Row],[FECHA DE REPORTE]])</f>
        <v>45995.784722222219</v>
      </c>
      <c r="S357" s="20">
        <f>(SEGUIMIENTO_TPM_xlsx[[#This Row],[FECHA DE INTERVENCÓN]]+SEGUIMIENTO_TPM_xlsx[[#This Row],[HORA FIN  INTERVENCIÓN]])</f>
        <v>45995.854166666664</v>
      </c>
      <c r="T357" s="11">
        <f>(SEGUIMIENTO_TPM_xlsx[[#This Row],[FECHA Y HORA FINAL]]-SEGUIMIENTO_TPM_xlsx[[#This Row],[FECHA Y HORA INICIO]])</f>
        <v>6.9444444445252884E-2</v>
      </c>
    </row>
    <row r="358" spans="1:20" x14ac:dyDescent="0.25">
      <c r="A358">
        <v>366</v>
      </c>
      <c r="B358" t="s">
        <v>93</v>
      </c>
      <c r="C358" s="1">
        <v>0.98611111111111116</v>
      </c>
      <c r="D358" s="2">
        <v>45995</v>
      </c>
      <c r="E358" t="s">
        <v>116</v>
      </c>
      <c r="F358" t="s">
        <v>95</v>
      </c>
      <c r="G358" t="s">
        <v>475</v>
      </c>
      <c r="H358" s="1">
        <v>0.98611111111111116</v>
      </c>
      <c r="I358" s="1">
        <v>0</v>
      </c>
      <c r="J358" s="2">
        <v>45995</v>
      </c>
      <c r="K358" t="s">
        <v>25</v>
      </c>
      <c r="L358" t="s">
        <v>476</v>
      </c>
      <c r="M358" t="s">
        <v>477</v>
      </c>
      <c r="N358" t="s">
        <v>22</v>
      </c>
      <c r="O358" t="s">
        <v>112</v>
      </c>
      <c r="P358" t="s">
        <v>23</v>
      </c>
      <c r="Q358" s="1">
        <f>SEGUIMIENTO_TPM_xlsx[[#This Row],[HORA FIN  INTERVENCIÓN]]-SEGUIMIENTO_TPM_xlsx[[#This Row],[HORA INICIO INTERVENCIÓN]]</f>
        <v>-0.98611111111111116</v>
      </c>
      <c r="R358" s="20">
        <f>(SEGUIMIENTO_TPM_xlsx[[#This Row],[HORA REPORTE]]+SEGUIMIENTO_TPM_xlsx[[#This Row],[FECHA DE REPORTE]])</f>
        <v>45995.986111111109</v>
      </c>
      <c r="S358" s="20">
        <f>(SEGUIMIENTO_TPM_xlsx[[#This Row],[FECHA DE INTERVENCÓN]]+SEGUIMIENTO_TPM_xlsx[[#This Row],[HORA FIN  INTERVENCIÓN]])</f>
        <v>45995</v>
      </c>
      <c r="T358" s="11">
        <f>(SEGUIMIENTO_TPM_xlsx[[#This Row],[FECHA Y HORA FINAL]]-SEGUIMIENTO_TPM_xlsx[[#This Row],[FECHA Y HORA INICIO]])</f>
        <v>-0.98611111110949423</v>
      </c>
    </row>
    <row r="359" spans="1:20" x14ac:dyDescent="0.25">
      <c r="A359">
        <v>367</v>
      </c>
      <c r="B359" t="s">
        <v>341</v>
      </c>
      <c r="C359" s="1">
        <v>0.85416666666666663</v>
      </c>
      <c r="D359" s="2">
        <v>45995</v>
      </c>
      <c r="E359" t="s">
        <v>143</v>
      </c>
      <c r="F359" t="s">
        <v>95</v>
      </c>
      <c r="G359" t="s">
        <v>478</v>
      </c>
      <c r="H359" s="1">
        <v>0.85416666666666663</v>
      </c>
      <c r="I359" s="1">
        <v>0.86458333333333337</v>
      </c>
      <c r="J359" s="2">
        <v>45995</v>
      </c>
      <c r="K359" t="s">
        <v>156</v>
      </c>
      <c r="L359" t="s">
        <v>479</v>
      </c>
      <c r="M359" t="s">
        <v>22</v>
      </c>
      <c r="N359" t="s">
        <v>22</v>
      </c>
      <c r="O359" t="s">
        <v>112</v>
      </c>
      <c r="P359" t="s">
        <v>23</v>
      </c>
      <c r="Q359" s="1">
        <f>SEGUIMIENTO_TPM_xlsx[[#This Row],[HORA FIN  INTERVENCIÓN]]-SEGUIMIENTO_TPM_xlsx[[#This Row],[HORA INICIO INTERVENCIÓN]]</f>
        <v>1.0416666666666741E-2</v>
      </c>
      <c r="R359" s="20">
        <f>(SEGUIMIENTO_TPM_xlsx[[#This Row],[HORA REPORTE]]+SEGUIMIENTO_TPM_xlsx[[#This Row],[FECHA DE REPORTE]])</f>
        <v>45995.854166666664</v>
      </c>
      <c r="S359" s="20">
        <f>(SEGUIMIENTO_TPM_xlsx[[#This Row],[FECHA DE INTERVENCÓN]]+SEGUIMIENTO_TPM_xlsx[[#This Row],[HORA FIN  INTERVENCIÓN]])</f>
        <v>45995.864583333336</v>
      </c>
      <c r="T359" s="11">
        <f>(SEGUIMIENTO_TPM_xlsx[[#This Row],[FECHA Y HORA FINAL]]-SEGUIMIENTO_TPM_xlsx[[#This Row],[FECHA Y HORA INICIO]])</f>
        <v>1.0416666671517305E-2</v>
      </c>
    </row>
    <row r="360" spans="1:20" x14ac:dyDescent="0.25">
      <c r="A360">
        <v>368</v>
      </c>
      <c r="B360" t="s">
        <v>139</v>
      </c>
      <c r="C360" s="1">
        <v>0.99305555555555558</v>
      </c>
      <c r="D360" s="2">
        <v>45995</v>
      </c>
      <c r="E360" t="s">
        <v>91</v>
      </c>
      <c r="F360" t="s">
        <v>95</v>
      </c>
      <c r="G360" t="s">
        <v>480</v>
      </c>
      <c r="H360" s="1">
        <v>0</v>
      </c>
      <c r="I360" s="1">
        <v>2.7777777777777776E-2</v>
      </c>
      <c r="J360" s="2">
        <v>45995</v>
      </c>
      <c r="K360" t="s">
        <v>20</v>
      </c>
      <c r="L360" t="s">
        <v>481</v>
      </c>
      <c r="M360" t="s">
        <v>22</v>
      </c>
      <c r="N360" t="s">
        <v>22</v>
      </c>
      <c r="O360" t="s">
        <v>112</v>
      </c>
      <c r="P360" t="s">
        <v>23</v>
      </c>
      <c r="Q360" s="1">
        <f>SEGUIMIENTO_TPM_xlsx[[#This Row],[HORA FIN  INTERVENCIÓN]]-SEGUIMIENTO_TPM_xlsx[[#This Row],[HORA INICIO INTERVENCIÓN]]</f>
        <v>2.7777777777777776E-2</v>
      </c>
      <c r="R360" s="20">
        <f>(SEGUIMIENTO_TPM_xlsx[[#This Row],[HORA REPORTE]]+SEGUIMIENTO_TPM_xlsx[[#This Row],[FECHA DE REPORTE]])</f>
        <v>45995.993055555555</v>
      </c>
      <c r="S360" s="20">
        <f>(SEGUIMIENTO_TPM_xlsx[[#This Row],[FECHA DE INTERVENCÓN]]+SEGUIMIENTO_TPM_xlsx[[#This Row],[HORA FIN  INTERVENCIÓN]])</f>
        <v>45995.027777777781</v>
      </c>
      <c r="T360" s="11">
        <f>(SEGUIMIENTO_TPM_xlsx[[#This Row],[FECHA Y HORA FINAL]]-SEGUIMIENTO_TPM_xlsx[[#This Row],[FECHA Y HORA INICIO]])</f>
        <v>-0.96527777777373558</v>
      </c>
    </row>
    <row r="361" spans="1:20" x14ac:dyDescent="0.25">
      <c r="A361">
        <v>369</v>
      </c>
      <c r="B361" t="s">
        <v>93</v>
      </c>
      <c r="C361" s="1">
        <v>0.125</v>
      </c>
      <c r="D361" s="2">
        <v>45996</v>
      </c>
      <c r="E361" t="s">
        <v>116</v>
      </c>
      <c r="F361" t="s">
        <v>95</v>
      </c>
      <c r="G361" t="s">
        <v>482</v>
      </c>
      <c r="H361" s="1">
        <v>0.125</v>
      </c>
      <c r="I361" s="1">
        <v>0.13541666666666666</v>
      </c>
      <c r="J361" s="2">
        <v>45996</v>
      </c>
      <c r="K361" t="s">
        <v>25</v>
      </c>
      <c r="L361" t="s">
        <v>483</v>
      </c>
      <c r="M361" t="s">
        <v>22</v>
      </c>
      <c r="N361" t="s">
        <v>22</v>
      </c>
      <c r="O361" t="s">
        <v>112</v>
      </c>
      <c r="P361" t="s">
        <v>23</v>
      </c>
      <c r="Q361" s="1">
        <f>SEGUIMIENTO_TPM_xlsx[[#This Row],[HORA FIN  INTERVENCIÓN]]-SEGUIMIENTO_TPM_xlsx[[#This Row],[HORA INICIO INTERVENCIÓN]]</f>
        <v>1.0416666666666657E-2</v>
      </c>
      <c r="R361" s="20">
        <f>(SEGUIMIENTO_TPM_xlsx[[#This Row],[HORA REPORTE]]+SEGUIMIENTO_TPM_xlsx[[#This Row],[FECHA DE REPORTE]])</f>
        <v>45996.125</v>
      </c>
      <c r="S361" s="20">
        <f>(SEGUIMIENTO_TPM_xlsx[[#This Row],[FECHA DE INTERVENCÓN]]+SEGUIMIENTO_TPM_xlsx[[#This Row],[HORA FIN  INTERVENCIÓN]])</f>
        <v>45996.135416666664</v>
      </c>
      <c r="T361" s="11">
        <f>(SEGUIMIENTO_TPM_xlsx[[#This Row],[FECHA Y HORA FINAL]]-SEGUIMIENTO_TPM_xlsx[[#This Row],[FECHA Y HORA INICIO]])</f>
        <v>1.0416666664241347E-2</v>
      </c>
    </row>
    <row r="362" spans="1:20" x14ac:dyDescent="0.25">
      <c r="A362">
        <v>370</v>
      </c>
      <c r="B362" t="s">
        <v>341</v>
      </c>
      <c r="C362" s="1">
        <v>0.16666666666666666</v>
      </c>
      <c r="D362" s="2">
        <v>45996</v>
      </c>
      <c r="E362" t="s">
        <v>143</v>
      </c>
      <c r="F362" t="s">
        <v>95</v>
      </c>
      <c r="G362" t="s">
        <v>484</v>
      </c>
      <c r="H362" s="1">
        <v>0.16666666666666666</v>
      </c>
      <c r="I362" s="1">
        <v>0.18055555555555555</v>
      </c>
      <c r="J362" s="2">
        <v>45996</v>
      </c>
      <c r="K362" t="s">
        <v>25</v>
      </c>
      <c r="L362" t="s">
        <v>485</v>
      </c>
      <c r="M362" t="s">
        <v>22</v>
      </c>
      <c r="N362" t="s">
        <v>22</v>
      </c>
      <c r="O362" t="s">
        <v>112</v>
      </c>
      <c r="P362" t="s">
        <v>23</v>
      </c>
      <c r="Q362" s="1">
        <f>SEGUIMIENTO_TPM_xlsx[[#This Row],[HORA FIN  INTERVENCIÓN]]-SEGUIMIENTO_TPM_xlsx[[#This Row],[HORA INICIO INTERVENCIÓN]]</f>
        <v>1.3888888888888895E-2</v>
      </c>
      <c r="R362" s="20">
        <f>(SEGUIMIENTO_TPM_xlsx[[#This Row],[HORA REPORTE]]+SEGUIMIENTO_TPM_xlsx[[#This Row],[FECHA DE REPORTE]])</f>
        <v>45996.166666666664</v>
      </c>
      <c r="S362" s="20">
        <f>(SEGUIMIENTO_TPM_xlsx[[#This Row],[FECHA DE INTERVENCÓN]]+SEGUIMIENTO_TPM_xlsx[[#This Row],[HORA FIN  INTERVENCIÓN]])</f>
        <v>45996.180555555555</v>
      </c>
      <c r="T362" s="11">
        <f>(SEGUIMIENTO_TPM_xlsx[[#This Row],[FECHA Y HORA FINAL]]-SEGUIMIENTO_TPM_xlsx[[#This Row],[FECHA Y HORA INICIO]])</f>
        <v>1.3888888890505768E-2</v>
      </c>
    </row>
    <row r="363" spans="1:20" x14ac:dyDescent="0.25">
      <c r="A363">
        <v>371</v>
      </c>
      <c r="B363" t="s">
        <v>486</v>
      </c>
      <c r="C363" s="1">
        <v>0.33958333333333335</v>
      </c>
      <c r="D363" s="2">
        <v>45996</v>
      </c>
      <c r="E363" t="s">
        <v>307</v>
      </c>
      <c r="F363" t="s">
        <v>95</v>
      </c>
      <c r="G363" t="s">
        <v>487</v>
      </c>
      <c r="H363" s="1">
        <v>0.34722222222222221</v>
      </c>
      <c r="I363" s="1">
        <v>0.35416666666666669</v>
      </c>
      <c r="J363" s="2">
        <v>45996</v>
      </c>
      <c r="K363" t="s">
        <v>20</v>
      </c>
      <c r="L363" t="s">
        <v>488</v>
      </c>
      <c r="M363" t="s">
        <v>489</v>
      </c>
      <c r="N363" t="s">
        <v>22</v>
      </c>
      <c r="O363" t="s">
        <v>44</v>
      </c>
      <c r="P363" t="s">
        <v>23</v>
      </c>
      <c r="Q363" s="1">
        <f>SEGUIMIENTO_TPM_xlsx[[#This Row],[HORA FIN  INTERVENCIÓN]]-SEGUIMIENTO_TPM_xlsx[[#This Row],[HORA INICIO INTERVENCIÓN]]</f>
        <v>6.9444444444444753E-3</v>
      </c>
      <c r="R363" s="20">
        <f>(SEGUIMIENTO_TPM_xlsx[[#This Row],[HORA REPORTE]]+SEGUIMIENTO_TPM_xlsx[[#This Row],[FECHA DE REPORTE]])</f>
        <v>45996.339583333334</v>
      </c>
      <c r="S363" s="20">
        <f>(SEGUIMIENTO_TPM_xlsx[[#This Row],[FECHA DE INTERVENCÓN]]+SEGUIMIENTO_TPM_xlsx[[#This Row],[HORA FIN  INTERVENCIÓN]])</f>
        <v>45996.354166666664</v>
      </c>
      <c r="T363" s="11">
        <f>(SEGUIMIENTO_TPM_xlsx[[#This Row],[FECHA Y HORA FINAL]]-SEGUIMIENTO_TPM_xlsx[[#This Row],[FECHA Y HORA INICIO]])</f>
        <v>1.4583333329937886E-2</v>
      </c>
    </row>
    <row r="364" spans="1:20" x14ac:dyDescent="0.25">
      <c r="A364">
        <v>372</v>
      </c>
      <c r="B364" t="s">
        <v>16</v>
      </c>
      <c r="C364" s="1">
        <v>0.40277777777777779</v>
      </c>
      <c r="D364" s="2">
        <v>45996</v>
      </c>
      <c r="E364" t="s">
        <v>116</v>
      </c>
      <c r="F364" t="s">
        <v>95</v>
      </c>
      <c r="G364" t="s">
        <v>490</v>
      </c>
      <c r="H364" s="1">
        <v>0.41319444444444442</v>
      </c>
      <c r="I364" s="1">
        <v>0.4201388888888889</v>
      </c>
      <c r="J364" s="2">
        <v>45996</v>
      </c>
      <c r="K364" t="s">
        <v>20</v>
      </c>
      <c r="L364" t="s">
        <v>491</v>
      </c>
      <c r="M364" t="s">
        <v>22</v>
      </c>
      <c r="N364" t="s">
        <v>22</v>
      </c>
      <c r="O364" t="s">
        <v>44</v>
      </c>
      <c r="P364" t="s">
        <v>23</v>
      </c>
      <c r="Q364" s="1">
        <f>SEGUIMIENTO_TPM_xlsx[[#This Row],[HORA FIN  INTERVENCIÓN]]-SEGUIMIENTO_TPM_xlsx[[#This Row],[HORA INICIO INTERVENCIÓN]]</f>
        <v>6.9444444444444753E-3</v>
      </c>
      <c r="R364" s="20">
        <f>(SEGUIMIENTO_TPM_xlsx[[#This Row],[HORA REPORTE]]+SEGUIMIENTO_TPM_xlsx[[#This Row],[FECHA DE REPORTE]])</f>
        <v>45996.402777777781</v>
      </c>
      <c r="S364" s="20">
        <f>(SEGUIMIENTO_TPM_xlsx[[#This Row],[FECHA DE INTERVENCÓN]]+SEGUIMIENTO_TPM_xlsx[[#This Row],[HORA FIN  INTERVENCIÓN]])</f>
        <v>45996.420138888891</v>
      </c>
      <c r="T364" s="11">
        <f>(SEGUIMIENTO_TPM_xlsx[[#This Row],[FECHA Y HORA FINAL]]-SEGUIMIENTO_TPM_xlsx[[#This Row],[FECHA Y HORA INICIO]])</f>
        <v>1.7361111109494232E-2</v>
      </c>
    </row>
    <row r="365" spans="1:20" x14ac:dyDescent="0.25">
      <c r="A365">
        <v>373</v>
      </c>
      <c r="B365" t="s">
        <v>153</v>
      </c>
      <c r="C365" s="1">
        <v>0.6875</v>
      </c>
      <c r="D365" s="2">
        <v>45996</v>
      </c>
      <c r="E365" t="s">
        <v>154</v>
      </c>
      <c r="F365" t="s">
        <v>95</v>
      </c>
      <c r="G365" t="s">
        <v>492</v>
      </c>
      <c r="H365" s="1">
        <v>0.6875</v>
      </c>
      <c r="I365" s="1">
        <v>0.70833333333333337</v>
      </c>
      <c r="J365" s="2">
        <v>45996</v>
      </c>
      <c r="K365" t="s">
        <v>156</v>
      </c>
      <c r="L365" t="s">
        <v>493</v>
      </c>
      <c r="M365" t="s">
        <v>494</v>
      </c>
      <c r="N365" t="s">
        <v>22</v>
      </c>
      <c r="O365" t="s">
        <v>44</v>
      </c>
      <c r="P365" t="s">
        <v>23</v>
      </c>
      <c r="Q365" s="1">
        <f>SEGUIMIENTO_TPM_xlsx[[#This Row],[HORA FIN  INTERVENCIÓN]]-SEGUIMIENTO_TPM_xlsx[[#This Row],[HORA INICIO INTERVENCIÓN]]</f>
        <v>2.083333333333337E-2</v>
      </c>
      <c r="R365" s="20">
        <f>(SEGUIMIENTO_TPM_xlsx[[#This Row],[HORA REPORTE]]+SEGUIMIENTO_TPM_xlsx[[#This Row],[FECHA DE REPORTE]])</f>
        <v>45996.6875</v>
      </c>
      <c r="S365" s="20">
        <f>(SEGUIMIENTO_TPM_xlsx[[#This Row],[FECHA DE INTERVENCÓN]]+SEGUIMIENTO_TPM_xlsx[[#This Row],[HORA FIN  INTERVENCIÓN]])</f>
        <v>45996.708333333336</v>
      </c>
      <c r="T365" s="11">
        <f>(SEGUIMIENTO_TPM_xlsx[[#This Row],[FECHA Y HORA FINAL]]-SEGUIMIENTO_TPM_xlsx[[#This Row],[FECHA Y HORA INICIO]])</f>
        <v>2.0833333335758653E-2</v>
      </c>
    </row>
    <row r="366" spans="1:20" x14ac:dyDescent="0.25">
      <c r="A366">
        <v>374</v>
      </c>
      <c r="B366" t="s">
        <v>22</v>
      </c>
      <c r="C366" s="1">
        <v>0.81944444444444442</v>
      </c>
      <c r="D366" s="2">
        <v>45996</v>
      </c>
      <c r="E366" t="s">
        <v>116</v>
      </c>
      <c r="F366" t="s">
        <v>95</v>
      </c>
      <c r="G366" t="s">
        <v>495</v>
      </c>
      <c r="H366" s="1">
        <v>0.81944444444444442</v>
      </c>
      <c r="I366" s="1"/>
      <c r="J366" s="2">
        <v>45996</v>
      </c>
      <c r="K366" t="s">
        <v>25</v>
      </c>
      <c r="L366" t="s">
        <v>496</v>
      </c>
      <c r="M366" t="s">
        <v>497</v>
      </c>
      <c r="N366" t="s">
        <v>22</v>
      </c>
      <c r="O366" t="s">
        <v>22</v>
      </c>
      <c r="P366" t="s">
        <v>23</v>
      </c>
      <c r="Q366" s="1">
        <f>SEGUIMIENTO_TPM_xlsx[[#This Row],[HORA FIN  INTERVENCIÓN]]-SEGUIMIENTO_TPM_xlsx[[#This Row],[HORA INICIO INTERVENCIÓN]]</f>
        <v>-0.81944444444444442</v>
      </c>
      <c r="R366" s="20">
        <f>(SEGUIMIENTO_TPM_xlsx[[#This Row],[HORA REPORTE]]+SEGUIMIENTO_TPM_xlsx[[#This Row],[FECHA DE REPORTE]])</f>
        <v>45996.819444444445</v>
      </c>
      <c r="S366" s="20">
        <f>(SEGUIMIENTO_TPM_xlsx[[#This Row],[FECHA DE INTERVENCÓN]]+SEGUIMIENTO_TPM_xlsx[[#This Row],[HORA FIN  INTERVENCIÓN]])</f>
        <v>45996</v>
      </c>
      <c r="T366" s="11">
        <f>(SEGUIMIENTO_TPM_xlsx[[#This Row],[FECHA Y HORA FINAL]]-SEGUIMIENTO_TPM_xlsx[[#This Row],[FECHA Y HORA INICIO]])</f>
        <v>-0.81944444444525288</v>
      </c>
    </row>
    <row r="367" spans="1:20" x14ac:dyDescent="0.25">
      <c r="A367">
        <v>375</v>
      </c>
      <c r="B367" t="s">
        <v>16</v>
      </c>
      <c r="C367" s="1">
        <v>0.33333333333333331</v>
      </c>
      <c r="D367" s="2">
        <v>45997</v>
      </c>
      <c r="E367" t="s">
        <v>116</v>
      </c>
      <c r="F367" t="s">
        <v>100</v>
      </c>
      <c r="G367" t="s">
        <v>498</v>
      </c>
      <c r="H367" s="1">
        <v>0.33333333333333331</v>
      </c>
      <c r="I367" s="1">
        <v>0.59375</v>
      </c>
      <c r="J367" s="2">
        <v>45997</v>
      </c>
      <c r="K367" t="s">
        <v>20</v>
      </c>
      <c r="L367" t="s">
        <v>499</v>
      </c>
      <c r="M367" t="s">
        <v>22</v>
      </c>
      <c r="N367" t="s">
        <v>22</v>
      </c>
      <c r="O367" t="s">
        <v>112</v>
      </c>
      <c r="P367" t="s">
        <v>23</v>
      </c>
      <c r="Q367" s="1">
        <f>SEGUIMIENTO_TPM_xlsx[[#This Row],[HORA FIN  INTERVENCIÓN]]-SEGUIMIENTO_TPM_xlsx[[#This Row],[HORA INICIO INTERVENCIÓN]]</f>
        <v>0.26041666666666669</v>
      </c>
      <c r="R367" s="20">
        <f>(SEGUIMIENTO_TPM_xlsx[[#This Row],[HORA REPORTE]]+SEGUIMIENTO_TPM_xlsx[[#This Row],[FECHA DE REPORTE]])</f>
        <v>45997.333333333336</v>
      </c>
      <c r="S367" s="20">
        <f>(SEGUIMIENTO_TPM_xlsx[[#This Row],[FECHA DE INTERVENCÓN]]+SEGUIMIENTO_TPM_xlsx[[#This Row],[HORA FIN  INTERVENCIÓN]])</f>
        <v>45997.59375</v>
      </c>
      <c r="T367" s="11">
        <f>(SEGUIMIENTO_TPM_xlsx[[#This Row],[FECHA Y HORA FINAL]]-SEGUIMIENTO_TPM_xlsx[[#This Row],[FECHA Y HORA INICIO]])</f>
        <v>0.26041666666424135</v>
      </c>
    </row>
    <row r="368" spans="1:20" x14ac:dyDescent="0.25">
      <c r="A368">
        <v>376</v>
      </c>
      <c r="B368" t="s">
        <v>16</v>
      </c>
      <c r="C368" s="1">
        <v>0.45833333333333331</v>
      </c>
      <c r="D368" s="2">
        <v>45997</v>
      </c>
      <c r="E368" t="s">
        <v>94</v>
      </c>
      <c r="F368" t="s">
        <v>95</v>
      </c>
      <c r="G368" t="s">
        <v>500</v>
      </c>
      <c r="H368" s="1">
        <v>0.4513888888888889</v>
      </c>
      <c r="I368" s="1">
        <v>0.45902777777777776</v>
      </c>
      <c r="J368" s="2">
        <v>45997</v>
      </c>
      <c r="K368" t="s">
        <v>25</v>
      </c>
      <c r="L368" t="s">
        <v>501</v>
      </c>
      <c r="M368" t="s">
        <v>502</v>
      </c>
      <c r="N368" t="s">
        <v>22</v>
      </c>
      <c r="O368" t="s">
        <v>112</v>
      </c>
      <c r="P368" t="s">
        <v>23</v>
      </c>
      <c r="Q368" s="1">
        <f>SEGUIMIENTO_TPM_xlsx[[#This Row],[HORA FIN  INTERVENCIÓN]]-SEGUIMIENTO_TPM_xlsx[[#This Row],[HORA INICIO INTERVENCIÓN]]</f>
        <v>7.6388888888888618E-3</v>
      </c>
      <c r="R368" s="20">
        <f>(SEGUIMIENTO_TPM_xlsx[[#This Row],[HORA REPORTE]]+SEGUIMIENTO_TPM_xlsx[[#This Row],[FECHA DE REPORTE]])</f>
        <v>45997.458333333336</v>
      </c>
      <c r="S368" s="20">
        <f>(SEGUIMIENTO_TPM_xlsx[[#This Row],[FECHA DE INTERVENCÓN]]+SEGUIMIENTO_TPM_xlsx[[#This Row],[HORA FIN  INTERVENCIÓN]])</f>
        <v>45997.459027777775</v>
      </c>
      <c r="T368" s="11">
        <f>(SEGUIMIENTO_TPM_xlsx[[#This Row],[FECHA Y HORA FINAL]]-SEGUIMIENTO_TPM_xlsx[[#This Row],[FECHA Y HORA INICIO]])</f>
        <v>6.9444443943211809E-4</v>
      </c>
    </row>
    <row r="369" spans="1:20" x14ac:dyDescent="0.25">
      <c r="A369">
        <v>377</v>
      </c>
      <c r="B369" t="s">
        <v>503</v>
      </c>
      <c r="C369" s="1">
        <v>0.3125</v>
      </c>
      <c r="D369" s="2">
        <v>45997</v>
      </c>
      <c r="E369" t="s">
        <v>353</v>
      </c>
      <c r="F369" t="s">
        <v>95</v>
      </c>
      <c r="G369" t="s">
        <v>504</v>
      </c>
      <c r="H369" s="1">
        <v>0.3125</v>
      </c>
      <c r="I369" s="1">
        <v>0.33333333333333331</v>
      </c>
      <c r="J369" s="2">
        <v>45997</v>
      </c>
      <c r="K369" t="s">
        <v>25</v>
      </c>
      <c r="L369" t="s">
        <v>505</v>
      </c>
      <c r="M369" t="s">
        <v>506</v>
      </c>
      <c r="N369" t="s">
        <v>22</v>
      </c>
      <c r="O369" t="s">
        <v>112</v>
      </c>
      <c r="P369" t="s">
        <v>23</v>
      </c>
      <c r="Q369" s="1">
        <f>SEGUIMIENTO_TPM_xlsx[[#This Row],[HORA FIN  INTERVENCIÓN]]-SEGUIMIENTO_TPM_xlsx[[#This Row],[HORA INICIO INTERVENCIÓN]]</f>
        <v>2.0833333333333315E-2</v>
      </c>
      <c r="R369" s="20">
        <f>(SEGUIMIENTO_TPM_xlsx[[#This Row],[HORA REPORTE]]+SEGUIMIENTO_TPM_xlsx[[#This Row],[FECHA DE REPORTE]])</f>
        <v>45997.3125</v>
      </c>
      <c r="S369" s="20">
        <f>(SEGUIMIENTO_TPM_xlsx[[#This Row],[FECHA DE INTERVENCÓN]]+SEGUIMIENTO_TPM_xlsx[[#This Row],[HORA FIN  INTERVENCIÓN]])</f>
        <v>45997.333333333336</v>
      </c>
      <c r="T369" s="11">
        <f>(SEGUIMIENTO_TPM_xlsx[[#This Row],[FECHA Y HORA FINAL]]-SEGUIMIENTO_TPM_xlsx[[#This Row],[FECHA Y HORA INICIO]])</f>
        <v>2.0833333335758653E-2</v>
      </c>
    </row>
    <row r="370" spans="1:20" x14ac:dyDescent="0.25">
      <c r="A370">
        <v>378</v>
      </c>
      <c r="B370" t="s">
        <v>139</v>
      </c>
      <c r="C370" s="1">
        <v>0.375</v>
      </c>
      <c r="D370" s="2">
        <v>45997</v>
      </c>
      <c r="E370" t="s">
        <v>91</v>
      </c>
      <c r="F370" t="s">
        <v>95</v>
      </c>
      <c r="G370" t="s">
        <v>507</v>
      </c>
      <c r="H370" s="1">
        <v>0.375</v>
      </c>
      <c r="I370" s="1">
        <v>0.39583333333333331</v>
      </c>
      <c r="J370" s="2">
        <v>45997</v>
      </c>
      <c r="K370" t="s">
        <v>156</v>
      </c>
      <c r="L370" t="s">
        <v>508</v>
      </c>
      <c r="M370" t="s">
        <v>509</v>
      </c>
      <c r="N370" t="s">
        <v>22</v>
      </c>
      <c r="O370" t="s">
        <v>112</v>
      </c>
      <c r="P370" t="s">
        <v>23</v>
      </c>
      <c r="Q370" s="1">
        <f>SEGUIMIENTO_TPM_xlsx[[#This Row],[HORA FIN  INTERVENCIÓN]]-SEGUIMIENTO_TPM_xlsx[[#This Row],[HORA INICIO INTERVENCIÓN]]</f>
        <v>2.0833333333333315E-2</v>
      </c>
      <c r="R370" s="20">
        <f>(SEGUIMIENTO_TPM_xlsx[[#This Row],[HORA REPORTE]]+SEGUIMIENTO_TPM_xlsx[[#This Row],[FECHA DE REPORTE]])</f>
        <v>45997.375</v>
      </c>
      <c r="S370" s="20">
        <f>(SEGUIMIENTO_TPM_xlsx[[#This Row],[FECHA DE INTERVENCÓN]]+SEGUIMIENTO_TPM_xlsx[[#This Row],[HORA FIN  INTERVENCIÓN]])</f>
        <v>45997.395833333336</v>
      </c>
      <c r="T370" s="11">
        <f>(SEGUIMIENTO_TPM_xlsx[[#This Row],[FECHA Y HORA FINAL]]-SEGUIMIENTO_TPM_xlsx[[#This Row],[FECHA Y HORA INICIO]])</f>
        <v>2.0833333335758653E-2</v>
      </c>
    </row>
    <row r="371" spans="1:20" x14ac:dyDescent="0.25">
      <c r="A371">
        <v>379</v>
      </c>
      <c r="B371" t="s">
        <v>120</v>
      </c>
      <c r="C371" s="1">
        <v>0.64583333333333337</v>
      </c>
      <c r="D371" s="2">
        <v>45997</v>
      </c>
      <c r="E371" t="s">
        <v>116</v>
      </c>
      <c r="F371" t="s">
        <v>100</v>
      </c>
      <c r="G371" t="s">
        <v>510</v>
      </c>
      <c r="H371" s="1">
        <v>0.64583333333333337</v>
      </c>
      <c r="I371" s="1">
        <v>0.66319444444444442</v>
      </c>
      <c r="J371" s="2">
        <v>45997</v>
      </c>
      <c r="K371" t="s">
        <v>25</v>
      </c>
      <c r="L371" t="s">
        <v>511</v>
      </c>
      <c r="M371" t="s">
        <v>512</v>
      </c>
      <c r="N371" t="s">
        <v>22</v>
      </c>
      <c r="O371" t="s">
        <v>112</v>
      </c>
      <c r="P371" t="s">
        <v>23</v>
      </c>
      <c r="Q371" s="1">
        <f>SEGUIMIENTO_TPM_xlsx[[#This Row],[HORA FIN  INTERVENCIÓN]]-SEGUIMIENTO_TPM_xlsx[[#This Row],[HORA INICIO INTERVENCIÓN]]</f>
        <v>1.7361111111111049E-2</v>
      </c>
      <c r="R371" s="20">
        <f>(SEGUIMIENTO_TPM_xlsx[[#This Row],[HORA REPORTE]]+SEGUIMIENTO_TPM_xlsx[[#This Row],[FECHA DE REPORTE]])</f>
        <v>45997.645833333336</v>
      </c>
      <c r="S371" s="20">
        <f>(SEGUIMIENTO_TPM_xlsx[[#This Row],[FECHA DE INTERVENCÓN]]+SEGUIMIENTO_TPM_xlsx[[#This Row],[HORA FIN  INTERVENCIÓN]])</f>
        <v>45997.663194444445</v>
      </c>
      <c r="T371" s="11">
        <f>(SEGUIMIENTO_TPM_xlsx[[#This Row],[FECHA Y HORA FINAL]]-SEGUIMIENTO_TPM_xlsx[[#This Row],[FECHA Y HORA INICIO]])</f>
        <v>1.7361111109494232E-2</v>
      </c>
    </row>
    <row r="372" spans="1:20" x14ac:dyDescent="0.25">
      <c r="A372">
        <v>380</v>
      </c>
      <c r="C372" s="1"/>
      <c r="D372" s="2"/>
      <c r="H372" s="1"/>
      <c r="I372" s="1"/>
      <c r="J372" s="2"/>
      <c r="Q372" s="1">
        <f>SEGUIMIENTO_TPM_xlsx[[#This Row],[HORA FIN  INTERVENCIÓN]]-SEGUIMIENTO_TPM_xlsx[[#This Row],[HORA INICIO INTERVENCIÓN]]</f>
        <v>0</v>
      </c>
      <c r="R372" s="20">
        <f>(SEGUIMIENTO_TPM_xlsx[[#This Row],[HORA REPORTE]]+SEGUIMIENTO_TPM_xlsx[[#This Row],[FECHA DE REPORTE]])</f>
        <v>0</v>
      </c>
      <c r="S372" s="20">
        <f>(SEGUIMIENTO_TPM_xlsx[[#This Row],[FECHA DE INTERVENCÓN]]+SEGUIMIENTO_TPM_xlsx[[#This Row],[HORA FIN  INTERVENCIÓN]])</f>
        <v>0</v>
      </c>
      <c r="T372" s="11">
        <f>(SEGUIMIENTO_TPM_xlsx[[#This Row],[FECHA Y HORA FINAL]]-SEGUIMIENTO_TPM_xlsx[[#This Row],[FECHA Y HORA INICIO]])</f>
        <v>0</v>
      </c>
    </row>
    <row r="373" spans="1:20" x14ac:dyDescent="0.25">
      <c r="A373">
        <v>381</v>
      </c>
      <c r="B373" t="s">
        <v>139</v>
      </c>
      <c r="C373" s="1">
        <v>0.19791666666666666</v>
      </c>
      <c r="D373" s="2">
        <v>45999</v>
      </c>
      <c r="E373" t="s">
        <v>91</v>
      </c>
      <c r="F373" t="s">
        <v>95</v>
      </c>
      <c r="G373" t="s">
        <v>513</v>
      </c>
      <c r="H373" s="1"/>
      <c r="I373" s="1"/>
      <c r="J373" s="2"/>
      <c r="P373" t="s">
        <v>33</v>
      </c>
      <c r="Q373" s="1">
        <f>SEGUIMIENTO_TPM_xlsx[[#This Row],[HORA FIN  INTERVENCIÓN]]-SEGUIMIENTO_TPM_xlsx[[#This Row],[HORA INICIO INTERVENCIÓN]]</f>
        <v>0</v>
      </c>
      <c r="R373" s="20">
        <f>(SEGUIMIENTO_TPM_xlsx[[#This Row],[HORA REPORTE]]+SEGUIMIENTO_TPM_xlsx[[#This Row],[FECHA DE REPORTE]])</f>
        <v>45999.197916666664</v>
      </c>
      <c r="S373" s="20">
        <f>(SEGUIMIENTO_TPM_xlsx[[#This Row],[FECHA DE INTERVENCÓN]]+SEGUIMIENTO_TPM_xlsx[[#This Row],[HORA FIN  INTERVENCIÓN]])</f>
        <v>0</v>
      </c>
      <c r="T373" s="11">
        <f>(SEGUIMIENTO_TPM_xlsx[[#This Row],[FECHA Y HORA FINAL]]-SEGUIMIENTO_TPM_xlsx[[#This Row],[FECHA Y HORA INICIO]])</f>
        <v>-45999.197916666664</v>
      </c>
    </row>
    <row r="374" spans="1:20" x14ac:dyDescent="0.25">
      <c r="A374">
        <v>382</v>
      </c>
      <c r="B374" t="s">
        <v>103</v>
      </c>
      <c r="C374" s="1">
        <v>6.9444444444444441E-3</v>
      </c>
      <c r="D374" s="2">
        <v>46004</v>
      </c>
      <c r="E374" t="s">
        <v>104</v>
      </c>
      <c r="F374" t="s">
        <v>95</v>
      </c>
      <c r="G374" t="s">
        <v>514</v>
      </c>
      <c r="H374" s="1">
        <v>6.9444444444444441E-3</v>
      </c>
      <c r="I374" s="1">
        <v>2.0833333333333332E-2</v>
      </c>
      <c r="J374" s="2">
        <v>46004</v>
      </c>
      <c r="K374" t="s">
        <v>20</v>
      </c>
      <c r="L374" t="s">
        <v>515</v>
      </c>
      <c r="M374" t="s">
        <v>516</v>
      </c>
      <c r="N374" t="s">
        <v>22</v>
      </c>
      <c r="O374" t="s">
        <v>44</v>
      </c>
      <c r="P374" t="s">
        <v>23</v>
      </c>
      <c r="Q374" s="1">
        <f>SEGUIMIENTO_TPM_xlsx[[#This Row],[HORA FIN  INTERVENCIÓN]]-SEGUIMIENTO_TPM_xlsx[[#This Row],[HORA INICIO INTERVENCIÓN]]</f>
        <v>1.3888888888888888E-2</v>
      </c>
      <c r="R374" s="20">
        <f>(SEGUIMIENTO_TPM_xlsx[[#This Row],[HORA REPORTE]]+SEGUIMIENTO_TPM_xlsx[[#This Row],[FECHA DE REPORTE]])</f>
        <v>46004.006944444445</v>
      </c>
      <c r="S374" s="20">
        <f>(SEGUIMIENTO_TPM_xlsx[[#This Row],[FECHA DE INTERVENCÓN]]+SEGUIMIENTO_TPM_xlsx[[#This Row],[HORA FIN  INTERVENCIÓN]])</f>
        <v>46004.020833333336</v>
      </c>
      <c r="T374" s="11">
        <f>(SEGUIMIENTO_TPM_xlsx[[#This Row],[FECHA Y HORA FINAL]]-SEGUIMIENTO_TPM_xlsx[[#This Row],[FECHA Y HORA INICIO]])</f>
        <v>1.3888888890505768E-2</v>
      </c>
    </row>
    <row r="375" spans="1:20" x14ac:dyDescent="0.25">
      <c r="A375">
        <v>383</v>
      </c>
      <c r="B375" t="s">
        <v>93</v>
      </c>
      <c r="C375" s="1">
        <v>0.31944444444444442</v>
      </c>
      <c r="D375" s="2">
        <v>46000</v>
      </c>
      <c r="E375" t="s">
        <v>116</v>
      </c>
      <c r="F375" t="s">
        <v>95</v>
      </c>
      <c r="G375" t="s">
        <v>517</v>
      </c>
      <c r="H375" s="1">
        <v>0.31944444444444442</v>
      </c>
      <c r="I375" s="1">
        <v>0.375</v>
      </c>
      <c r="J375" s="2">
        <v>46000</v>
      </c>
      <c r="K375" t="s">
        <v>25</v>
      </c>
      <c r="L375" t="s">
        <v>518</v>
      </c>
      <c r="M375" t="s">
        <v>519</v>
      </c>
      <c r="N375" t="s">
        <v>22</v>
      </c>
      <c r="O375" t="s">
        <v>112</v>
      </c>
      <c r="P375" t="s">
        <v>23</v>
      </c>
      <c r="Q375" s="1">
        <f>SEGUIMIENTO_TPM_xlsx[[#This Row],[HORA FIN  INTERVENCIÓN]]-SEGUIMIENTO_TPM_xlsx[[#This Row],[HORA INICIO INTERVENCIÓN]]</f>
        <v>5.555555555555558E-2</v>
      </c>
      <c r="R375" s="20">
        <f>(SEGUIMIENTO_TPM_xlsx[[#This Row],[HORA REPORTE]]+SEGUIMIENTO_TPM_xlsx[[#This Row],[FECHA DE REPORTE]])</f>
        <v>46000.319444444445</v>
      </c>
      <c r="S375" s="20">
        <f>(SEGUIMIENTO_TPM_xlsx[[#This Row],[FECHA DE INTERVENCÓN]]+SEGUIMIENTO_TPM_xlsx[[#This Row],[HORA FIN  INTERVENCIÓN]])</f>
        <v>46000.375</v>
      </c>
      <c r="T375" s="11">
        <f>(SEGUIMIENTO_TPM_xlsx[[#This Row],[FECHA Y HORA FINAL]]-SEGUIMIENTO_TPM_xlsx[[#This Row],[FECHA Y HORA INICIO]])</f>
        <v>5.5555555554747116E-2</v>
      </c>
    </row>
    <row r="376" spans="1:20" x14ac:dyDescent="0.25">
      <c r="A376">
        <v>384</v>
      </c>
      <c r="C376" s="1"/>
      <c r="D376" s="2"/>
      <c r="H376" s="1"/>
      <c r="I376" s="1"/>
      <c r="J376" s="2"/>
      <c r="Q376" s="1">
        <f>SEGUIMIENTO_TPM_xlsx[[#This Row],[HORA FIN  INTERVENCIÓN]]-SEGUIMIENTO_TPM_xlsx[[#This Row],[HORA INICIO INTERVENCIÓN]]</f>
        <v>0</v>
      </c>
      <c r="R376" s="20">
        <f>(SEGUIMIENTO_TPM_xlsx[[#This Row],[HORA REPORTE]]+SEGUIMIENTO_TPM_xlsx[[#This Row],[FECHA DE REPORTE]])</f>
        <v>0</v>
      </c>
      <c r="S376" s="20">
        <f>(SEGUIMIENTO_TPM_xlsx[[#This Row],[FECHA DE INTERVENCÓN]]+SEGUIMIENTO_TPM_xlsx[[#This Row],[HORA FIN  INTERVENCIÓN]])</f>
        <v>0</v>
      </c>
      <c r="T376" s="11">
        <f>(SEGUIMIENTO_TPM_xlsx[[#This Row],[FECHA Y HORA FINAL]]-SEGUIMIENTO_TPM_xlsx[[#This Row],[FECHA Y HORA INICIO]])</f>
        <v>0</v>
      </c>
    </row>
    <row r="377" spans="1:20" x14ac:dyDescent="0.25">
      <c r="A377">
        <v>385</v>
      </c>
      <c r="C377" s="1"/>
      <c r="D377" s="2"/>
      <c r="H377" s="1"/>
      <c r="I377" s="1"/>
      <c r="J377" s="2"/>
      <c r="Q377" s="1">
        <f>SEGUIMIENTO_TPM_xlsx[[#This Row],[HORA FIN  INTERVENCIÓN]]-SEGUIMIENTO_TPM_xlsx[[#This Row],[HORA INICIO INTERVENCIÓN]]</f>
        <v>0</v>
      </c>
      <c r="R377" s="20">
        <f>(SEGUIMIENTO_TPM_xlsx[[#This Row],[HORA REPORTE]]+SEGUIMIENTO_TPM_xlsx[[#This Row],[FECHA DE REPORTE]])</f>
        <v>0</v>
      </c>
      <c r="S377" s="20">
        <f>(SEGUIMIENTO_TPM_xlsx[[#This Row],[FECHA DE INTERVENCÓN]]+SEGUIMIENTO_TPM_xlsx[[#This Row],[HORA FIN  INTERVENCIÓN]])</f>
        <v>0</v>
      </c>
      <c r="T377" s="11">
        <f>(SEGUIMIENTO_TPM_xlsx[[#This Row],[FECHA Y HORA FINAL]]-SEGUIMIENTO_TPM_xlsx[[#This Row],[FECHA Y HORA INICIO]])</f>
        <v>0</v>
      </c>
    </row>
    <row r="378" spans="1:20" x14ac:dyDescent="0.25">
      <c r="A378">
        <v>386</v>
      </c>
      <c r="B378" t="s">
        <v>93</v>
      </c>
      <c r="C378" s="1">
        <v>0.47916666666666669</v>
      </c>
      <c r="D378" s="2">
        <v>46000</v>
      </c>
      <c r="E378" t="s">
        <v>116</v>
      </c>
      <c r="F378" t="s">
        <v>95</v>
      </c>
      <c r="G378" t="s">
        <v>520</v>
      </c>
      <c r="H378" s="1">
        <v>0.47916666666666669</v>
      </c>
      <c r="I378" s="1">
        <v>0.75</v>
      </c>
      <c r="J378" s="2">
        <v>46000</v>
      </c>
      <c r="K378" t="s">
        <v>20</v>
      </c>
      <c r="L378" t="s">
        <v>521</v>
      </c>
      <c r="M378" t="s">
        <v>22</v>
      </c>
      <c r="N378" t="s">
        <v>22</v>
      </c>
      <c r="O378" t="s">
        <v>108</v>
      </c>
      <c r="P378" t="s">
        <v>23</v>
      </c>
      <c r="Q378" s="1">
        <f>SEGUIMIENTO_TPM_xlsx[[#This Row],[HORA FIN  INTERVENCIÓN]]-SEGUIMIENTO_TPM_xlsx[[#This Row],[HORA INICIO INTERVENCIÓN]]</f>
        <v>0.27083333333333331</v>
      </c>
      <c r="R378" s="20">
        <f>(SEGUIMIENTO_TPM_xlsx[[#This Row],[HORA REPORTE]]+SEGUIMIENTO_TPM_xlsx[[#This Row],[FECHA DE REPORTE]])</f>
        <v>46000.479166666664</v>
      </c>
      <c r="S378" s="20">
        <f>(SEGUIMIENTO_TPM_xlsx[[#This Row],[FECHA DE INTERVENCÓN]]+SEGUIMIENTO_TPM_xlsx[[#This Row],[HORA FIN  INTERVENCIÓN]])</f>
        <v>46000.75</v>
      </c>
      <c r="T378" s="11">
        <f>(SEGUIMIENTO_TPM_xlsx[[#This Row],[FECHA Y HORA FINAL]]-SEGUIMIENTO_TPM_xlsx[[#This Row],[FECHA Y HORA INICIO]])</f>
        <v>0.27083333333575865</v>
      </c>
    </row>
    <row r="379" spans="1:20" x14ac:dyDescent="0.25">
      <c r="A379">
        <v>387</v>
      </c>
      <c r="B379" t="s">
        <v>16</v>
      </c>
      <c r="C379" s="1">
        <v>0.625</v>
      </c>
      <c r="D379" s="2">
        <v>46000</v>
      </c>
      <c r="E379" t="s">
        <v>116</v>
      </c>
      <c r="F379" t="s">
        <v>95</v>
      </c>
      <c r="G379" t="s">
        <v>522</v>
      </c>
      <c r="H379" s="1">
        <v>0.625</v>
      </c>
      <c r="I379" s="1">
        <v>0.63194444444444442</v>
      </c>
      <c r="J379" s="2">
        <v>46000</v>
      </c>
      <c r="K379" t="s">
        <v>25</v>
      </c>
      <c r="L379" t="s">
        <v>523</v>
      </c>
      <c r="M379" t="s">
        <v>22</v>
      </c>
      <c r="N379" t="s">
        <v>22</v>
      </c>
      <c r="O379" t="s">
        <v>112</v>
      </c>
      <c r="P379" t="s">
        <v>23</v>
      </c>
      <c r="Q379" s="1">
        <f>SEGUIMIENTO_TPM_xlsx[[#This Row],[HORA FIN  INTERVENCIÓN]]-SEGUIMIENTO_TPM_xlsx[[#This Row],[HORA INICIO INTERVENCIÓN]]</f>
        <v>6.9444444444444198E-3</v>
      </c>
      <c r="R379" s="20">
        <f>(SEGUIMIENTO_TPM_xlsx[[#This Row],[HORA REPORTE]]+SEGUIMIENTO_TPM_xlsx[[#This Row],[FECHA DE REPORTE]])</f>
        <v>46000.625</v>
      </c>
      <c r="S379" s="20">
        <f>(SEGUIMIENTO_TPM_xlsx[[#This Row],[FECHA DE INTERVENCÓN]]+SEGUIMIENTO_TPM_xlsx[[#This Row],[HORA FIN  INTERVENCIÓN]])</f>
        <v>46000.631944444445</v>
      </c>
      <c r="T379" s="11">
        <f>(SEGUIMIENTO_TPM_xlsx[[#This Row],[FECHA Y HORA FINAL]]-SEGUIMIENTO_TPM_xlsx[[#This Row],[FECHA Y HORA INICIO]])</f>
        <v>6.9444444452528842E-3</v>
      </c>
    </row>
    <row r="380" spans="1:20" x14ac:dyDescent="0.25">
      <c r="A380">
        <v>388</v>
      </c>
      <c r="C380" s="1"/>
      <c r="D380" s="2"/>
      <c r="H380" s="1"/>
      <c r="I380" s="1"/>
      <c r="J380" s="2"/>
      <c r="Q380" s="1">
        <f>SEGUIMIENTO_TPM_xlsx[[#This Row],[HORA FIN  INTERVENCIÓN]]-SEGUIMIENTO_TPM_xlsx[[#This Row],[HORA INICIO INTERVENCIÓN]]</f>
        <v>0</v>
      </c>
      <c r="R380" s="20">
        <f>(SEGUIMIENTO_TPM_xlsx[[#This Row],[HORA REPORTE]]+SEGUIMIENTO_TPM_xlsx[[#This Row],[FECHA DE REPORTE]])</f>
        <v>0</v>
      </c>
      <c r="S380" s="20">
        <f>(SEGUIMIENTO_TPM_xlsx[[#This Row],[FECHA DE INTERVENCÓN]]+SEGUIMIENTO_TPM_xlsx[[#This Row],[HORA FIN  INTERVENCIÓN]])</f>
        <v>0</v>
      </c>
      <c r="T380" s="11">
        <f>(SEGUIMIENTO_TPM_xlsx[[#This Row],[FECHA Y HORA FINAL]]-SEGUIMIENTO_TPM_xlsx[[#This Row],[FECHA Y HORA INICIO]])</f>
        <v>0</v>
      </c>
    </row>
    <row r="381" spans="1:20" x14ac:dyDescent="0.25">
      <c r="A381">
        <v>389</v>
      </c>
      <c r="B381" t="s">
        <v>199</v>
      </c>
      <c r="C381" s="1">
        <v>6.9444444444444441E-3</v>
      </c>
      <c r="D381" s="2">
        <v>46001</v>
      </c>
      <c r="E381" t="s">
        <v>91</v>
      </c>
      <c r="F381" t="s">
        <v>95</v>
      </c>
      <c r="G381" t="s">
        <v>524</v>
      </c>
      <c r="H381" s="1">
        <v>6.9444444444444441E-3</v>
      </c>
      <c r="I381" s="1">
        <v>2.0833333333333332E-2</v>
      </c>
      <c r="J381" s="2">
        <v>46001</v>
      </c>
      <c r="K381" t="s">
        <v>20</v>
      </c>
      <c r="L381" t="s">
        <v>525</v>
      </c>
      <c r="M381" t="s">
        <v>22</v>
      </c>
      <c r="N381" t="s">
        <v>22</v>
      </c>
      <c r="O381" t="s">
        <v>268</v>
      </c>
      <c r="P381" t="s">
        <v>23</v>
      </c>
      <c r="Q381" s="1">
        <f>SEGUIMIENTO_TPM_xlsx[[#This Row],[HORA FIN  INTERVENCIÓN]]-SEGUIMIENTO_TPM_xlsx[[#This Row],[HORA INICIO INTERVENCIÓN]]</f>
        <v>1.3888888888888888E-2</v>
      </c>
      <c r="R381" s="20">
        <f>(SEGUIMIENTO_TPM_xlsx[[#This Row],[HORA REPORTE]]+SEGUIMIENTO_TPM_xlsx[[#This Row],[FECHA DE REPORTE]])</f>
        <v>46001.006944444445</v>
      </c>
      <c r="S381" s="20">
        <f>(SEGUIMIENTO_TPM_xlsx[[#This Row],[FECHA DE INTERVENCÓN]]+SEGUIMIENTO_TPM_xlsx[[#This Row],[HORA FIN  INTERVENCIÓN]])</f>
        <v>46001.020833333336</v>
      </c>
      <c r="T381" s="11">
        <f>(SEGUIMIENTO_TPM_xlsx[[#This Row],[FECHA Y HORA FINAL]]-SEGUIMIENTO_TPM_xlsx[[#This Row],[FECHA Y HORA INICIO]])</f>
        <v>1.3888888890505768E-2</v>
      </c>
    </row>
    <row r="382" spans="1:20" x14ac:dyDescent="0.25">
      <c r="A382">
        <v>390</v>
      </c>
      <c r="C382" s="1"/>
      <c r="D382" s="2"/>
      <c r="H382" s="1"/>
      <c r="I382" s="1"/>
      <c r="J382" s="2"/>
      <c r="Q382" s="1">
        <f>SEGUIMIENTO_TPM_xlsx[[#This Row],[HORA FIN  INTERVENCIÓN]]-SEGUIMIENTO_TPM_xlsx[[#This Row],[HORA INICIO INTERVENCIÓN]]</f>
        <v>0</v>
      </c>
      <c r="R382" s="20">
        <f>(SEGUIMIENTO_TPM_xlsx[[#This Row],[HORA REPORTE]]+SEGUIMIENTO_TPM_xlsx[[#This Row],[FECHA DE REPORTE]])</f>
        <v>0</v>
      </c>
      <c r="S382" s="20">
        <f>(SEGUIMIENTO_TPM_xlsx[[#This Row],[FECHA DE INTERVENCÓN]]+SEGUIMIENTO_TPM_xlsx[[#This Row],[HORA FIN  INTERVENCIÓN]])</f>
        <v>0</v>
      </c>
      <c r="T382" s="11">
        <f>(SEGUIMIENTO_TPM_xlsx[[#This Row],[FECHA Y HORA FINAL]]-SEGUIMIENTO_TPM_xlsx[[#This Row],[FECHA Y HORA INICIO]])</f>
        <v>0</v>
      </c>
    </row>
    <row r="383" spans="1:20" x14ac:dyDescent="0.25">
      <c r="A383">
        <v>391</v>
      </c>
      <c r="B383" t="s">
        <v>526</v>
      </c>
      <c r="C383" s="1">
        <v>0.33333333333333331</v>
      </c>
      <c r="D383" s="2">
        <v>46001</v>
      </c>
      <c r="E383" t="s">
        <v>104</v>
      </c>
      <c r="F383" t="s">
        <v>95</v>
      </c>
      <c r="G383" t="s">
        <v>527</v>
      </c>
      <c r="H383" s="1"/>
      <c r="I383" s="1"/>
      <c r="J383" s="2"/>
      <c r="P383" t="s">
        <v>33</v>
      </c>
      <c r="Q383" s="1">
        <f>SEGUIMIENTO_TPM_xlsx[[#This Row],[HORA FIN  INTERVENCIÓN]]-SEGUIMIENTO_TPM_xlsx[[#This Row],[HORA INICIO INTERVENCIÓN]]</f>
        <v>0</v>
      </c>
      <c r="R383" s="20">
        <f>(SEGUIMIENTO_TPM_xlsx[[#This Row],[HORA REPORTE]]+SEGUIMIENTO_TPM_xlsx[[#This Row],[FECHA DE REPORTE]])</f>
        <v>46001.333333333336</v>
      </c>
      <c r="S383" s="20">
        <f>(SEGUIMIENTO_TPM_xlsx[[#This Row],[FECHA DE INTERVENCÓN]]+SEGUIMIENTO_TPM_xlsx[[#This Row],[HORA FIN  INTERVENCIÓN]])</f>
        <v>0</v>
      </c>
      <c r="T383" s="11">
        <f>(SEGUIMIENTO_TPM_xlsx[[#This Row],[FECHA Y HORA FINAL]]-SEGUIMIENTO_TPM_xlsx[[#This Row],[FECHA Y HORA INICIO]])</f>
        <v>-46001.333333333336</v>
      </c>
    </row>
    <row r="384" spans="1:20" x14ac:dyDescent="0.25">
      <c r="A384">
        <v>392</v>
      </c>
      <c r="C384" s="1"/>
      <c r="D384" s="2"/>
      <c r="H384" s="1"/>
      <c r="I384" s="1"/>
      <c r="J384" s="2"/>
      <c r="Q384" s="1">
        <f>SEGUIMIENTO_TPM_xlsx[[#This Row],[HORA FIN  INTERVENCIÓN]]-SEGUIMIENTO_TPM_xlsx[[#This Row],[HORA INICIO INTERVENCIÓN]]</f>
        <v>0</v>
      </c>
      <c r="R384" s="20">
        <f>(SEGUIMIENTO_TPM_xlsx[[#This Row],[HORA REPORTE]]+SEGUIMIENTO_TPM_xlsx[[#This Row],[FECHA DE REPORTE]])</f>
        <v>0</v>
      </c>
      <c r="S384" s="20">
        <f>(SEGUIMIENTO_TPM_xlsx[[#This Row],[FECHA DE INTERVENCÓN]]+SEGUIMIENTO_TPM_xlsx[[#This Row],[HORA FIN  INTERVENCIÓN]])</f>
        <v>0</v>
      </c>
      <c r="T384" s="11">
        <f>(SEGUIMIENTO_TPM_xlsx[[#This Row],[FECHA Y HORA FINAL]]-SEGUIMIENTO_TPM_xlsx[[#This Row],[FECHA Y HORA INICIO]])</f>
        <v>0</v>
      </c>
    </row>
    <row r="385" spans="1:20" x14ac:dyDescent="0.25">
      <c r="A385">
        <v>393</v>
      </c>
      <c r="B385" t="s">
        <v>113</v>
      </c>
      <c r="C385" s="1"/>
      <c r="D385" s="2">
        <v>46001</v>
      </c>
      <c r="E385" t="s">
        <v>104</v>
      </c>
      <c r="F385" t="s">
        <v>95</v>
      </c>
      <c r="G385" t="s">
        <v>528</v>
      </c>
      <c r="H385" s="1">
        <v>0.79166666666666663</v>
      </c>
      <c r="I385" s="1">
        <v>0.8125</v>
      </c>
      <c r="J385" s="2">
        <v>46001</v>
      </c>
      <c r="K385" t="s">
        <v>20</v>
      </c>
      <c r="L385" t="s">
        <v>529</v>
      </c>
      <c r="M385" t="s">
        <v>22</v>
      </c>
      <c r="N385" t="s">
        <v>22</v>
      </c>
      <c r="O385" t="s">
        <v>112</v>
      </c>
      <c r="P385" t="s">
        <v>23</v>
      </c>
      <c r="Q385" s="1">
        <f>SEGUIMIENTO_TPM_xlsx[[#This Row],[HORA FIN  INTERVENCIÓN]]-SEGUIMIENTO_TPM_xlsx[[#This Row],[HORA INICIO INTERVENCIÓN]]</f>
        <v>2.083333333333337E-2</v>
      </c>
      <c r="R385" s="20">
        <f>(SEGUIMIENTO_TPM_xlsx[[#This Row],[HORA REPORTE]]+SEGUIMIENTO_TPM_xlsx[[#This Row],[FECHA DE REPORTE]])</f>
        <v>46001</v>
      </c>
      <c r="S385" s="20">
        <f>(SEGUIMIENTO_TPM_xlsx[[#This Row],[FECHA DE INTERVENCÓN]]+SEGUIMIENTO_TPM_xlsx[[#This Row],[HORA FIN  INTERVENCIÓN]])</f>
        <v>46001.8125</v>
      </c>
      <c r="T385" s="11">
        <f>(SEGUIMIENTO_TPM_xlsx[[#This Row],[FECHA Y HORA FINAL]]-SEGUIMIENTO_TPM_xlsx[[#This Row],[FECHA Y HORA INICIO]])</f>
        <v>0.8125</v>
      </c>
    </row>
    <row r="386" spans="1:20" x14ac:dyDescent="0.25">
      <c r="A386">
        <v>394</v>
      </c>
      <c r="B386" t="s">
        <v>113</v>
      </c>
      <c r="C386" s="1">
        <v>0.9375</v>
      </c>
      <c r="D386" s="2">
        <v>46001</v>
      </c>
      <c r="E386" t="s">
        <v>147</v>
      </c>
      <c r="F386" t="s">
        <v>95</v>
      </c>
      <c r="G386" t="s">
        <v>530</v>
      </c>
      <c r="H386" s="1">
        <v>0.9375</v>
      </c>
      <c r="I386" s="1">
        <v>0.97916666666666663</v>
      </c>
      <c r="J386" s="2">
        <v>46001</v>
      </c>
      <c r="K386" t="s">
        <v>25</v>
      </c>
      <c r="L386" t="s">
        <v>531</v>
      </c>
      <c r="M386" t="s">
        <v>22</v>
      </c>
      <c r="N386" t="s">
        <v>22</v>
      </c>
      <c r="O386" t="s">
        <v>112</v>
      </c>
      <c r="P386" t="s">
        <v>23</v>
      </c>
      <c r="Q386" s="1">
        <f>SEGUIMIENTO_TPM_xlsx[[#This Row],[HORA FIN  INTERVENCIÓN]]-SEGUIMIENTO_TPM_xlsx[[#This Row],[HORA INICIO INTERVENCIÓN]]</f>
        <v>4.166666666666663E-2</v>
      </c>
      <c r="R386" s="20">
        <f>(SEGUIMIENTO_TPM_xlsx[[#This Row],[HORA REPORTE]]+SEGUIMIENTO_TPM_xlsx[[#This Row],[FECHA DE REPORTE]])</f>
        <v>46001.9375</v>
      </c>
      <c r="S386" s="20">
        <f>(SEGUIMIENTO_TPM_xlsx[[#This Row],[FECHA DE INTERVENCÓN]]+SEGUIMIENTO_TPM_xlsx[[#This Row],[HORA FIN  INTERVENCIÓN]])</f>
        <v>46001.979166666664</v>
      </c>
      <c r="T386" s="11">
        <f>(SEGUIMIENTO_TPM_xlsx[[#This Row],[FECHA Y HORA FINAL]]-SEGUIMIENTO_TPM_xlsx[[#This Row],[FECHA Y HORA INICIO]])</f>
        <v>4.1666666664241347E-2</v>
      </c>
    </row>
    <row r="387" spans="1:20" x14ac:dyDescent="0.25">
      <c r="A387">
        <v>395</v>
      </c>
      <c r="B387" t="s">
        <v>335</v>
      </c>
      <c r="C387" s="1">
        <v>0.16319444444444445</v>
      </c>
      <c r="D387" s="2">
        <v>46002</v>
      </c>
      <c r="E387" t="s">
        <v>162</v>
      </c>
      <c r="F387" t="s">
        <v>100</v>
      </c>
      <c r="G387" t="s">
        <v>532</v>
      </c>
      <c r="H387" s="1">
        <v>0.16319444444444445</v>
      </c>
      <c r="I387" s="1">
        <v>0.1736111111111111</v>
      </c>
      <c r="J387" s="2">
        <v>46002</v>
      </c>
      <c r="K387" t="s">
        <v>25</v>
      </c>
      <c r="L387" t="s">
        <v>533</v>
      </c>
      <c r="M387" t="s">
        <v>22</v>
      </c>
      <c r="N387" t="s">
        <v>22</v>
      </c>
      <c r="O387" t="s">
        <v>112</v>
      </c>
      <c r="P387" t="s">
        <v>23</v>
      </c>
      <c r="Q387" s="1">
        <f>SEGUIMIENTO_TPM_xlsx[[#This Row],[HORA FIN  INTERVENCIÓN]]-SEGUIMIENTO_TPM_xlsx[[#This Row],[HORA INICIO INTERVENCIÓN]]</f>
        <v>1.0416666666666657E-2</v>
      </c>
      <c r="R387" s="20">
        <f>(SEGUIMIENTO_TPM_xlsx[[#This Row],[HORA REPORTE]]+SEGUIMIENTO_TPM_xlsx[[#This Row],[FECHA DE REPORTE]])</f>
        <v>46002.163194444445</v>
      </c>
      <c r="S387" s="20">
        <f>(SEGUIMIENTO_TPM_xlsx[[#This Row],[FECHA DE INTERVENCÓN]]+SEGUIMIENTO_TPM_xlsx[[#This Row],[HORA FIN  INTERVENCIÓN]])</f>
        <v>46002.173611111109</v>
      </c>
      <c r="T387" s="11">
        <f>(SEGUIMIENTO_TPM_xlsx[[#This Row],[FECHA Y HORA FINAL]]-SEGUIMIENTO_TPM_xlsx[[#This Row],[FECHA Y HORA INICIO]])</f>
        <v>1.0416666664241347E-2</v>
      </c>
    </row>
    <row r="388" spans="1:20" x14ac:dyDescent="0.25">
      <c r="A388">
        <v>396</v>
      </c>
      <c r="B388" t="s">
        <v>206</v>
      </c>
      <c r="C388" s="1">
        <v>8.3333333333333329E-2</v>
      </c>
      <c r="D388" s="2">
        <v>46002</v>
      </c>
      <c r="E388" t="s">
        <v>116</v>
      </c>
      <c r="F388" t="s">
        <v>95</v>
      </c>
      <c r="G388" t="s">
        <v>534</v>
      </c>
      <c r="H388" s="1">
        <v>8.3333333333333329E-2</v>
      </c>
      <c r="I388" s="1">
        <v>0.10416666666666667</v>
      </c>
      <c r="J388" s="2">
        <v>46002</v>
      </c>
      <c r="K388" t="s">
        <v>25</v>
      </c>
      <c r="L388" t="s">
        <v>535</v>
      </c>
      <c r="M388" t="s">
        <v>22</v>
      </c>
      <c r="N388" t="s">
        <v>22</v>
      </c>
      <c r="O388" t="s">
        <v>112</v>
      </c>
      <c r="P388" t="s">
        <v>23</v>
      </c>
      <c r="Q388" s="1">
        <f>SEGUIMIENTO_TPM_xlsx[[#This Row],[HORA FIN  INTERVENCIÓN]]-SEGUIMIENTO_TPM_xlsx[[#This Row],[HORA INICIO INTERVENCIÓN]]</f>
        <v>2.0833333333333343E-2</v>
      </c>
      <c r="R388" s="20">
        <f>(SEGUIMIENTO_TPM_xlsx[[#This Row],[HORA REPORTE]]+SEGUIMIENTO_TPM_xlsx[[#This Row],[FECHA DE REPORTE]])</f>
        <v>46002.083333333336</v>
      </c>
      <c r="S388" s="20">
        <f>(SEGUIMIENTO_TPM_xlsx[[#This Row],[FECHA DE INTERVENCÓN]]+SEGUIMIENTO_TPM_xlsx[[#This Row],[HORA FIN  INTERVENCIÓN]])</f>
        <v>46002.104166666664</v>
      </c>
      <c r="T388" s="11">
        <f>(SEGUIMIENTO_TPM_xlsx[[#This Row],[FECHA Y HORA FINAL]]-SEGUIMIENTO_TPM_xlsx[[#This Row],[FECHA Y HORA INICIO]])</f>
        <v>2.0833333328482695E-2</v>
      </c>
    </row>
    <row r="389" spans="1:20" x14ac:dyDescent="0.25">
      <c r="A389">
        <v>397</v>
      </c>
      <c r="B389" t="s">
        <v>139</v>
      </c>
      <c r="C389" s="1">
        <v>0.875</v>
      </c>
      <c r="D389" s="2">
        <v>46001</v>
      </c>
      <c r="E389" t="s">
        <v>91</v>
      </c>
      <c r="F389" t="s">
        <v>95</v>
      </c>
      <c r="G389" t="s">
        <v>536</v>
      </c>
      <c r="H389" s="1">
        <v>0.875</v>
      </c>
      <c r="I389" s="1">
        <v>0.90277777777777779</v>
      </c>
      <c r="J389" s="2">
        <v>46001</v>
      </c>
      <c r="K389" t="s">
        <v>25</v>
      </c>
      <c r="L389" t="s">
        <v>537</v>
      </c>
      <c r="M389" t="s">
        <v>22</v>
      </c>
      <c r="N389" t="s">
        <v>22</v>
      </c>
      <c r="O389" t="s">
        <v>112</v>
      </c>
      <c r="P389" t="s">
        <v>23</v>
      </c>
      <c r="Q389" s="1">
        <f>SEGUIMIENTO_TPM_xlsx[[#This Row],[HORA FIN  INTERVENCIÓN]]-SEGUIMIENTO_TPM_xlsx[[#This Row],[HORA INICIO INTERVENCIÓN]]</f>
        <v>2.777777777777779E-2</v>
      </c>
      <c r="R389" s="20">
        <f>(SEGUIMIENTO_TPM_xlsx[[#This Row],[HORA REPORTE]]+SEGUIMIENTO_TPM_xlsx[[#This Row],[FECHA DE REPORTE]])</f>
        <v>46001.875</v>
      </c>
      <c r="S389" s="20">
        <f>(SEGUIMIENTO_TPM_xlsx[[#This Row],[FECHA DE INTERVENCÓN]]+SEGUIMIENTO_TPM_xlsx[[#This Row],[HORA FIN  INTERVENCIÓN]])</f>
        <v>46001.902777777781</v>
      </c>
      <c r="T389" s="11">
        <f>(SEGUIMIENTO_TPM_xlsx[[#This Row],[FECHA Y HORA FINAL]]-SEGUIMIENTO_TPM_xlsx[[#This Row],[FECHA Y HORA INICIO]])</f>
        <v>2.7777777781011537E-2</v>
      </c>
    </row>
    <row r="390" spans="1:20" x14ac:dyDescent="0.25">
      <c r="A390">
        <v>398</v>
      </c>
      <c r="C390" s="1"/>
      <c r="D390" s="2"/>
      <c r="H390" s="1"/>
      <c r="I390" s="1"/>
      <c r="J390" s="2"/>
      <c r="Q390" s="1">
        <f>SEGUIMIENTO_TPM_xlsx[[#This Row],[HORA FIN  INTERVENCIÓN]]-SEGUIMIENTO_TPM_xlsx[[#This Row],[HORA INICIO INTERVENCIÓN]]</f>
        <v>0</v>
      </c>
      <c r="R390" s="20">
        <f>(SEGUIMIENTO_TPM_xlsx[[#This Row],[HORA REPORTE]]+SEGUIMIENTO_TPM_xlsx[[#This Row],[FECHA DE REPORTE]])</f>
        <v>0</v>
      </c>
      <c r="S390" s="20">
        <f>(SEGUIMIENTO_TPM_xlsx[[#This Row],[FECHA DE INTERVENCÓN]]+SEGUIMIENTO_TPM_xlsx[[#This Row],[HORA FIN  INTERVENCIÓN]])</f>
        <v>0</v>
      </c>
      <c r="T390" s="11">
        <f>(SEGUIMIENTO_TPM_xlsx[[#This Row],[FECHA Y HORA FINAL]]-SEGUIMIENTO_TPM_xlsx[[#This Row],[FECHA Y HORA INICIO]])</f>
        <v>0</v>
      </c>
    </row>
    <row r="391" spans="1:20" x14ac:dyDescent="0.25">
      <c r="A391">
        <v>399</v>
      </c>
      <c r="B391" t="s">
        <v>335</v>
      </c>
      <c r="C391" s="1">
        <v>0.16666666666666666</v>
      </c>
      <c r="D391" s="2">
        <v>46003</v>
      </c>
      <c r="E391" t="s">
        <v>162</v>
      </c>
      <c r="F391" t="s">
        <v>100</v>
      </c>
      <c r="G391" t="s">
        <v>538</v>
      </c>
      <c r="H391" s="1">
        <v>0.16666666666666666</v>
      </c>
      <c r="I391" s="1">
        <v>0.1875</v>
      </c>
      <c r="J391" s="2">
        <v>46003</v>
      </c>
      <c r="K391" t="s">
        <v>25</v>
      </c>
      <c r="L391" t="s">
        <v>539</v>
      </c>
      <c r="M391" t="s">
        <v>22</v>
      </c>
      <c r="N391" t="s">
        <v>22</v>
      </c>
      <c r="O391" t="s">
        <v>108</v>
      </c>
      <c r="P391" t="s">
        <v>23</v>
      </c>
      <c r="Q391" s="1">
        <f>SEGUIMIENTO_TPM_xlsx[[#This Row],[HORA FIN  INTERVENCIÓN]]-SEGUIMIENTO_TPM_xlsx[[#This Row],[HORA INICIO INTERVENCIÓN]]</f>
        <v>2.0833333333333343E-2</v>
      </c>
      <c r="R391" s="20">
        <f>(SEGUIMIENTO_TPM_xlsx[[#This Row],[HORA REPORTE]]+SEGUIMIENTO_TPM_xlsx[[#This Row],[FECHA DE REPORTE]])</f>
        <v>46003.166666666664</v>
      </c>
      <c r="S391" s="20">
        <f>(SEGUIMIENTO_TPM_xlsx[[#This Row],[FECHA DE INTERVENCÓN]]+SEGUIMIENTO_TPM_xlsx[[#This Row],[HORA FIN  INTERVENCIÓN]])</f>
        <v>46003.1875</v>
      </c>
      <c r="T391" s="11">
        <f>(SEGUIMIENTO_TPM_xlsx[[#This Row],[FECHA Y HORA FINAL]]-SEGUIMIENTO_TPM_xlsx[[#This Row],[FECHA Y HORA INICIO]])</f>
        <v>2.0833333335758653E-2</v>
      </c>
    </row>
    <row r="392" spans="1:20" x14ac:dyDescent="0.25">
      <c r="A392">
        <v>400</v>
      </c>
      <c r="B392" t="s">
        <v>231</v>
      </c>
      <c r="C392" s="1">
        <v>9.0277777777777776E-2</v>
      </c>
      <c r="D392" s="2">
        <v>46003</v>
      </c>
      <c r="E392" t="s">
        <v>143</v>
      </c>
      <c r="F392" t="s">
        <v>95</v>
      </c>
      <c r="G392" t="s">
        <v>540</v>
      </c>
      <c r="H392" s="1">
        <v>9.0277777777777776E-2</v>
      </c>
      <c r="I392" s="1">
        <v>0.10416666666666667</v>
      </c>
      <c r="J392" s="2">
        <v>46003</v>
      </c>
      <c r="K392" t="s">
        <v>25</v>
      </c>
      <c r="L392" t="s">
        <v>541</v>
      </c>
      <c r="M392" t="s">
        <v>22</v>
      </c>
      <c r="N392" t="s">
        <v>542</v>
      </c>
      <c r="O392" t="s">
        <v>108</v>
      </c>
      <c r="P392" t="s">
        <v>23</v>
      </c>
      <c r="Q392" s="1">
        <f>SEGUIMIENTO_TPM_xlsx[[#This Row],[HORA FIN  INTERVENCIÓN]]-SEGUIMIENTO_TPM_xlsx[[#This Row],[HORA INICIO INTERVENCIÓN]]</f>
        <v>1.3888888888888895E-2</v>
      </c>
      <c r="R392" s="20">
        <f>(SEGUIMIENTO_TPM_xlsx[[#This Row],[HORA REPORTE]]+SEGUIMIENTO_TPM_xlsx[[#This Row],[FECHA DE REPORTE]])</f>
        <v>46003.090277777781</v>
      </c>
      <c r="S392" s="20">
        <f>(SEGUIMIENTO_TPM_xlsx[[#This Row],[FECHA DE INTERVENCÓN]]+SEGUIMIENTO_TPM_xlsx[[#This Row],[HORA FIN  INTERVENCIÓN]])</f>
        <v>46003.104166666664</v>
      </c>
      <c r="T392" s="11">
        <f>(SEGUIMIENTO_TPM_xlsx[[#This Row],[FECHA Y HORA FINAL]]-SEGUIMIENTO_TPM_xlsx[[#This Row],[FECHA Y HORA INICIO]])</f>
        <v>1.3888888883229811E-2</v>
      </c>
    </row>
    <row r="393" spans="1:20" x14ac:dyDescent="0.25">
      <c r="A393">
        <v>401</v>
      </c>
      <c r="B393" t="s">
        <v>231</v>
      </c>
      <c r="C393" s="1">
        <v>0.25</v>
      </c>
      <c r="D393" s="2">
        <v>46004</v>
      </c>
      <c r="E393" t="s">
        <v>143</v>
      </c>
      <c r="F393" t="s">
        <v>18</v>
      </c>
      <c r="G393" t="s">
        <v>543</v>
      </c>
      <c r="H393" s="1">
        <v>0.25</v>
      </c>
      <c r="I393" s="1">
        <v>0.30208333333333331</v>
      </c>
      <c r="J393" s="2">
        <v>46004</v>
      </c>
      <c r="K393" t="s">
        <v>156</v>
      </c>
      <c r="L393" t="s">
        <v>544</v>
      </c>
      <c r="M393" t="s">
        <v>545</v>
      </c>
      <c r="N393" t="s">
        <v>22</v>
      </c>
      <c r="O393" t="s">
        <v>108</v>
      </c>
      <c r="P393" t="s">
        <v>23</v>
      </c>
      <c r="Q393" s="1">
        <f>SEGUIMIENTO_TPM_xlsx[[#This Row],[HORA FIN  INTERVENCIÓN]]-SEGUIMIENTO_TPM_xlsx[[#This Row],[HORA INICIO INTERVENCIÓN]]</f>
        <v>5.2083333333333315E-2</v>
      </c>
      <c r="R393" s="20">
        <f>(SEGUIMIENTO_TPM_xlsx[[#This Row],[HORA REPORTE]]+SEGUIMIENTO_TPM_xlsx[[#This Row],[FECHA DE REPORTE]])</f>
        <v>46004.25</v>
      </c>
      <c r="S393" s="20">
        <f>(SEGUIMIENTO_TPM_xlsx[[#This Row],[FECHA DE INTERVENCÓN]]+SEGUIMIENTO_TPM_xlsx[[#This Row],[HORA FIN  INTERVENCIÓN]])</f>
        <v>46004.302083333336</v>
      </c>
      <c r="T393" s="11">
        <f>(SEGUIMIENTO_TPM_xlsx[[#This Row],[FECHA Y HORA FINAL]]-SEGUIMIENTO_TPM_xlsx[[#This Row],[FECHA Y HORA INICIO]])</f>
        <v>5.2083333335758653E-2</v>
      </c>
    </row>
    <row r="394" spans="1:20" x14ac:dyDescent="0.25">
      <c r="A394">
        <v>402</v>
      </c>
      <c r="B394" t="s">
        <v>261</v>
      </c>
      <c r="C394" s="1">
        <v>0.65625</v>
      </c>
      <c r="D394" s="2">
        <v>46004</v>
      </c>
      <c r="E394" t="s">
        <v>104</v>
      </c>
      <c r="F394" t="s">
        <v>18</v>
      </c>
      <c r="G394" t="s">
        <v>546</v>
      </c>
      <c r="H394" s="1">
        <v>0.75</v>
      </c>
      <c r="I394" s="1">
        <v>0.85416666666666663</v>
      </c>
      <c r="J394" s="2">
        <v>46004</v>
      </c>
      <c r="K394" t="s">
        <v>20</v>
      </c>
      <c r="L394" t="s">
        <v>547</v>
      </c>
      <c r="M394" t="s">
        <v>22</v>
      </c>
      <c r="N394" t="s">
        <v>22</v>
      </c>
      <c r="O394" t="s">
        <v>112</v>
      </c>
      <c r="P394" t="s">
        <v>23</v>
      </c>
      <c r="Q394" s="1">
        <f>SEGUIMIENTO_TPM_xlsx[[#This Row],[HORA FIN  INTERVENCIÓN]]-SEGUIMIENTO_TPM_xlsx[[#This Row],[HORA INICIO INTERVENCIÓN]]</f>
        <v>0.10416666666666663</v>
      </c>
      <c r="R394" s="20">
        <f>(SEGUIMIENTO_TPM_xlsx[[#This Row],[HORA REPORTE]]+SEGUIMIENTO_TPM_xlsx[[#This Row],[FECHA DE REPORTE]])</f>
        <v>46004.65625</v>
      </c>
      <c r="S394" s="20">
        <f>(SEGUIMIENTO_TPM_xlsx[[#This Row],[FECHA DE INTERVENCÓN]]+SEGUIMIENTO_TPM_xlsx[[#This Row],[HORA FIN  INTERVENCIÓN]])</f>
        <v>46004.854166666664</v>
      </c>
      <c r="T394" s="11">
        <f>(SEGUIMIENTO_TPM_xlsx[[#This Row],[FECHA Y HORA FINAL]]-SEGUIMIENTO_TPM_xlsx[[#This Row],[FECHA Y HORA INICIO]])</f>
        <v>0.19791666666424135</v>
      </c>
    </row>
    <row r="395" spans="1:20" x14ac:dyDescent="0.25">
      <c r="A395">
        <v>403</v>
      </c>
      <c r="B395" t="s">
        <v>231</v>
      </c>
      <c r="C395" s="1">
        <v>0.25</v>
      </c>
      <c r="D395" s="2">
        <v>46005</v>
      </c>
      <c r="E395" t="s">
        <v>143</v>
      </c>
      <c r="F395" t="s">
        <v>18</v>
      </c>
      <c r="G395" t="s">
        <v>548</v>
      </c>
      <c r="H395" s="1">
        <v>0.25694444444444442</v>
      </c>
      <c r="I395" s="1">
        <v>0.27083333333333331</v>
      </c>
      <c r="J395" s="2">
        <v>46005</v>
      </c>
      <c r="K395" t="s">
        <v>25</v>
      </c>
      <c r="L395" t="s">
        <v>549</v>
      </c>
      <c r="M395" t="s">
        <v>22</v>
      </c>
      <c r="N395" t="s">
        <v>22</v>
      </c>
      <c r="O395" t="s">
        <v>44</v>
      </c>
      <c r="P395" t="s">
        <v>23</v>
      </c>
      <c r="Q395" s="1">
        <f>SEGUIMIENTO_TPM_xlsx[[#This Row],[HORA FIN  INTERVENCIÓN]]-SEGUIMIENTO_TPM_xlsx[[#This Row],[HORA INICIO INTERVENCIÓN]]</f>
        <v>1.3888888888888895E-2</v>
      </c>
      <c r="R395" s="20">
        <f>(SEGUIMIENTO_TPM_xlsx[[#This Row],[HORA REPORTE]]+SEGUIMIENTO_TPM_xlsx[[#This Row],[FECHA DE REPORTE]])</f>
        <v>46005.25</v>
      </c>
      <c r="S395" s="20">
        <f>(SEGUIMIENTO_TPM_xlsx[[#This Row],[FECHA DE INTERVENCÓN]]+SEGUIMIENTO_TPM_xlsx[[#This Row],[HORA FIN  INTERVENCIÓN]])</f>
        <v>46005.270833333336</v>
      </c>
      <c r="T395" s="11">
        <f>(SEGUIMIENTO_TPM_xlsx[[#This Row],[FECHA Y HORA FINAL]]-SEGUIMIENTO_TPM_xlsx[[#This Row],[FECHA Y HORA INICIO]])</f>
        <v>2.0833333335758653E-2</v>
      </c>
    </row>
    <row r="396" spans="1:20" x14ac:dyDescent="0.25">
      <c r="A396">
        <v>404</v>
      </c>
      <c r="B396" t="s">
        <v>231</v>
      </c>
      <c r="C396" s="1">
        <v>0.58333333333333337</v>
      </c>
      <c r="D396" s="2">
        <v>46005</v>
      </c>
      <c r="E396" t="s">
        <v>143</v>
      </c>
      <c r="F396" t="s">
        <v>18</v>
      </c>
      <c r="G396" t="s">
        <v>550</v>
      </c>
      <c r="H396" s="1">
        <v>0.58333333333333337</v>
      </c>
      <c r="I396" s="1">
        <v>0.66666666666666663</v>
      </c>
      <c r="J396" s="2">
        <v>46005</v>
      </c>
      <c r="K396" t="s">
        <v>20</v>
      </c>
      <c r="L396" t="s">
        <v>551</v>
      </c>
      <c r="M396" t="s">
        <v>552</v>
      </c>
      <c r="N396" t="s">
        <v>22</v>
      </c>
      <c r="O396" t="s">
        <v>44</v>
      </c>
      <c r="P396" t="s">
        <v>23</v>
      </c>
      <c r="Q396" s="1">
        <f>SEGUIMIENTO_TPM_xlsx[[#This Row],[HORA FIN  INTERVENCIÓN]]-SEGUIMIENTO_TPM_xlsx[[#This Row],[HORA INICIO INTERVENCIÓN]]</f>
        <v>8.3333333333333259E-2</v>
      </c>
      <c r="R396" s="20">
        <f>(SEGUIMIENTO_TPM_xlsx[[#This Row],[HORA REPORTE]]+SEGUIMIENTO_TPM_xlsx[[#This Row],[FECHA DE REPORTE]])</f>
        <v>46005.583333333336</v>
      </c>
      <c r="S396" s="20">
        <f>(SEGUIMIENTO_TPM_xlsx[[#This Row],[FECHA DE INTERVENCÓN]]+SEGUIMIENTO_TPM_xlsx[[#This Row],[HORA FIN  INTERVENCIÓN]])</f>
        <v>46005.666666666664</v>
      </c>
      <c r="T396" s="11">
        <f>(SEGUIMIENTO_TPM_xlsx[[#This Row],[FECHA Y HORA FINAL]]-SEGUIMIENTO_TPM_xlsx[[#This Row],[FECHA Y HORA INICIO]])</f>
        <v>8.3333333328482695E-2</v>
      </c>
    </row>
    <row r="397" spans="1:20" x14ac:dyDescent="0.25">
      <c r="A397">
        <v>405</v>
      </c>
      <c r="B397" t="s">
        <v>180</v>
      </c>
      <c r="C397" s="1">
        <v>0.97916666666666663</v>
      </c>
      <c r="D397" s="2">
        <v>46005</v>
      </c>
      <c r="E397" t="s">
        <v>17</v>
      </c>
      <c r="F397" t="s">
        <v>18</v>
      </c>
      <c r="G397" t="s">
        <v>553</v>
      </c>
      <c r="H397" s="1">
        <v>0.97916666666666663</v>
      </c>
      <c r="I397" s="1">
        <v>0.15277777777777779</v>
      </c>
      <c r="J397" s="2">
        <v>46005</v>
      </c>
      <c r="K397" t="s">
        <v>25</v>
      </c>
      <c r="L397" t="s">
        <v>554</v>
      </c>
      <c r="M397" t="s">
        <v>22</v>
      </c>
      <c r="N397" t="s">
        <v>555</v>
      </c>
      <c r="O397" t="s">
        <v>108</v>
      </c>
      <c r="P397" t="s">
        <v>23</v>
      </c>
      <c r="Q397" s="1">
        <f>SEGUIMIENTO_TPM_xlsx[[#This Row],[HORA FIN  INTERVENCIÓN]]-SEGUIMIENTO_TPM_xlsx[[#This Row],[HORA INICIO INTERVENCIÓN]]</f>
        <v>-0.82638888888888884</v>
      </c>
      <c r="R397" s="20">
        <f>(SEGUIMIENTO_TPM_xlsx[[#This Row],[HORA REPORTE]]+SEGUIMIENTO_TPM_xlsx[[#This Row],[FECHA DE REPORTE]])</f>
        <v>46005.979166666664</v>
      </c>
      <c r="S397" s="20">
        <f>(SEGUIMIENTO_TPM_xlsx[[#This Row],[FECHA DE INTERVENCÓN]]+SEGUIMIENTO_TPM_xlsx[[#This Row],[HORA FIN  INTERVENCIÓN]])</f>
        <v>46005.152777777781</v>
      </c>
      <c r="T397" s="11">
        <f>(SEGUIMIENTO_TPM_xlsx[[#This Row],[FECHA Y HORA FINAL]]-SEGUIMIENTO_TPM_xlsx[[#This Row],[FECHA Y HORA INICIO]])</f>
        <v>-0.82638888888322981</v>
      </c>
    </row>
    <row r="398" spans="1:20" x14ac:dyDescent="0.25">
      <c r="A398">
        <v>406</v>
      </c>
      <c r="B398" t="s">
        <v>93</v>
      </c>
      <c r="C398" s="1">
        <v>0.68055555555555558</v>
      </c>
      <c r="D398" s="2">
        <v>46006</v>
      </c>
      <c r="E398" t="s">
        <v>94</v>
      </c>
      <c r="F398" t="s">
        <v>18</v>
      </c>
      <c r="G398" t="s">
        <v>556</v>
      </c>
      <c r="H398" s="1">
        <v>0.6875</v>
      </c>
      <c r="I398" s="1">
        <v>0.70833333333333337</v>
      </c>
      <c r="J398" s="2">
        <v>46006</v>
      </c>
      <c r="K398" t="s">
        <v>20</v>
      </c>
      <c r="L398" t="s">
        <v>557</v>
      </c>
      <c r="M398" t="s">
        <v>22</v>
      </c>
      <c r="N398" t="s">
        <v>22</v>
      </c>
      <c r="O398" t="s">
        <v>112</v>
      </c>
      <c r="P398" t="s">
        <v>23</v>
      </c>
      <c r="Q398" s="1">
        <f>SEGUIMIENTO_TPM_xlsx[[#This Row],[HORA FIN  INTERVENCIÓN]]-SEGUIMIENTO_TPM_xlsx[[#This Row],[HORA INICIO INTERVENCIÓN]]</f>
        <v>2.083333333333337E-2</v>
      </c>
      <c r="R398" s="20">
        <f>(SEGUIMIENTO_TPM_xlsx[[#This Row],[HORA REPORTE]]+SEGUIMIENTO_TPM_xlsx[[#This Row],[FECHA DE REPORTE]])</f>
        <v>46006.680555555555</v>
      </c>
      <c r="S398" s="20">
        <f>(SEGUIMIENTO_TPM_xlsx[[#This Row],[FECHA DE INTERVENCÓN]]+SEGUIMIENTO_TPM_xlsx[[#This Row],[HORA FIN  INTERVENCIÓN]])</f>
        <v>46006.708333333336</v>
      </c>
      <c r="T398" s="11">
        <f>(SEGUIMIENTO_TPM_xlsx[[#This Row],[FECHA Y HORA FINAL]]-SEGUIMIENTO_TPM_xlsx[[#This Row],[FECHA Y HORA INICIO]])</f>
        <v>2.7777777781011537E-2</v>
      </c>
    </row>
    <row r="399" spans="1:20" x14ac:dyDescent="0.25">
      <c r="A399">
        <v>407</v>
      </c>
      <c r="B399" t="s">
        <v>164</v>
      </c>
      <c r="C399" s="1">
        <v>0.70138888888888884</v>
      </c>
      <c r="D399" s="2">
        <v>46006</v>
      </c>
      <c r="E399" t="s">
        <v>143</v>
      </c>
      <c r="F399" t="s">
        <v>18</v>
      </c>
      <c r="G399" t="s">
        <v>558</v>
      </c>
      <c r="H399" s="1">
        <v>0.70138888888888884</v>
      </c>
      <c r="I399" s="1">
        <v>0.72916666666666663</v>
      </c>
      <c r="J399" s="2">
        <v>46006</v>
      </c>
      <c r="K399" t="s">
        <v>156</v>
      </c>
      <c r="L399" t="s">
        <v>559</v>
      </c>
      <c r="M399" t="s">
        <v>22</v>
      </c>
      <c r="N399" t="s">
        <v>22</v>
      </c>
      <c r="O399" t="s">
        <v>112</v>
      </c>
      <c r="P399" t="s">
        <v>23</v>
      </c>
      <c r="Q399" s="1">
        <f>SEGUIMIENTO_TPM_xlsx[[#This Row],[HORA FIN  INTERVENCIÓN]]-SEGUIMIENTO_TPM_xlsx[[#This Row],[HORA INICIO INTERVENCIÓN]]</f>
        <v>2.777777777777779E-2</v>
      </c>
      <c r="R399" s="20">
        <f>(SEGUIMIENTO_TPM_xlsx[[#This Row],[HORA REPORTE]]+SEGUIMIENTO_TPM_xlsx[[#This Row],[FECHA DE REPORTE]])</f>
        <v>46006.701388888891</v>
      </c>
      <c r="S399" s="20">
        <f>(SEGUIMIENTO_TPM_xlsx[[#This Row],[FECHA DE INTERVENCÓN]]+SEGUIMIENTO_TPM_xlsx[[#This Row],[HORA FIN  INTERVENCIÓN]])</f>
        <v>46006.729166666664</v>
      </c>
      <c r="T399" s="11">
        <f>(SEGUIMIENTO_TPM_xlsx[[#This Row],[FECHA Y HORA FINAL]]-SEGUIMIENTO_TPM_xlsx[[#This Row],[FECHA Y HORA INICIO]])</f>
        <v>2.7777777773735579E-2</v>
      </c>
    </row>
    <row r="400" spans="1:20" x14ac:dyDescent="0.25">
      <c r="A400">
        <v>408</v>
      </c>
      <c r="B400" t="s">
        <v>231</v>
      </c>
      <c r="C400" s="1">
        <v>0.77777777777777779</v>
      </c>
      <c r="D400" s="2">
        <v>46006</v>
      </c>
      <c r="E400" t="s">
        <v>143</v>
      </c>
      <c r="F400" t="s">
        <v>18</v>
      </c>
      <c r="G400" t="s">
        <v>560</v>
      </c>
      <c r="H400" s="1">
        <v>0.77777777777777779</v>
      </c>
      <c r="I400" s="1">
        <v>0.79236111111111107</v>
      </c>
      <c r="J400" s="2">
        <v>46006</v>
      </c>
      <c r="K400" t="s">
        <v>156</v>
      </c>
      <c r="L400" t="s">
        <v>561</v>
      </c>
      <c r="M400" t="s">
        <v>562</v>
      </c>
      <c r="N400" t="s">
        <v>22</v>
      </c>
      <c r="O400" t="s">
        <v>44</v>
      </c>
      <c r="P400" t="s">
        <v>23</v>
      </c>
      <c r="Q400" s="1">
        <f>SEGUIMIENTO_TPM_xlsx[[#This Row],[HORA FIN  INTERVENCIÓN]]-SEGUIMIENTO_TPM_xlsx[[#This Row],[HORA INICIO INTERVENCIÓN]]</f>
        <v>1.4583333333333282E-2</v>
      </c>
      <c r="R400" s="20">
        <f>(SEGUIMIENTO_TPM_xlsx[[#This Row],[HORA REPORTE]]+SEGUIMIENTO_TPM_xlsx[[#This Row],[FECHA DE REPORTE]])</f>
        <v>46006.777777777781</v>
      </c>
      <c r="S400" s="20">
        <f>(SEGUIMIENTO_TPM_xlsx[[#This Row],[FECHA DE INTERVENCÓN]]+SEGUIMIENTO_TPM_xlsx[[#This Row],[HORA FIN  INTERVENCIÓN]])</f>
        <v>46006.792361111111</v>
      </c>
      <c r="T400" s="11">
        <f>(SEGUIMIENTO_TPM_xlsx[[#This Row],[FECHA Y HORA FINAL]]-SEGUIMIENTO_TPM_xlsx[[#This Row],[FECHA Y HORA INICIO]])</f>
        <v>1.4583333329937886E-2</v>
      </c>
    </row>
    <row r="401" spans="1:20" x14ac:dyDescent="0.25">
      <c r="A401">
        <v>409</v>
      </c>
      <c r="B401" t="s">
        <v>139</v>
      </c>
      <c r="C401" s="1"/>
      <c r="D401" s="2">
        <v>46007</v>
      </c>
      <c r="E401" t="s">
        <v>91</v>
      </c>
      <c r="F401" t="s">
        <v>18</v>
      </c>
      <c r="G401" t="s">
        <v>563</v>
      </c>
      <c r="H401" s="1"/>
      <c r="I401" s="1"/>
      <c r="J401" s="2"/>
      <c r="P401" t="s">
        <v>33</v>
      </c>
      <c r="Q401" s="1">
        <f>SEGUIMIENTO_TPM_xlsx[[#This Row],[HORA FIN  INTERVENCIÓN]]-SEGUIMIENTO_TPM_xlsx[[#This Row],[HORA INICIO INTERVENCIÓN]]</f>
        <v>0</v>
      </c>
      <c r="R401" s="20">
        <f>(SEGUIMIENTO_TPM_xlsx[[#This Row],[HORA REPORTE]]+SEGUIMIENTO_TPM_xlsx[[#This Row],[FECHA DE REPORTE]])</f>
        <v>46007</v>
      </c>
      <c r="S401" s="20">
        <f>(SEGUIMIENTO_TPM_xlsx[[#This Row],[FECHA DE INTERVENCÓN]]+SEGUIMIENTO_TPM_xlsx[[#This Row],[HORA FIN  INTERVENCIÓN]])</f>
        <v>0</v>
      </c>
      <c r="T401" s="11">
        <f>(SEGUIMIENTO_TPM_xlsx[[#This Row],[FECHA Y HORA FINAL]]-SEGUIMIENTO_TPM_xlsx[[#This Row],[FECHA Y HORA INICIO]])</f>
        <v>-46007</v>
      </c>
    </row>
    <row r="402" spans="1:20" x14ac:dyDescent="0.25">
      <c r="A402">
        <v>410</v>
      </c>
      <c r="B402" t="s">
        <v>103</v>
      </c>
      <c r="C402" s="1">
        <v>0.3888888888888889</v>
      </c>
      <c r="D402" s="2">
        <v>46007</v>
      </c>
      <c r="E402" t="s">
        <v>188</v>
      </c>
      <c r="F402" t="s">
        <v>18</v>
      </c>
      <c r="G402" t="s">
        <v>564</v>
      </c>
      <c r="H402" s="1">
        <v>0.3888888888888889</v>
      </c>
      <c r="I402" s="1">
        <v>0.41666666666666669</v>
      </c>
      <c r="J402" s="2">
        <v>46007</v>
      </c>
      <c r="K402" t="s">
        <v>20</v>
      </c>
      <c r="L402" t="s">
        <v>565</v>
      </c>
      <c r="M402" t="s">
        <v>22</v>
      </c>
      <c r="N402" t="s">
        <v>22</v>
      </c>
      <c r="O402" t="s">
        <v>108</v>
      </c>
      <c r="P402" t="s">
        <v>23</v>
      </c>
      <c r="Q402" s="1">
        <f>SEGUIMIENTO_TPM_xlsx[[#This Row],[HORA FIN  INTERVENCIÓN]]-SEGUIMIENTO_TPM_xlsx[[#This Row],[HORA INICIO INTERVENCIÓN]]</f>
        <v>2.777777777777779E-2</v>
      </c>
      <c r="R402" s="20">
        <f>(SEGUIMIENTO_TPM_xlsx[[#This Row],[HORA REPORTE]]+SEGUIMIENTO_TPM_xlsx[[#This Row],[FECHA DE REPORTE]])</f>
        <v>46007.388888888891</v>
      </c>
      <c r="S402" s="20">
        <f>(SEGUIMIENTO_TPM_xlsx[[#This Row],[FECHA DE INTERVENCÓN]]+SEGUIMIENTO_TPM_xlsx[[#This Row],[HORA FIN  INTERVENCIÓN]])</f>
        <v>46007.416666666664</v>
      </c>
      <c r="T402" s="11">
        <f>(SEGUIMIENTO_TPM_xlsx[[#This Row],[FECHA Y HORA FINAL]]-SEGUIMIENTO_TPM_xlsx[[#This Row],[FECHA Y HORA INICIO]])</f>
        <v>2.7777777773735579E-2</v>
      </c>
    </row>
    <row r="403" spans="1:20" x14ac:dyDescent="0.25">
      <c r="A403">
        <v>411</v>
      </c>
      <c r="B403" t="s">
        <v>317</v>
      </c>
      <c r="C403" s="1">
        <v>0.60763888888888884</v>
      </c>
      <c r="D403" s="2">
        <v>46007</v>
      </c>
      <c r="E403" t="s">
        <v>91</v>
      </c>
      <c r="F403" t="s">
        <v>18</v>
      </c>
      <c r="G403" t="s">
        <v>566</v>
      </c>
      <c r="H403" s="1">
        <v>0.60763888888888884</v>
      </c>
      <c r="I403" s="1">
        <v>0.70833333333333337</v>
      </c>
      <c r="J403" s="2">
        <v>46006</v>
      </c>
      <c r="K403" t="s">
        <v>20</v>
      </c>
      <c r="L403" t="s">
        <v>567</v>
      </c>
      <c r="M403" t="s">
        <v>568</v>
      </c>
      <c r="N403" t="s">
        <v>22</v>
      </c>
      <c r="O403" t="s">
        <v>108</v>
      </c>
      <c r="P403" t="s">
        <v>23</v>
      </c>
      <c r="Q403" s="1">
        <f>SEGUIMIENTO_TPM_xlsx[[#This Row],[HORA FIN  INTERVENCIÓN]]-SEGUIMIENTO_TPM_xlsx[[#This Row],[HORA INICIO INTERVENCIÓN]]</f>
        <v>0.10069444444444453</v>
      </c>
      <c r="R403" s="20">
        <f>(SEGUIMIENTO_TPM_xlsx[[#This Row],[HORA REPORTE]]+SEGUIMIENTO_TPM_xlsx[[#This Row],[FECHA DE REPORTE]])</f>
        <v>46007.607638888891</v>
      </c>
      <c r="S403" s="20">
        <f>(SEGUIMIENTO_TPM_xlsx[[#This Row],[FECHA DE INTERVENCÓN]]+SEGUIMIENTO_TPM_xlsx[[#This Row],[HORA FIN  INTERVENCIÓN]])</f>
        <v>46006.708333333336</v>
      </c>
      <c r="T403" s="11">
        <f>(SEGUIMIENTO_TPM_xlsx[[#This Row],[FECHA Y HORA FINAL]]-SEGUIMIENTO_TPM_xlsx[[#This Row],[FECHA Y HORA INICIO]])</f>
        <v>-0.89930555555474712</v>
      </c>
    </row>
    <row r="404" spans="1:20" x14ac:dyDescent="0.25">
      <c r="A404">
        <v>412</v>
      </c>
      <c r="B404" t="s">
        <v>317</v>
      </c>
      <c r="C404" s="1">
        <v>0.60763888888888884</v>
      </c>
      <c r="D404" s="2">
        <v>46007</v>
      </c>
      <c r="E404" t="s">
        <v>91</v>
      </c>
      <c r="F404" t="s">
        <v>18</v>
      </c>
      <c r="G404" t="s">
        <v>569</v>
      </c>
      <c r="H404" s="1">
        <v>0.60763888888888884</v>
      </c>
      <c r="I404" s="1">
        <v>0.70833333333333337</v>
      </c>
      <c r="J404" s="2">
        <v>46007</v>
      </c>
      <c r="K404" t="s">
        <v>20</v>
      </c>
      <c r="L404" t="s">
        <v>570</v>
      </c>
      <c r="M404" t="s">
        <v>571</v>
      </c>
      <c r="N404" t="s">
        <v>22</v>
      </c>
      <c r="O404" t="s">
        <v>108</v>
      </c>
      <c r="P404" t="s">
        <v>23</v>
      </c>
      <c r="Q404" s="1">
        <f>SEGUIMIENTO_TPM_xlsx[[#This Row],[HORA FIN  INTERVENCIÓN]]-SEGUIMIENTO_TPM_xlsx[[#This Row],[HORA INICIO INTERVENCIÓN]]</f>
        <v>0.10069444444444453</v>
      </c>
      <c r="R404" s="20">
        <f>(SEGUIMIENTO_TPM_xlsx[[#This Row],[HORA REPORTE]]+SEGUIMIENTO_TPM_xlsx[[#This Row],[FECHA DE REPORTE]])</f>
        <v>46007.607638888891</v>
      </c>
      <c r="S404" s="20">
        <f>(SEGUIMIENTO_TPM_xlsx[[#This Row],[FECHA DE INTERVENCÓN]]+SEGUIMIENTO_TPM_xlsx[[#This Row],[HORA FIN  INTERVENCIÓN]])</f>
        <v>46007.708333333336</v>
      </c>
      <c r="T404" s="11">
        <f>(SEGUIMIENTO_TPM_xlsx[[#This Row],[FECHA Y HORA FINAL]]-SEGUIMIENTO_TPM_xlsx[[#This Row],[FECHA Y HORA INICIO]])</f>
        <v>0.10069444444525288</v>
      </c>
    </row>
    <row r="405" spans="1:20" x14ac:dyDescent="0.25">
      <c r="A405">
        <v>413</v>
      </c>
      <c r="B405" t="s">
        <v>335</v>
      </c>
      <c r="C405" s="1">
        <v>0.70833333333333337</v>
      </c>
      <c r="D405" s="2">
        <v>46007</v>
      </c>
      <c r="E405" t="s">
        <v>162</v>
      </c>
      <c r="F405" t="s">
        <v>18</v>
      </c>
      <c r="G405" t="s">
        <v>572</v>
      </c>
      <c r="H405" s="1">
        <v>0.70833333333333337</v>
      </c>
      <c r="I405" s="1">
        <v>0.73611111111111116</v>
      </c>
      <c r="J405" s="2">
        <v>46007</v>
      </c>
      <c r="K405" t="s">
        <v>25</v>
      </c>
      <c r="L405" t="s">
        <v>573</v>
      </c>
      <c r="M405" t="s">
        <v>22</v>
      </c>
      <c r="N405" t="s">
        <v>22</v>
      </c>
      <c r="O405" t="s">
        <v>108</v>
      </c>
      <c r="P405" t="s">
        <v>23</v>
      </c>
      <c r="Q405" s="1">
        <f>SEGUIMIENTO_TPM_xlsx[[#This Row],[HORA FIN  INTERVENCIÓN]]-SEGUIMIENTO_TPM_xlsx[[#This Row],[HORA INICIO INTERVENCIÓN]]</f>
        <v>2.777777777777779E-2</v>
      </c>
      <c r="R405" s="20">
        <f>(SEGUIMIENTO_TPM_xlsx[[#This Row],[HORA REPORTE]]+SEGUIMIENTO_TPM_xlsx[[#This Row],[FECHA DE REPORTE]])</f>
        <v>46007.708333333336</v>
      </c>
      <c r="S405" s="20">
        <f>(SEGUIMIENTO_TPM_xlsx[[#This Row],[FECHA DE INTERVENCÓN]]+SEGUIMIENTO_TPM_xlsx[[#This Row],[HORA FIN  INTERVENCIÓN]])</f>
        <v>46007.736111111109</v>
      </c>
      <c r="T405" s="11">
        <f>(SEGUIMIENTO_TPM_xlsx[[#This Row],[FECHA Y HORA FINAL]]-SEGUIMIENTO_TPM_xlsx[[#This Row],[FECHA Y HORA INICIO]])</f>
        <v>2.7777777773735579E-2</v>
      </c>
    </row>
    <row r="406" spans="1:20" x14ac:dyDescent="0.25">
      <c r="A406">
        <v>414</v>
      </c>
      <c r="B406" t="s">
        <v>113</v>
      </c>
      <c r="C406" s="1">
        <v>5.9027777777777776E-2</v>
      </c>
      <c r="D406" s="2">
        <v>46007</v>
      </c>
      <c r="E406" t="s">
        <v>188</v>
      </c>
      <c r="F406" t="s">
        <v>18</v>
      </c>
      <c r="G406" t="s">
        <v>574</v>
      </c>
      <c r="H406" s="1">
        <v>5.9027777777777776E-2</v>
      </c>
      <c r="I406" s="1">
        <v>0.10069444444444445</v>
      </c>
      <c r="J406" s="2">
        <v>46007</v>
      </c>
      <c r="K406" t="s">
        <v>20</v>
      </c>
      <c r="L406" t="s">
        <v>575</v>
      </c>
      <c r="M406" t="s">
        <v>576</v>
      </c>
      <c r="N406" t="s">
        <v>22</v>
      </c>
      <c r="O406" t="s">
        <v>112</v>
      </c>
      <c r="P406" t="s">
        <v>23</v>
      </c>
      <c r="Q406" s="1">
        <f>SEGUIMIENTO_TPM_xlsx[[#This Row],[HORA FIN  INTERVENCIÓN]]-SEGUIMIENTO_TPM_xlsx[[#This Row],[HORA INICIO INTERVENCIÓN]]</f>
        <v>4.1666666666666671E-2</v>
      </c>
      <c r="R406" s="20">
        <f>(SEGUIMIENTO_TPM_xlsx[[#This Row],[HORA REPORTE]]+SEGUIMIENTO_TPM_xlsx[[#This Row],[FECHA DE REPORTE]])</f>
        <v>46007.059027777781</v>
      </c>
      <c r="S406" s="20">
        <f>(SEGUIMIENTO_TPM_xlsx[[#This Row],[FECHA DE INTERVENCÓN]]+SEGUIMIENTO_TPM_xlsx[[#This Row],[HORA FIN  INTERVENCIÓN]])</f>
        <v>46007.100694444445</v>
      </c>
      <c r="T406" s="11">
        <f>(SEGUIMIENTO_TPM_xlsx[[#This Row],[FECHA Y HORA FINAL]]-SEGUIMIENTO_TPM_xlsx[[#This Row],[FECHA Y HORA INICIO]])</f>
        <v>4.1666666664241347E-2</v>
      </c>
    </row>
    <row r="407" spans="1:20" x14ac:dyDescent="0.25">
      <c r="A407">
        <v>415</v>
      </c>
      <c r="C407" s="1"/>
      <c r="D407" s="2"/>
      <c r="H407" s="1"/>
      <c r="I407" s="1"/>
      <c r="J407" s="2"/>
      <c r="Q407" s="1">
        <f>SEGUIMIENTO_TPM_xlsx[[#This Row],[HORA FIN  INTERVENCIÓN]]-SEGUIMIENTO_TPM_xlsx[[#This Row],[HORA INICIO INTERVENCIÓN]]</f>
        <v>0</v>
      </c>
      <c r="R407" s="20">
        <f>(SEGUIMIENTO_TPM_xlsx[[#This Row],[HORA REPORTE]]+SEGUIMIENTO_TPM_xlsx[[#This Row],[FECHA DE REPORTE]])</f>
        <v>0</v>
      </c>
      <c r="S407" s="20">
        <f>(SEGUIMIENTO_TPM_xlsx[[#This Row],[FECHA DE INTERVENCÓN]]+SEGUIMIENTO_TPM_xlsx[[#This Row],[HORA FIN  INTERVENCIÓN]])</f>
        <v>0</v>
      </c>
      <c r="T407" s="11">
        <f>(SEGUIMIENTO_TPM_xlsx[[#This Row],[FECHA Y HORA FINAL]]-SEGUIMIENTO_TPM_xlsx[[#This Row],[FECHA Y HORA INICIO]])</f>
        <v>0</v>
      </c>
    </row>
    <row r="408" spans="1:20" x14ac:dyDescent="0.25">
      <c r="A408">
        <v>416</v>
      </c>
      <c r="B408" t="s">
        <v>16</v>
      </c>
      <c r="C408" s="1">
        <v>0.99722222222222223</v>
      </c>
      <c r="D408" s="2">
        <v>46007</v>
      </c>
      <c r="E408" t="s">
        <v>185</v>
      </c>
      <c r="F408" t="s">
        <v>18</v>
      </c>
      <c r="G408" t="s">
        <v>577</v>
      </c>
      <c r="H408" s="1">
        <v>0</v>
      </c>
      <c r="I408" s="1">
        <v>1.0416666666666666E-2</v>
      </c>
      <c r="J408" s="2">
        <v>46007</v>
      </c>
      <c r="K408" t="s">
        <v>20</v>
      </c>
      <c r="L408" t="s">
        <v>578</v>
      </c>
      <c r="M408" t="s">
        <v>22</v>
      </c>
      <c r="N408" t="s">
        <v>22</v>
      </c>
      <c r="O408" t="s">
        <v>112</v>
      </c>
      <c r="P408" t="s">
        <v>23</v>
      </c>
      <c r="Q408" s="1">
        <f>SEGUIMIENTO_TPM_xlsx[[#This Row],[HORA FIN  INTERVENCIÓN]]-SEGUIMIENTO_TPM_xlsx[[#This Row],[HORA INICIO INTERVENCIÓN]]</f>
        <v>1.0416666666666666E-2</v>
      </c>
      <c r="R408" s="20">
        <f>(SEGUIMIENTO_TPM_xlsx[[#This Row],[HORA REPORTE]]+SEGUIMIENTO_TPM_xlsx[[#This Row],[FECHA DE REPORTE]])</f>
        <v>46007.99722222222</v>
      </c>
      <c r="S408" s="20">
        <f>(SEGUIMIENTO_TPM_xlsx[[#This Row],[FECHA DE INTERVENCÓN]]+SEGUIMIENTO_TPM_xlsx[[#This Row],[HORA FIN  INTERVENCIÓN]])</f>
        <v>46007.010416666664</v>
      </c>
      <c r="T408" s="11">
        <f>(SEGUIMIENTO_TPM_xlsx[[#This Row],[FECHA Y HORA FINAL]]-SEGUIMIENTO_TPM_xlsx[[#This Row],[FECHA Y HORA INICIO]])</f>
        <v>-0.98680555555620231</v>
      </c>
    </row>
    <row r="409" spans="1:20" x14ac:dyDescent="0.25">
      <c r="A409">
        <v>417</v>
      </c>
      <c r="B409" t="s">
        <v>176</v>
      </c>
      <c r="C409" s="1">
        <v>0.4826388888888889</v>
      </c>
      <c r="D409" s="2">
        <v>46008</v>
      </c>
      <c r="E409" t="s">
        <v>94</v>
      </c>
      <c r="F409" t="s">
        <v>18</v>
      </c>
      <c r="G409" t="s">
        <v>579</v>
      </c>
      <c r="H409" s="1">
        <v>0.4861111111111111</v>
      </c>
      <c r="I409" s="1">
        <v>0.59375</v>
      </c>
      <c r="J409" s="2">
        <v>46008</v>
      </c>
      <c r="K409" t="s">
        <v>20</v>
      </c>
      <c r="L409" t="s">
        <v>580</v>
      </c>
      <c r="M409" t="s">
        <v>22</v>
      </c>
      <c r="N409" t="s">
        <v>22</v>
      </c>
      <c r="O409" t="s">
        <v>44</v>
      </c>
      <c r="P409" t="s">
        <v>23</v>
      </c>
      <c r="Q409" s="1">
        <f>SEGUIMIENTO_TPM_xlsx[[#This Row],[HORA FIN  INTERVENCIÓN]]-SEGUIMIENTO_TPM_xlsx[[#This Row],[HORA INICIO INTERVENCIÓN]]</f>
        <v>0.1076388888888889</v>
      </c>
      <c r="R409" s="20">
        <f>(SEGUIMIENTO_TPM_xlsx[[#This Row],[HORA REPORTE]]+SEGUIMIENTO_TPM_xlsx[[#This Row],[FECHA DE REPORTE]])</f>
        <v>46008.482638888891</v>
      </c>
      <c r="S409" s="20">
        <f>(SEGUIMIENTO_TPM_xlsx[[#This Row],[FECHA DE INTERVENCÓN]]+SEGUIMIENTO_TPM_xlsx[[#This Row],[HORA FIN  INTERVENCIÓN]])</f>
        <v>46008.59375</v>
      </c>
      <c r="T409" s="11">
        <f>(SEGUIMIENTO_TPM_xlsx[[#This Row],[FECHA Y HORA FINAL]]-SEGUIMIENTO_TPM_xlsx[[#This Row],[FECHA Y HORA INICIO]])</f>
        <v>0.11111111110949423</v>
      </c>
    </row>
    <row r="410" spans="1:20" x14ac:dyDescent="0.25">
      <c r="A410">
        <v>418</v>
      </c>
      <c r="B410" t="s">
        <v>187</v>
      </c>
      <c r="C410" s="1">
        <v>0.65972222222222221</v>
      </c>
      <c r="D410" s="2">
        <v>46008</v>
      </c>
      <c r="E410" t="s">
        <v>147</v>
      </c>
      <c r="F410" t="s">
        <v>18</v>
      </c>
      <c r="G410" t="s">
        <v>581</v>
      </c>
      <c r="H410" s="1">
        <v>0.65972222222222221</v>
      </c>
      <c r="I410" s="1">
        <v>0.68055555555555558</v>
      </c>
      <c r="J410" s="2">
        <v>46008</v>
      </c>
      <c r="K410" t="s">
        <v>156</v>
      </c>
      <c r="L410" t="s">
        <v>582</v>
      </c>
      <c r="M410" t="s">
        <v>22</v>
      </c>
      <c r="N410" t="s">
        <v>22</v>
      </c>
      <c r="O410" t="s">
        <v>44</v>
      </c>
      <c r="P410" t="s">
        <v>23</v>
      </c>
      <c r="Q410" s="1">
        <f>SEGUIMIENTO_TPM_xlsx[[#This Row],[HORA FIN  INTERVENCIÓN]]-SEGUIMIENTO_TPM_xlsx[[#This Row],[HORA INICIO INTERVENCIÓN]]</f>
        <v>2.083333333333337E-2</v>
      </c>
      <c r="R410" s="20">
        <f>(SEGUIMIENTO_TPM_xlsx[[#This Row],[HORA REPORTE]]+SEGUIMIENTO_TPM_xlsx[[#This Row],[FECHA DE REPORTE]])</f>
        <v>46008.659722222219</v>
      </c>
      <c r="S410" s="20">
        <f>(SEGUIMIENTO_TPM_xlsx[[#This Row],[FECHA DE INTERVENCÓN]]+SEGUIMIENTO_TPM_xlsx[[#This Row],[HORA FIN  INTERVENCIÓN]])</f>
        <v>46008.680555555555</v>
      </c>
      <c r="T410" s="11">
        <f>(SEGUIMIENTO_TPM_xlsx[[#This Row],[FECHA Y HORA FINAL]]-SEGUIMIENTO_TPM_xlsx[[#This Row],[FECHA Y HORA INICIO]])</f>
        <v>2.0833333335758653E-2</v>
      </c>
    </row>
    <row r="411" spans="1:20" x14ac:dyDescent="0.25">
      <c r="A411">
        <v>419</v>
      </c>
      <c r="B411" t="s">
        <v>261</v>
      </c>
      <c r="C411" s="1">
        <v>0.45833333333333331</v>
      </c>
      <c r="D411" s="2">
        <v>46009</v>
      </c>
      <c r="E411" t="s">
        <v>91</v>
      </c>
      <c r="F411" t="s">
        <v>18</v>
      </c>
      <c r="G411" t="s">
        <v>583</v>
      </c>
      <c r="H411" s="1">
        <v>0.45833333333333331</v>
      </c>
      <c r="I411" s="1">
        <v>0.47916666666666669</v>
      </c>
      <c r="J411" s="2">
        <v>46009</v>
      </c>
      <c r="K411" t="s">
        <v>25</v>
      </c>
      <c r="L411" t="s">
        <v>584</v>
      </c>
      <c r="M411" t="s">
        <v>22</v>
      </c>
      <c r="N411" t="s">
        <v>22</v>
      </c>
      <c r="O411" t="s">
        <v>112</v>
      </c>
      <c r="P411" t="s">
        <v>23</v>
      </c>
      <c r="Q411" s="1">
        <f>SEGUIMIENTO_TPM_xlsx[[#This Row],[HORA FIN  INTERVENCIÓN]]-SEGUIMIENTO_TPM_xlsx[[#This Row],[HORA INICIO INTERVENCIÓN]]</f>
        <v>2.083333333333337E-2</v>
      </c>
      <c r="R411" s="20">
        <f>(SEGUIMIENTO_TPM_xlsx[[#This Row],[HORA REPORTE]]+SEGUIMIENTO_TPM_xlsx[[#This Row],[FECHA DE REPORTE]])</f>
        <v>46009.458333333336</v>
      </c>
      <c r="S411" s="20">
        <f>(SEGUIMIENTO_TPM_xlsx[[#This Row],[FECHA DE INTERVENCÓN]]+SEGUIMIENTO_TPM_xlsx[[#This Row],[HORA FIN  INTERVENCIÓN]])</f>
        <v>46009.479166666664</v>
      </c>
      <c r="T411" s="11">
        <f>(SEGUIMIENTO_TPM_xlsx[[#This Row],[FECHA Y HORA FINAL]]-SEGUIMIENTO_TPM_xlsx[[#This Row],[FECHA Y HORA INICIO]])</f>
        <v>2.0833333328482695E-2</v>
      </c>
    </row>
    <row r="412" spans="1:20" x14ac:dyDescent="0.25">
      <c r="A412">
        <v>420</v>
      </c>
      <c r="C412" s="1"/>
      <c r="D412" s="2"/>
      <c r="H412" s="1"/>
      <c r="I412" s="1"/>
      <c r="J412" s="2"/>
      <c r="Q412" s="1">
        <f>SEGUIMIENTO_TPM_xlsx[[#This Row],[HORA FIN  INTERVENCIÓN]]-SEGUIMIENTO_TPM_xlsx[[#This Row],[HORA INICIO INTERVENCIÓN]]</f>
        <v>0</v>
      </c>
      <c r="R412" s="20">
        <f>(SEGUIMIENTO_TPM_xlsx[[#This Row],[HORA REPORTE]]+SEGUIMIENTO_TPM_xlsx[[#This Row],[FECHA DE REPORTE]])</f>
        <v>0</v>
      </c>
      <c r="S412" s="20">
        <f>(SEGUIMIENTO_TPM_xlsx[[#This Row],[FECHA DE INTERVENCÓN]]+SEGUIMIENTO_TPM_xlsx[[#This Row],[HORA FIN  INTERVENCIÓN]])</f>
        <v>0</v>
      </c>
      <c r="T412" s="11">
        <f>(SEGUIMIENTO_TPM_xlsx[[#This Row],[FECHA Y HORA FINAL]]-SEGUIMIENTO_TPM_xlsx[[#This Row],[FECHA Y HORA INICIO]])</f>
        <v>0</v>
      </c>
    </row>
    <row r="413" spans="1:20" x14ac:dyDescent="0.25">
      <c r="A413">
        <v>421</v>
      </c>
      <c r="B413" t="s">
        <v>199</v>
      </c>
      <c r="C413" s="1">
        <v>0.78472222222222221</v>
      </c>
      <c r="D413" s="2">
        <v>46009</v>
      </c>
      <c r="E413" t="s">
        <v>91</v>
      </c>
      <c r="F413" t="s">
        <v>18</v>
      </c>
      <c r="G413" t="s">
        <v>585</v>
      </c>
      <c r="H413" s="1">
        <v>0.78472222222222221</v>
      </c>
      <c r="I413" s="1">
        <v>0.80555555555555558</v>
      </c>
      <c r="J413" s="2">
        <v>46009</v>
      </c>
      <c r="K413" t="s">
        <v>20</v>
      </c>
      <c r="L413" t="s">
        <v>586</v>
      </c>
      <c r="M413" t="s">
        <v>22</v>
      </c>
      <c r="N413" t="s">
        <v>22</v>
      </c>
      <c r="O413" t="s">
        <v>44</v>
      </c>
      <c r="P413" t="s">
        <v>23</v>
      </c>
      <c r="Q413" s="1">
        <f>SEGUIMIENTO_TPM_xlsx[[#This Row],[HORA FIN  INTERVENCIÓN]]-SEGUIMIENTO_TPM_xlsx[[#This Row],[HORA INICIO INTERVENCIÓN]]</f>
        <v>2.083333333333337E-2</v>
      </c>
      <c r="R413" s="20">
        <f>(SEGUIMIENTO_TPM_xlsx[[#This Row],[HORA REPORTE]]+SEGUIMIENTO_TPM_xlsx[[#This Row],[FECHA DE REPORTE]])</f>
        <v>46009.784722222219</v>
      </c>
      <c r="S413" s="20">
        <f>(SEGUIMIENTO_TPM_xlsx[[#This Row],[FECHA DE INTERVENCÓN]]+SEGUIMIENTO_TPM_xlsx[[#This Row],[HORA FIN  INTERVENCIÓN]])</f>
        <v>46009.805555555555</v>
      </c>
      <c r="T413" s="11">
        <f>(SEGUIMIENTO_TPM_xlsx[[#This Row],[FECHA Y HORA FINAL]]-SEGUIMIENTO_TPM_xlsx[[#This Row],[FECHA Y HORA INICIO]])</f>
        <v>2.0833333335758653E-2</v>
      </c>
    </row>
    <row r="414" spans="1:20" x14ac:dyDescent="0.25">
      <c r="A414">
        <v>422</v>
      </c>
      <c r="B414" t="s">
        <v>335</v>
      </c>
      <c r="C414" s="1">
        <v>0.85416666666666663</v>
      </c>
      <c r="D414" s="2">
        <v>46009</v>
      </c>
      <c r="E414" t="s">
        <v>162</v>
      </c>
      <c r="F414" t="s">
        <v>18</v>
      </c>
      <c r="G414" t="s">
        <v>587</v>
      </c>
      <c r="H414" s="1">
        <v>0.85763888888888884</v>
      </c>
      <c r="I414" s="1">
        <v>0.88194444444444442</v>
      </c>
      <c r="J414" s="2">
        <v>46009</v>
      </c>
      <c r="K414" t="s">
        <v>25</v>
      </c>
      <c r="L414" t="s">
        <v>588</v>
      </c>
      <c r="M414" t="s">
        <v>22</v>
      </c>
      <c r="N414" t="s">
        <v>260</v>
      </c>
      <c r="O414" t="s">
        <v>44</v>
      </c>
      <c r="P414" t="s">
        <v>23</v>
      </c>
      <c r="Q414" s="1">
        <f>SEGUIMIENTO_TPM_xlsx[[#This Row],[HORA FIN  INTERVENCIÓN]]-SEGUIMIENTO_TPM_xlsx[[#This Row],[HORA INICIO INTERVENCIÓN]]</f>
        <v>2.430555555555558E-2</v>
      </c>
      <c r="R414" s="20">
        <f>(SEGUIMIENTO_TPM_xlsx[[#This Row],[HORA REPORTE]]+SEGUIMIENTO_TPM_xlsx[[#This Row],[FECHA DE REPORTE]])</f>
        <v>46009.854166666664</v>
      </c>
      <c r="S414" s="20">
        <f>(SEGUIMIENTO_TPM_xlsx[[#This Row],[FECHA DE INTERVENCÓN]]+SEGUIMIENTO_TPM_xlsx[[#This Row],[HORA FIN  INTERVENCIÓN]])</f>
        <v>46009.881944444445</v>
      </c>
      <c r="T414" s="11">
        <f>(SEGUIMIENTO_TPM_xlsx[[#This Row],[FECHA Y HORA FINAL]]-SEGUIMIENTO_TPM_xlsx[[#This Row],[FECHA Y HORA INICIO]])</f>
        <v>2.7777777781011537E-2</v>
      </c>
    </row>
    <row r="415" spans="1:20" x14ac:dyDescent="0.25">
      <c r="A415">
        <v>423</v>
      </c>
      <c r="B415" t="s">
        <v>238</v>
      </c>
      <c r="C415" s="1">
        <v>0.28472222222222221</v>
      </c>
      <c r="D415" s="2">
        <v>46010</v>
      </c>
      <c r="E415" t="s">
        <v>116</v>
      </c>
      <c r="F415" t="s">
        <v>18</v>
      </c>
      <c r="G415" t="s">
        <v>589</v>
      </c>
      <c r="H415" s="1">
        <v>0.28472222222222221</v>
      </c>
      <c r="I415" s="1">
        <v>0.31944444444444442</v>
      </c>
      <c r="J415" s="2">
        <v>46010</v>
      </c>
      <c r="K415" t="s">
        <v>20</v>
      </c>
      <c r="L415" t="s">
        <v>590</v>
      </c>
      <c r="M415" t="s">
        <v>22</v>
      </c>
      <c r="N415" t="s">
        <v>22</v>
      </c>
      <c r="O415" t="s">
        <v>108</v>
      </c>
      <c r="P415" t="s">
        <v>23</v>
      </c>
      <c r="Q415" s="1">
        <f>SEGUIMIENTO_TPM_xlsx[[#This Row],[HORA FIN  INTERVENCIÓN]]-SEGUIMIENTO_TPM_xlsx[[#This Row],[HORA INICIO INTERVENCIÓN]]</f>
        <v>3.472222222222221E-2</v>
      </c>
      <c r="R415" s="20">
        <f>(SEGUIMIENTO_TPM_xlsx[[#This Row],[HORA REPORTE]]+SEGUIMIENTO_TPM_xlsx[[#This Row],[FECHA DE REPORTE]])</f>
        <v>46010.284722222219</v>
      </c>
      <c r="S415" s="20">
        <f>(SEGUIMIENTO_TPM_xlsx[[#This Row],[FECHA DE INTERVENCÓN]]+SEGUIMIENTO_TPM_xlsx[[#This Row],[HORA FIN  INTERVENCIÓN]])</f>
        <v>46010.319444444445</v>
      </c>
      <c r="T415" s="11">
        <f>(SEGUIMIENTO_TPM_xlsx[[#This Row],[FECHA Y HORA FINAL]]-SEGUIMIENTO_TPM_xlsx[[#This Row],[FECHA Y HORA INICIO]])</f>
        <v>3.4722222226264421E-2</v>
      </c>
    </row>
    <row r="416" spans="1:20" x14ac:dyDescent="0.25">
      <c r="A416">
        <v>424</v>
      </c>
      <c r="B416" t="s">
        <v>103</v>
      </c>
      <c r="C416" s="1">
        <v>0.36805555555555558</v>
      </c>
      <c r="D416" s="2">
        <v>46010</v>
      </c>
      <c r="E416" t="s">
        <v>147</v>
      </c>
      <c r="F416" t="s">
        <v>18</v>
      </c>
      <c r="G416" t="s">
        <v>591</v>
      </c>
      <c r="H416" s="1">
        <v>0.36805555555555558</v>
      </c>
      <c r="I416" s="1">
        <v>0.40625</v>
      </c>
      <c r="J416" s="2">
        <v>46010</v>
      </c>
      <c r="K416" t="s">
        <v>25</v>
      </c>
      <c r="L416" t="s">
        <v>592</v>
      </c>
      <c r="M416" t="s">
        <v>593</v>
      </c>
      <c r="N416" t="s">
        <v>22</v>
      </c>
      <c r="O416" t="s">
        <v>108</v>
      </c>
      <c r="P416" t="s">
        <v>23</v>
      </c>
      <c r="Q416" s="1">
        <f>SEGUIMIENTO_TPM_xlsx[[#This Row],[HORA FIN  INTERVENCIÓN]]-SEGUIMIENTO_TPM_xlsx[[#This Row],[HORA INICIO INTERVENCIÓN]]</f>
        <v>3.819444444444442E-2</v>
      </c>
      <c r="R416" s="20">
        <f>(SEGUIMIENTO_TPM_xlsx[[#This Row],[HORA REPORTE]]+SEGUIMIENTO_TPM_xlsx[[#This Row],[FECHA DE REPORTE]])</f>
        <v>46010.368055555555</v>
      </c>
      <c r="S416" s="20">
        <f>(SEGUIMIENTO_TPM_xlsx[[#This Row],[FECHA DE INTERVENCÓN]]+SEGUIMIENTO_TPM_xlsx[[#This Row],[HORA FIN  INTERVENCIÓN]])</f>
        <v>46010.40625</v>
      </c>
      <c r="T416" s="11">
        <f>(SEGUIMIENTO_TPM_xlsx[[#This Row],[FECHA Y HORA FINAL]]-SEGUIMIENTO_TPM_xlsx[[#This Row],[FECHA Y HORA INICIO]])</f>
        <v>3.8194444445252884E-2</v>
      </c>
    </row>
    <row r="417" spans="1:20" x14ac:dyDescent="0.25">
      <c r="A417">
        <v>425</v>
      </c>
      <c r="B417" t="s">
        <v>93</v>
      </c>
      <c r="C417" s="1">
        <v>0.70833333333333337</v>
      </c>
      <c r="D417" s="2">
        <v>46010</v>
      </c>
      <c r="E417" t="s">
        <v>94</v>
      </c>
      <c r="F417" t="s">
        <v>18</v>
      </c>
      <c r="G417" t="s">
        <v>594</v>
      </c>
      <c r="H417" s="1">
        <v>0.70833333333333337</v>
      </c>
      <c r="I417" s="1">
        <v>0.72916666666666663</v>
      </c>
      <c r="J417" s="2">
        <v>46010</v>
      </c>
      <c r="K417" t="s">
        <v>25</v>
      </c>
      <c r="L417" t="s">
        <v>595</v>
      </c>
      <c r="M417" t="s">
        <v>350</v>
      </c>
      <c r="N417" t="s">
        <v>22</v>
      </c>
      <c r="O417" t="s">
        <v>108</v>
      </c>
      <c r="Q417" s="1">
        <f>SEGUIMIENTO_TPM_xlsx[[#This Row],[HORA FIN  INTERVENCIÓN]]-SEGUIMIENTO_TPM_xlsx[[#This Row],[HORA INICIO INTERVENCIÓN]]</f>
        <v>2.0833333333333259E-2</v>
      </c>
      <c r="R417" s="20">
        <f>(SEGUIMIENTO_TPM_xlsx[[#This Row],[HORA REPORTE]]+SEGUIMIENTO_TPM_xlsx[[#This Row],[FECHA DE REPORTE]])</f>
        <v>46010.708333333336</v>
      </c>
      <c r="S417" s="20">
        <f>(SEGUIMIENTO_TPM_xlsx[[#This Row],[FECHA DE INTERVENCÓN]]+SEGUIMIENTO_TPM_xlsx[[#This Row],[HORA FIN  INTERVENCIÓN]])</f>
        <v>46010.729166666664</v>
      </c>
      <c r="T417" s="11">
        <f>(SEGUIMIENTO_TPM_xlsx[[#This Row],[FECHA Y HORA FINAL]]-SEGUIMIENTO_TPM_xlsx[[#This Row],[FECHA Y HORA INICIO]])</f>
        <v>2.0833333328482695E-2</v>
      </c>
    </row>
    <row r="418" spans="1:20" x14ac:dyDescent="0.25">
      <c r="A418">
        <v>426</v>
      </c>
      <c r="B418" t="s">
        <v>335</v>
      </c>
      <c r="C418" s="1">
        <v>0.93055555555555558</v>
      </c>
      <c r="D418" s="2">
        <v>46010</v>
      </c>
      <c r="E418" t="s">
        <v>162</v>
      </c>
      <c r="G418" t="s">
        <v>596</v>
      </c>
      <c r="H418" s="1">
        <v>0.93055555555555558</v>
      </c>
      <c r="I418" s="1">
        <v>0.94444444444444442</v>
      </c>
      <c r="J418" s="2">
        <v>46010</v>
      </c>
      <c r="K418" t="s">
        <v>25</v>
      </c>
      <c r="L418" t="s">
        <v>597</v>
      </c>
      <c r="M418" t="s">
        <v>22</v>
      </c>
      <c r="N418" t="s">
        <v>22</v>
      </c>
      <c r="O418" t="s">
        <v>112</v>
      </c>
      <c r="P418" t="s">
        <v>23</v>
      </c>
      <c r="Q418" s="1">
        <f>SEGUIMIENTO_TPM_xlsx[[#This Row],[HORA FIN  INTERVENCIÓN]]-SEGUIMIENTO_TPM_xlsx[[#This Row],[HORA INICIO INTERVENCIÓN]]</f>
        <v>1.388888888888884E-2</v>
      </c>
      <c r="R418" s="20">
        <f>(SEGUIMIENTO_TPM_xlsx[[#This Row],[HORA REPORTE]]+SEGUIMIENTO_TPM_xlsx[[#This Row],[FECHA DE REPORTE]])</f>
        <v>46010.930555555555</v>
      </c>
      <c r="S418" s="20">
        <f>(SEGUIMIENTO_TPM_xlsx[[#This Row],[FECHA DE INTERVENCÓN]]+SEGUIMIENTO_TPM_xlsx[[#This Row],[HORA FIN  INTERVENCIÓN]])</f>
        <v>46010.944444444445</v>
      </c>
      <c r="T418" s="11">
        <f>(SEGUIMIENTO_TPM_xlsx[[#This Row],[FECHA Y HORA FINAL]]-SEGUIMIENTO_TPM_xlsx[[#This Row],[FECHA Y HORA INICIO]])</f>
        <v>1.3888888890505768E-2</v>
      </c>
    </row>
    <row r="419" spans="1:20" x14ac:dyDescent="0.25">
      <c r="A419">
        <v>427</v>
      </c>
      <c r="B419" t="s">
        <v>113</v>
      </c>
      <c r="C419" s="1">
        <v>1.3888888888888888E-2</v>
      </c>
      <c r="D419" s="2">
        <v>46011</v>
      </c>
      <c r="E419" t="s">
        <v>104</v>
      </c>
      <c r="F419" t="s">
        <v>18</v>
      </c>
      <c r="G419" t="s">
        <v>598</v>
      </c>
      <c r="H419" s="1">
        <v>1.3888888888888888E-2</v>
      </c>
      <c r="I419" s="1">
        <v>0.125</v>
      </c>
      <c r="J419" s="2">
        <v>46011</v>
      </c>
      <c r="K419" t="s">
        <v>25</v>
      </c>
      <c r="L419" t="s">
        <v>599</v>
      </c>
      <c r="M419" t="s">
        <v>22</v>
      </c>
      <c r="N419" t="s">
        <v>22</v>
      </c>
      <c r="O419" t="s">
        <v>112</v>
      </c>
      <c r="P419" t="s">
        <v>23</v>
      </c>
      <c r="Q419" s="1">
        <f>SEGUIMIENTO_TPM_xlsx[[#This Row],[HORA FIN  INTERVENCIÓN]]-SEGUIMIENTO_TPM_xlsx[[#This Row],[HORA INICIO INTERVENCIÓN]]</f>
        <v>0.1111111111111111</v>
      </c>
      <c r="R419" s="20">
        <f>(SEGUIMIENTO_TPM_xlsx[[#This Row],[HORA REPORTE]]+SEGUIMIENTO_TPM_xlsx[[#This Row],[FECHA DE REPORTE]])</f>
        <v>46011.013888888891</v>
      </c>
      <c r="S419" s="20">
        <f>(SEGUIMIENTO_TPM_xlsx[[#This Row],[FECHA DE INTERVENCÓN]]+SEGUIMIENTO_TPM_xlsx[[#This Row],[HORA FIN  INTERVENCIÓN]])</f>
        <v>46011.125</v>
      </c>
      <c r="T419" s="11">
        <f>(SEGUIMIENTO_TPM_xlsx[[#This Row],[FECHA Y HORA FINAL]]-SEGUIMIENTO_TPM_xlsx[[#This Row],[FECHA Y HORA INICIO]])</f>
        <v>0.11111111110949423</v>
      </c>
    </row>
    <row r="420" spans="1:20" x14ac:dyDescent="0.25">
      <c r="A420">
        <v>428</v>
      </c>
      <c r="B420" t="s">
        <v>16</v>
      </c>
      <c r="C420" s="1">
        <v>0.91666666666666663</v>
      </c>
      <c r="D420" s="2">
        <v>46010</v>
      </c>
      <c r="E420" t="s">
        <v>94</v>
      </c>
      <c r="F420" t="s">
        <v>18</v>
      </c>
      <c r="G420" t="s">
        <v>600</v>
      </c>
      <c r="H420" s="1">
        <v>0.91666666666666663</v>
      </c>
      <c r="I420" s="1">
        <v>0.92500000000000004</v>
      </c>
      <c r="J420" s="2">
        <v>46010</v>
      </c>
      <c r="K420" t="s">
        <v>25</v>
      </c>
      <c r="L420" t="s">
        <v>601</v>
      </c>
      <c r="M420" t="s">
        <v>602</v>
      </c>
      <c r="N420" t="s">
        <v>22</v>
      </c>
      <c r="O420" t="s">
        <v>112</v>
      </c>
      <c r="P420" t="s">
        <v>23</v>
      </c>
      <c r="Q420" s="1">
        <f>SEGUIMIENTO_TPM_xlsx[[#This Row],[HORA FIN  INTERVENCIÓN]]-SEGUIMIENTO_TPM_xlsx[[#This Row],[HORA INICIO INTERVENCIÓN]]</f>
        <v>8.3333333333334147E-3</v>
      </c>
      <c r="R420" s="20">
        <f>(SEGUIMIENTO_TPM_xlsx[[#This Row],[HORA REPORTE]]+SEGUIMIENTO_TPM_xlsx[[#This Row],[FECHA DE REPORTE]])</f>
        <v>46010.916666666664</v>
      </c>
      <c r="S420" s="20">
        <f>(SEGUIMIENTO_TPM_xlsx[[#This Row],[FECHA DE INTERVENCÓN]]+SEGUIMIENTO_TPM_xlsx[[#This Row],[HORA FIN  INTERVENCIÓN]])</f>
        <v>46010.925000000003</v>
      </c>
      <c r="T420" s="11">
        <f>(SEGUIMIENTO_TPM_xlsx[[#This Row],[FECHA Y HORA FINAL]]-SEGUIMIENTO_TPM_xlsx[[#This Row],[FECHA Y HORA INICIO]])</f>
        <v>8.3333333386690356E-3</v>
      </c>
    </row>
    <row r="421" spans="1:20" x14ac:dyDescent="0.25">
      <c r="A421">
        <v>429</v>
      </c>
      <c r="B421" t="s">
        <v>603</v>
      </c>
      <c r="C421" s="1">
        <v>0.48958333333333331</v>
      </c>
      <c r="D421" s="2">
        <v>46021</v>
      </c>
      <c r="F421" t="s">
        <v>18</v>
      </c>
      <c r="G421" t="s">
        <v>604</v>
      </c>
      <c r="H421" s="1">
        <v>0.48958333333333331</v>
      </c>
      <c r="I421" s="1">
        <v>0.50347222222222221</v>
      </c>
      <c r="J421" s="2">
        <v>46021</v>
      </c>
      <c r="K421" t="s">
        <v>20</v>
      </c>
      <c r="L421" t="s">
        <v>605</v>
      </c>
      <c r="M421" t="s">
        <v>22</v>
      </c>
      <c r="N421" t="s">
        <v>22</v>
      </c>
      <c r="O421" t="s">
        <v>112</v>
      </c>
      <c r="P421" t="s">
        <v>23</v>
      </c>
      <c r="Q421" s="1">
        <f>SEGUIMIENTO_TPM_xlsx[[#This Row],[HORA FIN  INTERVENCIÓN]]-SEGUIMIENTO_TPM_xlsx[[#This Row],[HORA INICIO INTERVENCIÓN]]</f>
        <v>1.3888888888888895E-2</v>
      </c>
      <c r="R421" s="20">
        <f>(SEGUIMIENTO_TPM_xlsx[[#This Row],[HORA REPORTE]]+SEGUIMIENTO_TPM_xlsx[[#This Row],[FECHA DE REPORTE]])</f>
        <v>46021.489583333336</v>
      </c>
      <c r="S421" s="20">
        <f>(SEGUIMIENTO_TPM_xlsx[[#This Row],[FECHA DE INTERVENCÓN]]+SEGUIMIENTO_TPM_xlsx[[#This Row],[HORA FIN  INTERVENCIÓN]])</f>
        <v>46021.503472222219</v>
      </c>
      <c r="T421" s="11">
        <f>(SEGUIMIENTO_TPM_xlsx[[#This Row],[FECHA Y HORA FINAL]]-SEGUIMIENTO_TPM_xlsx[[#This Row],[FECHA Y HORA INICIO]])</f>
        <v>1.3888888883229811E-2</v>
      </c>
    </row>
    <row r="422" spans="1:20" x14ac:dyDescent="0.25">
      <c r="A422">
        <v>430</v>
      </c>
      <c r="B422" t="s">
        <v>335</v>
      </c>
      <c r="C422" s="1">
        <v>0.125</v>
      </c>
      <c r="D422" s="2">
        <v>46011</v>
      </c>
      <c r="E422" t="s">
        <v>162</v>
      </c>
      <c r="F422" t="s">
        <v>18</v>
      </c>
      <c r="G422" t="s">
        <v>606</v>
      </c>
      <c r="H422" s="1">
        <v>0.13541666666666666</v>
      </c>
      <c r="I422" s="1">
        <v>0.1423611111111111</v>
      </c>
      <c r="J422" s="2">
        <v>46011</v>
      </c>
      <c r="K422" t="s">
        <v>25</v>
      </c>
      <c r="L422" t="s">
        <v>607</v>
      </c>
      <c r="M422" t="s">
        <v>22</v>
      </c>
      <c r="N422" t="s">
        <v>22</v>
      </c>
      <c r="O422" t="s">
        <v>112</v>
      </c>
      <c r="P422" t="s">
        <v>23</v>
      </c>
      <c r="Q422" s="1">
        <f>SEGUIMIENTO_TPM_xlsx[[#This Row],[HORA FIN  INTERVENCIÓN]]-SEGUIMIENTO_TPM_xlsx[[#This Row],[HORA INICIO INTERVENCIÓN]]</f>
        <v>6.9444444444444475E-3</v>
      </c>
      <c r="R422" s="20">
        <f>(SEGUIMIENTO_TPM_xlsx[[#This Row],[HORA REPORTE]]+SEGUIMIENTO_TPM_xlsx[[#This Row],[FECHA DE REPORTE]])</f>
        <v>46011.125</v>
      </c>
      <c r="S422" s="20">
        <f>(SEGUIMIENTO_TPM_xlsx[[#This Row],[FECHA DE INTERVENCÓN]]+SEGUIMIENTO_TPM_xlsx[[#This Row],[HORA FIN  INTERVENCIÓN]])</f>
        <v>46011.142361111109</v>
      </c>
      <c r="T422" s="11">
        <f>(SEGUIMIENTO_TPM_xlsx[[#This Row],[FECHA Y HORA FINAL]]-SEGUIMIENTO_TPM_xlsx[[#This Row],[FECHA Y HORA INICIO]])</f>
        <v>1.7361111109494232E-2</v>
      </c>
    </row>
    <row r="423" spans="1:20" x14ac:dyDescent="0.25">
      <c r="A423">
        <v>431</v>
      </c>
      <c r="B423" t="s">
        <v>608</v>
      </c>
      <c r="C423" s="1">
        <v>0.15972222222222221</v>
      </c>
      <c r="D423" s="2">
        <v>46011</v>
      </c>
      <c r="E423" t="s">
        <v>17</v>
      </c>
      <c r="F423" t="s">
        <v>18</v>
      </c>
      <c r="G423" t="s">
        <v>609</v>
      </c>
      <c r="H423" s="1">
        <v>0.15972222222222221</v>
      </c>
      <c r="I423" s="1">
        <v>0.18055555555555555</v>
      </c>
      <c r="J423" s="2">
        <v>46011</v>
      </c>
      <c r="K423" t="s">
        <v>25</v>
      </c>
      <c r="L423" t="s">
        <v>610</v>
      </c>
      <c r="M423" t="s">
        <v>22</v>
      </c>
      <c r="N423" t="s">
        <v>22</v>
      </c>
      <c r="O423" t="s">
        <v>112</v>
      </c>
      <c r="P423" t="s">
        <v>23</v>
      </c>
      <c r="Q423" s="1">
        <f>SEGUIMIENTO_TPM_xlsx[[#This Row],[HORA FIN  INTERVENCIÓN]]-SEGUIMIENTO_TPM_xlsx[[#This Row],[HORA INICIO INTERVENCIÓN]]</f>
        <v>2.0833333333333343E-2</v>
      </c>
      <c r="R423" s="20">
        <f>(SEGUIMIENTO_TPM_xlsx[[#This Row],[HORA REPORTE]]+SEGUIMIENTO_TPM_xlsx[[#This Row],[FECHA DE REPORTE]])</f>
        <v>46011.159722222219</v>
      </c>
      <c r="S423" s="20">
        <f>(SEGUIMIENTO_TPM_xlsx[[#This Row],[FECHA DE INTERVENCÓN]]+SEGUIMIENTO_TPM_xlsx[[#This Row],[HORA FIN  INTERVENCIÓN]])</f>
        <v>46011.180555555555</v>
      </c>
      <c r="T423" s="11">
        <f>(SEGUIMIENTO_TPM_xlsx[[#This Row],[FECHA Y HORA FINAL]]-SEGUIMIENTO_TPM_xlsx[[#This Row],[FECHA Y HORA INICIO]])</f>
        <v>2.0833333335758653E-2</v>
      </c>
    </row>
    <row r="424" spans="1:20" x14ac:dyDescent="0.25">
      <c r="A424">
        <v>432</v>
      </c>
      <c r="B424" t="s">
        <v>335</v>
      </c>
      <c r="C424" s="1">
        <v>0.59375</v>
      </c>
      <c r="D424" s="2">
        <v>46011</v>
      </c>
      <c r="E424" t="s">
        <v>162</v>
      </c>
      <c r="F424" t="s">
        <v>18</v>
      </c>
      <c r="G424" t="s">
        <v>611</v>
      </c>
      <c r="H424" s="1">
        <v>0.80208333333333337</v>
      </c>
      <c r="I424" s="1">
        <v>0.82638888888888884</v>
      </c>
      <c r="J424" s="2">
        <v>46011</v>
      </c>
      <c r="K424" t="s">
        <v>156</v>
      </c>
      <c r="L424" t="s">
        <v>612</v>
      </c>
      <c r="M424" t="s">
        <v>22</v>
      </c>
      <c r="N424" t="s">
        <v>22</v>
      </c>
      <c r="O424" t="s">
        <v>108</v>
      </c>
      <c r="P424" t="s">
        <v>23</v>
      </c>
      <c r="Q424" s="1">
        <f>SEGUIMIENTO_TPM_xlsx[[#This Row],[HORA FIN  INTERVENCIÓN]]-SEGUIMIENTO_TPM_xlsx[[#This Row],[HORA INICIO INTERVENCIÓN]]</f>
        <v>2.4305555555555469E-2</v>
      </c>
      <c r="R424" s="20">
        <f>(SEGUIMIENTO_TPM_xlsx[[#This Row],[HORA REPORTE]]+SEGUIMIENTO_TPM_xlsx[[#This Row],[FECHA DE REPORTE]])</f>
        <v>46011.59375</v>
      </c>
      <c r="S424" s="20">
        <f>(SEGUIMIENTO_TPM_xlsx[[#This Row],[FECHA DE INTERVENCÓN]]+SEGUIMIENTO_TPM_xlsx[[#This Row],[HORA FIN  INTERVENCIÓN]])</f>
        <v>46011.826388888891</v>
      </c>
      <c r="T424" s="11">
        <f>(SEGUIMIENTO_TPM_xlsx[[#This Row],[FECHA Y HORA FINAL]]-SEGUIMIENTO_TPM_xlsx[[#This Row],[FECHA Y HORA INICIO]])</f>
        <v>0.23263888889050577</v>
      </c>
    </row>
    <row r="425" spans="1:20" x14ac:dyDescent="0.25">
      <c r="A425">
        <v>433</v>
      </c>
      <c r="B425" t="s">
        <v>187</v>
      </c>
      <c r="C425" s="1">
        <v>0.99305555555555558</v>
      </c>
      <c r="D425" s="2">
        <v>46011</v>
      </c>
      <c r="E425" t="s">
        <v>188</v>
      </c>
      <c r="F425" t="s">
        <v>18</v>
      </c>
      <c r="G425" t="s">
        <v>613</v>
      </c>
      <c r="H425" s="1"/>
      <c r="I425" s="1"/>
      <c r="J425" s="2"/>
      <c r="L425" t="s">
        <v>614</v>
      </c>
      <c r="M425" t="s">
        <v>22</v>
      </c>
      <c r="N425" t="s">
        <v>22</v>
      </c>
      <c r="P425" t="s">
        <v>33</v>
      </c>
      <c r="Q425" s="1">
        <f>SEGUIMIENTO_TPM_xlsx[[#This Row],[HORA FIN  INTERVENCIÓN]]-SEGUIMIENTO_TPM_xlsx[[#This Row],[HORA INICIO INTERVENCIÓN]]</f>
        <v>0</v>
      </c>
      <c r="R425" s="20">
        <f>(SEGUIMIENTO_TPM_xlsx[[#This Row],[HORA REPORTE]]+SEGUIMIENTO_TPM_xlsx[[#This Row],[FECHA DE REPORTE]])</f>
        <v>46011.993055555555</v>
      </c>
      <c r="S425" s="20">
        <f>(SEGUIMIENTO_TPM_xlsx[[#This Row],[FECHA DE INTERVENCÓN]]+SEGUIMIENTO_TPM_xlsx[[#This Row],[HORA FIN  INTERVENCIÓN]])</f>
        <v>0</v>
      </c>
      <c r="T425" s="11">
        <f>(SEGUIMIENTO_TPM_xlsx[[#This Row],[FECHA Y HORA FINAL]]-SEGUIMIENTO_TPM_xlsx[[#This Row],[FECHA Y HORA INICIO]])</f>
        <v>-46011.993055555555</v>
      </c>
    </row>
    <row r="426" spans="1:20" x14ac:dyDescent="0.25">
      <c r="A426">
        <v>434</v>
      </c>
      <c r="B426" t="s">
        <v>615</v>
      </c>
      <c r="C426" s="1">
        <v>0.29166666666666669</v>
      </c>
      <c r="D426" s="2">
        <v>46012</v>
      </c>
      <c r="E426" t="s">
        <v>17</v>
      </c>
      <c r="G426" t="s">
        <v>616</v>
      </c>
      <c r="H426" s="1">
        <v>0.29166666666666669</v>
      </c>
      <c r="I426" s="1">
        <v>0.3125</v>
      </c>
      <c r="J426" s="2">
        <v>46012</v>
      </c>
      <c r="K426" t="s">
        <v>25</v>
      </c>
      <c r="L426" t="s">
        <v>617</v>
      </c>
      <c r="M426" t="s">
        <v>22</v>
      </c>
      <c r="N426" t="s">
        <v>22</v>
      </c>
      <c r="O426" t="s">
        <v>112</v>
      </c>
      <c r="P426" t="s">
        <v>23</v>
      </c>
      <c r="Q426" s="1">
        <f>SEGUIMIENTO_TPM_xlsx[[#This Row],[HORA FIN  INTERVENCIÓN]]-SEGUIMIENTO_TPM_xlsx[[#This Row],[HORA INICIO INTERVENCIÓN]]</f>
        <v>2.0833333333333315E-2</v>
      </c>
      <c r="R426" s="20">
        <f>(SEGUIMIENTO_TPM_xlsx[[#This Row],[HORA REPORTE]]+SEGUIMIENTO_TPM_xlsx[[#This Row],[FECHA DE REPORTE]])</f>
        <v>46012.291666666664</v>
      </c>
      <c r="S426" s="20">
        <f>(SEGUIMIENTO_TPM_xlsx[[#This Row],[FECHA DE INTERVENCÓN]]+SEGUIMIENTO_TPM_xlsx[[#This Row],[HORA FIN  INTERVENCIÓN]])</f>
        <v>46012.3125</v>
      </c>
      <c r="T426" s="11">
        <f>(SEGUIMIENTO_TPM_xlsx[[#This Row],[FECHA Y HORA FINAL]]-SEGUIMIENTO_TPM_xlsx[[#This Row],[FECHA Y HORA INICIO]])</f>
        <v>2.0833333335758653E-2</v>
      </c>
    </row>
    <row r="427" spans="1:20" x14ac:dyDescent="0.25">
      <c r="A427">
        <v>435</v>
      </c>
      <c r="B427" t="s">
        <v>132</v>
      </c>
      <c r="C427" s="1">
        <v>0.27083333333333331</v>
      </c>
      <c r="D427" s="2">
        <v>46012</v>
      </c>
      <c r="E427" t="s">
        <v>91</v>
      </c>
      <c r="G427" t="s">
        <v>618</v>
      </c>
      <c r="H427" s="1">
        <v>0.27083333333333331</v>
      </c>
      <c r="I427" s="1">
        <v>0.29166666666666669</v>
      </c>
      <c r="J427" s="2">
        <v>46012</v>
      </c>
      <c r="K427" t="s">
        <v>619</v>
      </c>
      <c r="L427" t="s">
        <v>620</v>
      </c>
      <c r="O427" t="s">
        <v>112</v>
      </c>
      <c r="P427" t="s">
        <v>23</v>
      </c>
      <c r="Q427" s="1">
        <f>SEGUIMIENTO_TPM_xlsx[[#This Row],[HORA FIN  INTERVENCIÓN]]-SEGUIMIENTO_TPM_xlsx[[#This Row],[HORA INICIO INTERVENCIÓN]]</f>
        <v>2.083333333333337E-2</v>
      </c>
      <c r="R427" s="20">
        <f>(SEGUIMIENTO_TPM_xlsx[[#This Row],[HORA REPORTE]]+SEGUIMIENTO_TPM_xlsx[[#This Row],[FECHA DE REPORTE]])</f>
        <v>46012.270833333336</v>
      </c>
      <c r="S427" s="20">
        <f>(SEGUIMIENTO_TPM_xlsx[[#This Row],[FECHA DE INTERVENCÓN]]+SEGUIMIENTO_TPM_xlsx[[#This Row],[HORA FIN  INTERVENCIÓN]])</f>
        <v>46012.291666666664</v>
      </c>
      <c r="T427" s="11">
        <f>(SEGUIMIENTO_TPM_xlsx[[#This Row],[FECHA Y HORA FINAL]]-SEGUIMIENTO_TPM_xlsx[[#This Row],[FECHA Y HORA INICIO]])</f>
        <v>2.0833333328482695E-2</v>
      </c>
    </row>
    <row r="428" spans="1:20" x14ac:dyDescent="0.25">
      <c r="A428">
        <v>436</v>
      </c>
      <c r="B428" t="s">
        <v>16</v>
      </c>
      <c r="C428" s="1">
        <v>0.13680555555555557</v>
      </c>
      <c r="D428" s="2">
        <v>46012</v>
      </c>
      <c r="E428" t="s">
        <v>94</v>
      </c>
      <c r="F428" t="s">
        <v>18</v>
      </c>
      <c r="G428" t="s">
        <v>621</v>
      </c>
      <c r="H428" s="1">
        <v>0.13680555555555557</v>
      </c>
      <c r="I428" s="1">
        <v>0.14583333333333334</v>
      </c>
      <c r="J428" s="2">
        <v>46013</v>
      </c>
      <c r="K428" t="s">
        <v>25</v>
      </c>
      <c r="L428" t="s">
        <v>622</v>
      </c>
      <c r="M428" t="s">
        <v>22</v>
      </c>
      <c r="N428" t="s">
        <v>22</v>
      </c>
      <c r="O428" t="s">
        <v>44</v>
      </c>
      <c r="P428" t="s">
        <v>23</v>
      </c>
      <c r="Q428" s="1">
        <f>SEGUIMIENTO_TPM_xlsx[[#This Row],[HORA FIN  INTERVENCIÓN]]-SEGUIMIENTO_TPM_xlsx[[#This Row],[HORA INICIO INTERVENCIÓN]]</f>
        <v>9.0277777777777735E-3</v>
      </c>
      <c r="R428" s="20">
        <f>(SEGUIMIENTO_TPM_xlsx[[#This Row],[HORA REPORTE]]+SEGUIMIENTO_TPM_xlsx[[#This Row],[FECHA DE REPORTE]])</f>
        <v>46012.136805555558</v>
      </c>
      <c r="S428" s="20">
        <f>(SEGUIMIENTO_TPM_xlsx[[#This Row],[FECHA DE INTERVENCÓN]]+SEGUIMIENTO_TPM_xlsx[[#This Row],[HORA FIN  INTERVENCIÓN]])</f>
        <v>46013.145833333336</v>
      </c>
      <c r="T428" s="11">
        <f>(SEGUIMIENTO_TPM_xlsx[[#This Row],[FECHA Y HORA FINAL]]-SEGUIMIENTO_TPM_xlsx[[#This Row],[FECHA Y HORA INICIO]])</f>
        <v>1.0090277777781012</v>
      </c>
    </row>
    <row r="429" spans="1:20" x14ac:dyDescent="0.25">
      <c r="A429">
        <v>437</v>
      </c>
      <c r="B429" t="s">
        <v>279</v>
      </c>
      <c r="C429" s="1">
        <v>0.39583333333333331</v>
      </c>
      <c r="D429" s="2">
        <v>46012</v>
      </c>
      <c r="E429" t="s">
        <v>17</v>
      </c>
      <c r="G429" t="s">
        <v>623</v>
      </c>
      <c r="H429" s="1">
        <v>0.39583333333333331</v>
      </c>
      <c r="I429" s="1">
        <v>0.41666666666666669</v>
      </c>
      <c r="J429" s="2">
        <v>46012</v>
      </c>
      <c r="K429" t="s">
        <v>20</v>
      </c>
      <c r="L429" t="s">
        <v>624</v>
      </c>
      <c r="M429" t="s">
        <v>22</v>
      </c>
      <c r="N429" t="s">
        <v>22</v>
      </c>
      <c r="O429" t="s">
        <v>112</v>
      </c>
      <c r="P429" t="s">
        <v>23</v>
      </c>
      <c r="Q429" s="1">
        <f>SEGUIMIENTO_TPM_xlsx[[#This Row],[HORA FIN  INTERVENCIÓN]]-SEGUIMIENTO_TPM_xlsx[[#This Row],[HORA INICIO INTERVENCIÓN]]</f>
        <v>2.083333333333337E-2</v>
      </c>
      <c r="R429" s="20">
        <f>(SEGUIMIENTO_TPM_xlsx[[#This Row],[HORA REPORTE]]+SEGUIMIENTO_TPM_xlsx[[#This Row],[FECHA DE REPORTE]])</f>
        <v>46012.395833333336</v>
      </c>
      <c r="S429" s="20">
        <f>(SEGUIMIENTO_TPM_xlsx[[#This Row],[FECHA DE INTERVENCÓN]]+SEGUIMIENTO_TPM_xlsx[[#This Row],[HORA FIN  INTERVENCIÓN]])</f>
        <v>46012.416666666664</v>
      </c>
      <c r="T429" s="11">
        <f>(SEGUIMIENTO_TPM_xlsx[[#This Row],[FECHA Y HORA FINAL]]-SEGUIMIENTO_TPM_xlsx[[#This Row],[FECHA Y HORA INICIO]])</f>
        <v>2.0833333328482695E-2</v>
      </c>
    </row>
    <row r="430" spans="1:20" x14ac:dyDescent="0.25">
      <c r="A430">
        <v>438</v>
      </c>
      <c r="C430" s="1"/>
      <c r="D430" s="2"/>
      <c r="H430" s="1"/>
      <c r="I430" s="1"/>
      <c r="J430" s="2"/>
      <c r="Q430" s="1">
        <f>SEGUIMIENTO_TPM_xlsx[[#This Row],[HORA FIN  INTERVENCIÓN]]-SEGUIMIENTO_TPM_xlsx[[#This Row],[HORA INICIO INTERVENCIÓN]]</f>
        <v>0</v>
      </c>
      <c r="R430" s="20">
        <f>(SEGUIMIENTO_TPM_xlsx[[#This Row],[HORA REPORTE]]+SEGUIMIENTO_TPM_xlsx[[#This Row],[FECHA DE REPORTE]])</f>
        <v>0</v>
      </c>
      <c r="S430" s="20">
        <f>(SEGUIMIENTO_TPM_xlsx[[#This Row],[FECHA DE INTERVENCÓN]]+SEGUIMIENTO_TPM_xlsx[[#This Row],[HORA FIN  INTERVENCIÓN]])</f>
        <v>0</v>
      </c>
      <c r="T430" s="11">
        <f>(SEGUIMIENTO_TPM_xlsx[[#This Row],[FECHA Y HORA FINAL]]-SEGUIMIENTO_TPM_xlsx[[#This Row],[FECHA Y HORA INICIO]])</f>
        <v>0</v>
      </c>
    </row>
    <row r="431" spans="1:20" x14ac:dyDescent="0.25">
      <c r="A431">
        <v>439</v>
      </c>
      <c r="B431" t="s">
        <v>16</v>
      </c>
      <c r="C431" s="1">
        <v>0.1875</v>
      </c>
      <c r="D431" s="2">
        <v>46013</v>
      </c>
      <c r="E431" t="s">
        <v>116</v>
      </c>
      <c r="F431" t="s">
        <v>18</v>
      </c>
      <c r="G431" t="s">
        <v>625</v>
      </c>
      <c r="H431" s="1">
        <v>0.1875</v>
      </c>
      <c r="I431" s="1">
        <v>0.19444444444444445</v>
      </c>
      <c r="J431" s="2">
        <v>46013</v>
      </c>
      <c r="K431" t="s">
        <v>20</v>
      </c>
      <c r="L431" t="s">
        <v>626</v>
      </c>
      <c r="M431" t="s">
        <v>22</v>
      </c>
      <c r="N431" t="s">
        <v>22</v>
      </c>
      <c r="O431" t="s">
        <v>44</v>
      </c>
      <c r="P431" t="s">
        <v>23</v>
      </c>
      <c r="Q431" s="1">
        <f>SEGUIMIENTO_TPM_xlsx[[#This Row],[HORA FIN  INTERVENCIÓN]]-SEGUIMIENTO_TPM_xlsx[[#This Row],[HORA INICIO INTERVENCIÓN]]</f>
        <v>6.9444444444444475E-3</v>
      </c>
      <c r="R431" s="20">
        <f>(SEGUIMIENTO_TPM_xlsx[[#This Row],[HORA REPORTE]]+SEGUIMIENTO_TPM_xlsx[[#This Row],[FECHA DE REPORTE]])</f>
        <v>46013.1875</v>
      </c>
      <c r="S431" s="20">
        <f>(SEGUIMIENTO_TPM_xlsx[[#This Row],[FECHA DE INTERVENCÓN]]+SEGUIMIENTO_TPM_xlsx[[#This Row],[HORA FIN  INTERVENCIÓN]])</f>
        <v>46013.194444444445</v>
      </c>
      <c r="T431" s="11">
        <f>(SEGUIMIENTO_TPM_xlsx[[#This Row],[FECHA Y HORA FINAL]]-SEGUIMIENTO_TPM_xlsx[[#This Row],[FECHA Y HORA INICIO]])</f>
        <v>6.9444444452528842E-3</v>
      </c>
    </row>
    <row r="432" spans="1:20" x14ac:dyDescent="0.25">
      <c r="A432">
        <v>440</v>
      </c>
      <c r="C432" s="1"/>
      <c r="D432" s="2"/>
      <c r="H432" s="1"/>
      <c r="I432" s="1"/>
      <c r="J432" s="2"/>
      <c r="Q432" s="1">
        <f>SEGUIMIENTO_TPM_xlsx[[#This Row],[HORA FIN  INTERVENCIÓN]]-SEGUIMIENTO_TPM_xlsx[[#This Row],[HORA INICIO INTERVENCIÓN]]</f>
        <v>0</v>
      </c>
      <c r="R432" s="20">
        <f>(SEGUIMIENTO_TPM_xlsx[[#This Row],[HORA REPORTE]]+SEGUIMIENTO_TPM_xlsx[[#This Row],[FECHA DE REPORTE]])</f>
        <v>0</v>
      </c>
      <c r="S432" s="20">
        <f>(SEGUIMIENTO_TPM_xlsx[[#This Row],[FECHA DE INTERVENCÓN]]+SEGUIMIENTO_TPM_xlsx[[#This Row],[HORA FIN  INTERVENCIÓN]])</f>
        <v>0</v>
      </c>
      <c r="T432" s="11">
        <f>(SEGUIMIENTO_TPM_xlsx[[#This Row],[FECHA Y HORA FINAL]]-SEGUIMIENTO_TPM_xlsx[[#This Row],[FECHA Y HORA INICIO]])</f>
        <v>0</v>
      </c>
    </row>
    <row r="433" spans="1:20" x14ac:dyDescent="0.25">
      <c r="A433">
        <v>441</v>
      </c>
      <c r="C433" s="1"/>
      <c r="D433" s="2"/>
      <c r="H433" s="1"/>
      <c r="I433" s="1"/>
      <c r="J433" s="2"/>
      <c r="Q433" s="1">
        <f>SEGUIMIENTO_TPM_xlsx[[#This Row],[HORA FIN  INTERVENCIÓN]]-SEGUIMIENTO_TPM_xlsx[[#This Row],[HORA INICIO INTERVENCIÓN]]</f>
        <v>0</v>
      </c>
      <c r="R433" s="20">
        <f>(SEGUIMIENTO_TPM_xlsx[[#This Row],[HORA REPORTE]]+SEGUIMIENTO_TPM_xlsx[[#This Row],[FECHA DE REPORTE]])</f>
        <v>0</v>
      </c>
      <c r="S433" s="20">
        <f>(SEGUIMIENTO_TPM_xlsx[[#This Row],[FECHA DE INTERVENCÓN]]+SEGUIMIENTO_TPM_xlsx[[#This Row],[HORA FIN  INTERVENCIÓN]])</f>
        <v>0</v>
      </c>
      <c r="T433" s="11">
        <f>(SEGUIMIENTO_TPM_xlsx[[#This Row],[FECHA Y HORA FINAL]]-SEGUIMIENTO_TPM_xlsx[[#This Row],[FECHA Y HORA INICIO]])</f>
        <v>0</v>
      </c>
    </row>
    <row r="434" spans="1:20" x14ac:dyDescent="0.25">
      <c r="A434">
        <v>442</v>
      </c>
      <c r="B434" t="s">
        <v>93</v>
      </c>
      <c r="C434" s="1">
        <v>0.77777777777777779</v>
      </c>
      <c r="D434" s="2">
        <v>46017</v>
      </c>
      <c r="E434" t="s">
        <v>94</v>
      </c>
      <c r="G434" t="s">
        <v>627</v>
      </c>
      <c r="H434" s="1">
        <v>0.77777777777777779</v>
      </c>
      <c r="I434" s="1">
        <v>0.79166666666666663</v>
      </c>
      <c r="J434" s="2">
        <v>46017</v>
      </c>
      <c r="K434" t="s">
        <v>25</v>
      </c>
      <c r="L434" t="s">
        <v>628</v>
      </c>
      <c r="M434" t="s">
        <v>22</v>
      </c>
      <c r="N434" t="s">
        <v>629</v>
      </c>
      <c r="O434" t="s">
        <v>108</v>
      </c>
      <c r="P434" t="s">
        <v>23</v>
      </c>
      <c r="Q434" s="1">
        <f>SEGUIMIENTO_TPM_xlsx[[#This Row],[HORA FIN  INTERVENCIÓN]]-SEGUIMIENTO_TPM_xlsx[[#This Row],[HORA INICIO INTERVENCIÓN]]</f>
        <v>1.388888888888884E-2</v>
      </c>
      <c r="R434" s="20">
        <f>(SEGUIMIENTO_TPM_xlsx[[#This Row],[HORA REPORTE]]+SEGUIMIENTO_TPM_xlsx[[#This Row],[FECHA DE REPORTE]])</f>
        <v>46017.777777777781</v>
      </c>
      <c r="S434" s="20">
        <f>(SEGUIMIENTO_TPM_xlsx[[#This Row],[FECHA DE INTERVENCÓN]]+SEGUIMIENTO_TPM_xlsx[[#This Row],[HORA FIN  INTERVENCIÓN]])</f>
        <v>46017.791666666664</v>
      </c>
      <c r="T434" s="11">
        <f>(SEGUIMIENTO_TPM_xlsx[[#This Row],[FECHA Y HORA FINAL]]-SEGUIMIENTO_TPM_xlsx[[#This Row],[FECHA Y HORA INICIO]])</f>
        <v>1.3888888883229811E-2</v>
      </c>
    </row>
    <row r="435" spans="1:20" x14ac:dyDescent="0.25">
      <c r="A435">
        <v>443</v>
      </c>
      <c r="B435" t="s">
        <v>630</v>
      </c>
      <c r="C435" s="1">
        <v>0.97916666666666663</v>
      </c>
      <c r="D435" s="2"/>
      <c r="E435" t="s">
        <v>17</v>
      </c>
      <c r="G435" t="s">
        <v>631</v>
      </c>
      <c r="H435" s="1"/>
      <c r="I435" s="1"/>
      <c r="J435" s="2"/>
      <c r="K435" t="s">
        <v>25</v>
      </c>
      <c r="L435" t="s">
        <v>632</v>
      </c>
      <c r="M435" t="s">
        <v>22</v>
      </c>
      <c r="N435" t="s">
        <v>22</v>
      </c>
      <c r="O435" t="s">
        <v>108</v>
      </c>
      <c r="P435" t="s">
        <v>23</v>
      </c>
      <c r="Q435" s="1">
        <f>SEGUIMIENTO_TPM_xlsx[[#This Row],[HORA FIN  INTERVENCIÓN]]-SEGUIMIENTO_TPM_xlsx[[#This Row],[HORA INICIO INTERVENCIÓN]]</f>
        <v>0</v>
      </c>
      <c r="R435" s="20">
        <f>(SEGUIMIENTO_TPM_xlsx[[#This Row],[HORA REPORTE]]+SEGUIMIENTO_TPM_xlsx[[#This Row],[FECHA DE REPORTE]])</f>
        <v>0.97916666666666663</v>
      </c>
      <c r="S435" s="20">
        <f>(SEGUIMIENTO_TPM_xlsx[[#This Row],[FECHA DE INTERVENCÓN]]+SEGUIMIENTO_TPM_xlsx[[#This Row],[HORA FIN  INTERVENCIÓN]])</f>
        <v>0</v>
      </c>
      <c r="T435" s="11">
        <f>(SEGUIMIENTO_TPM_xlsx[[#This Row],[FECHA Y HORA FINAL]]-SEGUIMIENTO_TPM_xlsx[[#This Row],[FECHA Y HORA INICIO]])</f>
        <v>-0.97916666666666663</v>
      </c>
    </row>
    <row r="436" spans="1:20" x14ac:dyDescent="0.25">
      <c r="A436">
        <v>444</v>
      </c>
      <c r="B436" t="s">
        <v>238</v>
      </c>
      <c r="C436" s="1">
        <v>0.12777777777777777</v>
      </c>
      <c r="D436" s="2">
        <v>46018</v>
      </c>
      <c r="E436" t="s">
        <v>109</v>
      </c>
      <c r="G436" t="s">
        <v>633</v>
      </c>
      <c r="H436" s="1">
        <v>0.12777777777777777</v>
      </c>
      <c r="I436" s="1">
        <v>0.13194444444444445</v>
      </c>
      <c r="J436" s="2">
        <v>46018</v>
      </c>
      <c r="K436" t="s">
        <v>25</v>
      </c>
      <c r="L436" t="s">
        <v>634</v>
      </c>
      <c r="M436" t="s">
        <v>22</v>
      </c>
      <c r="N436" t="s">
        <v>22</v>
      </c>
      <c r="O436" t="s">
        <v>112</v>
      </c>
      <c r="P436" t="s">
        <v>23</v>
      </c>
      <c r="Q436" s="1">
        <f>SEGUIMIENTO_TPM_xlsx[[#This Row],[HORA FIN  INTERVENCIÓN]]-SEGUIMIENTO_TPM_xlsx[[#This Row],[HORA INICIO INTERVENCIÓN]]</f>
        <v>4.1666666666666796E-3</v>
      </c>
      <c r="R436" s="20">
        <f>(SEGUIMIENTO_TPM_xlsx[[#This Row],[HORA REPORTE]]+SEGUIMIENTO_TPM_xlsx[[#This Row],[FECHA DE REPORTE]])</f>
        <v>46018.12777777778</v>
      </c>
      <c r="S436" s="20">
        <f>(SEGUIMIENTO_TPM_xlsx[[#This Row],[FECHA DE INTERVENCÓN]]+SEGUIMIENTO_TPM_xlsx[[#This Row],[HORA FIN  INTERVENCIÓN]])</f>
        <v>46018.131944444445</v>
      </c>
      <c r="T436" s="11">
        <f>(SEGUIMIENTO_TPM_xlsx[[#This Row],[FECHA Y HORA FINAL]]-SEGUIMIENTO_TPM_xlsx[[#This Row],[FECHA Y HORA INICIO]])</f>
        <v>4.166666665696539E-3</v>
      </c>
    </row>
    <row r="437" spans="1:20" x14ac:dyDescent="0.25">
      <c r="A437">
        <v>445</v>
      </c>
      <c r="B437" t="s">
        <v>238</v>
      </c>
      <c r="C437" s="1">
        <v>0.63541666666666663</v>
      </c>
      <c r="D437" s="2">
        <v>46018</v>
      </c>
      <c r="E437" t="s">
        <v>109</v>
      </c>
      <c r="G437" t="s">
        <v>635</v>
      </c>
      <c r="H437" s="1">
        <v>0.63541666666666663</v>
      </c>
      <c r="I437" s="1">
        <v>0.68055555555555558</v>
      </c>
      <c r="J437" s="2">
        <v>46018</v>
      </c>
      <c r="K437" t="s">
        <v>25</v>
      </c>
      <c r="L437" t="s">
        <v>636</v>
      </c>
      <c r="M437" t="s">
        <v>22</v>
      </c>
      <c r="N437" t="s">
        <v>22</v>
      </c>
      <c r="O437" t="s">
        <v>112</v>
      </c>
      <c r="P437" t="s">
        <v>23</v>
      </c>
      <c r="Q437" s="1">
        <f>SEGUIMIENTO_TPM_xlsx[[#This Row],[HORA FIN  INTERVENCIÓN]]-SEGUIMIENTO_TPM_xlsx[[#This Row],[HORA INICIO INTERVENCIÓN]]</f>
        <v>4.5138888888888951E-2</v>
      </c>
      <c r="R437" s="20">
        <f>(SEGUIMIENTO_TPM_xlsx[[#This Row],[HORA REPORTE]]+SEGUIMIENTO_TPM_xlsx[[#This Row],[FECHA DE REPORTE]])</f>
        <v>46018.635416666664</v>
      </c>
      <c r="S437" s="20">
        <f>(SEGUIMIENTO_TPM_xlsx[[#This Row],[FECHA DE INTERVENCÓN]]+SEGUIMIENTO_TPM_xlsx[[#This Row],[HORA FIN  INTERVENCIÓN]])</f>
        <v>46018.680555555555</v>
      </c>
      <c r="T437" s="11">
        <f>(SEGUIMIENTO_TPM_xlsx[[#This Row],[FECHA Y HORA FINAL]]-SEGUIMIENTO_TPM_xlsx[[#This Row],[FECHA Y HORA INICIO]])</f>
        <v>4.5138888890505768E-2</v>
      </c>
    </row>
    <row r="438" spans="1:20" x14ac:dyDescent="0.25">
      <c r="A438">
        <v>446</v>
      </c>
      <c r="B438" t="s">
        <v>176</v>
      </c>
      <c r="C438" s="1">
        <v>0.68055555555555558</v>
      </c>
      <c r="D438" s="2">
        <v>46018</v>
      </c>
      <c r="E438" t="s">
        <v>94</v>
      </c>
      <c r="G438" t="s">
        <v>637</v>
      </c>
      <c r="H438" s="1">
        <v>0.68055555555555558</v>
      </c>
      <c r="I438" s="1">
        <v>0.72916666666666663</v>
      </c>
      <c r="J438" s="2">
        <v>46018</v>
      </c>
      <c r="K438" t="s">
        <v>25</v>
      </c>
      <c r="L438" t="s">
        <v>638</v>
      </c>
      <c r="M438" t="s">
        <v>22</v>
      </c>
      <c r="N438" t="s">
        <v>22</v>
      </c>
      <c r="O438" t="s">
        <v>112</v>
      </c>
      <c r="P438" t="s">
        <v>23</v>
      </c>
      <c r="Q438" s="1">
        <f>SEGUIMIENTO_TPM_xlsx[[#This Row],[HORA FIN  INTERVENCIÓN]]-SEGUIMIENTO_TPM_xlsx[[#This Row],[HORA INICIO INTERVENCIÓN]]</f>
        <v>4.8611111111111049E-2</v>
      </c>
      <c r="R438" s="20">
        <f>(SEGUIMIENTO_TPM_xlsx[[#This Row],[HORA REPORTE]]+SEGUIMIENTO_TPM_xlsx[[#This Row],[FECHA DE REPORTE]])</f>
        <v>46018.680555555555</v>
      </c>
      <c r="S438" s="20">
        <f>(SEGUIMIENTO_TPM_xlsx[[#This Row],[FECHA DE INTERVENCÓN]]+SEGUIMIENTO_TPM_xlsx[[#This Row],[HORA FIN  INTERVENCIÓN]])</f>
        <v>46018.729166666664</v>
      </c>
      <c r="T438" s="11">
        <f>(SEGUIMIENTO_TPM_xlsx[[#This Row],[FECHA Y HORA FINAL]]-SEGUIMIENTO_TPM_xlsx[[#This Row],[FECHA Y HORA INICIO]])</f>
        <v>4.8611111109494232E-2</v>
      </c>
    </row>
    <row r="439" spans="1:20" x14ac:dyDescent="0.25">
      <c r="A439">
        <v>447</v>
      </c>
      <c r="B439" t="s">
        <v>176</v>
      </c>
      <c r="C439" s="1">
        <v>0.86805555555555558</v>
      </c>
      <c r="D439" s="2">
        <v>46019</v>
      </c>
      <c r="E439" t="s">
        <v>94</v>
      </c>
      <c r="G439" t="s">
        <v>639</v>
      </c>
      <c r="H439" s="1">
        <v>0.86805555555555558</v>
      </c>
      <c r="I439" s="1">
        <v>0.88194444444444442</v>
      </c>
      <c r="J439" s="2">
        <v>46019</v>
      </c>
      <c r="K439" t="s">
        <v>25</v>
      </c>
      <c r="L439" t="s">
        <v>640</v>
      </c>
      <c r="M439" t="s">
        <v>22</v>
      </c>
      <c r="N439" t="s">
        <v>641</v>
      </c>
      <c r="O439" t="s">
        <v>112</v>
      </c>
      <c r="P439" t="s">
        <v>23</v>
      </c>
      <c r="Q439" s="1">
        <f>SEGUIMIENTO_TPM_xlsx[[#This Row],[HORA FIN  INTERVENCIÓN]]-SEGUIMIENTO_TPM_xlsx[[#This Row],[HORA INICIO INTERVENCIÓN]]</f>
        <v>1.388888888888884E-2</v>
      </c>
      <c r="R439" s="20">
        <f>(SEGUIMIENTO_TPM_xlsx[[#This Row],[HORA REPORTE]]+SEGUIMIENTO_TPM_xlsx[[#This Row],[FECHA DE REPORTE]])</f>
        <v>46019.868055555555</v>
      </c>
      <c r="S439" s="20">
        <f>(SEGUIMIENTO_TPM_xlsx[[#This Row],[FECHA DE INTERVENCÓN]]+SEGUIMIENTO_TPM_xlsx[[#This Row],[HORA FIN  INTERVENCIÓN]])</f>
        <v>46019.881944444445</v>
      </c>
      <c r="T439" s="11">
        <f>(SEGUIMIENTO_TPM_xlsx[[#This Row],[FECHA Y HORA FINAL]]-SEGUIMIENTO_TPM_xlsx[[#This Row],[FECHA Y HORA INICIO]])</f>
        <v>1.3888888890505768E-2</v>
      </c>
    </row>
    <row r="440" spans="1:20" x14ac:dyDescent="0.25">
      <c r="A440">
        <v>448</v>
      </c>
      <c r="B440" t="s">
        <v>16</v>
      </c>
      <c r="C440" s="1">
        <v>0.25694444444444442</v>
      </c>
      <c r="D440" s="2">
        <v>46019</v>
      </c>
      <c r="E440" t="s">
        <v>116</v>
      </c>
      <c r="G440" t="s">
        <v>642</v>
      </c>
      <c r="H440" s="1">
        <v>0.25694444444444442</v>
      </c>
      <c r="I440" s="1">
        <v>0.28819444444444442</v>
      </c>
      <c r="J440" s="2">
        <v>46019</v>
      </c>
      <c r="K440" t="s">
        <v>25</v>
      </c>
      <c r="L440" t="s">
        <v>643</v>
      </c>
      <c r="M440" t="s">
        <v>22</v>
      </c>
      <c r="N440" t="s">
        <v>22</v>
      </c>
      <c r="O440" t="s">
        <v>108</v>
      </c>
      <c r="P440" t="s">
        <v>23</v>
      </c>
      <c r="Q440" s="1">
        <f>SEGUIMIENTO_TPM_xlsx[[#This Row],[HORA FIN  INTERVENCIÓN]]-SEGUIMIENTO_TPM_xlsx[[#This Row],[HORA INICIO INTERVENCIÓN]]</f>
        <v>3.125E-2</v>
      </c>
      <c r="R440" s="20">
        <f>(SEGUIMIENTO_TPM_xlsx[[#This Row],[HORA REPORTE]]+SEGUIMIENTO_TPM_xlsx[[#This Row],[FECHA DE REPORTE]])</f>
        <v>46019.256944444445</v>
      </c>
      <c r="S440" s="20">
        <f>(SEGUIMIENTO_TPM_xlsx[[#This Row],[FECHA DE INTERVENCÓN]]+SEGUIMIENTO_TPM_xlsx[[#This Row],[HORA FIN  INTERVENCIÓN]])</f>
        <v>46019.288194444445</v>
      </c>
      <c r="T440" s="11">
        <f>(SEGUIMIENTO_TPM_xlsx[[#This Row],[FECHA Y HORA FINAL]]-SEGUIMIENTO_TPM_xlsx[[#This Row],[FECHA Y HORA INICIO]])</f>
        <v>3.125E-2</v>
      </c>
    </row>
    <row r="441" spans="1:20" x14ac:dyDescent="0.25">
      <c r="A441">
        <v>449</v>
      </c>
      <c r="B441" t="s">
        <v>93</v>
      </c>
      <c r="C441" s="1">
        <v>7.6388888888888895E-2</v>
      </c>
      <c r="D441" s="2">
        <v>46020</v>
      </c>
      <c r="E441" t="s">
        <v>94</v>
      </c>
      <c r="G441" t="s">
        <v>644</v>
      </c>
      <c r="H441" s="1">
        <v>6.25E-2</v>
      </c>
      <c r="I441" s="1">
        <v>8.6805555555555552E-2</v>
      </c>
      <c r="J441" s="2">
        <v>46020</v>
      </c>
      <c r="K441" t="s">
        <v>25</v>
      </c>
      <c r="L441" t="s">
        <v>645</v>
      </c>
      <c r="M441" t="s">
        <v>22</v>
      </c>
      <c r="N441" t="s">
        <v>22</v>
      </c>
      <c r="O441" t="s">
        <v>112</v>
      </c>
      <c r="P441" t="s">
        <v>23</v>
      </c>
      <c r="Q441" s="1">
        <f>SEGUIMIENTO_TPM_xlsx[[#This Row],[HORA FIN  INTERVENCIÓN]]-SEGUIMIENTO_TPM_xlsx[[#This Row],[HORA INICIO INTERVENCIÓN]]</f>
        <v>2.4305555555555552E-2</v>
      </c>
      <c r="R441" s="20">
        <f>(SEGUIMIENTO_TPM_xlsx[[#This Row],[HORA REPORTE]]+SEGUIMIENTO_TPM_xlsx[[#This Row],[FECHA DE REPORTE]])</f>
        <v>46020.076388888891</v>
      </c>
      <c r="S441" s="20">
        <f>(SEGUIMIENTO_TPM_xlsx[[#This Row],[FECHA DE INTERVENCÓN]]+SEGUIMIENTO_TPM_xlsx[[#This Row],[HORA FIN  INTERVENCIÓN]])</f>
        <v>46020.086805555555</v>
      </c>
      <c r="T441" s="11">
        <f>(SEGUIMIENTO_TPM_xlsx[[#This Row],[FECHA Y HORA FINAL]]-SEGUIMIENTO_TPM_xlsx[[#This Row],[FECHA Y HORA INICIO]])</f>
        <v>1.0416666664241347E-2</v>
      </c>
    </row>
    <row r="442" spans="1:20" x14ac:dyDescent="0.25">
      <c r="A442">
        <v>450</v>
      </c>
      <c r="B442" t="s">
        <v>93</v>
      </c>
      <c r="C442" s="1">
        <v>0.13194444444444445</v>
      </c>
      <c r="D442" s="2">
        <v>46020</v>
      </c>
      <c r="E442" t="s">
        <v>116</v>
      </c>
      <c r="G442" t="s">
        <v>646</v>
      </c>
      <c r="H442" s="1">
        <v>0.13194444444444445</v>
      </c>
      <c r="I442" s="1">
        <v>0.15972222222222221</v>
      </c>
      <c r="J442" s="2">
        <v>46020</v>
      </c>
      <c r="K442" t="s">
        <v>25</v>
      </c>
      <c r="L442" t="s">
        <v>647</v>
      </c>
      <c r="M442" t="s">
        <v>22</v>
      </c>
      <c r="N442" t="s">
        <v>22</v>
      </c>
      <c r="O442" t="s">
        <v>112</v>
      </c>
      <c r="P442" t="s">
        <v>23</v>
      </c>
      <c r="Q442" s="1">
        <f>SEGUIMIENTO_TPM_xlsx[[#This Row],[HORA FIN  INTERVENCIÓN]]-SEGUIMIENTO_TPM_xlsx[[#This Row],[HORA INICIO INTERVENCIÓN]]</f>
        <v>2.7777777777777762E-2</v>
      </c>
      <c r="R442" s="20">
        <f>(SEGUIMIENTO_TPM_xlsx[[#This Row],[HORA REPORTE]]+SEGUIMIENTO_TPM_xlsx[[#This Row],[FECHA DE REPORTE]])</f>
        <v>46020.131944444445</v>
      </c>
      <c r="S442" s="20">
        <f>(SEGUIMIENTO_TPM_xlsx[[#This Row],[FECHA DE INTERVENCÓN]]+SEGUIMIENTO_TPM_xlsx[[#This Row],[HORA FIN  INTERVENCIÓN]])</f>
        <v>46020.159722222219</v>
      </c>
      <c r="T442" s="11">
        <f>(SEGUIMIENTO_TPM_xlsx[[#This Row],[FECHA Y HORA FINAL]]-SEGUIMIENTO_TPM_xlsx[[#This Row],[FECHA Y HORA INICIO]])</f>
        <v>2.7777777773735579E-2</v>
      </c>
    </row>
    <row r="443" spans="1:20" x14ac:dyDescent="0.25">
      <c r="A443">
        <v>451</v>
      </c>
      <c r="B443" t="s">
        <v>231</v>
      </c>
      <c r="C443" s="1">
        <v>0.1736111111111111</v>
      </c>
      <c r="D443" s="2">
        <v>46020</v>
      </c>
      <c r="E443" t="s">
        <v>143</v>
      </c>
      <c r="F443" t="s">
        <v>18</v>
      </c>
      <c r="G443" t="s">
        <v>648</v>
      </c>
      <c r="H443" s="1">
        <v>0.1736111111111111</v>
      </c>
      <c r="I443" s="1">
        <v>0.22916666666666666</v>
      </c>
      <c r="J443" s="2">
        <v>46020</v>
      </c>
      <c r="K443" t="s">
        <v>20</v>
      </c>
      <c r="L443" t="s">
        <v>649</v>
      </c>
      <c r="M443" t="s">
        <v>22</v>
      </c>
      <c r="N443" t="s">
        <v>22</v>
      </c>
      <c r="O443" t="s">
        <v>112</v>
      </c>
      <c r="P443" t="s">
        <v>23</v>
      </c>
      <c r="Q443" s="1">
        <f>SEGUIMIENTO_TPM_xlsx[[#This Row],[HORA FIN  INTERVENCIÓN]]-SEGUIMIENTO_TPM_xlsx[[#This Row],[HORA INICIO INTERVENCIÓN]]</f>
        <v>5.5555555555555552E-2</v>
      </c>
      <c r="R443" s="20">
        <f>(SEGUIMIENTO_TPM_xlsx[[#This Row],[HORA REPORTE]]+SEGUIMIENTO_TPM_xlsx[[#This Row],[FECHA DE REPORTE]])</f>
        <v>46020.173611111109</v>
      </c>
      <c r="S443" s="20">
        <f>(SEGUIMIENTO_TPM_xlsx[[#This Row],[FECHA DE INTERVENCÓN]]+SEGUIMIENTO_TPM_xlsx[[#This Row],[HORA FIN  INTERVENCIÓN]])</f>
        <v>46020.229166666664</v>
      </c>
      <c r="T443" s="11">
        <f>(SEGUIMIENTO_TPM_xlsx[[#This Row],[FECHA Y HORA FINAL]]-SEGUIMIENTO_TPM_xlsx[[#This Row],[FECHA Y HORA INICIO]])</f>
        <v>5.5555555554747116E-2</v>
      </c>
    </row>
    <row r="444" spans="1:20" x14ac:dyDescent="0.25">
      <c r="A444">
        <v>452</v>
      </c>
      <c r="C444" s="1"/>
      <c r="D444" s="2"/>
      <c r="H444" s="1"/>
      <c r="I444" s="1"/>
      <c r="J444" s="2"/>
      <c r="Q444" s="1">
        <f>SEGUIMIENTO_TPM_xlsx[[#This Row],[HORA FIN  INTERVENCIÓN]]-SEGUIMIENTO_TPM_xlsx[[#This Row],[HORA INICIO INTERVENCIÓN]]</f>
        <v>0</v>
      </c>
      <c r="R444" s="20">
        <f>(SEGUIMIENTO_TPM_xlsx[[#This Row],[HORA REPORTE]]+SEGUIMIENTO_TPM_xlsx[[#This Row],[FECHA DE REPORTE]])</f>
        <v>0</v>
      </c>
      <c r="S444" s="20">
        <f>(SEGUIMIENTO_TPM_xlsx[[#This Row],[FECHA DE INTERVENCÓN]]+SEGUIMIENTO_TPM_xlsx[[#This Row],[HORA FIN  INTERVENCIÓN]])</f>
        <v>0</v>
      </c>
      <c r="T444" s="11">
        <f>(SEGUIMIENTO_TPM_xlsx[[#This Row],[FECHA Y HORA FINAL]]-SEGUIMIENTO_TPM_xlsx[[#This Row],[FECHA Y HORA INICIO]])</f>
        <v>0</v>
      </c>
    </row>
    <row r="445" spans="1:20" x14ac:dyDescent="0.25">
      <c r="A445">
        <v>453</v>
      </c>
      <c r="B445" t="s">
        <v>103</v>
      </c>
      <c r="C445" s="1">
        <v>0.22569444444444445</v>
      </c>
      <c r="D445" s="2">
        <v>46020</v>
      </c>
      <c r="E445" t="s">
        <v>104</v>
      </c>
      <c r="F445" t="s">
        <v>650</v>
      </c>
      <c r="G445" t="s">
        <v>651</v>
      </c>
      <c r="H445" s="1">
        <v>0.375</v>
      </c>
      <c r="I445" s="1">
        <v>0.40625</v>
      </c>
      <c r="J445" s="2">
        <v>46021</v>
      </c>
      <c r="K445" t="s">
        <v>25</v>
      </c>
      <c r="L445" t="s">
        <v>652</v>
      </c>
      <c r="M445" t="s">
        <v>22</v>
      </c>
      <c r="N445" t="s">
        <v>22</v>
      </c>
      <c r="O445" t="s">
        <v>112</v>
      </c>
      <c r="P445" t="s">
        <v>23</v>
      </c>
      <c r="Q445" s="1">
        <f>SEGUIMIENTO_TPM_xlsx[[#This Row],[HORA FIN  INTERVENCIÓN]]-SEGUIMIENTO_TPM_xlsx[[#This Row],[HORA INICIO INTERVENCIÓN]]</f>
        <v>3.125E-2</v>
      </c>
      <c r="R445" s="20">
        <f>(SEGUIMIENTO_TPM_xlsx[[#This Row],[HORA REPORTE]]+SEGUIMIENTO_TPM_xlsx[[#This Row],[FECHA DE REPORTE]])</f>
        <v>46020.225694444445</v>
      </c>
      <c r="S445" s="20">
        <f>(SEGUIMIENTO_TPM_xlsx[[#This Row],[FECHA DE INTERVENCÓN]]+SEGUIMIENTO_TPM_xlsx[[#This Row],[HORA FIN  INTERVENCIÓN]])</f>
        <v>46021.40625</v>
      </c>
      <c r="T445" s="11">
        <f>(SEGUIMIENTO_TPM_xlsx[[#This Row],[FECHA Y HORA FINAL]]-SEGUIMIENTO_TPM_xlsx[[#This Row],[FECHA Y HORA INICIO]])</f>
        <v>1.1805555555547471</v>
      </c>
    </row>
    <row r="446" spans="1:20" x14ac:dyDescent="0.25">
      <c r="A446">
        <v>454</v>
      </c>
      <c r="B446" t="s">
        <v>341</v>
      </c>
      <c r="C446" s="1">
        <v>0.66666666666666663</v>
      </c>
      <c r="D446" s="2">
        <v>46020</v>
      </c>
      <c r="E446" t="s">
        <v>143</v>
      </c>
      <c r="G446" t="s">
        <v>653</v>
      </c>
      <c r="H446" s="1">
        <v>0.25</v>
      </c>
      <c r="I446" s="1">
        <v>0.34722222222222221</v>
      </c>
      <c r="J446" s="2">
        <v>46021</v>
      </c>
      <c r="K446" t="s">
        <v>20</v>
      </c>
      <c r="L446" t="s">
        <v>654</v>
      </c>
      <c r="M446" t="s">
        <v>22</v>
      </c>
      <c r="N446" t="s">
        <v>22</v>
      </c>
      <c r="O446" t="s">
        <v>112</v>
      </c>
      <c r="P446" t="s">
        <v>23</v>
      </c>
      <c r="Q446" s="1">
        <f>SEGUIMIENTO_TPM_xlsx[[#This Row],[HORA FIN  INTERVENCIÓN]]-SEGUIMIENTO_TPM_xlsx[[#This Row],[HORA INICIO INTERVENCIÓN]]</f>
        <v>9.722222222222221E-2</v>
      </c>
      <c r="R446" s="20">
        <f>(SEGUIMIENTO_TPM_xlsx[[#This Row],[HORA REPORTE]]+SEGUIMIENTO_TPM_xlsx[[#This Row],[FECHA DE REPORTE]])</f>
        <v>46020.666666666664</v>
      </c>
      <c r="S446" s="20">
        <f>(SEGUIMIENTO_TPM_xlsx[[#This Row],[FECHA DE INTERVENCÓN]]+SEGUIMIENTO_TPM_xlsx[[#This Row],[HORA FIN  INTERVENCIÓN]])</f>
        <v>46021.347222222219</v>
      </c>
      <c r="T446" s="11">
        <f>(SEGUIMIENTO_TPM_xlsx[[#This Row],[FECHA Y HORA FINAL]]-SEGUIMIENTO_TPM_xlsx[[#This Row],[FECHA Y HORA INICIO]])</f>
        <v>0.68055555555474712</v>
      </c>
    </row>
    <row r="447" spans="1:20" x14ac:dyDescent="0.25">
      <c r="A447">
        <v>455</v>
      </c>
      <c r="B447" t="s">
        <v>261</v>
      </c>
      <c r="C447" s="1">
        <v>0.86111111111111116</v>
      </c>
      <c r="D447" s="2">
        <v>46020</v>
      </c>
      <c r="E447" t="s">
        <v>91</v>
      </c>
      <c r="G447" t="s">
        <v>655</v>
      </c>
      <c r="H447" s="1">
        <v>0.86111111111111116</v>
      </c>
      <c r="I447" s="1">
        <v>0.8833333333333333</v>
      </c>
      <c r="J447" s="2">
        <v>46020</v>
      </c>
      <c r="K447" t="s">
        <v>20</v>
      </c>
      <c r="L447" t="s">
        <v>656</v>
      </c>
      <c r="M447" t="s">
        <v>22</v>
      </c>
      <c r="N447" t="s">
        <v>22</v>
      </c>
      <c r="O447" t="s">
        <v>108</v>
      </c>
      <c r="P447" t="s">
        <v>23</v>
      </c>
      <c r="Q447" s="1">
        <f>SEGUIMIENTO_TPM_xlsx[[#This Row],[HORA FIN  INTERVENCIÓN]]-SEGUIMIENTO_TPM_xlsx[[#This Row],[HORA INICIO INTERVENCIÓN]]</f>
        <v>2.2222222222222143E-2</v>
      </c>
      <c r="R447" s="20">
        <f>(SEGUIMIENTO_TPM_xlsx[[#This Row],[HORA REPORTE]]+SEGUIMIENTO_TPM_xlsx[[#This Row],[FECHA DE REPORTE]])</f>
        <v>46020.861111111109</v>
      </c>
      <c r="S447" s="20">
        <f>(SEGUIMIENTO_TPM_xlsx[[#This Row],[FECHA DE INTERVENCÓN]]+SEGUIMIENTO_TPM_xlsx[[#This Row],[HORA FIN  INTERVENCIÓN]])</f>
        <v>46020.883333333331</v>
      </c>
      <c r="T447" s="11">
        <f>(SEGUIMIENTO_TPM_xlsx[[#This Row],[FECHA Y HORA FINAL]]-SEGUIMIENTO_TPM_xlsx[[#This Row],[FECHA Y HORA INICIO]])</f>
        <v>2.2222222221898846E-2</v>
      </c>
    </row>
    <row r="448" spans="1:20" x14ac:dyDescent="0.25">
      <c r="A448">
        <v>456</v>
      </c>
      <c r="B448" t="s">
        <v>657</v>
      </c>
      <c r="C448" s="1">
        <v>0.65625</v>
      </c>
      <c r="D448" s="2">
        <v>46027</v>
      </c>
      <c r="E448" t="s">
        <v>109</v>
      </c>
      <c r="F448" t="s">
        <v>18</v>
      </c>
      <c r="G448" t="s">
        <v>658</v>
      </c>
      <c r="H448" s="1">
        <v>0.65972222222222221</v>
      </c>
      <c r="I448" s="1">
        <v>0.66666666666666663</v>
      </c>
      <c r="J448" s="2">
        <v>45662</v>
      </c>
      <c r="K448" t="s">
        <v>20</v>
      </c>
      <c r="L448" t="s">
        <v>659</v>
      </c>
      <c r="M448" t="s">
        <v>22</v>
      </c>
      <c r="N448" t="s">
        <v>660</v>
      </c>
      <c r="O448" t="s">
        <v>661</v>
      </c>
      <c r="P448" t="s">
        <v>23</v>
      </c>
      <c r="Q448" s="1">
        <f>SEGUIMIENTO_TPM_xlsx[[#This Row],[HORA FIN  INTERVENCIÓN]]-SEGUIMIENTO_TPM_xlsx[[#This Row],[HORA INICIO INTERVENCIÓN]]</f>
        <v>6.9444444444444198E-3</v>
      </c>
      <c r="R448" s="20">
        <f>(SEGUIMIENTO_TPM_xlsx[[#This Row],[HORA REPORTE]]+SEGUIMIENTO_TPM_xlsx[[#This Row],[FECHA DE REPORTE]])</f>
        <v>46027.65625</v>
      </c>
      <c r="S448" s="20">
        <f>(SEGUIMIENTO_TPM_xlsx[[#This Row],[FECHA DE INTERVENCÓN]]+SEGUIMIENTO_TPM_xlsx[[#This Row],[HORA FIN  INTERVENCIÓN]])</f>
        <v>45662.666666666664</v>
      </c>
      <c r="T448" s="11">
        <f>(SEGUIMIENTO_TPM_xlsx[[#This Row],[FECHA Y HORA FINAL]]-SEGUIMIENTO_TPM_xlsx[[#This Row],[FECHA Y HORA INICIO]])</f>
        <v>-364.98958333333576</v>
      </c>
    </row>
    <row r="449" spans="1:20" x14ac:dyDescent="0.25">
      <c r="A449">
        <v>457</v>
      </c>
      <c r="B449" t="s">
        <v>103</v>
      </c>
      <c r="C449" s="1">
        <v>0.65972222222222221</v>
      </c>
      <c r="D449" s="2">
        <v>46021</v>
      </c>
      <c r="E449" t="s">
        <v>188</v>
      </c>
      <c r="F449" t="s">
        <v>650</v>
      </c>
      <c r="G449" t="s">
        <v>662</v>
      </c>
      <c r="H449" s="1"/>
      <c r="I449" s="1"/>
      <c r="J449" s="2"/>
      <c r="P449" t="s">
        <v>33</v>
      </c>
      <c r="Q449" s="1">
        <f>SEGUIMIENTO_TPM_xlsx[[#This Row],[HORA FIN  INTERVENCIÓN]]-SEGUIMIENTO_TPM_xlsx[[#This Row],[HORA INICIO INTERVENCIÓN]]</f>
        <v>0</v>
      </c>
      <c r="R449" s="20">
        <f>(SEGUIMIENTO_TPM_xlsx[[#This Row],[HORA REPORTE]]+SEGUIMIENTO_TPM_xlsx[[#This Row],[FECHA DE REPORTE]])</f>
        <v>46021.659722222219</v>
      </c>
      <c r="S449" s="20">
        <f>(SEGUIMIENTO_TPM_xlsx[[#This Row],[FECHA DE INTERVENCÓN]]+SEGUIMIENTO_TPM_xlsx[[#This Row],[HORA FIN  INTERVENCIÓN]])</f>
        <v>0</v>
      </c>
      <c r="T449" s="11">
        <f>(SEGUIMIENTO_TPM_xlsx[[#This Row],[FECHA Y HORA FINAL]]-SEGUIMIENTO_TPM_xlsx[[#This Row],[FECHA Y HORA INICIO]])</f>
        <v>-46021.659722222219</v>
      </c>
    </row>
    <row r="450" spans="1:20" x14ac:dyDescent="0.25">
      <c r="A450">
        <v>458</v>
      </c>
      <c r="B450" t="s">
        <v>103</v>
      </c>
      <c r="C450" s="1">
        <v>0.25416666666666665</v>
      </c>
      <c r="D450" s="2">
        <v>46022</v>
      </c>
      <c r="E450" t="s">
        <v>188</v>
      </c>
      <c r="F450" t="s">
        <v>18</v>
      </c>
      <c r="G450" t="s">
        <v>663</v>
      </c>
      <c r="H450" s="1"/>
      <c r="I450" s="1"/>
      <c r="J450" s="2"/>
      <c r="K450" t="s">
        <v>25</v>
      </c>
      <c r="L450" t="s">
        <v>664</v>
      </c>
      <c r="M450" t="s">
        <v>22</v>
      </c>
      <c r="N450" t="s">
        <v>665</v>
      </c>
      <c r="O450" t="s">
        <v>108</v>
      </c>
      <c r="P450" t="s">
        <v>23</v>
      </c>
      <c r="Q450" s="1">
        <f>SEGUIMIENTO_TPM_xlsx[[#This Row],[HORA FIN  INTERVENCIÓN]]-SEGUIMIENTO_TPM_xlsx[[#This Row],[HORA INICIO INTERVENCIÓN]]</f>
        <v>0</v>
      </c>
      <c r="R450" s="20">
        <f>(SEGUIMIENTO_TPM_xlsx[[#This Row],[HORA REPORTE]]+SEGUIMIENTO_TPM_xlsx[[#This Row],[FECHA DE REPORTE]])</f>
        <v>46022.254166666666</v>
      </c>
      <c r="S450" s="20">
        <f>(SEGUIMIENTO_TPM_xlsx[[#This Row],[FECHA DE INTERVENCÓN]]+SEGUIMIENTO_TPM_xlsx[[#This Row],[HORA FIN  INTERVENCIÓN]])</f>
        <v>0</v>
      </c>
      <c r="T450" s="11">
        <f>(SEGUIMIENTO_TPM_xlsx[[#This Row],[FECHA Y HORA FINAL]]-SEGUIMIENTO_TPM_xlsx[[#This Row],[FECHA Y HORA INICIO]])</f>
        <v>-46022.254166666666</v>
      </c>
    </row>
    <row r="451" spans="1:20" x14ac:dyDescent="0.25">
      <c r="A451">
        <v>459</v>
      </c>
      <c r="B451" t="s">
        <v>261</v>
      </c>
      <c r="C451" s="1">
        <v>0.76388888888888884</v>
      </c>
      <c r="D451" s="2">
        <v>46021</v>
      </c>
      <c r="E451" t="s">
        <v>147</v>
      </c>
      <c r="G451" t="s">
        <v>666</v>
      </c>
      <c r="H451" s="1">
        <v>0.76736111111111116</v>
      </c>
      <c r="I451" s="1">
        <v>0.79722222222222228</v>
      </c>
      <c r="J451" s="2">
        <v>46021</v>
      </c>
      <c r="K451" t="s">
        <v>20</v>
      </c>
      <c r="L451" t="s">
        <v>667</v>
      </c>
      <c r="M451" t="s">
        <v>22</v>
      </c>
      <c r="N451" t="s">
        <v>22</v>
      </c>
      <c r="O451" t="s">
        <v>661</v>
      </c>
      <c r="P451" t="s">
        <v>23</v>
      </c>
      <c r="Q451" s="1">
        <f>SEGUIMIENTO_TPM_xlsx[[#This Row],[HORA FIN  INTERVENCIÓN]]-SEGUIMIENTO_TPM_xlsx[[#This Row],[HORA INICIO INTERVENCIÓN]]</f>
        <v>2.9861111111111116E-2</v>
      </c>
      <c r="R451" s="20">
        <f>(SEGUIMIENTO_TPM_xlsx[[#This Row],[HORA REPORTE]]+SEGUIMIENTO_TPM_xlsx[[#This Row],[FECHA DE REPORTE]])</f>
        <v>46021.763888888891</v>
      </c>
      <c r="S451" s="20">
        <f>(SEGUIMIENTO_TPM_xlsx[[#This Row],[FECHA DE INTERVENCÓN]]+SEGUIMIENTO_TPM_xlsx[[#This Row],[HORA FIN  INTERVENCIÓN]])</f>
        <v>46021.797222222223</v>
      </c>
      <c r="T451" s="11">
        <f>(SEGUIMIENTO_TPM_xlsx[[#This Row],[FECHA Y HORA FINAL]]-SEGUIMIENTO_TPM_xlsx[[#This Row],[FECHA Y HORA INICIO]])</f>
        <v>3.3333333332848269E-2</v>
      </c>
    </row>
    <row r="452" spans="1:20" x14ac:dyDescent="0.25">
      <c r="A452">
        <v>460</v>
      </c>
      <c r="B452" t="s">
        <v>261</v>
      </c>
      <c r="C452" s="1">
        <v>0.85416666666666663</v>
      </c>
      <c r="D452" s="2">
        <v>46021</v>
      </c>
      <c r="E452" t="s">
        <v>147</v>
      </c>
      <c r="G452" t="s">
        <v>668</v>
      </c>
      <c r="H452" s="1">
        <v>0.90972222222222221</v>
      </c>
      <c r="I452" s="1">
        <v>0.92361111111111116</v>
      </c>
      <c r="J452" s="2">
        <v>46021</v>
      </c>
      <c r="K452" t="s">
        <v>20</v>
      </c>
      <c r="L452" t="s">
        <v>669</v>
      </c>
      <c r="M452" t="s">
        <v>670</v>
      </c>
      <c r="N452" t="s">
        <v>670</v>
      </c>
      <c r="O452" t="s">
        <v>661</v>
      </c>
      <c r="P452" t="s">
        <v>23</v>
      </c>
      <c r="Q452" s="1">
        <f>SEGUIMIENTO_TPM_xlsx[[#This Row],[HORA FIN  INTERVENCIÓN]]-SEGUIMIENTO_TPM_xlsx[[#This Row],[HORA INICIO INTERVENCIÓN]]</f>
        <v>1.3888888888888951E-2</v>
      </c>
      <c r="R452" s="20">
        <f>(SEGUIMIENTO_TPM_xlsx[[#This Row],[HORA REPORTE]]+SEGUIMIENTO_TPM_xlsx[[#This Row],[FECHA DE REPORTE]])</f>
        <v>46021.854166666664</v>
      </c>
      <c r="S452" s="20">
        <f>(SEGUIMIENTO_TPM_xlsx[[#This Row],[FECHA DE INTERVENCÓN]]+SEGUIMIENTO_TPM_xlsx[[#This Row],[HORA FIN  INTERVENCIÓN]])</f>
        <v>46021.923611111109</v>
      </c>
      <c r="T452" s="11">
        <f>(SEGUIMIENTO_TPM_xlsx[[#This Row],[FECHA Y HORA FINAL]]-SEGUIMIENTO_TPM_xlsx[[#This Row],[FECHA Y HORA INICIO]])</f>
        <v>6.9444444445252884E-2</v>
      </c>
    </row>
    <row r="453" spans="1:20" x14ac:dyDescent="0.25">
      <c r="A453">
        <v>461</v>
      </c>
      <c r="B453" t="s">
        <v>231</v>
      </c>
      <c r="C453" s="1">
        <v>0.91666666666666663</v>
      </c>
      <c r="D453" s="2">
        <v>46021</v>
      </c>
      <c r="E453" t="s">
        <v>143</v>
      </c>
      <c r="G453" t="s">
        <v>671</v>
      </c>
      <c r="H453" s="1">
        <v>0.9243055555555556</v>
      </c>
      <c r="I453" s="1">
        <v>0.9375</v>
      </c>
      <c r="J453" s="2">
        <v>46021</v>
      </c>
      <c r="K453" t="s">
        <v>25</v>
      </c>
      <c r="L453" t="s">
        <v>672</v>
      </c>
      <c r="M453" t="s">
        <v>22</v>
      </c>
      <c r="N453" t="s">
        <v>673</v>
      </c>
      <c r="O453" t="s">
        <v>661</v>
      </c>
      <c r="P453" t="s">
        <v>23</v>
      </c>
      <c r="Q453" s="1">
        <f>SEGUIMIENTO_TPM_xlsx[[#This Row],[HORA FIN  INTERVENCIÓN]]-SEGUIMIENTO_TPM_xlsx[[#This Row],[HORA INICIO INTERVENCIÓN]]</f>
        <v>1.3194444444444398E-2</v>
      </c>
      <c r="R453" s="20">
        <f>(SEGUIMIENTO_TPM_xlsx[[#This Row],[HORA REPORTE]]+SEGUIMIENTO_TPM_xlsx[[#This Row],[FECHA DE REPORTE]])</f>
        <v>46021.916666666664</v>
      </c>
      <c r="S453" s="20">
        <f>(SEGUIMIENTO_TPM_xlsx[[#This Row],[FECHA DE INTERVENCÓN]]+SEGUIMIENTO_TPM_xlsx[[#This Row],[HORA FIN  INTERVENCIÓN]])</f>
        <v>46021.9375</v>
      </c>
      <c r="T453" s="11">
        <f>(SEGUIMIENTO_TPM_xlsx[[#This Row],[FECHA Y HORA FINAL]]-SEGUIMIENTO_TPM_xlsx[[#This Row],[FECHA Y HORA INICIO]])</f>
        <v>2.0833333335758653E-2</v>
      </c>
    </row>
    <row r="454" spans="1:20" x14ac:dyDescent="0.25">
      <c r="A454">
        <v>462</v>
      </c>
      <c r="B454" t="s">
        <v>231</v>
      </c>
      <c r="C454" s="1">
        <v>6.9444444444444441E-3</v>
      </c>
      <c r="D454" s="2">
        <v>46021</v>
      </c>
      <c r="E454" t="s">
        <v>143</v>
      </c>
      <c r="G454" t="s">
        <v>674</v>
      </c>
      <c r="H454" s="1">
        <v>0.52083333333333337</v>
      </c>
      <c r="I454" s="1">
        <v>4.7222222222222221E-2</v>
      </c>
      <c r="J454" s="2"/>
      <c r="K454" t="s">
        <v>25</v>
      </c>
      <c r="L454" t="s">
        <v>675</v>
      </c>
      <c r="M454" t="s">
        <v>676</v>
      </c>
      <c r="N454" t="s">
        <v>676</v>
      </c>
      <c r="O454" t="s">
        <v>661</v>
      </c>
      <c r="P454" t="s">
        <v>23</v>
      </c>
      <c r="Q454" s="1">
        <f>SEGUIMIENTO_TPM_xlsx[[#This Row],[HORA FIN  INTERVENCIÓN]]-SEGUIMIENTO_TPM_xlsx[[#This Row],[HORA INICIO INTERVENCIÓN]]</f>
        <v>-0.47361111111111115</v>
      </c>
      <c r="R454" s="20">
        <f>(SEGUIMIENTO_TPM_xlsx[[#This Row],[HORA REPORTE]]+SEGUIMIENTO_TPM_xlsx[[#This Row],[FECHA DE REPORTE]])</f>
        <v>46021.006944444445</v>
      </c>
      <c r="S454" s="20">
        <f>(SEGUIMIENTO_TPM_xlsx[[#This Row],[FECHA DE INTERVENCÓN]]+SEGUIMIENTO_TPM_xlsx[[#This Row],[HORA FIN  INTERVENCIÓN]])</f>
        <v>4.7222222222222221E-2</v>
      </c>
      <c r="T454" s="11">
        <f>(SEGUIMIENTO_TPM_xlsx[[#This Row],[FECHA Y HORA FINAL]]-SEGUIMIENTO_TPM_xlsx[[#This Row],[FECHA Y HORA INICIO]])</f>
        <v>-46020.959722222222</v>
      </c>
    </row>
    <row r="455" spans="1:20" x14ac:dyDescent="0.25">
      <c r="A455">
        <v>463</v>
      </c>
      <c r="B455" t="s">
        <v>231</v>
      </c>
      <c r="C455" s="1">
        <v>7.8472222222222221E-2</v>
      </c>
      <c r="D455" s="2">
        <v>46022</v>
      </c>
      <c r="E455" t="s">
        <v>143</v>
      </c>
      <c r="G455" t="s">
        <v>677</v>
      </c>
      <c r="H455" s="1">
        <v>9.0277777777777776E-2</v>
      </c>
      <c r="I455" s="1">
        <v>0.35416666666666669</v>
      </c>
      <c r="J455" s="2">
        <v>46024</v>
      </c>
      <c r="K455" t="s">
        <v>25</v>
      </c>
      <c r="L455" t="s">
        <v>678</v>
      </c>
      <c r="M455" t="s">
        <v>22</v>
      </c>
      <c r="N455" t="s">
        <v>22</v>
      </c>
      <c r="O455" t="s">
        <v>679</v>
      </c>
      <c r="P455" t="s">
        <v>23</v>
      </c>
      <c r="Q455" s="1">
        <f>SEGUIMIENTO_TPM_xlsx[[#This Row],[HORA FIN  INTERVENCIÓN]]-SEGUIMIENTO_TPM_xlsx[[#This Row],[HORA INICIO INTERVENCIÓN]]</f>
        <v>0.2638888888888889</v>
      </c>
      <c r="R455" s="20">
        <f>(SEGUIMIENTO_TPM_xlsx[[#This Row],[HORA REPORTE]]+SEGUIMIENTO_TPM_xlsx[[#This Row],[FECHA DE REPORTE]])</f>
        <v>46022.078472222223</v>
      </c>
      <c r="S455" s="20">
        <f>(SEGUIMIENTO_TPM_xlsx[[#This Row],[FECHA DE INTERVENCÓN]]+SEGUIMIENTO_TPM_xlsx[[#This Row],[HORA FIN  INTERVENCIÓN]])</f>
        <v>46024.354166666664</v>
      </c>
      <c r="T455" s="11">
        <f>(SEGUIMIENTO_TPM_xlsx[[#This Row],[FECHA Y HORA FINAL]]-SEGUIMIENTO_TPM_xlsx[[#This Row],[FECHA Y HORA INICIO]])</f>
        <v>2.2756944444408873</v>
      </c>
    </row>
    <row r="456" spans="1:20" x14ac:dyDescent="0.25">
      <c r="A456">
        <v>464</v>
      </c>
      <c r="B456" t="s">
        <v>261</v>
      </c>
      <c r="C456" s="1">
        <v>2.0833333333333332E-2</v>
      </c>
      <c r="D456" s="2">
        <v>46022</v>
      </c>
      <c r="E456" t="s">
        <v>91</v>
      </c>
      <c r="G456" t="s">
        <v>680</v>
      </c>
      <c r="H456" s="1">
        <v>2.4305555555555556E-2</v>
      </c>
      <c r="I456" s="1">
        <v>0.33333333333333331</v>
      </c>
      <c r="J456" s="2">
        <v>46024</v>
      </c>
      <c r="K456" t="s">
        <v>20</v>
      </c>
      <c r="L456" t="s">
        <v>681</v>
      </c>
      <c r="M456" t="s">
        <v>22</v>
      </c>
      <c r="N456" t="s">
        <v>22</v>
      </c>
      <c r="O456" t="s">
        <v>661</v>
      </c>
      <c r="P456" t="s">
        <v>23</v>
      </c>
      <c r="Q456" s="1">
        <f>SEGUIMIENTO_TPM_xlsx[[#This Row],[HORA FIN  INTERVENCIÓN]]-SEGUIMIENTO_TPM_xlsx[[#This Row],[HORA INICIO INTERVENCIÓN]]</f>
        <v>0.30902777777777773</v>
      </c>
      <c r="R456" s="20">
        <f>(SEGUIMIENTO_TPM_xlsx[[#This Row],[HORA REPORTE]]+SEGUIMIENTO_TPM_xlsx[[#This Row],[FECHA DE REPORTE]])</f>
        <v>46022.020833333336</v>
      </c>
      <c r="S456" s="20">
        <f>(SEGUIMIENTO_TPM_xlsx[[#This Row],[FECHA DE INTERVENCÓN]]+SEGUIMIENTO_TPM_xlsx[[#This Row],[HORA FIN  INTERVENCIÓN]])</f>
        <v>46024.333333333336</v>
      </c>
      <c r="T456" s="11">
        <f>(SEGUIMIENTO_TPM_xlsx[[#This Row],[FECHA Y HORA FINAL]]-SEGUIMIENTO_TPM_xlsx[[#This Row],[FECHA Y HORA INICIO]])</f>
        <v>2.3125</v>
      </c>
    </row>
    <row r="457" spans="1:20" x14ac:dyDescent="0.25">
      <c r="A457">
        <v>465</v>
      </c>
      <c r="B457" t="s">
        <v>93</v>
      </c>
      <c r="C457" s="1">
        <v>0.2638888888888889</v>
      </c>
      <c r="D457" s="2">
        <v>46024</v>
      </c>
      <c r="E457" t="s">
        <v>116</v>
      </c>
      <c r="G457" t="s">
        <v>682</v>
      </c>
      <c r="H457" s="1">
        <v>0.27083333333333331</v>
      </c>
      <c r="I457" s="1">
        <v>0.29166666666666669</v>
      </c>
      <c r="J457" s="2">
        <v>46024</v>
      </c>
      <c r="K457" t="s">
        <v>25</v>
      </c>
      <c r="L457" t="s">
        <v>683</v>
      </c>
      <c r="M457" t="s">
        <v>22</v>
      </c>
      <c r="N457" t="s">
        <v>22</v>
      </c>
      <c r="O457" t="s">
        <v>112</v>
      </c>
      <c r="P457" t="s">
        <v>23</v>
      </c>
      <c r="Q457" s="1">
        <f>SEGUIMIENTO_TPM_xlsx[[#This Row],[HORA FIN  INTERVENCIÓN]]-SEGUIMIENTO_TPM_xlsx[[#This Row],[HORA INICIO INTERVENCIÓN]]</f>
        <v>2.083333333333337E-2</v>
      </c>
      <c r="R457" s="20">
        <f>(SEGUIMIENTO_TPM_xlsx[[#This Row],[HORA REPORTE]]+SEGUIMIENTO_TPM_xlsx[[#This Row],[FECHA DE REPORTE]])</f>
        <v>46024.263888888891</v>
      </c>
      <c r="S457" s="20">
        <f>(SEGUIMIENTO_TPM_xlsx[[#This Row],[FECHA DE INTERVENCÓN]]+SEGUIMIENTO_TPM_xlsx[[#This Row],[HORA FIN  INTERVENCIÓN]])</f>
        <v>46024.291666666664</v>
      </c>
      <c r="T457" s="11">
        <f>(SEGUIMIENTO_TPM_xlsx[[#This Row],[FECHA Y HORA FINAL]]-SEGUIMIENTO_TPM_xlsx[[#This Row],[FECHA Y HORA INICIO]])</f>
        <v>2.7777777773735579E-2</v>
      </c>
    </row>
    <row r="458" spans="1:20" x14ac:dyDescent="0.25">
      <c r="A458">
        <v>466</v>
      </c>
      <c r="B458" t="s">
        <v>93</v>
      </c>
      <c r="C458" s="1">
        <v>0.38194444444444442</v>
      </c>
      <c r="D458" s="2">
        <v>46024</v>
      </c>
      <c r="E458" t="s">
        <v>116</v>
      </c>
      <c r="G458" t="s">
        <v>684</v>
      </c>
      <c r="H458" s="1">
        <v>0.40277777777777779</v>
      </c>
      <c r="I458" s="1">
        <v>0.41319444444444442</v>
      </c>
      <c r="J458" s="2">
        <v>46024</v>
      </c>
      <c r="K458" t="s">
        <v>25</v>
      </c>
      <c r="L458" t="s">
        <v>685</v>
      </c>
      <c r="M458" t="s">
        <v>22</v>
      </c>
      <c r="N458" t="s">
        <v>22</v>
      </c>
      <c r="O458" t="s">
        <v>112</v>
      </c>
      <c r="P458" t="s">
        <v>23</v>
      </c>
      <c r="Q458" s="1">
        <f>SEGUIMIENTO_TPM_xlsx[[#This Row],[HORA FIN  INTERVENCIÓN]]-SEGUIMIENTO_TPM_xlsx[[#This Row],[HORA INICIO INTERVENCIÓN]]</f>
        <v>1.041666666666663E-2</v>
      </c>
      <c r="R458" s="20">
        <f>(SEGUIMIENTO_TPM_xlsx[[#This Row],[HORA REPORTE]]+SEGUIMIENTO_TPM_xlsx[[#This Row],[FECHA DE REPORTE]])</f>
        <v>46024.381944444445</v>
      </c>
      <c r="S458" s="20">
        <f>(SEGUIMIENTO_TPM_xlsx[[#This Row],[FECHA DE INTERVENCÓN]]+SEGUIMIENTO_TPM_xlsx[[#This Row],[HORA FIN  INTERVENCIÓN]])</f>
        <v>46024.413194444445</v>
      </c>
      <c r="T458" s="11">
        <f>(SEGUIMIENTO_TPM_xlsx[[#This Row],[FECHA Y HORA FINAL]]-SEGUIMIENTO_TPM_xlsx[[#This Row],[FECHA Y HORA INICIO]])</f>
        <v>3.125E-2</v>
      </c>
    </row>
    <row r="459" spans="1:20" x14ac:dyDescent="0.25">
      <c r="A459">
        <v>467</v>
      </c>
      <c r="B459" t="s">
        <v>686</v>
      </c>
      <c r="C459" s="1">
        <v>0.42708333333333331</v>
      </c>
      <c r="D459" s="2">
        <v>46024</v>
      </c>
      <c r="E459" t="s">
        <v>17</v>
      </c>
      <c r="F459" t="s">
        <v>650</v>
      </c>
      <c r="G459" t="s">
        <v>687</v>
      </c>
      <c r="H459" s="1">
        <v>0.29166666666666669</v>
      </c>
      <c r="I459" s="1">
        <v>0.375</v>
      </c>
      <c r="J459" s="2">
        <v>46024</v>
      </c>
      <c r="K459" t="s">
        <v>25</v>
      </c>
      <c r="L459" t="s">
        <v>688</v>
      </c>
      <c r="M459" t="s">
        <v>22</v>
      </c>
      <c r="N459" t="s">
        <v>22</v>
      </c>
      <c r="O459" t="s">
        <v>108</v>
      </c>
      <c r="P459" t="s">
        <v>23</v>
      </c>
      <c r="Q459" s="1">
        <f>SEGUIMIENTO_TPM_xlsx[[#This Row],[HORA FIN  INTERVENCIÓN]]-SEGUIMIENTO_TPM_xlsx[[#This Row],[HORA INICIO INTERVENCIÓN]]</f>
        <v>8.3333333333333315E-2</v>
      </c>
      <c r="R459" s="20">
        <f>(SEGUIMIENTO_TPM_xlsx[[#This Row],[HORA REPORTE]]+SEGUIMIENTO_TPM_xlsx[[#This Row],[FECHA DE REPORTE]])</f>
        <v>46024.427083333336</v>
      </c>
      <c r="S459" s="20">
        <f>(SEGUIMIENTO_TPM_xlsx[[#This Row],[FECHA DE INTERVENCÓN]]+SEGUIMIENTO_TPM_xlsx[[#This Row],[HORA FIN  INTERVENCIÓN]])</f>
        <v>46024.375</v>
      </c>
      <c r="T459" s="11">
        <f>(SEGUIMIENTO_TPM_xlsx[[#This Row],[FECHA Y HORA FINAL]]-SEGUIMIENTO_TPM_xlsx[[#This Row],[FECHA Y HORA INICIO]])</f>
        <v>-5.2083333335758653E-2</v>
      </c>
    </row>
    <row r="460" spans="1:20" x14ac:dyDescent="0.25">
      <c r="A460">
        <v>468</v>
      </c>
      <c r="B460" t="s">
        <v>686</v>
      </c>
      <c r="C460" s="1">
        <v>0.42708333333333331</v>
      </c>
      <c r="D460" s="2">
        <v>46024</v>
      </c>
      <c r="E460" t="s">
        <v>17</v>
      </c>
      <c r="F460" t="s">
        <v>650</v>
      </c>
      <c r="G460" t="s">
        <v>689</v>
      </c>
      <c r="H460" s="1"/>
      <c r="I460" s="1"/>
      <c r="J460" s="2"/>
      <c r="Q460" s="1">
        <f>SEGUIMIENTO_TPM_xlsx[[#This Row],[HORA FIN  INTERVENCIÓN]]-SEGUIMIENTO_TPM_xlsx[[#This Row],[HORA INICIO INTERVENCIÓN]]</f>
        <v>0</v>
      </c>
      <c r="R460" s="20">
        <f>(SEGUIMIENTO_TPM_xlsx[[#This Row],[HORA REPORTE]]+SEGUIMIENTO_TPM_xlsx[[#This Row],[FECHA DE REPORTE]])</f>
        <v>46024.427083333336</v>
      </c>
      <c r="S460" s="20">
        <f>(SEGUIMIENTO_TPM_xlsx[[#This Row],[FECHA DE INTERVENCÓN]]+SEGUIMIENTO_TPM_xlsx[[#This Row],[HORA FIN  INTERVENCIÓN]])</f>
        <v>0</v>
      </c>
      <c r="T460" s="11">
        <f>(SEGUIMIENTO_TPM_xlsx[[#This Row],[FECHA Y HORA FINAL]]-SEGUIMIENTO_TPM_xlsx[[#This Row],[FECHA Y HORA INICIO]])</f>
        <v>-46024.427083333336</v>
      </c>
    </row>
    <row r="461" spans="1:20" x14ac:dyDescent="0.25">
      <c r="A461">
        <v>469</v>
      </c>
      <c r="B461" t="s">
        <v>261</v>
      </c>
      <c r="C461" s="1">
        <v>0.35416666666666669</v>
      </c>
      <c r="D461" s="2">
        <v>46024</v>
      </c>
      <c r="E461" t="s">
        <v>91</v>
      </c>
      <c r="F461" t="s">
        <v>18</v>
      </c>
      <c r="G461" t="s">
        <v>690</v>
      </c>
      <c r="H461" s="1">
        <v>0.35416666666666669</v>
      </c>
      <c r="I461" s="1">
        <v>0.39583333333333331</v>
      </c>
      <c r="J461" s="2">
        <v>46024</v>
      </c>
      <c r="K461" t="s">
        <v>25</v>
      </c>
      <c r="L461" t="s">
        <v>1663</v>
      </c>
      <c r="M461" t="s">
        <v>22</v>
      </c>
      <c r="N461" t="s">
        <v>22</v>
      </c>
      <c r="O461" t="s">
        <v>108</v>
      </c>
      <c r="P461" t="s">
        <v>33</v>
      </c>
      <c r="Q461" s="1">
        <f>SEGUIMIENTO_TPM_xlsx[[#This Row],[HORA FIN  INTERVENCIÓN]]-SEGUIMIENTO_TPM_xlsx[[#This Row],[HORA INICIO INTERVENCIÓN]]</f>
        <v>4.166666666666663E-2</v>
      </c>
      <c r="R461" s="20">
        <f>(SEGUIMIENTO_TPM_xlsx[[#This Row],[HORA REPORTE]]+SEGUIMIENTO_TPM_xlsx[[#This Row],[FECHA DE REPORTE]])</f>
        <v>46024.354166666664</v>
      </c>
      <c r="S461" s="20">
        <f>(SEGUIMIENTO_TPM_xlsx[[#This Row],[FECHA DE INTERVENCÓN]]+SEGUIMIENTO_TPM_xlsx[[#This Row],[HORA FIN  INTERVENCIÓN]])</f>
        <v>46024.395833333336</v>
      </c>
      <c r="T461" s="11">
        <f>(SEGUIMIENTO_TPM_xlsx[[#This Row],[FECHA Y HORA FINAL]]-SEGUIMIENTO_TPM_xlsx[[#This Row],[FECHA Y HORA INICIO]])</f>
        <v>4.1666666671517305E-2</v>
      </c>
    </row>
    <row r="462" spans="1:20" x14ac:dyDescent="0.25">
      <c r="A462">
        <v>470</v>
      </c>
      <c r="B462" t="s">
        <v>691</v>
      </c>
      <c r="C462" s="1">
        <v>0.35416666666666669</v>
      </c>
      <c r="D462" s="2">
        <v>46024</v>
      </c>
      <c r="E462" t="s">
        <v>85</v>
      </c>
      <c r="G462" t="s">
        <v>692</v>
      </c>
      <c r="H462" s="1">
        <v>0.35416666666666669</v>
      </c>
      <c r="I462" s="1">
        <v>0.38194444444444442</v>
      </c>
      <c r="J462" s="2">
        <v>46024</v>
      </c>
      <c r="K462" t="s">
        <v>25</v>
      </c>
      <c r="L462" t="s">
        <v>693</v>
      </c>
      <c r="M462" t="s">
        <v>694</v>
      </c>
      <c r="N462" t="s">
        <v>694</v>
      </c>
      <c r="O462" t="s">
        <v>112</v>
      </c>
      <c r="P462" t="s">
        <v>23</v>
      </c>
      <c r="Q462" s="1">
        <f>SEGUIMIENTO_TPM_xlsx[[#This Row],[HORA FIN  INTERVENCIÓN]]-SEGUIMIENTO_TPM_xlsx[[#This Row],[HORA INICIO INTERVENCIÓN]]</f>
        <v>2.7777777777777735E-2</v>
      </c>
      <c r="R462" s="20">
        <f>(SEGUIMIENTO_TPM_xlsx[[#This Row],[HORA REPORTE]]+SEGUIMIENTO_TPM_xlsx[[#This Row],[FECHA DE REPORTE]])</f>
        <v>46024.354166666664</v>
      </c>
      <c r="S462" s="20">
        <f>(SEGUIMIENTO_TPM_xlsx[[#This Row],[FECHA DE INTERVENCÓN]]+SEGUIMIENTO_TPM_xlsx[[#This Row],[HORA FIN  INTERVENCIÓN]])</f>
        <v>46024.381944444445</v>
      </c>
      <c r="T462" s="11">
        <f>(SEGUIMIENTO_TPM_xlsx[[#This Row],[FECHA Y HORA FINAL]]-SEGUIMIENTO_TPM_xlsx[[#This Row],[FECHA Y HORA INICIO]])</f>
        <v>2.7777777781011537E-2</v>
      </c>
    </row>
    <row r="463" spans="1:20" x14ac:dyDescent="0.25">
      <c r="A463">
        <v>471</v>
      </c>
      <c r="B463" t="s">
        <v>695</v>
      </c>
      <c r="C463" s="1">
        <v>0.33680555555555558</v>
      </c>
      <c r="D463" s="2">
        <v>46024</v>
      </c>
      <c r="E463" t="s">
        <v>307</v>
      </c>
      <c r="G463" t="s">
        <v>696</v>
      </c>
      <c r="H463" s="1">
        <v>0.33680555555555558</v>
      </c>
      <c r="I463" s="1">
        <v>0.35069444444444442</v>
      </c>
      <c r="J463" s="2">
        <v>46024</v>
      </c>
      <c r="K463" t="s">
        <v>25</v>
      </c>
      <c r="L463" t="s">
        <v>697</v>
      </c>
      <c r="M463" t="s">
        <v>22</v>
      </c>
      <c r="N463" t="s">
        <v>22</v>
      </c>
      <c r="O463" t="s">
        <v>112</v>
      </c>
      <c r="P463" t="s">
        <v>23</v>
      </c>
      <c r="Q463" s="1">
        <f>SEGUIMIENTO_TPM_xlsx[[#This Row],[HORA FIN  INTERVENCIÓN]]-SEGUIMIENTO_TPM_xlsx[[#This Row],[HORA INICIO INTERVENCIÓN]]</f>
        <v>1.388888888888884E-2</v>
      </c>
      <c r="R463" s="20">
        <f>(SEGUIMIENTO_TPM_xlsx[[#This Row],[HORA REPORTE]]+SEGUIMIENTO_TPM_xlsx[[#This Row],[FECHA DE REPORTE]])</f>
        <v>46024.336805555555</v>
      </c>
      <c r="S463" s="20">
        <f>(SEGUIMIENTO_TPM_xlsx[[#This Row],[FECHA DE INTERVENCÓN]]+SEGUIMIENTO_TPM_xlsx[[#This Row],[HORA FIN  INTERVENCIÓN]])</f>
        <v>46024.350694444445</v>
      </c>
      <c r="T463" s="11">
        <f>(SEGUIMIENTO_TPM_xlsx[[#This Row],[FECHA Y HORA FINAL]]-SEGUIMIENTO_TPM_xlsx[[#This Row],[FECHA Y HORA INICIO]])</f>
        <v>1.3888888890505768E-2</v>
      </c>
    </row>
    <row r="464" spans="1:20" x14ac:dyDescent="0.25">
      <c r="A464">
        <v>472</v>
      </c>
      <c r="B464" t="s">
        <v>93</v>
      </c>
      <c r="C464" s="1">
        <v>0.51388888888888884</v>
      </c>
      <c r="D464" s="2">
        <v>46024</v>
      </c>
      <c r="E464" t="s">
        <v>116</v>
      </c>
      <c r="G464" t="s">
        <v>698</v>
      </c>
      <c r="H464" s="1">
        <v>0.51388888888888884</v>
      </c>
      <c r="I464" s="1">
        <v>0.52083333333333337</v>
      </c>
      <c r="J464" s="2">
        <v>46024</v>
      </c>
      <c r="K464" t="s">
        <v>699</v>
      </c>
      <c r="L464" t="s">
        <v>700</v>
      </c>
      <c r="M464" t="s">
        <v>22</v>
      </c>
      <c r="N464" t="s">
        <v>22</v>
      </c>
      <c r="O464" t="s">
        <v>661</v>
      </c>
      <c r="P464" t="s">
        <v>23</v>
      </c>
      <c r="Q464" s="1">
        <f>SEGUIMIENTO_TPM_xlsx[[#This Row],[HORA FIN  INTERVENCIÓN]]-SEGUIMIENTO_TPM_xlsx[[#This Row],[HORA INICIO INTERVENCIÓN]]</f>
        <v>6.9444444444445308E-3</v>
      </c>
      <c r="R464" s="20">
        <f>(SEGUIMIENTO_TPM_xlsx[[#This Row],[HORA REPORTE]]+SEGUIMIENTO_TPM_xlsx[[#This Row],[FECHA DE REPORTE]])</f>
        <v>46024.513888888891</v>
      </c>
      <c r="S464" s="20">
        <f>(SEGUIMIENTO_TPM_xlsx[[#This Row],[FECHA DE INTERVENCÓN]]+SEGUIMIENTO_TPM_xlsx[[#This Row],[HORA FIN  INTERVENCIÓN]])</f>
        <v>46024.520833333336</v>
      </c>
      <c r="T464" s="11">
        <f>(SEGUIMIENTO_TPM_xlsx[[#This Row],[FECHA Y HORA FINAL]]-SEGUIMIENTO_TPM_xlsx[[#This Row],[FECHA Y HORA INICIO]])</f>
        <v>6.9444444452528842E-3</v>
      </c>
    </row>
    <row r="465" spans="1:20" x14ac:dyDescent="0.25">
      <c r="A465">
        <v>473</v>
      </c>
      <c r="C465" s="1"/>
      <c r="D465" s="2"/>
      <c r="H465" s="1"/>
      <c r="I465" s="1"/>
      <c r="J465" s="2"/>
      <c r="Q465" s="1">
        <f>SEGUIMIENTO_TPM_xlsx[[#This Row],[HORA FIN  INTERVENCIÓN]]-SEGUIMIENTO_TPM_xlsx[[#This Row],[HORA INICIO INTERVENCIÓN]]</f>
        <v>0</v>
      </c>
      <c r="R465" s="20">
        <f>(SEGUIMIENTO_TPM_xlsx[[#This Row],[HORA REPORTE]]+SEGUIMIENTO_TPM_xlsx[[#This Row],[FECHA DE REPORTE]])</f>
        <v>0</v>
      </c>
      <c r="S465" s="20">
        <f>(SEGUIMIENTO_TPM_xlsx[[#This Row],[FECHA DE INTERVENCÓN]]+SEGUIMIENTO_TPM_xlsx[[#This Row],[HORA FIN  INTERVENCIÓN]])</f>
        <v>0</v>
      </c>
      <c r="T465" s="11">
        <f>(SEGUIMIENTO_TPM_xlsx[[#This Row],[FECHA Y HORA FINAL]]-SEGUIMIENTO_TPM_xlsx[[#This Row],[FECHA Y HORA INICIO]])</f>
        <v>0</v>
      </c>
    </row>
    <row r="466" spans="1:20" x14ac:dyDescent="0.25">
      <c r="A466">
        <v>474</v>
      </c>
      <c r="B466" t="s">
        <v>103</v>
      </c>
      <c r="C466" s="1"/>
      <c r="D466" s="2">
        <v>46024</v>
      </c>
      <c r="E466" t="s">
        <v>17</v>
      </c>
      <c r="F466" t="s">
        <v>18</v>
      </c>
      <c r="G466" t="s">
        <v>701</v>
      </c>
      <c r="H466" s="1"/>
      <c r="I466" s="1"/>
      <c r="J466" s="2"/>
      <c r="P466" t="s">
        <v>33</v>
      </c>
      <c r="Q466" s="1">
        <f>SEGUIMIENTO_TPM_xlsx[[#This Row],[HORA FIN  INTERVENCIÓN]]-SEGUIMIENTO_TPM_xlsx[[#This Row],[HORA INICIO INTERVENCIÓN]]</f>
        <v>0</v>
      </c>
      <c r="R466" s="20">
        <f>(SEGUIMIENTO_TPM_xlsx[[#This Row],[HORA REPORTE]]+SEGUIMIENTO_TPM_xlsx[[#This Row],[FECHA DE REPORTE]])</f>
        <v>46024</v>
      </c>
      <c r="S466" s="20">
        <f>(SEGUIMIENTO_TPM_xlsx[[#This Row],[FECHA DE INTERVENCÓN]]+SEGUIMIENTO_TPM_xlsx[[#This Row],[HORA FIN  INTERVENCIÓN]])</f>
        <v>0</v>
      </c>
      <c r="T466" s="11">
        <f>(SEGUIMIENTO_TPM_xlsx[[#This Row],[FECHA Y HORA FINAL]]-SEGUIMIENTO_TPM_xlsx[[#This Row],[FECHA Y HORA INICIO]])</f>
        <v>-46024</v>
      </c>
    </row>
    <row r="467" spans="1:20" x14ac:dyDescent="0.25">
      <c r="A467">
        <v>475</v>
      </c>
      <c r="B467" t="s">
        <v>93</v>
      </c>
      <c r="C467" s="1">
        <v>0.27083333333333331</v>
      </c>
      <c r="D467" s="2">
        <v>46025</v>
      </c>
      <c r="E467" t="s">
        <v>116</v>
      </c>
      <c r="G467" t="s">
        <v>702</v>
      </c>
      <c r="H467" s="1"/>
      <c r="I467" s="1">
        <v>0.47916666666666669</v>
      </c>
      <c r="J467" s="2">
        <v>46025</v>
      </c>
      <c r="K467" t="s">
        <v>25</v>
      </c>
      <c r="L467" t="s">
        <v>703</v>
      </c>
      <c r="M467" t="s">
        <v>22</v>
      </c>
      <c r="N467" t="s">
        <v>704</v>
      </c>
      <c r="O467" t="s">
        <v>108</v>
      </c>
      <c r="P467" t="s">
        <v>23</v>
      </c>
      <c r="Q467" s="1">
        <f>SEGUIMIENTO_TPM_xlsx[[#This Row],[HORA FIN  INTERVENCIÓN]]-SEGUIMIENTO_TPM_xlsx[[#This Row],[HORA INICIO INTERVENCIÓN]]</f>
        <v>0.47916666666666669</v>
      </c>
      <c r="R467" s="20">
        <f>(SEGUIMIENTO_TPM_xlsx[[#This Row],[HORA REPORTE]]+SEGUIMIENTO_TPM_xlsx[[#This Row],[FECHA DE REPORTE]])</f>
        <v>46025.270833333336</v>
      </c>
      <c r="S467" s="20">
        <f>(SEGUIMIENTO_TPM_xlsx[[#This Row],[FECHA DE INTERVENCÓN]]+SEGUIMIENTO_TPM_xlsx[[#This Row],[HORA FIN  INTERVENCIÓN]])</f>
        <v>46025.479166666664</v>
      </c>
      <c r="T467" s="11">
        <f>(SEGUIMIENTO_TPM_xlsx[[#This Row],[FECHA Y HORA FINAL]]-SEGUIMIENTO_TPM_xlsx[[#This Row],[FECHA Y HORA INICIO]])</f>
        <v>0.20833333332848269</v>
      </c>
    </row>
    <row r="468" spans="1:20" x14ac:dyDescent="0.25">
      <c r="A468">
        <v>476</v>
      </c>
      <c r="B468" t="s">
        <v>261</v>
      </c>
      <c r="C468" s="1">
        <v>0.77083333333333337</v>
      </c>
      <c r="D468" s="2">
        <v>46025</v>
      </c>
      <c r="E468" t="s">
        <v>147</v>
      </c>
      <c r="G468" t="s">
        <v>705</v>
      </c>
      <c r="H468" s="1">
        <v>0.77083333333333337</v>
      </c>
      <c r="I468" s="1">
        <v>0.8125</v>
      </c>
      <c r="J468" s="2">
        <v>46025</v>
      </c>
      <c r="K468" t="s">
        <v>20</v>
      </c>
      <c r="L468" t="s">
        <v>706</v>
      </c>
      <c r="N468" t="s">
        <v>707</v>
      </c>
      <c r="O468" t="s">
        <v>108</v>
      </c>
      <c r="P468" t="s">
        <v>23</v>
      </c>
      <c r="Q468" s="1">
        <f>SEGUIMIENTO_TPM_xlsx[[#This Row],[HORA FIN  INTERVENCIÓN]]-SEGUIMIENTO_TPM_xlsx[[#This Row],[HORA INICIO INTERVENCIÓN]]</f>
        <v>4.166666666666663E-2</v>
      </c>
      <c r="R468" s="20">
        <f>(SEGUIMIENTO_TPM_xlsx[[#This Row],[HORA REPORTE]]+SEGUIMIENTO_TPM_xlsx[[#This Row],[FECHA DE REPORTE]])</f>
        <v>46025.770833333336</v>
      </c>
      <c r="S468" s="20">
        <f>(SEGUIMIENTO_TPM_xlsx[[#This Row],[FECHA DE INTERVENCÓN]]+SEGUIMIENTO_TPM_xlsx[[#This Row],[HORA FIN  INTERVENCIÓN]])</f>
        <v>46025.8125</v>
      </c>
      <c r="T468" s="11">
        <f>(SEGUIMIENTO_TPM_xlsx[[#This Row],[FECHA Y HORA FINAL]]-SEGUIMIENTO_TPM_xlsx[[#This Row],[FECHA Y HORA INICIO]])</f>
        <v>4.1666666664241347E-2</v>
      </c>
    </row>
    <row r="469" spans="1:20" x14ac:dyDescent="0.25">
      <c r="A469">
        <v>477</v>
      </c>
      <c r="B469" t="s">
        <v>242</v>
      </c>
      <c r="C469" s="1">
        <v>0.72916666666666663</v>
      </c>
      <c r="D469" s="2">
        <v>46025</v>
      </c>
      <c r="E469" t="s">
        <v>17</v>
      </c>
      <c r="F469" t="s">
        <v>650</v>
      </c>
      <c r="G469" t="s">
        <v>708</v>
      </c>
      <c r="H469" s="1">
        <v>0.83333333333333337</v>
      </c>
      <c r="I469" s="1">
        <v>0.875</v>
      </c>
      <c r="J469" s="2">
        <v>46025</v>
      </c>
      <c r="K469" t="s">
        <v>25</v>
      </c>
      <c r="L469" t="s">
        <v>709</v>
      </c>
      <c r="M469" t="s">
        <v>22</v>
      </c>
      <c r="N469" t="s">
        <v>22</v>
      </c>
      <c r="O469" t="s">
        <v>112</v>
      </c>
      <c r="P469" t="s">
        <v>23</v>
      </c>
      <c r="Q469" s="1">
        <f>SEGUIMIENTO_TPM_xlsx[[#This Row],[HORA FIN  INTERVENCIÓN]]-SEGUIMIENTO_TPM_xlsx[[#This Row],[HORA INICIO INTERVENCIÓN]]</f>
        <v>4.166666666666663E-2</v>
      </c>
      <c r="R469" s="20">
        <f>(SEGUIMIENTO_TPM_xlsx[[#This Row],[HORA REPORTE]]+SEGUIMIENTO_TPM_xlsx[[#This Row],[FECHA DE REPORTE]])</f>
        <v>46025.729166666664</v>
      </c>
      <c r="S469" s="20">
        <f>(SEGUIMIENTO_TPM_xlsx[[#This Row],[FECHA DE INTERVENCÓN]]+SEGUIMIENTO_TPM_xlsx[[#This Row],[HORA FIN  INTERVENCIÓN]])</f>
        <v>46025.875</v>
      </c>
      <c r="T469" s="11">
        <f>(SEGUIMIENTO_TPM_xlsx[[#This Row],[FECHA Y HORA FINAL]]-SEGUIMIENTO_TPM_xlsx[[#This Row],[FECHA Y HORA INICIO]])</f>
        <v>0.14583333333575865</v>
      </c>
    </row>
    <row r="470" spans="1:20" x14ac:dyDescent="0.25">
      <c r="A470">
        <v>478</v>
      </c>
      <c r="B470" t="s">
        <v>93</v>
      </c>
      <c r="C470" s="1">
        <v>0.31944444444444442</v>
      </c>
      <c r="D470" s="2">
        <v>46026</v>
      </c>
      <c r="E470" t="s">
        <v>185</v>
      </c>
      <c r="G470" t="s">
        <v>710</v>
      </c>
      <c r="H470" s="1">
        <v>0.3576388888888889</v>
      </c>
      <c r="I470" s="1">
        <v>0.36458333333333331</v>
      </c>
      <c r="J470" s="2">
        <v>46026</v>
      </c>
      <c r="K470" t="s">
        <v>25</v>
      </c>
      <c r="L470" t="s">
        <v>711</v>
      </c>
      <c r="M470" t="s">
        <v>712</v>
      </c>
      <c r="N470" t="s">
        <v>22</v>
      </c>
      <c r="O470" t="s">
        <v>44</v>
      </c>
      <c r="P470" t="s">
        <v>23</v>
      </c>
      <c r="Q470" s="1">
        <f>SEGUIMIENTO_TPM_xlsx[[#This Row],[HORA FIN  INTERVENCIÓN]]-SEGUIMIENTO_TPM_xlsx[[#This Row],[HORA INICIO INTERVENCIÓN]]</f>
        <v>6.9444444444444198E-3</v>
      </c>
      <c r="R470" s="20">
        <f>(SEGUIMIENTO_TPM_xlsx[[#This Row],[HORA REPORTE]]+SEGUIMIENTO_TPM_xlsx[[#This Row],[FECHA DE REPORTE]])</f>
        <v>46026.319444444445</v>
      </c>
      <c r="S470" s="20">
        <f>(SEGUIMIENTO_TPM_xlsx[[#This Row],[FECHA DE INTERVENCÓN]]+SEGUIMIENTO_TPM_xlsx[[#This Row],[HORA FIN  INTERVENCIÓN]])</f>
        <v>46026.364583333336</v>
      </c>
      <c r="T470" s="11">
        <f>(SEGUIMIENTO_TPM_xlsx[[#This Row],[FECHA Y HORA FINAL]]-SEGUIMIENTO_TPM_xlsx[[#This Row],[FECHA Y HORA INICIO]])</f>
        <v>4.5138888890505768E-2</v>
      </c>
    </row>
    <row r="471" spans="1:20" x14ac:dyDescent="0.25">
      <c r="A471">
        <v>479</v>
      </c>
      <c r="B471" t="s">
        <v>695</v>
      </c>
      <c r="C471" s="1">
        <v>0.3125</v>
      </c>
      <c r="D471" s="2">
        <v>46026</v>
      </c>
      <c r="E471" t="s">
        <v>17</v>
      </c>
      <c r="G471" t="s">
        <v>713</v>
      </c>
      <c r="H471" s="1">
        <v>0.3125</v>
      </c>
      <c r="I471" s="1">
        <v>0.50694444444444442</v>
      </c>
      <c r="J471" s="2">
        <v>46026</v>
      </c>
      <c r="K471" t="s">
        <v>20</v>
      </c>
      <c r="L471" t="s">
        <v>714</v>
      </c>
      <c r="M471" t="s">
        <v>715</v>
      </c>
      <c r="N471" t="s">
        <v>22</v>
      </c>
      <c r="O471" t="s">
        <v>44</v>
      </c>
      <c r="P471" t="s">
        <v>23</v>
      </c>
      <c r="Q471" s="1">
        <f>SEGUIMIENTO_TPM_xlsx[[#This Row],[HORA FIN  INTERVENCIÓN]]-SEGUIMIENTO_TPM_xlsx[[#This Row],[HORA INICIO INTERVENCIÓN]]</f>
        <v>0.19444444444444442</v>
      </c>
      <c r="R471" s="20">
        <f>(SEGUIMIENTO_TPM_xlsx[[#This Row],[HORA REPORTE]]+SEGUIMIENTO_TPM_xlsx[[#This Row],[FECHA DE REPORTE]])</f>
        <v>46026.3125</v>
      </c>
      <c r="S471" s="20">
        <f>(SEGUIMIENTO_TPM_xlsx[[#This Row],[FECHA DE INTERVENCÓN]]+SEGUIMIENTO_TPM_xlsx[[#This Row],[HORA FIN  INTERVENCIÓN]])</f>
        <v>46026.506944444445</v>
      </c>
      <c r="T471" s="11">
        <f>(SEGUIMIENTO_TPM_xlsx[[#This Row],[FECHA Y HORA FINAL]]-SEGUIMIENTO_TPM_xlsx[[#This Row],[FECHA Y HORA INICIO]])</f>
        <v>0.19444444444525288</v>
      </c>
    </row>
    <row r="472" spans="1:20" x14ac:dyDescent="0.25">
      <c r="A472">
        <v>480</v>
      </c>
      <c r="B472" t="s">
        <v>385</v>
      </c>
      <c r="C472" s="1">
        <v>0.86458333333333337</v>
      </c>
      <c r="D472" s="2">
        <v>46026</v>
      </c>
      <c r="E472" t="s">
        <v>94</v>
      </c>
      <c r="G472" t="s">
        <v>716</v>
      </c>
      <c r="H472" s="1">
        <v>0.86458333333333337</v>
      </c>
      <c r="I472" s="1">
        <v>0.88541666666666663</v>
      </c>
      <c r="J472" s="2">
        <v>46026</v>
      </c>
      <c r="K472" t="s">
        <v>25</v>
      </c>
      <c r="L472" t="s">
        <v>717</v>
      </c>
      <c r="M472" t="s">
        <v>22</v>
      </c>
      <c r="N472" t="s">
        <v>22</v>
      </c>
      <c r="O472" t="s">
        <v>108</v>
      </c>
      <c r="P472" t="s">
        <v>23</v>
      </c>
      <c r="Q472" s="1">
        <f>SEGUIMIENTO_TPM_xlsx[[#This Row],[HORA FIN  INTERVENCIÓN]]-SEGUIMIENTO_TPM_xlsx[[#This Row],[HORA INICIO INTERVENCIÓN]]</f>
        <v>2.0833333333333259E-2</v>
      </c>
      <c r="R472" s="20">
        <f>(SEGUIMIENTO_TPM_xlsx[[#This Row],[HORA REPORTE]]+SEGUIMIENTO_TPM_xlsx[[#This Row],[FECHA DE REPORTE]])</f>
        <v>46026.864583333336</v>
      </c>
      <c r="S472" s="20">
        <f>(SEGUIMIENTO_TPM_xlsx[[#This Row],[FECHA DE INTERVENCÓN]]+SEGUIMIENTO_TPM_xlsx[[#This Row],[HORA FIN  INTERVENCIÓN]])</f>
        <v>46026.885416666664</v>
      </c>
      <c r="T472" s="11">
        <f>(SEGUIMIENTO_TPM_xlsx[[#This Row],[FECHA Y HORA FINAL]]-SEGUIMIENTO_TPM_xlsx[[#This Row],[FECHA Y HORA INICIO]])</f>
        <v>2.0833333328482695E-2</v>
      </c>
    </row>
    <row r="473" spans="1:20" x14ac:dyDescent="0.25">
      <c r="A473">
        <v>481</v>
      </c>
      <c r="B473" t="s">
        <v>180</v>
      </c>
      <c r="C473" s="1"/>
      <c r="D473" s="2">
        <v>46026</v>
      </c>
      <c r="E473" t="s">
        <v>17</v>
      </c>
      <c r="F473" t="s">
        <v>18</v>
      </c>
      <c r="G473" t="s">
        <v>718</v>
      </c>
      <c r="H473" s="1"/>
      <c r="I473" s="1"/>
      <c r="J473" s="2"/>
      <c r="K473" t="s">
        <v>25</v>
      </c>
      <c r="L473" t="s">
        <v>719</v>
      </c>
      <c r="M473" t="s">
        <v>22</v>
      </c>
      <c r="N473" t="s">
        <v>22</v>
      </c>
      <c r="P473" t="s">
        <v>33</v>
      </c>
      <c r="Q473" s="1">
        <f>SEGUIMIENTO_TPM_xlsx[[#This Row],[HORA FIN  INTERVENCIÓN]]-SEGUIMIENTO_TPM_xlsx[[#This Row],[HORA INICIO INTERVENCIÓN]]</f>
        <v>0</v>
      </c>
      <c r="R473" s="20">
        <f>(SEGUIMIENTO_TPM_xlsx[[#This Row],[HORA REPORTE]]+SEGUIMIENTO_TPM_xlsx[[#This Row],[FECHA DE REPORTE]])</f>
        <v>46026</v>
      </c>
      <c r="S473" s="20">
        <f>(SEGUIMIENTO_TPM_xlsx[[#This Row],[FECHA DE INTERVENCÓN]]+SEGUIMIENTO_TPM_xlsx[[#This Row],[HORA FIN  INTERVENCIÓN]])</f>
        <v>0</v>
      </c>
      <c r="T473" s="11">
        <f>(SEGUIMIENTO_TPM_xlsx[[#This Row],[FECHA Y HORA FINAL]]-SEGUIMIENTO_TPM_xlsx[[#This Row],[FECHA Y HORA INICIO]])</f>
        <v>-46026</v>
      </c>
    </row>
    <row r="474" spans="1:20" x14ac:dyDescent="0.25">
      <c r="A474">
        <v>482</v>
      </c>
      <c r="B474" t="s">
        <v>238</v>
      </c>
      <c r="C474" s="1">
        <v>0.29166666666666669</v>
      </c>
      <c r="D474" s="2">
        <v>46027</v>
      </c>
      <c r="E474" t="s">
        <v>109</v>
      </c>
      <c r="G474" t="s">
        <v>720</v>
      </c>
      <c r="H474" s="1">
        <v>0.29166666666666669</v>
      </c>
      <c r="I474" s="1">
        <v>0.3125</v>
      </c>
      <c r="J474" s="2">
        <v>46027</v>
      </c>
      <c r="K474" t="s">
        <v>20</v>
      </c>
      <c r="L474" t="s">
        <v>721</v>
      </c>
      <c r="M474" t="s">
        <v>22</v>
      </c>
      <c r="N474" t="s">
        <v>722</v>
      </c>
      <c r="O474" t="s">
        <v>723</v>
      </c>
      <c r="P474" t="s">
        <v>23</v>
      </c>
      <c r="Q474" s="1">
        <f>SEGUIMIENTO_TPM_xlsx[[#This Row],[HORA FIN  INTERVENCIÓN]]-SEGUIMIENTO_TPM_xlsx[[#This Row],[HORA INICIO INTERVENCIÓN]]</f>
        <v>2.0833333333333315E-2</v>
      </c>
      <c r="R474" s="20">
        <f>(SEGUIMIENTO_TPM_xlsx[[#This Row],[HORA REPORTE]]+SEGUIMIENTO_TPM_xlsx[[#This Row],[FECHA DE REPORTE]])</f>
        <v>46027.291666666664</v>
      </c>
      <c r="S474" s="20">
        <f>(SEGUIMIENTO_TPM_xlsx[[#This Row],[FECHA DE INTERVENCÓN]]+SEGUIMIENTO_TPM_xlsx[[#This Row],[HORA FIN  INTERVENCIÓN]])</f>
        <v>46027.3125</v>
      </c>
      <c r="T474" s="11">
        <f>(SEGUIMIENTO_TPM_xlsx[[#This Row],[FECHA Y HORA FINAL]]-SEGUIMIENTO_TPM_xlsx[[#This Row],[FECHA Y HORA INICIO]])</f>
        <v>2.0833333335758653E-2</v>
      </c>
    </row>
    <row r="475" spans="1:20" x14ac:dyDescent="0.25">
      <c r="A475">
        <v>483</v>
      </c>
      <c r="B475" t="s">
        <v>103</v>
      </c>
      <c r="C475" s="1">
        <v>0.79166666666666663</v>
      </c>
      <c r="D475" s="2">
        <v>46028</v>
      </c>
      <c r="E475" t="s">
        <v>188</v>
      </c>
      <c r="G475" t="s">
        <v>724</v>
      </c>
      <c r="H475" s="1">
        <v>0.79166666666666663</v>
      </c>
      <c r="I475" s="1">
        <v>0.80555555555555558</v>
      </c>
      <c r="J475" s="2">
        <v>46028</v>
      </c>
      <c r="K475" t="s">
        <v>20</v>
      </c>
      <c r="L475" t="s">
        <v>725</v>
      </c>
      <c r="M475" t="s">
        <v>22</v>
      </c>
      <c r="N475" t="s">
        <v>22</v>
      </c>
      <c r="O475" t="s">
        <v>723</v>
      </c>
      <c r="P475" t="s">
        <v>23</v>
      </c>
      <c r="Q475" s="1">
        <f>SEGUIMIENTO_TPM_xlsx[[#This Row],[HORA FIN  INTERVENCIÓN]]-SEGUIMIENTO_TPM_xlsx[[#This Row],[HORA INICIO INTERVENCIÓN]]</f>
        <v>1.3888888888888951E-2</v>
      </c>
      <c r="R475" s="20">
        <f>(SEGUIMIENTO_TPM_xlsx[[#This Row],[HORA REPORTE]]+SEGUIMIENTO_TPM_xlsx[[#This Row],[FECHA DE REPORTE]])</f>
        <v>46028.791666666664</v>
      </c>
      <c r="S475" s="20">
        <f>(SEGUIMIENTO_TPM_xlsx[[#This Row],[FECHA DE INTERVENCÓN]]+SEGUIMIENTO_TPM_xlsx[[#This Row],[HORA FIN  INTERVENCIÓN]])</f>
        <v>46028.805555555555</v>
      </c>
      <c r="T475" s="11">
        <f>(SEGUIMIENTO_TPM_xlsx[[#This Row],[FECHA Y HORA FINAL]]-SEGUIMIENTO_TPM_xlsx[[#This Row],[FECHA Y HORA INICIO]])</f>
        <v>1.3888888890505768E-2</v>
      </c>
    </row>
    <row r="476" spans="1:20" x14ac:dyDescent="0.25">
      <c r="A476">
        <v>484</v>
      </c>
      <c r="B476" t="s">
        <v>231</v>
      </c>
      <c r="C476" s="1">
        <v>0.3611111111111111</v>
      </c>
      <c r="D476" s="2">
        <v>46027</v>
      </c>
      <c r="E476" t="s">
        <v>143</v>
      </c>
      <c r="F476" t="s">
        <v>18</v>
      </c>
      <c r="G476" t="s">
        <v>726</v>
      </c>
      <c r="H476" s="1">
        <v>0.36805555555555558</v>
      </c>
      <c r="I476" s="1">
        <v>0.39583333333333331</v>
      </c>
      <c r="J476" s="2">
        <v>46027</v>
      </c>
      <c r="K476" t="s">
        <v>25</v>
      </c>
      <c r="L476" t="s">
        <v>727</v>
      </c>
      <c r="M476" t="s">
        <v>728</v>
      </c>
      <c r="N476" t="s">
        <v>729</v>
      </c>
      <c r="O476" t="s">
        <v>679</v>
      </c>
      <c r="P476" t="s">
        <v>23</v>
      </c>
      <c r="Q476" s="1">
        <f>SEGUIMIENTO_TPM_xlsx[[#This Row],[HORA FIN  INTERVENCIÓN]]-SEGUIMIENTO_TPM_xlsx[[#This Row],[HORA INICIO INTERVENCIÓN]]</f>
        <v>2.7777777777777735E-2</v>
      </c>
      <c r="R476" s="20">
        <f>(SEGUIMIENTO_TPM_xlsx[[#This Row],[HORA REPORTE]]+SEGUIMIENTO_TPM_xlsx[[#This Row],[FECHA DE REPORTE]])</f>
        <v>46027.361111111109</v>
      </c>
      <c r="S476" s="20">
        <f>(SEGUIMIENTO_TPM_xlsx[[#This Row],[FECHA DE INTERVENCÓN]]+SEGUIMIENTO_TPM_xlsx[[#This Row],[HORA FIN  INTERVENCIÓN]])</f>
        <v>46027.395833333336</v>
      </c>
      <c r="T476" s="11">
        <f>(SEGUIMIENTO_TPM_xlsx[[#This Row],[FECHA Y HORA FINAL]]-SEGUIMIENTO_TPM_xlsx[[#This Row],[FECHA Y HORA INICIO]])</f>
        <v>3.4722222226264421E-2</v>
      </c>
    </row>
    <row r="477" spans="1:20" x14ac:dyDescent="0.25">
      <c r="A477">
        <v>485</v>
      </c>
      <c r="B477" t="s">
        <v>93</v>
      </c>
      <c r="C477" s="1">
        <v>0.62152777777777779</v>
      </c>
      <c r="D477" s="2">
        <v>46027</v>
      </c>
      <c r="E477" t="s">
        <v>94</v>
      </c>
      <c r="G477" t="s">
        <v>730</v>
      </c>
      <c r="H477" s="1">
        <v>0.625</v>
      </c>
      <c r="I477" s="1">
        <v>0.64583333333333337</v>
      </c>
      <c r="J477" s="2">
        <v>46027</v>
      </c>
      <c r="K477" t="s">
        <v>25</v>
      </c>
      <c r="L477" t="s">
        <v>731</v>
      </c>
      <c r="M477" t="s">
        <v>732</v>
      </c>
      <c r="N477" t="s">
        <v>22</v>
      </c>
      <c r="O477" t="s">
        <v>112</v>
      </c>
      <c r="P477" t="s">
        <v>23</v>
      </c>
      <c r="Q477" s="1">
        <f>SEGUIMIENTO_TPM_xlsx[[#This Row],[HORA FIN  INTERVENCIÓN]]-SEGUIMIENTO_TPM_xlsx[[#This Row],[HORA INICIO INTERVENCIÓN]]</f>
        <v>2.083333333333337E-2</v>
      </c>
      <c r="R477" s="20">
        <f>(SEGUIMIENTO_TPM_xlsx[[#This Row],[HORA REPORTE]]+SEGUIMIENTO_TPM_xlsx[[#This Row],[FECHA DE REPORTE]])</f>
        <v>46027.621527777781</v>
      </c>
      <c r="S477" s="20">
        <f>(SEGUIMIENTO_TPM_xlsx[[#This Row],[FECHA DE INTERVENCÓN]]+SEGUIMIENTO_TPM_xlsx[[#This Row],[HORA FIN  INTERVENCIÓN]])</f>
        <v>46027.645833333336</v>
      </c>
      <c r="T477" s="11">
        <f>(SEGUIMIENTO_TPM_xlsx[[#This Row],[FECHA Y HORA FINAL]]-SEGUIMIENTO_TPM_xlsx[[#This Row],[FECHA Y HORA INICIO]])</f>
        <v>2.4305555554747116E-2</v>
      </c>
    </row>
    <row r="478" spans="1:20" x14ac:dyDescent="0.25">
      <c r="A478">
        <v>486</v>
      </c>
      <c r="C478" s="1"/>
      <c r="D478" s="2"/>
      <c r="H478" s="1"/>
      <c r="I478" s="1"/>
      <c r="J478" s="2"/>
      <c r="Q478" s="1">
        <f>SEGUIMIENTO_TPM_xlsx[[#This Row],[HORA FIN  INTERVENCIÓN]]-SEGUIMIENTO_TPM_xlsx[[#This Row],[HORA INICIO INTERVENCIÓN]]</f>
        <v>0</v>
      </c>
      <c r="R478" s="20">
        <f>(SEGUIMIENTO_TPM_xlsx[[#This Row],[HORA REPORTE]]+SEGUIMIENTO_TPM_xlsx[[#This Row],[FECHA DE REPORTE]])</f>
        <v>0</v>
      </c>
      <c r="S478" s="20">
        <f>(SEGUIMIENTO_TPM_xlsx[[#This Row],[FECHA DE INTERVENCÓN]]+SEGUIMIENTO_TPM_xlsx[[#This Row],[HORA FIN  INTERVENCIÓN]])</f>
        <v>0</v>
      </c>
      <c r="T478" s="11">
        <f>(SEGUIMIENTO_TPM_xlsx[[#This Row],[FECHA Y HORA FINAL]]-SEGUIMIENTO_TPM_xlsx[[#This Row],[FECHA Y HORA INICIO]])</f>
        <v>0</v>
      </c>
    </row>
    <row r="479" spans="1:20" x14ac:dyDescent="0.25">
      <c r="A479">
        <v>487</v>
      </c>
      <c r="B479" t="s">
        <v>16</v>
      </c>
      <c r="C479" s="1">
        <v>4.5138888888888888E-2</v>
      </c>
      <c r="D479" s="2">
        <v>46028</v>
      </c>
      <c r="E479" t="s">
        <v>116</v>
      </c>
      <c r="G479" t="s">
        <v>733</v>
      </c>
      <c r="H479" s="1">
        <v>4.5138888888888888E-2</v>
      </c>
      <c r="I479" s="1">
        <v>5.5555555555555552E-2</v>
      </c>
      <c r="J479" s="2">
        <v>46028</v>
      </c>
      <c r="K479" t="s">
        <v>20</v>
      </c>
      <c r="L479" t="s">
        <v>734</v>
      </c>
      <c r="M479" t="s">
        <v>22</v>
      </c>
      <c r="N479" t="s">
        <v>22</v>
      </c>
      <c r="O479" t="s">
        <v>44</v>
      </c>
      <c r="P479" t="s">
        <v>23</v>
      </c>
      <c r="Q479" s="1">
        <f>SEGUIMIENTO_TPM_xlsx[[#This Row],[HORA FIN  INTERVENCIÓN]]-SEGUIMIENTO_TPM_xlsx[[#This Row],[HORA INICIO INTERVENCIÓN]]</f>
        <v>1.0416666666666664E-2</v>
      </c>
      <c r="R479" s="20">
        <f>(SEGUIMIENTO_TPM_xlsx[[#This Row],[HORA REPORTE]]+SEGUIMIENTO_TPM_xlsx[[#This Row],[FECHA DE REPORTE]])</f>
        <v>46028.045138888891</v>
      </c>
      <c r="S479" s="20">
        <f>(SEGUIMIENTO_TPM_xlsx[[#This Row],[FECHA DE INTERVENCÓN]]+SEGUIMIENTO_TPM_xlsx[[#This Row],[HORA FIN  INTERVENCIÓN]])</f>
        <v>46028.055555555555</v>
      </c>
      <c r="T479" s="11">
        <f>(SEGUIMIENTO_TPM_xlsx[[#This Row],[FECHA Y HORA FINAL]]-SEGUIMIENTO_TPM_xlsx[[#This Row],[FECHA Y HORA INICIO]])</f>
        <v>1.0416666664241347E-2</v>
      </c>
    </row>
    <row r="480" spans="1:20" x14ac:dyDescent="0.25">
      <c r="A480">
        <v>488</v>
      </c>
      <c r="B480" t="s">
        <v>231</v>
      </c>
      <c r="C480" s="1">
        <v>0.47569444444444442</v>
      </c>
      <c r="D480" s="2">
        <v>46028</v>
      </c>
      <c r="E480" t="s">
        <v>143</v>
      </c>
      <c r="G480" t="s">
        <v>735</v>
      </c>
      <c r="H480" s="1">
        <v>0.47569444444444442</v>
      </c>
      <c r="I480" s="1"/>
      <c r="J480" s="2">
        <v>46028</v>
      </c>
      <c r="K480" t="s">
        <v>20</v>
      </c>
      <c r="L480" t="s">
        <v>736</v>
      </c>
      <c r="M480" t="s">
        <v>737</v>
      </c>
      <c r="N480" t="s">
        <v>22</v>
      </c>
      <c r="O480" t="s">
        <v>268</v>
      </c>
      <c r="P480" t="s">
        <v>23</v>
      </c>
      <c r="Q480" s="1">
        <f>SEGUIMIENTO_TPM_xlsx[[#This Row],[HORA FIN  INTERVENCIÓN]]-SEGUIMIENTO_TPM_xlsx[[#This Row],[HORA INICIO INTERVENCIÓN]]</f>
        <v>-0.47569444444444442</v>
      </c>
      <c r="R480" s="20">
        <f>(SEGUIMIENTO_TPM_xlsx[[#This Row],[HORA REPORTE]]+SEGUIMIENTO_TPM_xlsx[[#This Row],[FECHA DE REPORTE]])</f>
        <v>46028.475694444445</v>
      </c>
      <c r="S480" s="20">
        <f>(SEGUIMIENTO_TPM_xlsx[[#This Row],[FECHA DE INTERVENCÓN]]+SEGUIMIENTO_TPM_xlsx[[#This Row],[HORA FIN  INTERVENCIÓN]])</f>
        <v>46028</v>
      </c>
      <c r="T480" s="11">
        <f>(SEGUIMIENTO_TPM_xlsx[[#This Row],[FECHA Y HORA FINAL]]-SEGUIMIENTO_TPM_xlsx[[#This Row],[FECHA Y HORA INICIO]])</f>
        <v>-0.47569444444525288</v>
      </c>
    </row>
    <row r="481" spans="1:20" x14ac:dyDescent="0.25">
      <c r="A481">
        <v>489</v>
      </c>
      <c r="C481" s="1"/>
      <c r="D481" s="2"/>
      <c r="H481" s="1"/>
      <c r="I481" s="1"/>
      <c r="J481" s="2"/>
      <c r="Q481" s="1">
        <f>SEGUIMIENTO_TPM_xlsx[[#This Row],[HORA FIN  INTERVENCIÓN]]-SEGUIMIENTO_TPM_xlsx[[#This Row],[HORA INICIO INTERVENCIÓN]]</f>
        <v>0</v>
      </c>
      <c r="R481" s="20">
        <f>(SEGUIMIENTO_TPM_xlsx[[#This Row],[HORA REPORTE]]+SEGUIMIENTO_TPM_xlsx[[#This Row],[FECHA DE REPORTE]])</f>
        <v>0</v>
      </c>
      <c r="S481" s="20">
        <f>(SEGUIMIENTO_TPM_xlsx[[#This Row],[FECHA DE INTERVENCÓN]]+SEGUIMIENTO_TPM_xlsx[[#This Row],[HORA FIN  INTERVENCIÓN]])</f>
        <v>0</v>
      </c>
      <c r="T481" s="11">
        <f>(SEGUIMIENTO_TPM_xlsx[[#This Row],[FECHA Y HORA FINAL]]-SEGUIMIENTO_TPM_xlsx[[#This Row],[FECHA Y HORA INICIO]])</f>
        <v>0</v>
      </c>
    </row>
    <row r="482" spans="1:20" x14ac:dyDescent="0.25">
      <c r="A482">
        <v>490</v>
      </c>
      <c r="B482" t="s">
        <v>103</v>
      </c>
      <c r="C482" s="1">
        <v>0.76388888888888884</v>
      </c>
      <c r="D482" s="2">
        <v>46028</v>
      </c>
      <c r="E482" t="s">
        <v>188</v>
      </c>
      <c r="G482" t="s">
        <v>738</v>
      </c>
      <c r="H482" s="1">
        <v>0.76388888888888884</v>
      </c>
      <c r="I482" s="1">
        <v>0.83333333333333337</v>
      </c>
      <c r="J482" s="2">
        <v>46028</v>
      </c>
      <c r="K482" t="s">
        <v>25</v>
      </c>
      <c r="L482" t="s">
        <v>739</v>
      </c>
      <c r="M482" t="s">
        <v>22</v>
      </c>
      <c r="N482" t="s">
        <v>22</v>
      </c>
      <c r="O482" t="s">
        <v>112</v>
      </c>
      <c r="P482" t="s">
        <v>23</v>
      </c>
      <c r="Q482" s="1">
        <f>SEGUIMIENTO_TPM_xlsx[[#This Row],[HORA FIN  INTERVENCIÓN]]-SEGUIMIENTO_TPM_xlsx[[#This Row],[HORA INICIO INTERVENCIÓN]]</f>
        <v>6.9444444444444531E-2</v>
      </c>
      <c r="R482" s="20">
        <f>(SEGUIMIENTO_TPM_xlsx[[#This Row],[HORA REPORTE]]+SEGUIMIENTO_TPM_xlsx[[#This Row],[FECHA DE REPORTE]])</f>
        <v>46028.763888888891</v>
      </c>
      <c r="S482" s="20">
        <f>(SEGUIMIENTO_TPM_xlsx[[#This Row],[FECHA DE INTERVENCÓN]]+SEGUIMIENTO_TPM_xlsx[[#This Row],[HORA FIN  INTERVENCIÓN]])</f>
        <v>46028.833333333336</v>
      </c>
      <c r="T482" s="11">
        <f>(SEGUIMIENTO_TPM_xlsx[[#This Row],[FECHA Y HORA FINAL]]-SEGUIMIENTO_TPM_xlsx[[#This Row],[FECHA Y HORA INICIO]])</f>
        <v>6.9444444445252884E-2</v>
      </c>
    </row>
    <row r="483" spans="1:20" x14ac:dyDescent="0.25">
      <c r="A483">
        <v>491</v>
      </c>
      <c r="B483" t="s">
        <v>526</v>
      </c>
      <c r="C483" s="1">
        <v>0.83333333333333337</v>
      </c>
      <c r="D483" s="2">
        <v>46028</v>
      </c>
      <c r="E483" t="s">
        <v>91</v>
      </c>
      <c r="G483" t="s">
        <v>740</v>
      </c>
      <c r="H483" s="1">
        <v>0.85416666666666663</v>
      </c>
      <c r="I483" s="1">
        <v>0.875</v>
      </c>
      <c r="J483" s="2">
        <v>46028</v>
      </c>
      <c r="K483" t="s">
        <v>25</v>
      </c>
      <c r="L483" t="s">
        <v>741</v>
      </c>
      <c r="M483" t="s">
        <v>22</v>
      </c>
      <c r="N483" t="s">
        <v>22</v>
      </c>
      <c r="O483" t="s">
        <v>112</v>
      </c>
      <c r="P483" t="s">
        <v>23</v>
      </c>
      <c r="Q483" s="1">
        <f>SEGUIMIENTO_TPM_xlsx[[#This Row],[HORA FIN  INTERVENCIÓN]]-SEGUIMIENTO_TPM_xlsx[[#This Row],[HORA INICIO INTERVENCIÓN]]</f>
        <v>2.083333333333337E-2</v>
      </c>
      <c r="R483" s="20">
        <f>(SEGUIMIENTO_TPM_xlsx[[#This Row],[HORA REPORTE]]+SEGUIMIENTO_TPM_xlsx[[#This Row],[FECHA DE REPORTE]])</f>
        <v>46028.833333333336</v>
      </c>
      <c r="S483" s="20">
        <f>(SEGUIMIENTO_TPM_xlsx[[#This Row],[FECHA DE INTERVENCÓN]]+SEGUIMIENTO_TPM_xlsx[[#This Row],[HORA FIN  INTERVENCIÓN]])</f>
        <v>46028.875</v>
      </c>
      <c r="T483" s="11">
        <f>(SEGUIMIENTO_TPM_xlsx[[#This Row],[FECHA Y HORA FINAL]]-SEGUIMIENTO_TPM_xlsx[[#This Row],[FECHA Y HORA INICIO]])</f>
        <v>4.1666666664241347E-2</v>
      </c>
    </row>
    <row r="484" spans="1:20" x14ac:dyDescent="0.25">
      <c r="A484">
        <v>492</v>
      </c>
      <c r="B484" t="s">
        <v>103</v>
      </c>
      <c r="C484" s="1">
        <v>0.90277777777777779</v>
      </c>
      <c r="D484" s="2">
        <v>46028</v>
      </c>
      <c r="E484" t="s">
        <v>188</v>
      </c>
      <c r="G484" t="s">
        <v>742</v>
      </c>
      <c r="H484" s="1">
        <v>0.90277777777777779</v>
      </c>
      <c r="I484" s="1">
        <v>0.91666666666666663</v>
      </c>
      <c r="J484" s="2">
        <v>46028</v>
      </c>
      <c r="K484" t="s">
        <v>20</v>
      </c>
      <c r="L484" t="s">
        <v>743</v>
      </c>
      <c r="M484" t="s">
        <v>22</v>
      </c>
      <c r="N484" t="s">
        <v>22</v>
      </c>
      <c r="O484" t="s">
        <v>112</v>
      </c>
      <c r="P484" t="s">
        <v>23</v>
      </c>
      <c r="Q484" s="1">
        <f>SEGUIMIENTO_TPM_xlsx[[#This Row],[HORA FIN  INTERVENCIÓN]]-SEGUIMIENTO_TPM_xlsx[[#This Row],[HORA INICIO INTERVENCIÓN]]</f>
        <v>1.388888888888884E-2</v>
      </c>
      <c r="R484" s="20">
        <f>(SEGUIMIENTO_TPM_xlsx[[#This Row],[HORA REPORTE]]+SEGUIMIENTO_TPM_xlsx[[#This Row],[FECHA DE REPORTE]])</f>
        <v>46028.902777777781</v>
      </c>
      <c r="S484" s="20">
        <f>(SEGUIMIENTO_TPM_xlsx[[#This Row],[FECHA DE INTERVENCÓN]]+SEGUIMIENTO_TPM_xlsx[[#This Row],[HORA FIN  INTERVENCIÓN]])</f>
        <v>46028.916666666664</v>
      </c>
      <c r="T484" s="11">
        <f>(SEGUIMIENTO_TPM_xlsx[[#This Row],[FECHA Y HORA FINAL]]-SEGUIMIENTO_TPM_xlsx[[#This Row],[FECHA Y HORA INICIO]])</f>
        <v>1.3888888883229811E-2</v>
      </c>
    </row>
    <row r="485" spans="1:20" x14ac:dyDescent="0.25">
      <c r="A485">
        <v>493</v>
      </c>
      <c r="B485" t="s">
        <v>103</v>
      </c>
      <c r="C485" s="1">
        <v>0.20833333333333334</v>
      </c>
      <c r="D485" s="2">
        <v>46029</v>
      </c>
      <c r="E485" t="s">
        <v>188</v>
      </c>
      <c r="F485" t="s">
        <v>18</v>
      </c>
      <c r="G485" t="s">
        <v>744</v>
      </c>
      <c r="H485" s="1"/>
      <c r="I485" s="1"/>
      <c r="J485" s="2"/>
      <c r="P485" t="s">
        <v>33</v>
      </c>
      <c r="Q485" s="1">
        <f>SEGUIMIENTO_TPM_xlsx[[#This Row],[HORA FIN  INTERVENCIÓN]]-SEGUIMIENTO_TPM_xlsx[[#This Row],[HORA INICIO INTERVENCIÓN]]</f>
        <v>0</v>
      </c>
      <c r="R485" s="20">
        <f>(SEGUIMIENTO_TPM_xlsx[[#This Row],[HORA REPORTE]]+SEGUIMIENTO_TPM_xlsx[[#This Row],[FECHA DE REPORTE]])</f>
        <v>46029.208333333336</v>
      </c>
      <c r="S485" s="20">
        <f>(SEGUIMIENTO_TPM_xlsx[[#This Row],[FECHA DE INTERVENCÓN]]+SEGUIMIENTO_TPM_xlsx[[#This Row],[HORA FIN  INTERVENCIÓN]])</f>
        <v>0</v>
      </c>
      <c r="T485" s="11">
        <f>(SEGUIMIENTO_TPM_xlsx[[#This Row],[FECHA Y HORA FINAL]]-SEGUIMIENTO_TPM_xlsx[[#This Row],[FECHA Y HORA INICIO]])</f>
        <v>-46029.208333333336</v>
      </c>
    </row>
    <row r="486" spans="1:20" x14ac:dyDescent="0.25">
      <c r="A486">
        <v>494</v>
      </c>
      <c r="B486" t="s">
        <v>242</v>
      </c>
      <c r="C486" s="1">
        <v>0.3888888888888889</v>
      </c>
      <c r="D486" s="2">
        <v>46029</v>
      </c>
      <c r="E486" t="s">
        <v>17</v>
      </c>
      <c r="F486" t="s">
        <v>650</v>
      </c>
      <c r="G486" t="s">
        <v>745</v>
      </c>
      <c r="H486" s="1"/>
      <c r="I486" s="1"/>
      <c r="J486" s="2"/>
      <c r="P486" t="s">
        <v>33</v>
      </c>
      <c r="Q486" s="1">
        <f>SEGUIMIENTO_TPM_xlsx[[#This Row],[HORA FIN  INTERVENCIÓN]]-SEGUIMIENTO_TPM_xlsx[[#This Row],[HORA INICIO INTERVENCIÓN]]</f>
        <v>0</v>
      </c>
      <c r="R486" s="20">
        <f>(SEGUIMIENTO_TPM_xlsx[[#This Row],[HORA REPORTE]]+SEGUIMIENTO_TPM_xlsx[[#This Row],[FECHA DE REPORTE]])</f>
        <v>46029.388888888891</v>
      </c>
      <c r="S486" s="20">
        <f>(SEGUIMIENTO_TPM_xlsx[[#This Row],[FECHA DE INTERVENCÓN]]+SEGUIMIENTO_TPM_xlsx[[#This Row],[HORA FIN  INTERVENCIÓN]])</f>
        <v>0</v>
      </c>
      <c r="T486" s="11">
        <f>(SEGUIMIENTO_TPM_xlsx[[#This Row],[FECHA Y HORA FINAL]]-SEGUIMIENTO_TPM_xlsx[[#This Row],[FECHA Y HORA INICIO]])</f>
        <v>-46029.388888888891</v>
      </c>
    </row>
    <row r="487" spans="1:20" x14ac:dyDescent="0.25">
      <c r="A487">
        <v>495</v>
      </c>
      <c r="B487" t="s">
        <v>139</v>
      </c>
      <c r="C487" s="1">
        <v>0.46527777777777779</v>
      </c>
      <c r="D487" s="2">
        <v>46029</v>
      </c>
      <c r="E487" t="s">
        <v>91</v>
      </c>
      <c r="F487" t="s">
        <v>18</v>
      </c>
      <c r="G487" t="s">
        <v>746</v>
      </c>
      <c r="H487" s="1"/>
      <c r="I487" s="1"/>
      <c r="J487" s="2"/>
      <c r="P487" t="s">
        <v>33</v>
      </c>
      <c r="Q487" s="1">
        <f>SEGUIMIENTO_TPM_xlsx[[#This Row],[HORA FIN  INTERVENCIÓN]]-SEGUIMIENTO_TPM_xlsx[[#This Row],[HORA INICIO INTERVENCIÓN]]</f>
        <v>0</v>
      </c>
      <c r="R487" s="20">
        <f>(SEGUIMIENTO_TPM_xlsx[[#This Row],[HORA REPORTE]]+SEGUIMIENTO_TPM_xlsx[[#This Row],[FECHA DE REPORTE]])</f>
        <v>46029.465277777781</v>
      </c>
      <c r="S487" s="20">
        <f>(SEGUIMIENTO_TPM_xlsx[[#This Row],[FECHA DE INTERVENCÓN]]+SEGUIMIENTO_TPM_xlsx[[#This Row],[HORA FIN  INTERVENCIÓN]])</f>
        <v>0</v>
      </c>
      <c r="T487" s="11">
        <f>(SEGUIMIENTO_TPM_xlsx[[#This Row],[FECHA Y HORA FINAL]]-SEGUIMIENTO_TPM_xlsx[[#This Row],[FECHA Y HORA INICIO]])</f>
        <v>-46029.465277777781</v>
      </c>
    </row>
    <row r="488" spans="1:20" x14ac:dyDescent="0.25">
      <c r="A488">
        <v>496</v>
      </c>
      <c r="B488" t="s">
        <v>93</v>
      </c>
      <c r="C488" s="1">
        <v>0.76388888888888884</v>
      </c>
      <c r="D488" s="2">
        <v>46029</v>
      </c>
      <c r="E488" t="s">
        <v>116</v>
      </c>
      <c r="G488" t="s">
        <v>747</v>
      </c>
      <c r="H488" s="1">
        <v>0.76388888888888884</v>
      </c>
      <c r="I488" s="1">
        <v>0.80208333333333337</v>
      </c>
      <c r="J488" s="2">
        <v>46028</v>
      </c>
      <c r="K488" t="s">
        <v>25</v>
      </c>
      <c r="L488" t="s">
        <v>748</v>
      </c>
      <c r="M488" t="s">
        <v>749</v>
      </c>
      <c r="N488" t="s">
        <v>750</v>
      </c>
      <c r="O488" t="s">
        <v>108</v>
      </c>
      <c r="P488" t="s">
        <v>23</v>
      </c>
      <c r="Q488" s="1">
        <f>SEGUIMIENTO_TPM_xlsx[[#This Row],[HORA FIN  INTERVENCIÓN]]-SEGUIMIENTO_TPM_xlsx[[#This Row],[HORA INICIO INTERVENCIÓN]]</f>
        <v>3.8194444444444531E-2</v>
      </c>
      <c r="R488" s="20">
        <f>(SEGUIMIENTO_TPM_xlsx[[#This Row],[HORA REPORTE]]+SEGUIMIENTO_TPM_xlsx[[#This Row],[FECHA DE REPORTE]])</f>
        <v>46029.763888888891</v>
      </c>
      <c r="S488" s="20">
        <f>(SEGUIMIENTO_TPM_xlsx[[#This Row],[FECHA DE INTERVENCÓN]]+SEGUIMIENTO_TPM_xlsx[[#This Row],[HORA FIN  INTERVENCIÓN]])</f>
        <v>46028.802083333336</v>
      </c>
      <c r="T488" s="11">
        <f>(SEGUIMIENTO_TPM_xlsx[[#This Row],[FECHA Y HORA FINAL]]-SEGUIMIENTO_TPM_xlsx[[#This Row],[FECHA Y HORA INICIO]])</f>
        <v>-0.96180555555474712</v>
      </c>
    </row>
    <row r="489" spans="1:20" x14ac:dyDescent="0.25">
      <c r="A489">
        <v>497</v>
      </c>
      <c r="B489" t="s">
        <v>103</v>
      </c>
      <c r="C489" s="1">
        <v>0.27777777777777779</v>
      </c>
      <c r="D489" s="2">
        <v>46030</v>
      </c>
      <c r="E489" t="s">
        <v>188</v>
      </c>
      <c r="F489" t="s">
        <v>18</v>
      </c>
      <c r="G489" t="s">
        <v>751</v>
      </c>
      <c r="H489" s="1">
        <v>0.27777777777777779</v>
      </c>
      <c r="I489" s="1">
        <v>0.35416666666666669</v>
      </c>
      <c r="J489" s="2">
        <v>46030</v>
      </c>
      <c r="K489" t="s">
        <v>20</v>
      </c>
      <c r="L489" t="s">
        <v>752</v>
      </c>
      <c r="M489" t="s">
        <v>22</v>
      </c>
      <c r="N489" t="s">
        <v>22</v>
      </c>
      <c r="O489" t="s">
        <v>112</v>
      </c>
      <c r="P489" t="s">
        <v>23</v>
      </c>
      <c r="Q489" s="1">
        <f>SEGUIMIENTO_TPM_xlsx[[#This Row],[HORA FIN  INTERVENCIÓN]]-SEGUIMIENTO_TPM_xlsx[[#This Row],[HORA INICIO INTERVENCIÓN]]</f>
        <v>7.6388888888888895E-2</v>
      </c>
      <c r="R489" s="20">
        <f>(SEGUIMIENTO_TPM_xlsx[[#This Row],[HORA REPORTE]]+SEGUIMIENTO_TPM_xlsx[[#This Row],[FECHA DE REPORTE]])</f>
        <v>46030.277777777781</v>
      </c>
      <c r="S489" s="20">
        <f>(SEGUIMIENTO_TPM_xlsx[[#This Row],[FECHA DE INTERVENCÓN]]+SEGUIMIENTO_TPM_xlsx[[#This Row],[HORA FIN  INTERVENCIÓN]])</f>
        <v>46030.354166666664</v>
      </c>
      <c r="T489" s="11">
        <f>(SEGUIMIENTO_TPM_xlsx[[#This Row],[FECHA Y HORA FINAL]]-SEGUIMIENTO_TPM_xlsx[[#This Row],[FECHA Y HORA INICIO]])</f>
        <v>7.6388888883229811E-2</v>
      </c>
    </row>
    <row r="490" spans="1:20" x14ac:dyDescent="0.25">
      <c r="A490">
        <v>498</v>
      </c>
      <c r="B490" t="s">
        <v>261</v>
      </c>
      <c r="C490" s="1">
        <v>0.35416666666666669</v>
      </c>
      <c r="D490" s="2">
        <v>46030</v>
      </c>
      <c r="E490" t="s">
        <v>91</v>
      </c>
      <c r="F490" t="s">
        <v>18</v>
      </c>
      <c r="G490" t="s">
        <v>753</v>
      </c>
      <c r="H490" s="1">
        <v>0.3611111111111111</v>
      </c>
      <c r="I490" s="1">
        <v>0.375</v>
      </c>
      <c r="J490" s="2">
        <v>46030</v>
      </c>
      <c r="K490" t="s">
        <v>20</v>
      </c>
      <c r="L490" t="s">
        <v>754</v>
      </c>
      <c r="M490" t="s">
        <v>22</v>
      </c>
      <c r="N490" t="s">
        <v>22</v>
      </c>
      <c r="O490" t="s">
        <v>112</v>
      </c>
      <c r="P490" t="s">
        <v>23</v>
      </c>
      <c r="Q490" s="1">
        <f>SEGUIMIENTO_TPM_xlsx[[#This Row],[HORA FIN  INTERVENCIÓN]]-SEGUIMIENTO_TPM_xlsx[[#This Row],[HORA INICIO INTERVENCIÓN]]</f>
        <v>1.3888888888888895E-2</v>
      </c>
      <c r="R490" s="20">
        <f>(SEGUIMIENTO_TPM_xlsx[[#This Row],[HORA REPORTE]]+SEGUIMIENTO_TPM_xlsx[[#This Row],[FECHA DE REPORTE]])</f>
        <v>46030.354166666664</v>
      </c>
      <c r="S490" s="20">
        <f>(SEGUIMIENTO_TPM_xlsx[[#This Row],[FECHA DE INTERVENCÓN]]+SEGUIMIENTO_TPM_xlsx[[#This Row],[HORA FIN  INTERVENCIÓN]])</f>
        <v>46030.375</v>
      </c>
      <c r="T490" s="11">
        <f>(SEGUIMIENTO_TPM_xlsx[[#This Row],[FECHA Y HORA FINAL]]-SEGUIMIENTO_TPM_xlsx[[#This Row],[FECHA Y HORA INICIO]])</f>
        <v>2.0833333335758653E-2</v>
      </c>
    </row>
    <row r="491" spans="1:20" x14ac:dyDescent="0.25">
      <c r="A491">
        <v>499</v>
      </c>
      <c r="B491" t="s">
        <v>238</v>
      </c>
      <c r="C491" s="1">
        <v>0.47569444444444442</v>
      </c>
      <c r="D491" s="2">
        <v>46030</v>
      </c>
      <c r="E491" t="s">
        <v>94</v>
      </c>
      <c r="F491" t="s">
        <v>18</v>
      </c>
      <c r="G491" t="s">
        <v>755</v>
      </c>
      <c r="H491" s="1">
        <v>0.47569444444444442</v>
      </c>
      <c r="I491" s="1">
        <v>0.48958333333333331</v>
      </c>
      <c r="J491" s="2">
        <v>46030</v>
      </c>
      <c r="K491" t="s">
        <v>25</v>
      </c>
      <c r="L491" t="s">
        <v>756</v>
      </c>
      <c r="M491" t="s">
        <v>757</v>
      </c>
      <c r="N491" t="s">
        <v>22</v>
      </c>
      <c r="O491" t="s">
        <v>112</v>
      </c>
      <c r="P491" t="s">
        <v>23</v>
      </c>
      <c r="Q491" s="1">
        <f>SEGUIMIENTO_TPM_xlsx[[#This Row],[HORA FIN  INTERVENCIÓN]]-SEGUIMIENTO_TPM_xlsx[[#This Row],[HORA INICIO INTERVENCIÓN]]</f>
        <v>1.3888888888888895E-2</v>
      </c>
      <c r="R491" s="20">
        <f>(SEGUIMIENTO_TPM_xlsx[[#This Row],[HORA REPORTE]]+SEGUIMIENTO_TPM_xlsx[[#This Row],[FECHA DE REPORTE]])</f>
        <v>46030.475694444445</v>
      </c>
      <c r="S491" s="20">
        <f>(SEGUIMIENTO_TPM_xlsx[[#This Row],[FECHA DE INTERVENCÓN]]+SEGUIMIENTO_TPM_xlsx[[#This Row],[HORA FIN  INTERVENCIÓN]])</f>
        <v>46030.489583333336</v>
      </c>
      <c r="T491" s="11">
        <f>(SEGUIMIENTO_TPM_xlsx[[#This Row],[FECHA Y HORA FINAL]]-SEGUIMIENTO_TPM_xlsx[[#This Row],[FECHA Y HORA INICIO]])</f>
        <v>1.3888888890505768E-2</v>
      </c>
    </row>
    <row r="492" spans="1:20" x14ac:dyDescent="0.25">
      <c r="A492">
        <v>500</v>
      </c>
      <c r="B492" t="s">
        <v>16</v>
      </c>
      <c r="C492" s="1">
        <v>0.98611111111111116</v>
      </c>
      <c r="D492" s="2">
        <v>46030</v>
      </c>
      <c r="E492" t="s">
        <v>116</v>
      </c>
      <c r="F492" t="s">
        <v>18</v>
      </c>
      <c r="G492" t="s">
        <v>758</v>
      </c>
      <c r="H492" s="1">
        <v>0.99305555555555558</v>
      </c>
      <c r="I492" s="1">
        <v>6.9444444444444441E-3</v>
      </c>
      <c r="J492" s="2">
        <v>46031</v>
      </c>
      <c r="K492" t="s">
        <v>20</v>
      </c>
      <c r="L492" t="s">
        <v>759</v>
      </c>
      <c r="M492" t="s">
        <v>22</v>
      </c>
      <c r="N492" t="s">
        <v>722</v>
      </c>
      <c r="O492" t="s">
        <v>661</v>
      </c>
      <c r="P492" t="s">
        <v>23</v>
      </c>
      <c r="Q492" s="1">
        <f>SEGUIMIENTO_TPM_xlsx[[#This Row],[HORA FIN  INTERVENCIÓN]]-SEGUIMIENTO_TPM_xlsx[[#This Row],[HORA INICIO INTERVENCIÓN]]</f>
        <v>-0.98611111111111116</v>
      </c>
      <c r="R492" s="20">
        <f>(SEGUIMIENTO_TPM_xlsx[[#This Row],[HORA REPORTE]]+SEGUIMIENTO_TPM_xlsx[[#This Row],[FECHA DE REPORTE]])</f>
        <v>46030.986111111109</v>
      </c>
      <c r="S492" s="20">
        <f>(SEGUIMIENTO_TPM_xlsx[[#This Row],[FECHA DE INTERVENCÓN]]+SEGUIMIENTO_TPM_xlsx[[#This Row],[HORA FIN  INTERVENCIÓN]])</f>
        <v>46031.006944444445</v>
      </c>
      <c r="T492" s="11">
        <f>(SEGUIMIENTO_TPM_xlsx[[#This Row],[FECHA Y HORA FINAL]]-SEGUIMIENTO_TPM_xlsx[[#This Row],[FECHA Y HORA INICIO]])</f>
        <v>2.0833333335758653E-2</v>
      </c>
    </row>
    <row r="493" spans="1:20" x14ac:dyDescent="0.25">
      <c r="A493">
        <v>501</v>
      </c>
      <c r="B493" t="s">
        <v>103</v>
      </c>
      <c r="C493" s="1">
        <v>0.70833333333333337</v>
      </c>
      <c r="D493" s="2">
        <v>46030</v>
      </c>
      <c r="E493" t="s">
        <v>188</v>
      </c>
      <c r="F493" t="s">
        <v>18</v>
      </c>
      <c r="G493" t="s">
        <v>760</v>
      </c>
      <c r="H493" s="1">
        <v>0.70833333333333337</v>
      </c>
      <c r="I493" s="1">
        <v>0.74305555555555558</v>
      </c>
      <c r="J493" s="2">
        <v>46030</v>
      </c>
      <c r="K493" t="s">
        <v>20</v>
      </c>
      <c r="L493" t="s">
        <v>761</v>
      </c>
      <c r="M493" t="s">
        <v>22</v>
      </c>
      <c r="N493" t="s">
        <v>22</v>
      </c>
      <c r="O493" t="s">
        <v>108</v>
      </c>
      <c r="P493" t="s">
        <v>23</v>
      </c>
      <c r="Q493" s="1">
        <f>SEGUIMIENTO_TPM_xlsx[[#This Row],[HORA FIN  INTERVENCIÓN]]-SEGUIMIENTO_TPM_xlsx[[#This Row],[HORA INICIO INTERVENCIÓN]]</f>
        <v>3.472222222222221E-2</v>
      </c>
      <c r="R493" s="20">
        <f>(SEGUIMIENTO_TPM_xlsx[[#This Row],[HORA REPORTE]]+SEGUIMIENTO_TPM_xlsx[[#This Row],[FECHA DE REPORTE]])</f>
        <v>46030.708333333336</v>
      </c>
      <c r="S493" s="20">
        <f>(SEGUIMIENTO_TPM_xlsx[[#This Row],[FECHA DE INTERVENCÓN]]+SEGUIMIENTO_TPM_xlsx[[#This Row],[HORA FIN  INTERVENCIÓN]])</f>
        <v>46030.743055555555</v>
      </c>
      <c r="T493" s="11">
        <f>(SEGUIMIENTO_TPM_xlsx[[#This Row],[FECHA Y HORA FINAL]]-SEGUIMIENTO_TPM_xlsx[[#This Row],[FECHA Y HORA INICIO]])</f>
        <v>3.4722222218988463E-2</v>
      </c>
    </row>
    <row r="494" spans="1:20" x14ac:dyDescent="0.25">
      <c r="A494">
        <v>502</v>
      </c>
      <c r="B494" t="s">
        <v>46</v>
      </c>
      <c r="C494" s="1">
        <v>0.91111111111111109</v>
      </c>
      <c r="D494" s="2">
        <v>46030</v>
      </c>
      <c r="E494" t="s">
        <v>143</v>
      </c>
      <c r="G494" t="s">
        <v>762</v>
      </c>
      <c r="H494" s="1">
        <v>0.91180555555555554</v>
      </c>
      <c r="I494" s="1">
        <v>0.91597222222222219</v>
      </c>
      <c r="J494" s="2">
        <v>46030</v>
      </c>
      <c r="K494" t="s">
        <v>25</v>
      </c>
      <c r="L494" t="s">
        <v>763</v>
      </c>
      <c r="M494" t="s">
        <v>22</v>
      </c>
      <c r="N494" t="s">
        <v>22</v>
      </c>
      <c r="O494" t="s">
        <v>661</v>
      </c>
      <c r="P494" t="s">
        <v>23</v>
      </c>
      <c r="Q494" s="1">
        <f>SEGUIMIENTO_TPM_xlsx[[#This Row],[HORA FIN  INTERVENCIÓN]]-SEGUIMIENTO_TPM_xlsx[[#This Row],[HORA INICIO INTERVENCIÓN]]</f>
        <v>4.1666666666666519E-3</v>
      </c>
      <c r="R494" s="20">
        <f>(SEGUIMIENTO_TPM_xlsx[[#This Row],[HORA REPORTE]]+SEGUIMIENTO_TPM_xlsx[[#This Row],[FECHA DE REPORTE]])</f>
        <v>46030.911111111112</v>
      </c>
      <c r="S494" s="20">
        <f>(SEGUIMIENTO_TPM_xlsx[[#This Row],[FECHA DE INTERVENCÓN]]+SEGUIMIENTO_TPM_xlsx[[#This Row],[HORA FIN  INTERVENCIÓN]])</f>
        <v>46030.915972222225</v>
      </c>
      <c r="T494" s="11">
        <f>(SEGUIMIENTO_TPM_xlsx[[#This Row],[FECHA Y HORA FINAL]]-SEGUIMIENTO_TPM_xlsx[[#This Row],[FECHA Y HORA INICIO]])</f>
        <v>4.8611111124046147E-3</v>
      </c>
    </row>
    <row r="495" spans="1:20" x14ac:dyDescent="0.25">
      <c r="A495">
        <v>503</v>
      </c>
      <c r="B495" t="s">
        <v>630</v>
      </c>
      <c r="C495" s="1">
        <v>0.9375</v>
      </c>
      <c r="D495" s="2">
        <v>46029</v>
      </c>
      <c r="E495" t="s">
        <v>17</v>
      </c>
      <c r="G495" t="s">
        <v>764</v>
      </c>
      <c r="H495" s="1">
        <v>0.9375</v>
      </c>
      <c r="I495" s="1">
        <v>0.97916666666666663</v>
      </c>
      <c r="J495" s="2">
        <v>46023</v>
      </c>
      <c r="K495" t="s">
        <v>25</v>
      </c>
      <c r="L495" t="s">
        <v>765</v>
      </c>
      <c r="M495" t="s">
        <v>22</v>
      </c>
      <c r="N495" t="s">
        <v>22</v>
      </c>
      <c r="O495" t="s">
        <v>661</v>
      </c>
      <c r="P495" t="s">
        <v>23</v>
      </c>
      <c r="Q495" s="1">
        <f>SEGUIMIENTO_TPM_xlsx[[#This Row],[HORA FIN  INTERVENCIÓN]]-SEGUIMIENTO_TPM_xlsx[[#This Row],[HORA INICIO INTERVENCIÓN]]</f>
        <v>4.166666666666663E-2</v>
      </c>
      <c r="R495" s="20">
        <f>(SEGUIMIENTO_TPM_xlsx[[#This Row],[HORA REPORTE]]+SEGUIMIENTO_TPM_xlsx[[#This Row],[FECHA DE REPORTE]])</f>
        <v>46029.9375</v>
      </c>
      <c r="S495" s="20">
        <f>(SEGUIMIENTO_TPM_xlsx[[#This Row],[FECHA DE INTERVENCÓN]]+SEGUIMIENTO_TPM_xlsx[[#This Row],[HORA FIN  INTERVENCIÓN]])</f>
        <v>46023.979166666664</v>
      </c>
      <c r="T495" s="11">
        <f>(SEGUIMIENTO_TPM_xlsx[[#This Row],[FECHA Y HORA FINAL]]-SEGUIMIENTO_TPM_xlsx[[#This Row],[FECHA Y HORA INICIO]])</f>
        <v>-5.9583333333357587</v>
      </c>
    </row>
    <row r="496" spans="1:20" x14ac:dyDescent="0.25">
      <c r="A496">
        <v>504</v>
      </c>
      <c r="B496" t="s">
        <v>139</v>
      </c>
      <c r="C496" s="1">
        <v>6.9444444444444441E-3</v>
      </c>
      <c r="D496" s="2">
        <v>46031</v>
      </c>
      <c r="E496" t="s">
        <v>91</v>
      </c>
      <c r="G496" t="s">
        <v>766</v>
      </c>
      <c r="H496" s="1">
        <v>7.6388888888888886E-3</v>
      </c>
      <c r="I496" s="1">
        <v>1.0416666666666666E-2</v>
      </c>
      <c r="J496" s="2">
        <v>46031</v>
      </c>
      <c r="K496" t="s">
        <v>25</v>
      </c>
      <c r="L496" t="s">
        <v>767</v>
      </c>
      <c r="M496" t="s">
        <v>22</v>
      </c>
      <c r="N496" t="s">
        <v>768</v>
      </c>
      <c r="O496" t="s">
        <v>661</v>
      </c>
      <c r="P496" t="s">
        <v>23</v>
      </c>
      <c r="Q496" s="1">
        <f>SEGUIMIENTO_TPM_xlsx[[#This Row],[HORA FIN  INTERVENCIÓN]]-SEGUIMIENTO_TPM_xlsx[[#This Row],[HORA INICIO INTERVENCIÓN]]</f>
        <v>2.7777777777777775E-3</v>
      </c>
      <c r="R496" s="20">
        <f>(SEGUIMIENTO_TPM_xlsx[[#This Row],[HORA REPORTE]]+SEGUIMIENTO_TPM_xlsx[[#This Row],[FECHA DE REPORTE]])</f>
        <v>46031.006944444445</v>
      </c>
      <c r="S496" s="20">
        <f>(SEGUIMIENTO_TPM_xlsx[[#This Row],[FECHA DE INTERVENCÓN]]+SEGUIMIENTO_TPM_xlsx[[#This Row],[HORA FIN  INTERVENCIÓN]])</f>
        <v>46031.010416666664</v>
      </c>
      <c r="T496" s="11">
        <f>(SEGUIMIENTO_TPM_xlsx[[#This Row],[FECHA Y HORA FINAL]]-SEGUIMIENTO_TPM_xlsx[[#This Row],[FECHA Y HORA INICIO]])</f>
        <v>3.4722222189884633E-3</v>
      </c>
    </row>
    <row r="497" spans="1:20" x14ac:dyDescent="0.25">
      <c r="A497">
        <v>505</v>
      </c>
      <c r="C497" s="1">
        <v>0.13333333333333333</v>
      </c>
      <c r="D497" s="2">
        <v>46031</v>
      </c>
      <c r="E497" t="s">
        <v>143</v>
      </c>
      <c r="G497" t="s">
        <v>769</v>
      </c>
      <c r="H497" s="1">
        <v>0.13541666666666666</v>
      </c>
      <c r="I497" s="1">
        <v>0.14583333333333334</v>
      </c>
      <c r="J497" s="2">
        <v>46031</v>
      </c>
      <c r="K497" t="s">
        <v>25</v>
      </c>
      <c r="L497" t="s">
        <v>770</v>
      </c>
      <c r="M497" t="s">
        <v>22</v>
      </c>
      <c r="N497" t="s">
        <v>22</v>
      </c>
      <c r="O497" t="s">
        <v>661</v>
      </c>
      <c r="P497" t="s">
        <v>23</v>
      </c>
      <c r="Q497" s="1">
        <f>SEGUIMIENTO_TPM_xlsx[[#This Row],[HORA FIN  INTERVENCIÓN]]-SEGUIMIENTO_TPM_xlsx[[#This Row],[HORA INICIO INTERVENCIÓN]]</f>
        <v>1.0416666666666685E-2</v>
      </c>
      <c r="R497" s="20">
        <f>(SEGUIMIENTO_TPM_xlsx[[#This Row],[HORA REPORTE]]+SEGUIMIENTO_TPM_xlsx[[#This Row],[FECHA DE REPORTE]])</f>
        <v>46031.133333333331</v>
      </c>
      <c r="S497" s="20">
        <f>(SEGUIMIENTO_TPM_xlsx[[#This Row],[FECHA DE INTERVENCÓN]]+SEGUIMIENTO_TPM_xlsx[[#This Row],[HORA FIN  INTERVENCIÓN]])</f>
        <v>46031.145833333336</v>
      </c>
      <c r="T497" s="11">
        <f>(SEGUIMIENTO_TPM_xlsx[[#This Row],[FECHA Y HORA FINAL]]-SEGUIMIENTO_TPM_xlsx[[#This Row],[FECHA Y HORA INICIO]])</f>
        <v>1.2500000004365575E-2</v>
      </c>
    </row>
    <row r="498" spans="1:20" x14ac:dyDescent="0.25">
      <c r="A498">
        <v>506</v>
      </c>
      <c r="B498" t="s">
        <v>231</v>
      </c>
      <c r="C498" s="1">
        <v>0.18055555555555555</v>
      </c>
      <c r="D498" s="2">
        <v>46031</v>
      </c>
      <c r="E498" t="s">
        <v>143</v>
      </c>
      <c r="G498" t="s">
        <v>771</v>
      </c>
      <c r="H498" s="1">
        <v>0.18055555555555555</v>
      </c>
      <c r="I498" s="1">
        <v>0.2013888888888889</v>
      </c>
      <c r="J498" s="2">
        <v>46031</v>
      </c>
      <c r="K498" t="s">
        <v>25</v>
      </c>
      <c r="L498" t="s">
        <v>772</v>
      </c>
      <c r="M498" t="s">
        <v>773</v>
      </c>
      <c r="N498" t="s">
        <v>22</v>
      </c>
      <c r="P498" t="s">
        <v>23</v>
      </c>
      <c r="Q498" s="1">
        <f>SEGUIMIENTO_TPM_xlsx[[#This Row],[HORA FIN  INTERVENCIÓN]]-SEGUIMIENTO_TPM_xlsx[[#This Row],[HORA INICIO INTERVENCIÓN]]</f>
        <v>2.0833333333333343E-2</v>
      </c>
      <c r="R498" s="20">
        <f>(SEGUIMIENTO_TPM_xlsx[[#This Row],[HORA REPORTE]]+SEGUIMIENTO_TPM_xlsx[[#This Row],[FECHA DE REPORTE]])</f>
        <v>46031.180555555555</v>
      </c>
      <c r="S498" s="20">
        <f>(SEGUIMIENTO_TPM_xlsx[[#This Row],[FECHA DE INTERVENCÓN]]+SEGUIMIENTO_TPM_xlsx[[#This Row],[HORA FIN  INTERVENCIÓN]])</f>
        <v>46031.201388888891</v>
      </c>
      <c r="T498" s="11">
        <f>(SEGUIMIENTO_TPM_xlsx[[#This Row],[FECHA Y HORA FINAL]]-SEGUIMIENTO_TPM_xlsx[[#This Row],[FECHA Y HORA INICIO]])</f>
        <v>2.0833333335758653E-2</v>
      </c>
    </row>
    <row r="499" spans="1:20" x14ac:dyDescent="0.25">
      <c r="A499">
        <v>507</v>
      </c>
      <c r="B499" t="s">
        <v>206</v>
      </c>
      <c r="C499" s="1">
        <v>0.27777777777777779</v>
      </c>
      <c r="D499" s="2">
        <v>46031</v>
      </c>
      <c r="E499" t="s">
        <v>185</v>
      </c>
      <c r="G499" t="s">
        <v>774</v>
      </c>
      <c r="H499" s="1">
        <v>0.27777777777777779</v>
      </c>
      <c r="I499" s="1">
        <v>0.3611111111111111</v>
      </c>
      <c r="J499" s="2">
        <v>46031</v>
      </c>
      <c r="K499" t="s">
        <v>775</v>
      </c>
      <c r="L499" t="s">
        <v>776</v>
      </c>
      <c r="M499" t="s">
        <v>722</v>
      </c>
      <c r="N499" t="s">
        <v>22</v>
      </c>
      <c r="O499" t="s">
        <v>44</v>
      </c>
      <c r="P499" t="s">
        <v>23</v>
      </c>
      <c r="Q499" s="1">
        <f>SEGUIMIENTO_TPM_xlsx[[#This Row],[HORA FIN  INTERVENCIÓN]]-SEGUIMIENTO_TPM_xlsx[[#This Row],[HORA INICIO INTERVENCIÓN]]</f>
        <v>8.3333333333333315E-2</v>
      </c>
      <c r="R499" s="20">
        <f>(SEGUIMIENTO_TPM_xlsx[[#This Row],[HORA REPORTE]]+SEGUIMIENTO_TPM_xlsx[[#This Row],[FECHA DE REPORTE]])</f>
        <v>46031.277777777781</v>
      </c>
      <c r="S499" s="20">
        <f>(SEGUIMIENTO_TPM_xlsx[[#This Row],[FECHA DE INTERVENCÓN]]+SEGUIMIENTO_TPM_xlsx[[#This Row],[HORA FIN  INTERVENCIÓN]])</f>
        <v>46031.361111111109</v>
      </c>
      <c r="T499" s="11">
        <f>(SEGUIMIENTO_TPM_xlsx[[#This Row],[FECHA Y HORA FINAL]]-SEGUIMIENTO_TPM_xlsx[[#This Row],[FECHA Y HORA INICIO]])</f>
        <v>8.3333333328482695E-2</v>
      </c>
    </row>
    <row r="500" spans="1:20" x14ac:dyDescent="0.25">
      <c r="A500">
        <v>508</v>
      </c>
      <c r="B500" t="s">
        <v>206</v>
      </c>
      <c r="C500" s="1">
        <v>0.46527777777777779</v>
      </c>
      <c r="D500" s="2">
        <v>46031</v>
      </c>
      <c r="E500" t="s">
        <v>116</v>
      </c>
      <c r="G500" t="s">
        <v>777</v>
      </c>
      <c r="H500" s="1">
        <v>0.46527777777777779</v>
      </c>
      <c r="I500" s="1">
        <v>0.4861111111111111</v>
      </c>
      <c r="J500" s="2">
        <v>46031</v>
      </c>
      <c r="K500" t="s">
        <v>25</v>
      </c>
      <c r="L500" t="s">
        <v>778</v>
      </c>
      <c r="M500" t="s">
        <v>779</v>
      </c>
      <c r="N500" t="s">
        <v>22</v>
      </c>
      <c r="O500" t="s">
        <v>44</v>
      </c>
      <c r="P500" t="s">
        <v>23</v>
      </c>
      <c r="Q500" s="1">
        <f>SEGUIMIENTO_TPM_xlsx[[#This Row],[HORA FIN  INTERVENCIÓN]]-SEGUIMIENTO_TPM_xlsx[[#This Row],[HORA INICIO INTERVENCIÓN]]</f>
        <v>2.0833333333333315E-2</v>
      </c>
      <c r="R500" s="20">
        <f>(SEGUIMIENTO_TPM_xlsx[[#This Row],[HORA REPORTE]]+SEGUIMIENTO_TPM_xlsx[[#This Row],[FECHA DE REPORTE]])</f>
        <v>46031.465277777781</v>
      </c>
      <c r="S500" s="20">
        <f>(SEGUIMIENTO_TPM_xlsx[[#This Row],[FECHA DE INTERVENCÓN]]+SEGUIMIENTO_TPM_xlsx[[#This Row],[HORA FIN  INTERVENCIÓN]])</f>
        <v>46031.486111111109</v>
      </c>
      <c r="T500" s="11">
        <f>(SEGUIMIENTO_TPM_xlsx[[#This Row],[FECHA Y HORA FINAL]]-SEGUIMIENTO_TPM_xlsx[[#This Row],[FECHA Y HORA INICIO]])</f>
        <v>2.0833333328482695E-2</v>
      </c>
    </row>
    <row r="501" spans="1:20" x14ac:dyDescent="0.25">
      <c r="A501">
        <v>509</v>
      </c>
      <c r="B501" t="s">
        <v>341</v>
      </c>
      <c r="C501" s="1">
        <v>0.31597222222222221</v>
      </c>
      <c r="D501" s="2">
        <v>46031</v>
      </c>
      <c r="E501" t="s">
        <v>143</v>
      </c>
      <c r="F501" t="s">
        <v>18</v>
      </c>
      <c r="G501" t="s">
        <v>1717</v>
      </c>
      <c r="H501" s="1">
        <v>0.31597222222222221</v>
      </c>
      <c r="I501" s="1">
        <v>0.3576388888888889</v>
      </c>
      <c r="J501" s="2">
        <v>46108</v>
      </c>
      <c r="K501" t="s">
        <v>25</v>
      </c>
      <c r="L501" t="s">
        <v>1718</v>
      </c>
      <c r="M501" t="s">
        <v>1719</v>
      </c>
      <c r="N501" t="s">
        <v>22</v>
      </c>
      <c r="O501" t="s">
        <v>661</v>
      </c>
      <c r="P501" t="s">
        <v>23</v>
      </c>
      <c r="Q501" s="1">
        <f>SEGUIMIENTO_TPM_xlsx[[#This Row],[HORA FIN  INTERVENCIÓN]]-SEGUIMIENTO_TPM_xlsx[[#This Row],[HORA INICIO INTERVENCIÓN]]</f>
        <v>4.1666666666666685E-2</v>
      </c>
      <c r="R501" s="20">
        <f>(SEGUIMIENTO_TPM_xlsx[[#This Row],[HORA REPORTE]]+SEGUIMIENTO_TPM_xlsx[[#This Row],[FECHA DE REPORTE]])</f>
        <v>46031.315972222219</v>
      </c>
      <c r="S501" s="20">
        <f>(SEGUIMIENTO_TPM_xlsx[[#This Row],[FECHA DE INTERVENCÓN]]+SEGUIMIENTO_TPM_xlsx[[#This Row],[HORA FIN  INTERVENCIÓN]])</f>
        <v>46108.357638888891</v>
      </c>
      <c r="T501" s="11">
        <f>(SEGUIMIENTO_TPM_xlsx[[#This Row],[FECHA Y HORA FINAL]]-SEGUIMIENTO_TPM_xlsx[[#This Row],[FECHA Y HORA INICIO]])</f>
        <v>77.041666666671517</v>
      </c>
    </row>
    <row r="502" spans="1:20" x14ac:dyDescent="0.25">
      <c r="A502">
        <v>510</v>
      </c>
      <c r="C502" s="1"/>
      <c r="D502" s="2"/>
      <c r="H502" s="1"/>
      <c r="I502" s="1"/>
      <c r="J502" s="2"/>
      <c r="Q502" s="1">
        <f>SEGUIMIENTO_TPM_xlsx[[#This Row],[HORA FIN  INTERVENCIÓN]]-SEGUIMIENTO_TPM_xlsx[[#This Row],[HORA INICIO INTERVENCIÓN]]</f>
        <v>0</v>
      </c>
      <c r="R502" s="20">
        <f>(SEGUIMIENTO_TPM_xlsx[[#This Row],[HORA REPORTE]]+SEGUIMIENTO_TPM_xlsx[[#This Row],[FECHA DE REPORTE]])</f>
        <v>0</v>
      </c>
      <c r="S502" s="20">
        <f>(SEGUIMIENTO_TPM_xlsx[[#This Row],[FECHA DE INTERVENCÓN]]+SEGUIMIENTO_TPM_xlsx[[#This Row],[HORA FIN  INTERVENCIÓN]])</f>
        <v>0</v>
      </c>
      <c r="T502" s="11">
        <f>(SEGUIMIENTO_TPM_xlsx[[#This Row],[FECHA Y HORA FINAL]]-SEGUIMIENTO_TPM_xlsx[[#This Row],[FECHA Y HORA INICIO]])</f>
        <v>0</v>
      </c>
    </row>
    <row r="503" spans="1:20" x14ac:dyDescent="0.25">
      <c r="A503">
        <v>511</v>
      </c>
      <c r="C503" s="1"/>
      <c r="D503" s="2"/>
      <c r="H503" s="1"/>
      <c r="I503" s="1"/>
      <c r="J503" s="2"/>
      <c r="Q503" s="1">
        <f>SEGUIMIENTO_TPM_xlsx[[#This Row],[HORA FIN  INTERVENCIÓN]]-SEGUIMIENTO_TPM_xlsx[[#This Row],[HORA INICIO INTERVENCIÓN]]</f>
        <v>0</v>
      </c>
      <c r="R503" s="20">
        <f>(SEGUIMIENTO_TPM_xlsx[[#This Row],[HORA REPORTE]]+SEGUIMIENTO_TPM_xlsx[[#This Row],[FECHA DE REPORTE]])</f>
        <v>0</v>
      </c>
      <c r="S503" s="20">
        <f>(SEGUIMIENTO_TPM_xlsx[[#This Row],[FECHA DE INTERVENCÓN]]+SEGUIMIENTO_TPM_xlsx[[#This Row],[HORA FIN  INTERVENCIÓN]])</f>
        <v>0</v>
      </c>
      <c r="T503" s="11">
        <f>(SEGUIMIENTO_TPM_xlsx[[#This Row],[FECHA Y HORA FINAL]]-SEGUIMIENTO_TPM_xlsx[[#This Row],[FECHA Y HORA INICIO]])</f>
        <v>0</v>
      </c>
    </row>
    <row r="504" spans="1:20" x14ac:dyDescent="0.25">
      <c r="A504">
        <v>512</v>
      </c>
      <c r="B504" t="s">
        <v>93</v>
      </c>
      <c r="C504" s="1">
        <v>0.79861111111111116</v>
      </c>
      <c r="D504" s="2">
        <v>46031</v>
      </c>
      <c r="E504" t="s">
        <v>94</v>
      </c>
      <c r="G504" t="s">
        <v>780</v>
      </c>
      <c r="H504" s="1">
        <v>0.79861111111111116</v>
      </c>
      <c r="I504" s="1">
        <v>0.80902777777777779</v>
      </c>
      <c r="J504" s="2">
        <v>46031</v>
      </c>
      <c r="K504" t="s">
        <v>25</v>
      </c>
      <c r="L504" t="s">
        <v>781</v>
      </c>
      <c r="M504" t="s">
        <v>22</v>
      </c>
      <c r="N504" t="s">
        <v>22</v>
      </c>
      <c r="O504" t="s">
        <v>108</v>
      </c>
      <c r="P504" t="s">
        <v>23</v>
      </c>
      <c r="Q504" s="1">
        <f>SEGUIMIENTO_TPM_xlsx[[#This Row],[HORA FIN  INTERVENCIÓN]]-SEGUIMIENTO_TPM_xlsx[[#This Row],[HORA INICIO INTERVENCIÓN]]</f>
        <v>1.041666666666663E-2</v>
      </c>
      <c r="R504" s="20">
        <f>(SEGUIMIENTO_TPM_xlsx[[#This Row],[HORA REPORTE]]+SEGUIMIENTO_TPM_xlsx[[#This Row],[FECHA DE REPORTE]])</f>
        <v>46031.798611111109</v>
      </c>
      <c r="S504" s="20">
        <f>(SEGUIMIENTO_TPM_xlsx[[#This Row],[FECHA DE INTERVENCÓN]]+SEGUIMIENTO_TPM_xlsx[[#This Row],[HORA FIN  INTERVENCIÓN]])</f>
        <v>46031.809027777781</v>
      </c>
      <c r="T504" s="11">
        <f>(SEGUIMIENTO_TPM_xlsx[[#This Row],[FECHA Y HORA FINAL]]-SEGUIMIENTO_TPM_xlsx[[#This Row],[FECHA Y HORA INICIO]])</f>
        <v>1.0416666671517305E-2</v>
      </c>
    </row>
    <row r="505" spans="1:20" x14ac:dyDescent="0.25">
      <c r="A505">
        <v>513</v>
      </c>
      <c r="B505" t="s">
        <v>256</v>
      </c>
      <c r="C505" s="1">
        <v>0.8125</v>
      </c>
      <c r="D505" s="2">
        <v>46031</v>
      </c>
      <c r="E505" t="s">
        <v>782</v>
      </c>
      <c r="G505" t="s">
        <v>783</v>
      </c>
      <c r="H505" s="1">
        <v>0.81944444444444442</v>
      </c>
      <c r="I505" s="1">
        <v>4.8611111111111112E-2</v>
      </c>
      <c r="J505" s="2">
        <v>46032</v>
      </c>
      <c r="K505" t="s">
        <v>25</v>
      </c>
      <c r="L505" t="s">
        <v>784</v>
      </c>
      <c r="M505" t="s">
        <v>785</v>
      </c>
      <c r="N505" t="s">
        <v>22</v>
      </c>
      <c r="O505" t="s">
        <v>661</v>
      </c>
      <c r="P505" t="s">
        <v>23</v>
      </c>
      <c r="Q505" s="1">
        <f>SEGUIMIENTO_TPM_xlsx[[#This Row],[HORA FIN  INTERVENCIÓN]]-SEGUIMIENTO_TPM_xlsx[[#This Row],[HORA INICIO INTERVENCIÓN]]</f>
        <v>-0.77083333333333326</v>
      </c>
      <c r="R505" s="20">
        <f>(SEGUIMIENTO_TPM_xlsx[[#This Row],[HORA REPORTE]]+SEGUIMIENTO_TPM_xlsx[[#This Row],[FECHA DE REPORTE]])</f>
        <v>46031.8125</v>
      </c>
      <c r="S505" s="20">
        <f>(SEGUIMIENTO_TPM_xlsx[[#This Row],[FECHA DE INTERVENCÓN]]+SEGUIMIENTO_TPM_xlsx[[#This Row],[HORA FIN  INTERVENCIÓN]])</f>
        <v>46032.048611111109</v>
      </c>
      <c r="T505" s="11">
        <f>(SEGUIMIENTO_TPM_xlsx[[#This Row],[FECHA Y HORA FINAL]]-SEGUIMIENTO_TPM_xlsx[[#This Row],[FECHA Y HORA INICIO]])</f>
        <v>0.23611111110949423</v>
      </c>
    </row>
    <row r="506" spans="1:20" x14ac:dyDescent="0.25">
      <c r="A506">
        <v>514</v>
      </c>
      <c r="B506" t="s">
        <v>231</v>
      </c>
      <c r="C506" s="1">
        <v>0.85763888888888884</v>
      </c>
      <c r="D506" s="2">
        <v>46031</v>
      </c>
      <c r="E506" t="s">
        <v>143</v>
      </c>
      <c r="F506" t="s">
        <v>18</v>
      </c>
      <c r="G506" t="s">
        <v>786</v>
      </c>
      <c r="H506" s="1">
        <v>0.85763888888888884</v>
      </c>
      <c r="I506" s="1">
        <v>0.8930555555555556</v>
      </c>
      <c r="J506" s="2">
        <v>46032</v>
      </c>
      <c r="K506" t="s">
        <v>25</v>
      </c>
      <c r="L506" t="s">
        <v>787</v>
      </c>
      <c r="M506" t="s">
        <v>788</v>
      </c>
      <c r="N506" t="s">
        <v>22</v>
      </c>
      <c r="O506" t="s">
        <v>108</v>
      </c>
      <c r="P506" t="s">
        <v>23</v>
      </c>
      <c r="Q506" s="1">
        <f>SEGUIMIENTO_TPM_xlsx[[#This Row],[HORA FIN  INTERVENCIÓN]]-SEGUIMIENTO_TPM_xlsx[[#This Row],[HORA INICIO INTERVENCIÓN]]</f>
        <v>3.5416666666666763E-2</v>
      </c>
      <c r="R506" s="20">
        <f>(SEGUIMIENTO_TPM_xlsx[[#This Row],[HORA REPORTE]]+SEGUIMIENTO_TPM_xlsx[[#This Row],[FECHA DE REPORTE]])</f>
        <v>46031.857638888891</v>
      </c>
      <c r="S506" s="20">
        <f>(SEGUIMIENTO_TPM_xlsx[[#This Row],[FECHA DE INTERVENCÓN]]+SEGUIMIENTO_TPM_xlsx[[#This Row],[HORA FIN  INTERVENCIÓN]])</f>
        <v>46032.893055555556</v>
      </c>
      <c r="T506" s="11">
        <f>(SEGUIMIENTO_TPM_xlsx[[#This Row],[FECHA Y HORA FINAL]]-SEGUIMIENTO_TPM_xlsx[[#This Row],[FECHA Y HORA INICIO]])</f>
        <v>1.0354166666656965</v>
      </c>
    </row>
    <row r="507" spans="1:20" x14ac:dyDescent="0.25">
      <c r="A507">
        <v>515</v>
      </c>
      <c r="B507" t="s">
        <v>16</v>
      </c>
      <c r="C507" s="1">
        <v>0.91874999999999996</v>
      </c>
      <c r="D507" s="2">
        <v>46031</v>
      </c>
      <c r="E507" t="s">
        <v>94</v>
      </c>
      <c r="G507" t="s">
        <v>789</v>
      </c>
      <c r="H507" s="1">
        <v>0.92361111111111116</v>
      </c>
      <c r="I507" s="1">
        <v>0.93055555555555558</v>
      </c>
      <c r="J507" s="2">
        <v>46031</v>
      </c>
      <c r="K507" t="s">
        <v>25</v>
      </c>
      <c r="L507" t="s">
        <v>790</v>
      </c>
      <c r="M507" t="s">
        <v>791</v>
      </c>
      <c r="N507" t="s">
        <v>22</v>
      </c>
      <c r="O507" t="s">
        <v>661</v>
      </c>
      <c r="P507" t="s">
        <v>23</v>
      </c>
      <c r="Q507" s="1">
        <f>SEGUIMIENTO_TPM_xlsx[[#This Row],[HORA FIN  INTERVENCIÓN]]-SEGUIMIENTO_TPM_xlsx[[#This Row],[HORA INICIO INTERVENCIÓN]]</f>
        <v>6.9444444444444198E-3</v>
      </c>
      <c r="R507" s="20">
        <f>(SEGUIMIENTO_TPM_xlsx[[#This Row],[HORA REPORTE]]+SEGUIMIENTO_TPM_xlsx[[#This Row],[FECHA DE REPORTE]])</f>
        <v>46031.918749999997</v>
      </c>
      <c r="S507" s="20">
        <f>(SEGUIMIENTO_TPM_xlsx[[#This Row],[FECHA DE INTERVENCÓN]]+SEGUIMIENTO_TPM_xlsx[[#This Row],[HORA FIN  INTERVENCIÓN]])</f>
        <v>46031.930555555555</v>
      </c>
      <c r="T507" s="11">
        <f>(SEGUIMIENTO_TPM_xlsx[[#This Row],[FECHA Y HORA FINAL]]-SEGUIMIENTO_TPM_xlsx[[#This Row],[FECHA Y HORA INICIO]])</f>
        <v>1.1805555557657499E-2</v>
      </c>
    </row>
    <row r="508" spans="1:20" x14ac:dyDescent="0.25">
      <c r="A508">
        <v>516</v>
      </c>
      <c r="B508" t="s">
        <v>16</v>
      </c>
      <c r="C508" s="1">
        <v>0.13541666666666666</v>
      </c>
      <c r="D508" s="2">
        <v>46032</v>
      </c>
      <c r="E508" t="s">
        <v>94</v>
      </c>
      <c r="G508" t="s">
        <v>792</v>
      </c>
      <c r="H508" s="1">
        <v>0.1388888888888889</v>
      </c>
      <c r="I508" s="1">
        <v>0.21319444444444444</v>
      </c>
      <c r="J508" s="2">
        <v>46032</v>
      </c>
      <c r="K508" t="s">
        <v>775</v>
      </c>
      <c r="L508" t="s">
        <v>793</v>
      </c>
      <c r="M508" t="s">
        <v>22</v>
      </c>
      <c r="N508" t="s">
        <v>22</v>
      </c>
      <c r="O508" t="s">
        <v>661</v>
      </c>
      <c r="P508" t="s">
        <v>23</v>
      </c>
      <c r="Q508" s="1">
        <f>SEGUIMIENTO_TPM_xlsx[[#This Row],[HORA FIN  INTERVENCIÓN]]-SEGUIMIENTO_TPM_xlsx[[#This Row],[HORA INICIO INTERVENCIÓN]]</f>
        <v>7.4305555555555541E-2</v>
      </c>
      <c r="R508" s="20">
        <f>(SEGUIMIENTO_TPM_xlsx[[#This Row],[HORA REPORTE]]+SEGUIMIENTO_TPM_xlsx[[#This Row],[FECHA DE REPORTE]])</f>
        <v>46032.135416666664</v>
      </c>
      <c r="S508" s="20">
        <f>(SEGUIMIENTO_TPM_xlsx[[#This Row],[FECHA DE INTERVENCÓN]]+SEGUIMIENTO_TPM_xlsx[[#This Row],[HORA FIN  INTERVENCIÓN]])</f>
        <v>46032.213194444441</v>
      </c>
      <c r="T508" s="11">
        <f>(SEGUIMIENTO_TPM_xlsx[[#This Row],[FECHA Y HORA FINAL]]-SEGUIMIENTO_TPM_xlsx[[#This Row],[FECHA Y HORA INICIO]])</f>
        <v>7.7777777776645962E-2</v>
      </c>
    </row>
    <row r="509" spans="1:20" x14ac:dyDescent="0.25">
      <c r="A509">
        <v>517</v>
      </c>
      <c r="B509" t="s">
        <v>231</v>
      </c>
      <c r="C509" s="1">
        <v>0.19166666666666668</v>
      </c>
      <c r="D509" s="2">
        <v>46032</v>
      </c>
      <c r="E509" t="s">
        <v>143</v>
      </c>
      <c r="G509" t="s">
        <v>794</v>
      </c>
      <c r="H509" s="1">
        <v>0.19583333333333333</v>
      </c>
      <c r="I509" s="1">
        <v>0.21875</v>
      </c>
      <c r="J509" s="2">
        <v>46032</v>
      </c>
      <c r="K509" t="s">
        <v>25</v>
      </c>
      <c r="L509" t="s">
        <v>795</v>
      </c>
      <c r="M509" t="s">
        <v>22</v>
      </c>
      <c r="N509" t="s">
        <v>22</v>
      </c>
      <c r="O509" t="s">
        <v>661</v>
      </c>
      <c r="P509" t="s">
        <v>23</v>
      </c>
      <c r="Q509" s="1">
        <f>SEGUIMIENTO_TPM_xlsx[[#This Row],[HORA FIN  INTERVENCIÓN]]-SEGUIMIENTO_TPM_xlsx[[#This Row],[HORA INICIO INTERVENCIÓN]]</f>
        <v>2.2916666666666669E-2</v>
      </c>
      <c r="R509" s="20">
        <f>(SEGUIMIENTO_TPM_xlsx[[#This Row],[HORA REPORTE]]+SEGUIMIENTO_TPM_xlsx[[#This Row],[FECHA DE REPORTE]])</f>
        <v>46032.191666666666</v>
      </c>
      <c r="S509" s="20">
        <f>(SEGUIMIENTO_TPM_xlsx[[#This Row],[FECHA DE INTERVENCÓN]]+SEGUIMIENTO_TPM_xlsx[[#This Row],[HORA FIN  INTERVENCIÓN]])</f>
        <v>46032.21875</v>
      </c>
      <c r="T509" s="11">
        <f>(SEGUIMIENTO_TPM_xlsx[[#This Row],[FECHA Y HORA FINAL]]-SEGUIMIENTO_TPM_xlsx[[#This Row],[FECHA Y HORA INICIO]])</f>
        <v>2.7083333334303461E-2</v>
      </c>
    </row>
    <row r="510" spans="1:20" x14ac:dyDescent="0.25">
      <c r="A510">
        <v>518</v>
      </c>
      <c r="C510" s="1"/>
      <c r="D510" s="2"/>
      <c r="H510" s="1"/>
      <c r="I510" s="1"/>
      <c r="J510" s="2"/>
      <c r="Q510" s="1">
        <f>SEGUIMIENTO_TPM_xlsx[[#This Row],[HORA FIN  INTERVENCIÓN]]-SEGUIMIENTO_TPM_xlsx[[#This Row],[HORA INICIO INTERVENCIÓN]]</f>
        <v>0</v>
      </c>
      <c r="R510" s="20">
        <f>(SEGUIMIENTO_TPM_xlsx[[#This Row],[HORA REPORTE]]+SEGUIMIENTO_TPM_xlsx[[#This Row],[FECHA DE REPORTE]])</f>
        <v>0</v>
      </c>
      <c r="S510" s="20">
        <f>(SEGUIMIENTO_TPM_xlsx[[#This Row],[FECHA DE INTERVENCÓN]]+SEGUIMIENTO_TPM_xlsx[[#This Row],[HORA FIN  INTERVENCIÓN]])</f>
        <v>0</v>
      </c>
      <c r="T510" s="11">
        <f>(SEGUIMIENTO_TPM_xlsx[[#This Row],[FECHA Y HORA FINAL]]-SEGUIMIENTO_TPM_xlsx[[#This Row],[FECHA Y HORA INICIO]])</f>
        <v>0</v>
      </c>
    </row>
    <row r="511" spans="1:20" x14ac:dyDescent="0.25">
      <c r="A511">
        <v>519</v>
      </c>
      <c r="B511" t="s">
        <v>335</v>
      </c>
      <c r="C511" s="1">
        <v>0.34722222222222221</v>
      </c>
      <c r="D511" s="2">
        <v>46032</v>
      </c>
      <c r="E511" t="s">
        <v>162</v>
      </c>
      <c r="G511" t="s">
        <v>796</v>
      </c>
      <c r="H511" s="1">
        <v>0.34722222222222221</v>
      </c>
      <c r="I511" s="1">
        <v>0.35416666666666669</v>
      </c>
      <c r="J511" s="2">
        <v>46032</v>
      </c>
      <c r="K511" t="s">
        <v>25</v>
      </c>
      <c r="L511" t="s">
        <v>797</v>
      </c>
      <c r="M511" t="s">
        <v>22</v>
      </c>
      <c r="N511" t="s">
        <v>22</v>
      </c>
      <c r="O511" t="s">
        <v>112</v>
      </c>
      <c r="P511" t="s">
        <v>23</v>
      </c>
      <c r="Q511" s="1">
        <f>SEGUIMIENTO_TPM_xlsx[[#This Row],[HORA FIN  INTERVENCIÓN]]-SEGUIMIENTO_TPM_xlsx[[#This Row],[HORA INICIO INTERVENCIÓN]]</f>
        <v>6.9444444444444753E-3</v>
      </c>
      <c r="R511" s="20">
        <f>(SEGUIMIENTO_TPM_xlsx[[#This Row],[HORA REPORTE]]+SEGUIMIENTO_TPM_xlsx[[#This Row],[FECHA DE REPORTE]])</f>
        <v>46032.347222222219</v>
      </c>
      <c r="S511" s="20">
        <f>(SEGUIMIENTO_TPM_xlsx[[#This Row],[FECHA DE INTERVENCÓN]]+SEGUIMIENTO_TPM_xlsx[[#This Row],[HORA FIN  INTERVENCIÓN]])</f>
        <v>46032.354166666664</v>
      </c>
      <c r="T511" s="11">
        <f>(SEGUIMIENTO_TPM_xlsx[[#This Row],[FECHA Y HORA FINAL]]-SEGUIMIENTO_TPM_xlsx[[#This Row],[FECHA Y HORA INICIO]])</f>
        <v>6.9444444452528842E-3</v>
      </c>
    </row>
    <row r="512" spans="1:20" x14ac:dyDescent="0.25">
      <c r="A512">
        <v>520</v>
      </c>
      <c r="B512" t="s">
        <v>341</v>
      </c>
      <c r="C512" s="1">
        <v>0.36458333333333331</v>
      </c>
      <c r="D512" s="2">
        <v>46032</v>
      </c>
      <c r="E512" t="s">
        <v>143</v>
      </c>
      <c r="G512" t="s">
        <v>798</v>
      </c>
      <c r="H512" s="1">
        <v>0.36458333333333331</v>
      </c>
      <c r="I512" s="1">
        <v>0.38541666666666669</v>
      </c>
      <c r="J512" s="2">
        <v>46032</v>
      </c>
      <c r="K512" t="s">
        <v>25</v>
      </c>
      <c r="L512" t="s">
        <v>799</v>
      </c>
      <c r="M512" t="s">
        <v>800</v>
      </c>
      <c r="N512" t="s">
        <v>22</v>
      </c>
      <c r="O512" t="s">
        <v>112</v>
      </c>
      <c r="P512" t="s">
        <v>23</v>
      </c>
      <c r="Q512" s="1">
        <f>SEGUIMIENTO_TPM_xlsx[[#This Row],[HORA FIN  INTERVENCIÓN]]-SEGUIMIENTO_TPM_xlsx[[#This Row],[HORA INICIO INTERVENCIÓN]]</f>
        <v>2.083333333333337E-2</v>
      </c>
      <c r="R512" s="20">
        <f>(SEGUIMIENTO_TPM_xlsx[[#This Row],[HORA REPORTE]]+SEGUIMIENTO_TPM_xlsx[[#This Row],[FECHA DE REPORTE]])</f>
        <v>46032.364583333336</v>
      </c>
      <c r="S512" s="20">
        <f>(SEGUIMIENTO_TPM_xlsx[[#This Row],[FECHA DE INTERVENCÓN]]+SEGUIMIENTO_TPM_xlsx[[#This Row],[HORA FIN  INTERVENCIÓN]])</f>
        <v>46032.385416666664</v>
      </c>
      <c r="T512" s="11">
        <f>(SEGUIMIENTO_TPM_xlsx[[#This Row],[FECHA Y HORA FINAL]]-SEGUIMIENTO_TPM_xlsx[[#This Row],[FECHA Y HORA INICIO]])</f>
        <v>2.0833333328482695E-2</v>
      </c>
    </row>
    <row r="513" spans="1:20" x14ac:dyDescent="0.25">
      <c r="A513">
        <v>521</v>
      </c>
      <c r="B513" t="s">
        <v>231</v>
      </c>
      <c r="C513" s="1">
        <v>0.89930555555555558</v>
      </c>
      <c r="D513" s="2">
        <v>46032</v>
      </c>
      <c r="E513" t="s">
        <v>143</v>
      </c>
      <c r="G513" t="s">
        <v>801</v>
      </c>
      <c r="H513" s="1">
        <v>0.92708333333333337</v>
      </c>
      <c r="I513" s="1">
        <v>0.9375</v>
      </c>
      <c r="J513" s="2">
        <v>46032</v>
      </c>
      <c r="K513" t="s">
        <v>48</v>
      </c>
      <c r="L513" t="s">
        <v>802</v>
      </c>
      <c r="M513" t="s">
        <v>22</v>
      </c>
      <c r="N513" t="s">
        <v>22</v>
      </c>
      <c r="O513" t="s">
        <v>44</v>
      </c>
      <c r="P513" t="s">
        <v>23</v>
      </c>
      <c r="Q513" s="1">
        <f>SEGUIMIENTO_TPM_xlsx[[#This Row],[HORA FIN  INTERVENCIÓN]]-SEGUIMIENTO_TPM_xlsx[[#This Row],[HORA INICIO INTERVENCIÓN]]</f>
        <v>1.041666666666663E-2</v>
      </c>
      <c r="R513" s="20">
        <f>(SEGUIMIENTO_TPM_xlsx[[#This Row],[HORA REPORTE]]+SEGUIMIENTO_TPM_xlsx[[#This Row],[FECHA DE REPORTE]])</f>
        <v>46032.899305555555</v>
      </c>
      <c r="S513" s="20">
        <f>(SEGUIMIENTO_TPM_xlsx[[#This Row],[FECHA DE INTERVENCÓN]]+SEGUIMIENTO_TPM_xlsx[[#This Row],[HORA FIN  INTERVENCIÓN]])</f>
        <v>46032.9375</v>
      </c>
      <c r="T513" s="11">
        <f>(SEGUIMIENTO_TPM_xlsx[[#This Row],[FECHA Y HORA FINAL]]-SEGUIMIENTO_TPM_xlsx[[#This Row],[FECHA Y HORA INICIO]])</f>
        <v>3.8194444445252884E-2</v>
      </c>
    </row>
    <row r="514" spans="1:20" x14ac:dyDescent="0.25">
      <c r="A514">
        <v>522</v>
      </c>
      <c r="B514" t="s">
        <v>231</v>
      </c>
      <c r="C514" s="1">
        <v>0.12222222222222222</v>
      </c>
      <c r="D514" s="2">
        <v>46033</v>
      </c>
      <c r="E514" t="s">
        <v>143</v>
      </c>
      <c r="F514" t="s">
        <v>18</v>
      </c>
      <c r="G514" t="s">
        <v>803</v>
      </c>
      <c r="H514" s="1">
        <v>0.12222222222222222</v>
      </c>
      <c r="I514" s="1">
        <v>0.13194444444444445</v>
      </c>
      <c r="J514" s="2">
        <v>46033</v>
      </c>
      <c r="K514" t="s">
        <v>25</v>
      </c>
      <c r="L514" t="s">
        <v>804</v>
      </c>
      <c r="M514" t="s">
        <v>805</v>
      </c>
      <c r="N514" t="s">
        <v>22</v>
      </c>
      <c r="O514" t="s">
        <v>44</v>
      </c>
      <c r="P514" t="s">
        <v>23</v>
      </c>
      <c r="Q514" s="1">
        <f>SEGUIMIENTO_TPM_xlsx[[#This Row],[HORA FIN  INTERVENCIÓN]]-SEGUIMIENTO_TPM_xlsx[[#This Row],[HORA INICIO INTERVENCIÓN]]</f>
        <v>9.7222222222222293E-3</v>
      </c>
      <c r="R514" s="20">
        <f>(SEGUIMIENTO_TPM_xlsx[[#This Row],[HORA REPORTE]]+SEGUIMIENTO_TPM_xlsx[[#This Row],[FECHA DE REPORTE]])</f>
        <v>46033.12222222222</v>
      </c>
      <c r="S514" s="20">
        <f>(SEGUIMIENTO_TPM_xlsx[[#This Row],[FECHA DE INTERVENCÓN]]+SEGUIMIENTO_TPM_xlsx[[#This Row],[HORA FIN  INTERVENCIÓN]])</f>
        <v>46033.131944444445</v>
      </c>
      <c r="T514" s="11">
        <f>(SEGUIMIENTO_TPM_xlsx[[#This Row],[FECHA Y HORA FINAL]]-SEGUIMIENTO_TPM_xlsx[[#This Row],[FECHA Y HORA INICIO]])</f>
        <v>9.7222222248092294E-3</v>
      </c>
    </row>
    <row r="515" spans="1:20" x14ac:dyDescent="0.25">
      <c r="A515">
        <v>523</v>
      </c>
      <c r="B515" t="s">
        <v>103</v>
      </c>
      <c r="C515" s="1">
        <v>0.35</v>
      </c>
      <c r="D515" s="2">
        <v>46033</v>
      </c>
      <c r="E515" t="s">
        <v>188</v>
      </c>
      <c r="F515" t="s">
        <v>650</v>
      </c>
      <c r="G515" t="s">
        <v>806</v>
      </c>
      <c r="H515" s="1">
        <v>0.375</v>
      </c>
      <c r="I515" s="1">
        <v>0.39097222222222222</v>
      </c>
      <c r="J515" s="2">
        <v>46033</v>
      </c>
      <c r="K515" t="s">
        <v>25</v>
      </c>
      <c r="L515" t="s">
        <v>807</v>
      </c>
      <c r="M515" t="s">
        <v>808</v>
      </c>
      <c r="N515" t="s">
        <v>22</v>
      </c>
      <c r="O515" t="s">
        <v>661</v>
      </c>
      <c r="P515" t="s">
        <v>23</v>
      </c>
      <c r="Q515" s="1">
        <f>SEGUIMIENTO_TPM_xlsx[[#This Row],[HORA FIN  INTERVENCIÓN]]-SEGUIMIENTO_TPM_xlsx[[#This Row],[HORA INICIO INTERVENCIÓN]]</f>
        <v>1.5972222222222221E-2</v>
      </c>
      <c r="R515" s="20">
        <f>(SEGUIMIENTO_TPM_xlsx[[#This Row],[HORA REPORTE]]+SEGUIMIENTO_TPM_xlsx[[#This Row],[FECHA DE REPORTE]])</f>
        <v>46033.35</v>
      </c>
      <c r="S515" s="20">
        <f>(SEGUIMIENTO_TPM_xlsx[[#This Row],[FECHA DE INTERVENCÓN]]+SEGUIMIENTO_TPM_xlsx[[#This Row],[HORA FIN  INTERVENCIÓN]])</f>
        <v>46033.390972222223</v>
      </c>
      <c r="T515" s="11">
        <f>(SEGUIMIENTO_TPM_xlsx[[#This Row],[FECHA Y HORA FINAL]]-SEGUIMIENTO_TPM_xlsx[[#This Row],[FECHA Y HORA INICIO]])</f>
        <v>4.0972222224809229E-2</v>
      </c>
    </row>
    <row r="516" spans="1:20" x14ac:dyDescent="0.25">
      <c r="A516">
        <v>524</v>
      </c>
      <c r="B516" t="s">
        <v>103</v>
      </c>
      <c r="C516" s="1">
        <v>0.48958333333333331</v>
      </c>
      <c r="D516" s="2">
        <v>46033</v>
      </c>
      <c r="E516" t="s">
        <v>188</v>
      </c>
      <c r="F516" t="s">
        <v>18</v>
      </c>
      <c r="G516" t="s">
        <v>809</v>
      </c>
      <c r="H516" s="1"/>
      <c r="I516" s="1"/>
      <c r="J516" s="2"/>
      <c r="P516" t="s">
        <v>33</v>
      </c>
      <c r="Q516" s="1">
        <f>SEGUIMIENTO_TPM_xlsx[[#This Row],[HORA FIN  INTERVENCIÓN]]-SEGUIMIENTO_TPM_xlsx[[#This Row],[HORA INICIO INTERVENCIÓN]]</f>
        <v>0</v>
      </c>
      <c r="R516" s="20">
        <f>(SEGUIMIENTO_TPM_xlsx[[#This Row],[HORA REPORTE]]+SEGUIMIENTO_TPM_xlsx[[#This Row],[FECHA DE REPORTE]])</f>
        <v>46033.489583333336</v>
      </c>
      <c r="S516" s="20">
        <f>(SEGUIMIENTO_TPM_xlsx[[#This Row],[FECHA DE INTERVENCÓN]]+SEGUIMIENTO_TPM_xlsx[[#This Row],[HORA FIN  INTERVENCIÓN]])</f>
        <v>0</v>
      </c>
      <c r="T516" s="11">
        <f>(SEGUIMIENTO_TPM_xlsx[[#This Row],[FECHA Y HORA FINAL]]-SEGUIMIENTO_TPM_xlsx[[#This Row],[FECHA Y HORA INICIO]])</f>
        <v>-46033.489583333336</v>
      </c>
    </row>
    <row r="517" spans="1:20" x14ac:dyDescent="0.25">
      <c r="A517">
        <v>525</v>
      </c>
      <c r="B517" t="s">
        <v>256</v>
      </c>
      <c r="C517" s="1">
        <v>0.53125</v>
      </c>
      <c r="D517" s="2">
        <v>46033</v>
      </c>
      <c r="E517" t="s">
        <v>162</v>
      </c>
      <c r="G517" t="s">
        <v>810</v>
      </c>
      <c r="H517" s="1">
        <v>0.53402777777777777</v>
      </c>
      <c r="I517" s="1">
        <v>0.57291666666666663</v>
      </c>
      <c r="J517" s="2">
        <v>46033</v>
      </c>
      <c r="K517" t="s">
        <v>20</v>
      </c>
      <c r="L517" t="s">
        <v>811</v>
      </c>
      <c r="M517" t="s">
        <v>22</v>
      </c>
      <c r="N517" t="s">
        <v>22</v>
      </c>
      <c r="O517" t="s">
        <v>661</v>
      </c>
      <c r="P517" t="s">
        <v>23</v>
      </c>
      <c r="Q517" s="1">
        <f>SEGUIMIENTO_TPM_xlsx[[#This Row],[HORA FIN  INTERVENCIÓN]]-SEGUIMIENTO_TPM_xlsx[[#This Row],[HORA INICIO INTERVENCIÓN]]</f>
        <v>3.8888888888888862E-2</v>
      </c>
      <c r="R517" s="20">
        <f>(SEGUIMIENTO_TPM_xlsx[[#This Row],[HORA REPORTE]]+SEGUIMIENTO_TPM_xlsx[[#This Row],[FECHA DE REPORTE]])</f>
        <v>46033.53125</v>
      </c>
      <c r="S517" s="20">
        <f>(SEGUIMIENTO_TPM_xlsx[[#This Row],[FECHA DE INTERVENCÓN]]+SEGUIMIENTO_TPM_xlsx[[#This Row],[HORA FIN  INTERVENCIÓN]])</f>
        <v>46033.572916666664</v>
      </c>
      <c r="T517" s="11">
        <f>(SEGUIMIENTO_TPM_xlsx[[#This Row],[FECHA Y HORA FINAL]]-SEGUIMIENTO_TPM_xlsx[[#This Row],[FECHA Y HORA INICIO]])</f>
        <v>4.1666666664241347E-2</v>
      </c>
    </row>
    <row r="518" spans="1:20" x14ac:dyDescent="0.25">
      <c r="A518">
        <v>526</v>
      </c>
      <c r="B518" t="s">
        <v>103</v>
      </c>
      <c r="C518" s="1">
        <v>0.52777777777777779</v>
      </c>
      <c r="D518" s="2">
        <v>46033</v>
      </c>
      <c r="E518" t="s">
        <v>188</v>
      </c>
      <c r="F518" t="s">
        <v>18</v>
      </c>
      <c r="G518" t="s">
        <v>812</v>
      </c>
      <c r="H518" s="1">
        <v>0.60416666666666663</v>
      </c>
      <c r="I518" s="1">
        <v>0.625</v>
      </c>
      <c r="J518" s="2">
        <v>46033</v>
      </c>
      <c r="K518" t="s">
        <v>20</v>
      </c>
      <c r="L518" t="s">
        <v>813</v>
      </c>
      <c r="M518" t="s">
        <v>814</v>
      </c>
      <c r="N518" t="s">
        <v>22</v>
      </c>
      <c r="O518" t="s">
        <v>112</v>
      </c>
      <c r="P518" t="s">
        <v>23</v>
      </c>
      <c r="Q518" s="1">
        <f>SEGUIMIENTO_TPM_xlsx[[#This Row],[HORA FIN  INTERVENCIÓN]]-SEGUIMIENTO_TPM_xlsx[[#This Row],[HORA INICIO INTERVENCIÓN]]</f>
        <v>2.083333333333337E-2</v>
      </c>
      <c r="R518" s="20">
        <f>(SEGUIMIENTO_TPM_xlsx[[#This Row],[HORA REPORTE]]+SEGUIMIENTO_TPM_xlsx[[#This Row],[FECHA DE REPORTE]])</f>
        <v>46033.527777777781</v>
      </c>
      <c r="S518" s="20">
        <f>(SEGUIMIENTO_TPM_xlsx[[#This Row],[FECHA DE INTERVENCÓN]]+SEGUIMIENTO_TPM_xlsx[[#This Row],[HORA FIN  INTERVENCIÓN]])</f>
        <v>46033.625</v>
      </c>
      <c r="T518" s="11">
        <f>(SEGUIMIENTO_TPM_xlsx[[#This Row],[FECHA Y HORA FINAL]]-SEGUIMIENTO_TPM_xlsx[[#This Row],[FECHA Y HORA INICIO]])</f>
        <v>9.7222222218988463E-2</v>
      </c>
    </row>
    <row r="519" spans="1:20" x14ac:dyDescent="0.25">
      <c r="A519">
        <v>527</v>
      </c>
      <c r="B519" t="s">
        <v>103</v>
      </c>
      <c r="C519" s="1">
        <v>0.64930555555555558</v>
      </c>
      <c r="D519" s="2">
        <v>46033</v>
      </c>
      <c r="E519" t="s">
        <v>188</v>
      </c>
      <c r="F519" t="s">
        <v>18</v>
      </c>
      <c r="G519" t="s">
        <v>815</v>
      </c>
      <c r="H519" s="1">
        <v>0.65486111111111112</v>
      </c>
      <c r="I519" s="1">
        <v>0.66666666666666663</v>
      </c>
      <c r="J519" s="2">
        <v>46033</v>
      </c>
      <c r="K519" t="s">
        <v>20</v>
      </c>
      <c r="L519" t="s">
        <v>816</v>
      </c>
      <c r="M519" t="s">
        <v>22</v>
      </c>
      <c r="N519" t="s">
        <v>22</v>
      </c>
      <c r="O519" t="s">
        <v>112</v>
      </c>
      <c r="P519" t="s">
        <v>23</v>
      </c>
      <c r="Q519" s="1">
        <f>SEGUIMIENTO_TPM_xlsx[[#This Row],[HORA FIN  INTERVENCIÓN]]-SEGUIMIENTO_TPM_xlsx[[#This Row],[HORA INICIO INTERVENCIÓN]]</f>
        <v>1.1805555555555514E-2</v>
      </c>
      <c r="R519" s="20">
        <f>(SEGUIMIENTO_TPM_xlsx[[#This Row],[HORA REPORTE]]+SEGUIMIENTO_TPM_xlsx[[#This Row],[FECHA DE REPORTE]])</f>
        <v>46033.649305555555</v>
      </c>
      <c r="S519" s="20">
        <f>(SEGUIMIENTO_TPM_xlsx[[#This Row],[FECHA DE INTERVENCÓN]]+SEGUIMIENTO_TPM_xlsx[[#This Row],[HORA FIN  INTERVENCIÓN]])</f>
        <v>46033.666666666664</v>
      </c>
      <c r="T519" s="11">
        <f>(SEGUIMIENTO_TPM_xlsx[[#This Row],[FECHA Y HORA FINAL]]-SEGUIMIENTO_TPM_xlsx[[#This Row],[FECHA Y HORA INICIO]])</f>
        <v>1.7361111109494232E-2</v>
      </c>
    </row>
    <row r="520" spans="1:20" x14ac:dyDescent="0.25">
      <c r="A520">
        <v>528</v>
      </c>
      <c r="B520" t="s">
        <v>341</v>
      </c>
      <c r="C520" s="1">
        <v>0.64583333333333337</v>
      </c>
      <c r="D520" s="2">
        <v>46033</v>
      </c>
      <c r="E520" t="s">
        <v>143</v>
      </c>
      <c r="G520" t="s">
        <v>817</v>
      </c>
      <c r="H520" s="1">
        <v>0.64583333333333337</v>
      </c>
      <c r="I520" s="1">
        <v>0.66666666666666663</v>
      </c>
      <c r="J520" s="2">
        <v>46033</v>
      </c>
      <c r="K520" t="s">
        <v>20</v>
      </c>
      <c r="L520" t="s">
        <v>818</v>
      </c>
      <c r="M520" t="s">
        <v>22</v>
      </c>
      <c r="N520" t="s">
        <v>22</v>
      </c>
      <c r="O520" t="s">
        <v>112</v>
      </c>
      <c r="P520" t="s">
        <v>23</v>
      </c>
      <c r="Q520" s="1">
        <f>SEGUIMIENTO_TPM_xlsx[[#This Row],[HORA FIN  INTERVENCIÓN]]-SEGUIMIENTO_TPM_xlsx[[#This Row],[HORA INICIO INTERVENCIÓN]]</f>
        <v>2.0833333333333259E-2</v>
      </c>
      <c r="R520" s="20">
        <f>(SEGUIMIENTO_TPM_xlsx[[#This Row],[HORA REPORTE]]+SEGUIMIENTO_TPM_xlsx[[#This Row],[FECHA DE REPORTE]])</f>
        <v>46033.645833333336</v>
      </c>
      <c r="S520" s="20">
        <f>(SEGUIMIENTO_TPM_xlsx[[#This Row],[FECHA DE INTERVENCÓN]]+SEGUIMIENTO_TPM_xlsx[[#This Row],[HORA FIN  INTERVENCIÓN]])</f>
        <v>46033.666666666664</v>
      </c>
      <c r="T520" s="11">
        <f>(SEGUIMIENTO_TPM_xlsx[[#This Row],[FECHA Y HORA FINAL]]-SEGUIMIENTO_TPM_xlsx[[#This Row],[FECHA Y HORA INICIO]])</f>
        <v>2.0833333328482695E-2</v>
      </c>
    </row>
    <row r="521" spans="1:20" x14ac:dyDescent="0.25">
      <c r="A521">
        <v>529</v>
      </c>
      <c r="B521" t="s">
        <v>139</v>
      </c>
      <c r="C521" s="1">
        <v>0.125</v>
      </c>
      <c r="D521" s="2">
        <v>46034</v>
      </c>
      <c r="E521" t="s">
        <v>91</v>
      </c>
      <c r="F521" t="s">
        <v>18</v>
      </c>
      <c r="G521" t="s">
        <v>819</v>
      </c>
      <c r="H521" s="1">
        <v>0.125</v>
      </c>
      <c r="I521" s="1">
        <v>0.14583333333333334</v>
      </c>
      <c r="J521" s="2">
        <v>46034</v>
      </c>
      <c r="K521" t="s">
        <v>25</v>
      </c>
      <c r="L521" t="s">
        <v>820</v>
      </c>
      <c r="M521" t="s">
        <v>821</v>
      </c>
      <c r="N521" t="s">
        <v>22</v>
      </c>
      <c r="O521" t="s">
        <v>44</v>
      </c>
      <c r="P521" t="s">
        <v>23</v>
      </c>
      <c r="Q521" s="1">
        <f>SEGUIMIENTO_TPM_xlsx[[#This Row],[HORA FIN  INTERVENCIÓN]]-SEGUIMIENTO_TPM_xlsx[[#This Row],[HORA INICIO INTERVENCIÓN]]</f>
        <v>2.0833333333333343E-2</v>
      </c>
      <c r="R521" s="20">
        <f>(SEGUIMIENTO_TPM_xlsx[[#This Row],[HORA REPORTE]]+SEGUIMIENTO_TPM_xlsx[[#This Row],[FECHA DE REPORTE]])</f>
        <v>46034.125</v>
      </c>
      <c r="S521" s="20">
        <f>(SEGUIMIENTO_TPM_xlsx[[#This Row],[FECHA DE INTERVENCÓN]]+SEGUIMIENTO_TPM_xlsx[[#This Row],[HORA FIN  INTERVENCIÓN]])</f>
        <v>46034.145833333336</v>
      </c>
      <c r="T521" s="11">
        <f>(SEGUIMIENTO_TPM_xlsx[[#This Row],[FECHA Y HORA FINAL]]-SEGUIMIENTO_TPM_xlsx[[#This Row],[FECHA Y HORA INICIO]])</f>
        <v>2.0833333335758653E-2</v>
      </c>
    </row>
    <row r="522" spans="1:20" x14ac:dyDescent="0.25">
      <c r="A522">
        <v>530</v>
      </c>
      <c r="B522" t="s">
        <v>261</v>
      </c>
      <c r="C522" s="1">
        <v>0.4375</v>
      </c>
      <c r="D522" s="2">
        <v>46034</v>
      </c>
      <c r="E522" t="s">
        <v>91</v>
      </c>
      <c r="G522" t="s">
        <v>564</v>
      </c>
      <c r="H522" s="1">
        <v>0.4375</v>
      </c>
      <c r="I522" s="1">
        <v>0.4375</v>
      </c>
      <c r="J522" s="2">
        <v>46034</v>
      </c>
      <c r="K522" t="s">
        <v>20</v>
      </c>
      <c r="L522" t="s">
        <v>822</v>
      </c>
      <c r="M522" t="s">
        <v>22</v>
      </c>
      <c r="N522" t="s">
        <v>22</v>
      </c>
      <c r="O522" t="s">
        <v>112</v>
      </c>
      <c r="P522" t="s">
        <v>23</v>
      </c>
      <c r="Q522" s="1">
        <f>SEGUIMIENTO_TPM_xlsx[[#This Row],[HORA FIN  INTERVENCIÓN]]-SEGUIMIENTO_TPM_xlsx[[#This Row],[HORA INICIO INTERVENCIÓN]]</f>
        <v>0</v>
      </c>
      <c r="R522" s="20">
        <f>(SEGUIMIENTO_TPM_xlsx[[#This Row],[HORA REPORTE]]+SEGUIMIENTO_TPM_xlsx[[#This Row],[FECHA DE REPORTE]])</f>
        <v>46034.4375</v>
      </c>
      <c r="S522" s="20">
        <f>(SEGUIMIENTO_TPM_xlsx[[#This Row],[FECHA DE INTERVENCÓN]]+SEGUIMIENTO_TPM_xlsx[[#This Row],[HORA FIN  INTERVENCIÓN]])</f>
        <v>46034.4375</v>
      </c>
      <c r="T522" s="11">
        <f>(SEGUIMIENTO_TPM_xlsx[[#This Row],[FECHA Y HORA FINAL]]-SEGUIMIENTO_TPM_xlsx[[#This Row],[FECHA Y HORA INICIO]])</f>
        <v>0</v>
      </c>
    </row>
    <row r="523" spans="1:20" x14ac:dyDescent="0.25">
      <c r="A523">
        <v>531</v>
      </c>
      <c r="B523" t="s">
        <v>261</v>
      </c>
      <c r="C523" s="1">
        <v>0.375</v>
      </c>
      <c r="D523" s="2">
        <v>46034</v>
      </c>
      <c r="E523" t="s">
        <v>91</v>
      </c>
      <c r="F523" t="s">
        <v>18</v>
      </c>
      <c r="G523" t="s">
        <v>823</v>
      </c>
      <c r="H523" s="1"/>
      <c r="I523" s="1"/>
      <c r="J523" s="2"/>
      <c r="Q523" s="1">
        <f>SEGUIMIENTO_TPM_xlsx[[#This Row],[HORA FIN  INTERVENCIÓN]]-SEGUIMIENTO_TPM_xlsx[[#This Row],[HORA INICIO INTERVENCIÓN]]</f>
        <v>0</v>
      </c>
      <c r="R523" s="20">
        <f>(SEGUIMIENTO_TPM_xlsx[[#This Row],[HORA REPORTE]]+SEGUIMIENTO_TPM_xlsx[[#This Row],[FECHA DE REPORTE]])</f>
        <v>46034.375</v>
      </c>
      <c r="S523" s="20">
        <f>(SEGUIMIENTO_TPM_xlsx[[#This Row],[FECHA DE INTERVENCÓN]]+SEGUIMIENTO_TPM_xlsx[[#This Row],[HORA FIN  INTERVENCIÓN]])</f>
        <v>0</v>
      </c>
      <c r="T523" s="11">
        <f>(SEGUIMIENTO_TPM_xlsx[[#This Row],[FECHA Y HORA FINAL]]-SEGUIMIENTO_TPM_xlsx[[#This Row],[FECHA Y HORA INICIO]])</f>
        <v>-46034.375</v>
      </c>
    </row>
    <row r="524" spans="1:20" x14ac:dyDescent="0.25">
      <c r="A524">
        <v>532</v>
      </c>
      <c r="B524" t="s">
        <v>231</v>
      </c>
      <c r="C524" s="1">
        <v>3.4722222222222224E-2</v>
      </c>
      <c r="D524" s="2">
        <v>46035</v>
      </c>
      <c r="E524" t="s">
        <v>143</v>
      </c>
      <c r="F524" t="s">
        <v>18</v>
      </c>
      <c r="G524" t="s">
        <v>824</v>
      </c>
      <c r="H524" s="1">
        <v>0.30555555555555558</v>
      </c>
      <c r="I524" s="1">
        <v>0.49305555555555558</v>
      </c>
      <c r="J524" s="2">
        <v>46035</v>
      </c>
      <c r="K524" t="s">
        <v>775</v>
      </c>
      <c r="L524" t="s">
        <v>825</v>
      </c>
      <c r="M524" t="s">
        <v>826</v>
      </c>
      <c r="N524" t="s">
        <v>22</v>
      </c>
      <c r="O524" t="s">
        <v>44</v>
      </c>
      <c r="P524" t="s">
        <v>23</v>
      </c>
      <c r="Q524" s="1">
        <f>SEGUIMIENTO_TPM_xlsx[[#This Row],[HORA FIN  INTERVENCIÓN]]-SEGUIMIENTO_TPM_xlsx[[#This Row],[HORA INICIO INTERVENCIÓN]]</f>
        <v>0.1875</v>
      </c>
      <c r="R524" s="20">
        <f>(SEGUIMIENTO_TPM_xlsx[[#This Row],[HORA REPORTE]]+SEGUIMIENTO_TPM_xlsx[[#This Row],[FECHA DE REPORTE]])</f>
        <v>46035.034722222219</v>
      </c>
      <c r="S524" s="20">
        <f>(SEGUIMIENTO_TPM_xlsx[[#This Row],[FECHA DE INTERVENCÓN]]+SEGUIMIENTO_TPM_xlsx[[#This Row],[HORA FIN  INTERVENCIÓN]])</f>
        <v>46035.493055555555</v>
      </c>
      <c r="T524" s="11">
        <f>(SEGUIMIENTO_TPM_xlsx[[#This Row],[FECHA Y HORA FINAL]]-SEGUIMIENTO_TPM_xlsx[[#This Row],[FECHA Y HORA INICIO]])</f>
        <v>0.45833333333575865</v>
      </c>
    </row>
    <row r="525" spans="1:20" x14ac:dyDescent="0.25">
      <c r="A525">
        <v>533</v>
      </c>
      <c r="B525" t="s">
        <v>526</v>
      </c>
      <c r="C525" s="1">
        <v>0.29166666666666669</v>
      </c>
      <c r="D525" s="2">
        <v>46035</v>
      </c>
      <c r="E525" t="s">
        <v>91</v>
      </c>
      <c r="F525" t="s">
        <v>18</v>
      </c>
      <c r="G525" t="s">
        <v>827</v>
      </c>
      <c r="H525" s="1">
        <v>0.29166666666666669</v>
      </c>
      <c r="I525" s="1">
        <v>0.36805555555555558</v>
      </c>
      <c r="J525" s="2">
        <v>46035</v>
      </c>
      <c r="K525" t="s">
        <v>25</v>
      </c>
      <c r="L525" t="s">
        <v>828</v>
      </c>
      <c r="M525" t="s">
        <v>22</v>
      </c>
      <c r="N525" t="s">
        <v>205</v>
      </c>
      <c r="O525" t="s">
        <v>44</v>
      </c>
      <c r="P525" t="s">
        <v>23</v>
      </c>
      <c r="Q525" s="1">
        <f>SEGUIMIENTO_TPM_xlsx[[#This Row],[HORA FIN  INTERVENCIÓN]]-SEGUIMIENTO_TPM_xlsx[[#This Row],[HORA INICIO INTERVENCIÓN]]</f>
        <v>7.6388888888888895E-2</v>
      </c>
      <c r="R525" s="20">
        <f>(SEGUIMIENTO_TPM_xlsx[[#This Row],[HORA REPORTE]]+SEGUIMIENTO_TPM_xlsx[[#This Row],[FECHA DE REPORTE]])</f>
        <v>46035.291666666664</v>
      </c>
      <c r="S525" s="20">
        <f>(SEGUIMIENTO_TPM_xlsx[[#This Row],[FECHA DE INTERVENCÓN]]+SEGUIMIENTO_TPM_xlsx[[#This Row],[HORA FIN  INTERVENCIÓN]])</f>
        <v>46035.368055555555</v>
      </c>
      <c r="T525" s="11">
        <f>(SEGUIMIENTO_TPM_xlsx[[#This Row],[FECHA Y HORA FINAL]]-SEGUIMIENTO_TPM_xlsx[[#This Row],[FECHA Y HORA INICIO]])</f>
        <v>7.6388888890505768E-2</v>
      </c>
    </row>
    <row r="526" spans="1:20" x14ac:dyDescent="0.25">
      <c r="A526">
        <v>534</v>
      </c>
      <c r="B526" t="s">
        <v>93</v>
      </c>
      <c r="C526" s="1">
        <v>0.47916666666666669</v>
      </c>
      <c r="D526" s="2">
        <v>46035</v>
      </c>
      <c r="E526" t="s">
        <v>116</v>
      </c>
      <c r="G526" t="s">
        <v>829</v>
      </c>
      <c r="H526" s="1">
        <v>0.49305555555555558</v>
      </c>
      <c r="I526" s="1">
        <v>0.52083333333333337</v>
      </c>
      <c r="J526" s="2">
        <v>46035</v>
      </c>
      <c r="K526" t="s">
        <v>48</v>
      </c>
      <c r="L526" t="s">
        <v>830</v>
      </c>
      <c r="M526" t="s">
        <v>831</v>
      </c>
      <c r="N526" t="s">
        <v>22</v>
      </c>
      <c r="O526" t="s">
        <v>44</v>
      </c>
      <c r="P526" t="s">
        <v>23</v>
      </c>
      <c r="Q526" s="1">
        <f>SEGUIMIENTO_TPM_xlsx[[#This Row],[HORA FIN  INTERVENCIÓN]]-SEGUIMIENTO_TPM_xlsx[[#This Row],[HORA INICIO INTERVENCIÓN]]</f>
        <v>2.777777777777779E-2</v>
      </c>
      <c r="R526" s="20">
        <f>(SEGUIMIENTO_TPM_xlsx[[#This Row],[HORA REPORTE]]+SEGUIMIENTO_TPM_xlsx[[#This Row],[FECHA DE REPORTE]])</f>
        <v>46035.479166666664</v>
      </c>
      <c r="S526" s="20">
        <f>(SEGUIMIENTO_TPM_xlsx[[#This Row],[FECHA DE INTERVENCÓN]]+SEGUIMIENTO_TPM_xlsx[[#This Row],[HORA FIN  INTERVENCIÓN]])</f>
        <v>46035.520833333336</v>
      </c>
      <c r="T526" s="11">
        <f>(SEGUIMIENTO_TPM_xlsx[[#This Row],[FECHA Y HORA FINAL]]-SEGUIMIENTO_TPM_xlsx[[#This Row],[FECHA Y HORA INICIO]])</f>
        <v>4.1666666671517305E-2</v>
      </c>
    </row>
    <row r="527" spans="1:20" x14ac:dyDescent="0.25">
      <c r="A527">
        <v>535</v>
      </c>
      <c r="B527" t="s">
        <v>206</v>
      </c>
      <c r="C527" s="1">
        <v>0.3263888888888889</v>
      </c>
      <c r="D527" s="2">
        <v>46035</v>
      </c>
      <c r="E527" t="s">
        <v>116</v>
      </c>
      <c r="G527" t="s">
        <v>832</v>
      </c>
      <c r="H527" s="1">
        <v>0.8125</v>
      </c>
      <c r="I527" s="1">
        <v>0.85416666666666663</v>
      </c>
      <c r="J527" s="2">
        <v>46035</v>
      </c>
      <c r="K527" t="s">
        <v>20</v>
      </c>
      <c r="L527" t="s">
        <v>833</v>
      </c>
      <c r="M527" t="s">
        <v>22</v>
      </c>
      <c r="N527" t="s">
        <v>22</v>
      </c>
      <c r="O527" t="s">
        <v>112</v>
      </c>
      <c r="P527" t="s">
        <v>23</v>
      </c>
      <c r="Q527" s="1">
        <f>SEGUIMIENTO_TPM_xlsx[[#This Row],[HORA FIN  INTERVENCIÓN]]-SEGUIMIENTO_TPM_xlsx[[#This Row],[HORA INICIO INTERVENCIÓN]]</f>
        <v>4.166666666666663E-2</v>
      </c>
      <c r="R527" s="20">
        <f>(SEGUIMIENTO_TPM_xlsx[[#This Row],[HORA REPORTE]]+SEGUIMIENTO_TPM_xlsx[[#This Row],[FECHA DE REPORTE]])</f>
        <v>46035.326388888891</v>
      </c>
      <c r="S527" s="20">
        <f>(SEGUIMIENTO_TPM_xlsx[[#This Row],[FECHA DE INTERVENCÓN]]+SEGUIMIENTO_TPM_xlsx[[#This Row],[HORA FIN  INTERVENCIÓN]])</f>
        <v>46035.854166666664</v>
      </c>
      <c r="T527" s="11">
        <f>(SEGUIMIENTO_TPM_xlsx[[#This Row],[FECHA Y HORA FINAL]]-SEGUIMIENTO_TPM_xlsx[[#This Row],[FECHA Y HORA INICIO]])</f>
        <v>0.52777777777373558</v>
      </c>
    </row>
    <row r="528" spans="1:20" x14ac:dyDescent="0.25">
      <c r="A528">
        <v>536</v>
      </c>
      <c r="B528" t="s">
        <v>206</v>
      </c>
      <c r="C528" s="1">
        <v>0.28472222222222221</v>
      </c>
      <c r="D528" s="2">
        <v>46035</v>
      </c>
      <c r="E528" t="s">
        <v>185</v>
      </c>
      <c r="G528" t="s">
        <v>834</v>
      </c>
      <c r="H528" s="1">
        <v>0.78472222222222221</v>
      </c>
      <c r="I528" s="1">
        <v>0.79166666666666663</v>
      </c>
      <c r="J528" s="2">
        <v>46035</v>
      </c>
      <c r="K528" t="s">
        <v>25</v>
      </c>
      <c r="L528" t="s">
        <v>835</v>
      </c>
      <c r="M528" t="s">
        <v>22</v>
      </c>
      <c r="N528" t="s">
        <v>22</v>
      </c>
      <c r="O528" t="s">
        <v>112</v>
      </c>
      <c r="P528" t="s">
        <v>23</v>
      </c>
      <c r="Q528" s="1">
        <f>SEGUIMIENTO_TPM_xlsx[[#This Row],[HORA FIN  INTERVENCIÓN]]-SEGUIMIENTO_TPM_xlsx[[#This Row],[HORA INICIO INTERVENCIÓN]]</f>
        <v>6.9444444444444198E-3</v>
      </c>
      <c r="R528" s="20">
        <f>(SEGUIMIENTO_TPM_xlsx[[#This Row],[HORA REPORTE]]+SEGUIMIENTO_TPM_xlsx[[#This Row],[FECHA DE REPORTE]])</f>
        <v>46035.284722222219</v>
      </c>
      <c r="S528" s="20">
        <f>(SEGUIMIENTO_TPM_xlsx[[#This Row],[FECHA DE INTERVENCÓN]]+SEGUIMIENTO_TPM_xlsx[[#This Row],[HORA FIN  INTERVENCIÓN]])</f>
        <v>46035.791666666664</v>
      </c>
      <c r="T528" s="11">
        <f>(SEGUIMIENTO_TPM_xlsx[[#This Row],[FECHA Y HORA FINAL]]-SEGUIMIENTO_TPM_xlsx[[#This Row],[FECHA Y HORA INICIO]])</f>
        <v>0.50694444444525288</v>
      </c>
    </row>
    <row r="529" spans="1:20" x14ac:dyDescent="0.25">
      <c r="A529">
        <v>537</v>
      </c>
      <c r="B529" t="s">
        <v>187</v>
      </c>
      <c r="C529" s="1">
        <v>0.79166666666666663</v>
      </c>
      <c r="D529" s="2">
        <v>46035</v>
      </c>
      <c r="E529" t="s">
        <v>188</v>
      </c>
      <c r="G529" t="s">
        <v>836</v>
      </c>
      <c r="H529" s="1">
        <v>0.79166666666666663</v>
      </c>
      <c r="I529" s="1">
        <v>0.82638888888888884</v>
      </c>
      <c r="J529" s="2">
        <v>46035</v>
      </c>
      <c r="K529" t="s">
        <v>25</v>
      </c>
      <c r="L529" t="s">
        <v>837</v>
      </c>
      <c r="M529" t="s">
        <v>22</v>
      </c>
      <c r="N529" t="s">
        <v>22</v>
      </c>
      <c r="O529" t="s">
        <v>112</v>
      </c>
      <c r="P529" t="s">
        <v>23</v>
      </c>
      <c r="Q529" s="1">
        <f>SEGUIMIENTO_TPM_xlsx[[#This Row],[HORA FIN  INTERVENCIÓN]]-SEGUIMIENTO_TPM_xlsx[[#This Row],[HORA INICIO INTERVENCIÓN]]</f>
        <v>3.472222222222221E-2</v>
      </c>
      <c r="R529" s="20">
        <f>(SEGUIMIENTO_TPM_xlsx[[#This Row],[HORA REPORTE]]+SEGUIMIENTO_TPM_xlsx[[#This Row],[FECHA DE REPORTE]])</f>
        <v>46035.791666666664</v>
      </c>
      <c r="S529" s="20">
        <f>(SEGUIMIENTO_TPM_xlsx[[#This Row],[FECHA DE INTERVENCÓN]]+SEGUIMIENTO_TPM_xlsx[[#This Row],[HORA FIN  INTERVENCIÓN]])</f>
        <v>46035.826388888891</v>
      </c>
      <c r="T529" s="11">
        <f>(SEGUIMIENTO_TPM_xlsx[[#This Row],[FECHA Y HORA FINAL]]-SEGUIMIENTO_TPM_xlsx[[#This Row],[FECHA Y HORA INICIO]])</f>
        <v>3.4722222226264421E-2</v>
      </c>
    </row>
    <row r="530" spans="1:20" x14ac:dyDescent="0.25">
      <c r="A530">
        <v>538</v>
      </c>
      <c r="B530" t="s">
        <v>93</v>
      </c>
      <c r="C530" s="1">
        <v>0.26041666666666669</v>
      </c>
      <c r="D530" s="2">
        <v>46036</v>
      </c>
      <c r="G530" t="s">
        <v>838</v>
      </c>
      <c r="H530" s="1">
        <v>0.26041666666666669</v>
      </c>
      <c r="I530" s="1">
        <v>0.28125</v>
      </c>
      <c r="J530" s="2">
        <v>46036</v>
      </c>
      <c r="K530" t="s">
        <v>20</v>
      </c>
      <c r="L530" t="s">
        <v>839</v>
      </c>
      <c r="M530" t="s">
        <v>840</v>
      </c>
      <c r="N530" t="s">
        <v>22</v>
      </c>
      <c r="O530" t="s">
        <v>44</v>
      </c>
      <c r="P530" t="s">
        <v>23</v>
      </c>
      <c r="Q530" s="1">
        <f>SEGUIMIENTO_TPM_xlsx[[#This Row],[HORA FIN  INTERVENCIÓN]]-SEGUIMIENTO_TPM_xlsx[[#This Row],[HORA INICIO INTERVENCIÓN]]</f>
        <v>2.0833333333333315E-2</v>
      </c>
      <c r="R530" s="20">
        <f>(SEGUIMIENTO_TPM_xlsx[[#This Row],[HORA REPORTE]]+SEGUIMIENTO_TPM_xlsx[[#This Row],[FECHA DE REPORTE]])</f>
        <v>46036.260416666664</v>
      </c>
      <c r="S530" s="20">
        <f>(SEGUIMIENTO_TPM_xlsx[[#This Row],[FECHA DE INTERVENCÓN]]+SEGUIMIENTO_TPM_xlsx[[#This Row],[HORA FIN  INTERVENCIÓN]])</f>
        <v>46036.28125</v>
      </c>
      <c r="T530" s="11">
        <f>(SEGUIMIENTO_TPM_xlsx[[#This Row],[FECHA Y HORA FINAL]]-SEGUIMIENTO_TPM_xlsx[[#This Row],[FECHA Y HORA INICIO]])</f>
        <v>2.0833333335758653E-2</v>
      </c>
    </row>
    <row r="531" spans="1:20" x14ac:dyDescent="0.25">
      <c r="A531">
        <v>539</v>
      </c>
      <c r="C531" s="1"/>
      <c r="D531" s="2"/>
      <c r="H531" s="1"/>
      <c r="I531" s="1"/>
      <c r="J531" s="2"/>
      <c r="Q531" s="1">
        <f>SEGUIMIENTO_TPM_xlsx[[#This Row],[HORA FIN  INTERVENCIÓN]]-SEGUIMIENTO_TPM_xlsx[[#This Row],[HORA INICIO INTERVENCIÓN]]</f>
        <v>0</v>
      </c>
      <c r="R531" s="20">
        <f>(SEGUIMIENTO_TPM_xlsx[[#This Row],[HORA REPORTE]]+SEGUIMIENTO_TPM_xlsx[[#This Row],[FECHA DE REPORTE]])</f>
        <v>0</v>
      </c>
      <c r="S531" s="20">
        <f>(SEGUIMIENTO_TPM_xlsx[[#This Row],[FECHA DE INTERVENCÓN]]+SEGUIMIENTO_TPM_xlsx[[#This Row],[HORA FIN  INTERVENCIÓN]])</f>
        <v>0</v>
      </c>
      <c r="T531" s="11">
        <f>(SEGUIMIENTO_TPM_xlsx[[#This Row],[FECHA Y HORA FINAL]]-SEGUIMIENTO_TPM_xlsx[[#This Row],[FECHA Y HORA INICIO]])</f>
        <v>0</v>
      </c>
    </row>
    <row r="532" spans="1:20" x14ac:dyDescent="0.25">
      <c r="A532">
        <v>540</v>
      </c>
      <c r="B532" t="s">
        <v>103</v>
      </c>
      <c r="C532" s="1">
        <v>0.67777777777777781</v>
      </c>
      <c r="D532" s="2">
        <v>46036</v>
      </c>
      <c r="E532" t="s">
        <v>147</v>
      </c>
      <c r="F532" t="s">
        <v>650</v>
      </c>
      <c r="G532" t="s">
        <v>841</v>
      </c>
      <c r="H532" s="1">
        <v>0.70833333333333337</v>
      </c>
      <c r="I532" s="1">
        <v>0.73611111111111116</v>
      </c>
      <c r="J532" s="2">
        <v>46036</v>
      </c>
      <c r="K532" t="s">
        <v>25</v>
      </c>
      <c r="L532" t="s">
        <v>842</v>
      </c>
      <c r="M532" t="s">
        <v>843</v>
      </c>
      <c r="N532" t="s">
        <v>22</v>
      </c>
      <c r="O532" t="s">
        <v>112</v>
      </c>
      <c r="P532" t="s">
        <v>23</v>
      </c>
      <c r="Q532" s="1">
        <f>SEGUIMIENTO_TPM_xlsx[[#This Row],[HORA FIN  INTERVENCIÓN]]-SEGUIMIENTO_TPM_xlsx[[#This Row],[HORA INICIO INTERVENCIÓN]]</f>
        <v>2.777777777777779E-2</v>
      </c>
      <c r="R532" s="20">
        <f>(SEGUIMIENTO_TPM_xlsx[[#This Row],[HORA REPORTE]]+SEGUIMIENTO_TPM_xlsx[[#This Row],[FECHA DE REPORTE]])</f>
        <v>46036.677777777775</v>
      </c>
      <c r="S532" s="20">
        <f>(SEGUIMIENTO_TPM_xlsx[[#This Row],[FECHA DE INTERVENCÓN]]+SEGUIMIENTO_TPM_xlsx[[#This Row],[HORA FIN  INTERVENCIÓN]])</f>
        <v>46036.736111111109</v>
      </c>
      <c r="T532" s="11">
        <f>(SEGUIMIENTO_TPM_xlsx[[#This Row],[FECHA Y HORA FINAL]]-SEGUIMIENTO_TPM_xlsx[[#This Row],[FECHA Y HORA INICIO]])</f>
        <v>5.8333333334303461E-2</v>
      </c>
    </row>
    <row r="533" spans="1:20" x14ac:dyDescent="0.25">
      <c r="A533">
        <v>541</v>
      </c>
      <c r="B533" t="s">
        <v>187</v>
      </c>
      <c r="C533" s="1">
        <v>0.82291666666666663</v>
      </c>
      <c r="D533" s="2">
        <v>46036</v>
      </c>
      <c r="E533" t="s">
        <v>147</v>
      </c>
      <c r="G533" t="s">
        <v>844</v>
      </c>
      <c r="H533" s="1">
        <v>0.82291666666666663</v>
      </c>
      <c r="I533" s="1">
        <v>0.85416666666666663</v>
      </c>
      <c r="J533" s="2">
        <v>46036</v>
      </c>
      <c r="K533" t="s">
        <v>775</v>
      </c>
      <c r="L533" t="s">
        <v>845</v>
      </c>
      <c r="M533" t="s">
        <v>22</v>
      </c>
      <c r="N533" t="s">
        <v>22</v>
      </c>
      <c r="O533" t="s">
        <v>112</v>
      </c>
      <c r="P533" t="s">
        <v>23</v>
      </c>
      <c r="Q533" s="1">
        <f>SEGUIMIENTO_TPM_xlsx[[#This Row],[HORA FIN  INTERVENCIÓN]]-SEGUIMIENTO_TPM_xlsx[[#This Row],[HORA INICIO INTERVENCIÓN]]</f>
        <v>3.125E-2</v>
      </c>
      <c r="R533" s="20">
        <f>(SEGUIMIENTO_TPM_xlsx[[#This Row],[HORA REPORTE]]+SEGUIMIENTO_TPM_xlsx[[#This Row],[FECHA DE REPORTE]])</f>
        <v>46036.822916666664</v>
      </c>
      <c r="S533" s="20">
        <f>(SEGUIMIENTO_TPM_xlsx[[#This Row],[FECHA DE INTERVENCÓN]]+SEGUIMIENTO_TPM_xlsx[[#This Row],[HORA FIN  INTERVENCIÓN]])</f>
        <v>46036.854166666664</v>
      </c>
      <c r="T533" s="11">
        <f>(SEGUIMIENTO_TPM_xlsx[[#This Row],[FECHA Y HORA FINAL]]-SEGUIMIENTO_TPM_xlsx[[#This Row],[FECHA Y HORA INICIO]])</f>
        <v>3.125E-2</v>
      </c>
    </row>
    <row r="534" spans="1:20" x14ac:dyDescent="0.25">
      <c r="A534">
        <v>542</v>
      </c>
      <c r="B534" t="s">
        <v>231</v>
      </c>
      <c r="C534" s="1">
        <v>0.16666666666666666</v>
      </c>
      <c r="D534" s="2">
        <v>46036</v>
      </c>
      <c r="E534" t="s">
        <v>143</v>
      </c>
      <c r="F534" t="s">
        <v>18</v>
      </c>
      <c r="G534" t="s">
        <v>846</v>
      </c>
      <c r="H534" s="1">
        <v>0.1736111111111111</v>
      </c>
      <c r="I534" s="1">
        <v>0.19444444444444445</v>
      </c>
      <c r="J534" s="2">
        <v>46036</v>
      </c>
      <c r="K534" t="s">
        <v>25</v>
      </c>
      <c r="L534" t="s">
        <v>847</v>
      </c>
      <c r="M534" t="s">
        <v>22</v>
      </c>
      <c r="N534" t="s">
        <v>22</v>
      </c>
      <c r="O534" t="s">
        <v>661</v>
      </c>
      <c r="P534" t="s">
        <v>23</v>
      </c>
      <c r="Q534" s="1">
        <f>SEGUIMIENTO_TPM_xlsx[[#This Row],[HORA FIN  INTERVENCIÓN]]-SEGUIMIENTO_TPM_xlsx[[#This Row],[HORA INICIO INTERVENCIÓN]]</f>
        <v>2.0833333333333343E-2</v>
      </c>
      <c r="R534" s="20">
        <f>(SEGUIMIENTO_TPM_xlsx[[#This Row],[HORA REPORTE]]+SEGUIMIENTO_TPM_xlsx[[#This Row],[FECHA DE REPORTE]])</f>
        <v>46036.166666666664</v>
      </c>
      <c r="S534" s="20">
        <f>(SEGUIMIENTO_TPM_xlsx[[#This Row],[FECHA DE INTERVENCÓN]]+SEGUIMIENTO_TPM_xlsx[[#This Row],[HORA FIN  INTERVENCIÓN]])</f>
        <v>46036.194444444445</v>
      </c>
      <c r="T534" s="11">
        <f>(SEGUIMIENTO_TPM_xlsx[[#This Row],[FECHA Y HORA FINAL]]-SEGUIMIENTO_TPM_xlsx[[#This Row],[FECHA Y HORA INICIO]])</f>
        <v>2.7777777781011537E-2</v>
      </c>
    </row>
    <row r="535" spans="1:20" x14ac:dyDescent="0.25">
      <c r="A535">
        <v>543</v>
      </c>
      <c r="B535" t="s">
        <v>93</v>
      </c>
      <c r="C535" s="1">
        <v>0.34722222222222221</v>
      </c>
      <c r="D535" s="2">
        <v>46037</v>
      </c>
      <c r="E535" t="s">
        <v>91</v>
      </c>
      <c r="G535" t="s">
        <v>848</v>
      </c>
      <c r="H535" s="1">
        <v>0.38194444444444442</v>
      </c>
      <c r="I535" s="1">
        <v>0.40625</v>
      </c>
      <c r="J535" s="2">
        <v>46037</v>
      </c>
      <c r="K535" t="s">
        <v>25</v>
      </c>
      <c r="L535" t="s">
        <v>849</v>
      </c>
      <c r="M535" t="s">
        <v>850</v>
      </c>
      <c r="N535" t="s">
        <v>22</v>
      </c>
      <c r="O535" t="s">
        <v>44</v>
      </c>
      <c r="P535" t="s">
        <v>23</v>
      </c>
      <c r="Q535" s="1">
        <f>SEGUIMIENTO_TPM_xlsx[[#This Row],[HORA FIN  INTERVENCIÓN]]-SEGUIMIENTO_TPM_xlsx[[#This Row],[HORA INICIO INTERVENCIÓN]]</f>
        <v>2.430555555555558E-2</v>
      </c>
      <c r="R535" s="20">
        <f>(SEGUIMIENTO_TPM_xlsx[[#This Row],[HORA REPORTE]]+SEGUIMIENTO_TPM_xlsx[[#This Row],[FECHA DE REPORTE]])</f>
        <v>46037.347222222219</v>
      </c>
      <c r="S535" s="20">
        <f>(SEGUIMIENTO_TPM_xlsx[[#This Row],[FECHA DE INTERVENCÓN]]+SEGUIMIENTO_TPM_xlsx[[#This Row],[HORA FIN  INTERVENCIÓN]])</f>
        <v>46037.40625</v>
      </c>
      <c r="T535" s="11">
        <f>(SEGUIMIENTO_TPM_xlsx[[#This Row],[FECHA Y HORA FINAL]]-SEGUIMIENTO_TPM_xlsx[[#This Row],[FECHA Y HORA INICIO]])</f>
        <v>5.9027777781011537E-2</v>
      </c>
    </row>
    <row r="536" spans="1:20" x14ac:dyDescent="0.25">
      <c r="A536">
        <v>544</v>
      </c>
      <c r="B536" t="s">
        <v>93</v>
      </c>
      <c r="C536" s="1">
        <v>0.4375</v>
      </c>
      <c r="D536" s="2">
        <v>46037</v>
      </c>
      <c r="E536" t="s">
        <v>116</v>
      </c>
      <c r="G536" t="s">
        <v>851</v>
      </c>
      <c r="H536" s="1">
        <v>0.4375</v>
      </c>
      <c r="I536" s="1">
        <v>0.53125</v>
      </c>
      <c r="J536" s="2">
        <v>46037</v>
      </c>
      <c r="K536" t="s">
        <v>25</v>
      </c>
      <c r="L536" t="s">
        <v>852</v>
      </c>
      <c r="M536" t="s">
        <v>22</v>
      </c>
      <c r="N536" t="s">
        <v>22</v>
      </c>
      <c r="O536" t="s">
        <v>44</v>
      </c>
      <c r="P536" t="s">
        <v>23</v>
      </c>
      <c r="Q536" s="1">
        <f>SEGUIMIENTO_TPM_xlsx[[#This Row],[HORA FIN  INTERVENCIÓN]]-SEGUIMIENTO_TPM_xlsx[[#This Row],[HORA INICIO INTERVENCIÓN]]</f>
        <v>9.375E-2</v>
      </c>
      <c r="R536" s="20">
        <f>(SEGUIMIENTO_TPM_xlsx[[#This Row],[HORA REPORTE]]+SEGUIMIENTO_TPM_xlsx[[#This Row],[FECHA DE REPORTE]])</f>
        <v>46037.4375</v>
      </c>
      <c r="S536" s="20">
        <f>(SEGUIMIENTO_TPM_xlsx[[#This Row],[FECHA DE INTERVENCÓN]]+SEGUIMIENTO_TPM_xlsx[[#This Row],[HORA FIN  INTERVENCIÓN]])</f>
        <v>46037.53125</v>
      </c>
      <c r="T536" s="11">
        <f>(SEGUIMIENTO_TPM_xlsx[[#This Row],[FECHA Y HORA FINAL]]-SEGUIMIENTO_TPM_xlsx[[#This Row],[FECHA Y HORA INICIO]])</f>
        <v>9.375E-2</v>
      </c>
    </row>
    <row r="537" spans="1:20" x14ac:dyDescent="0.25">
      <c r="A537">
        <v>545</v>
      </c>
      <c r="B537" t="s">
        <v>199</v>
      </c>
      <c r="C537" s="1">
        <v>0.375</v>
      </c>
      <c r="D537" s="2">
        <v>46037</v>
      </c>
      <c r="E537" t="s">
        <v>91</v>
      </c>
      <c r="F537" t="s">
        <v>18</v>
      </c>
      <c r="G537" t="s">
        <v>853</v>
      </c>
      <c r="H537" s="1"/>
      <c r="I537" s="1"/>
      <c r="J537" s="2"/>
      <c r="L537" t="s">
        <v>854</v>
      </c>
      <c r="P537" t="s">
        <v>33</v>
      </c>
      <c r="Q537" s="1">
        <f>SEGUIMIENTO_TPM_xlsx[[#This Row],[HORA FIN  INTERVENCIÓN]]-SEGUIMIENTO_TPM_xlsx[[#This Row],[HORA INICIO INTERVENCIÓN]]</f>
        <v>0</v>
      </c>
      <c r="R537" s="20">
        <f>(SEGUIMIENTO_TPM_xlsx[[#This Row],[HORA REPORTE]]+SEGUIMIENTO_TPM_xlsx[[#This Row],[FECHA DE REPORTE]])</f>
        <v>46037.375</v>
      </c>
      <c r="S537" s="20">
        <f>(SEGUIMIENTO_TPM_xlsx[[#This Row],[FECHA DE INTERVENCÓN]]+SEGUIMIENTO_TPM_xlsx[[#This Row],[HORA FIN  INTERVENCIÓN]])</f>
        <v>0</v>
      </c>
      <c r="T537" s="11">
        <f>(SEGUIMIENTO_TPM_xlsx[[#This Row],[FECHA Y HORA FINAL]]-SEGUIMIENTO_TPM_xlsx[[#This Row],[FECHA Y HORA INICIO]])</f>
        <v>-46037.375</v>
      </c>
    </row>
    <row r="538" spans="1:20" x14ac:dyDescent="0.25">
      <c r="A538">
        <v>546</v>
      </c>
      <c r="B538" t="s">
        <v>199</v>
      </c>
      <c r="C538" s="1">
        <v>0.20833333333333334</v>
      </c>
      <c r="D538" s="2">
        <v>46037</v>
      </c>
      <c r="E538" t="s">
        <v>91</v>
      </c>
      <c r="G538" t="s">
        <v>855</v>
      </c>
      <c r="H538" s="1">
        <v>0.33333333333333331</v>
      </c>
      <c r="I538" s="1">
        <v>0.3888888888888889</v>
      </c>
      <c r="J538" s="2">
        <v>46037</v>
      </c>
      <c r="K538" t="s">
        <v>25</v>
      </c>
      <c r="L538" t="s">
        <v>856</v>
      </c>
      <c r="M538" t="s">
        <v>22</v>
      </c>
      <c r="N538" t="s">
        <v>22</v>
      </c>
      <c r="O538" t="s">
        <v>857</v>
      </c>
      <c r="P538" t="s">
        <v>23</v>
      </c>
      <c r="Q538" s="1">
        <f>SEGUIMIENTO_TPM_xlsx[[#This Row],[HORA FIN  INTERVENCIÓN]]-SEGUIMIENTO_TPM_xlsx[[#This Row],[HORA INICIO INTERVENCIÓN]]</f>
        <v>5.555555555555558E-2</v>
      </c>
      <c r="R538" s="20">
        <f>(SEGUIMIENTO_TPM_xlsx[[#This Row],[HORA REPORTE]]+SEGUIMIENTO_TPM_xlsx[[#This Row],[FECHA DE REPORTE]])</f>
        <v>46037.208333333336</v>
      </c>
      <c r="S538" s="20">
        <f>(SEGUIMIENTO_TPM_xlsx[[#This Row],[FECHA DE INTERVENCÓN]]+SEGUIMIENTO_TPM_xlsx[[#This Row],[HORA FIN  INTERVENCIÓN]])</f>
        <v>46037.388888888891</v>
      </c>
      <c r="T538" s="11">
        <f>(SEGUIMIENTO_TPM_xlsx[[#This Row],[FECHA Y HORA FINAL]]-SEGUIMIENTO_TPM_xlsx[[#This Row],[FECHA Y HORA INICIO]])</f>
        <v>0.18055555555474712</v>
      </c>
    </row>
    <row r="539" spans="1:20" x14ac:dyDescent="0.25">
      <c r="A539">
        <v>547</v>
      </c>
      <c r="B539" t="s">
        <v>93</v>
      </c>
      <c r="C539" s="1">
        <v>0.53125</v>
      </c>
      <c r="D539" s="2">
        <v>46037</v>
      </c>
      <c r="E539" t="s">
        <v>116</v>
      </c>
      <c r="G539" t="s">
        <v>858</v>
      </c>
      <c r="H539" s="1">
        <v>0.54166666666666663</v>
      </c>
      <c r="I539" s="1">
        <v>0.62708333333333333</v>
      </c>
      <c r="J539" s="2">
        <v>46037</v>
      </c>
      <c r="K539" t="s">
        <v>25</v>
      </c>
      <c r="L539" t="s">
        <v>859</v>
      </c>
      <c r="M539" t="s">
        <v>860</v>
      </c>
      <c r="N539" t="s">
        <v>22</v>
      </c>
      <c r="O539" t="s">
        <v>661</v>
      </c>
      <c r="P539" t="s">
        <v>23</v>
      </c>
      <c r="Q539" s="1">
        <f>SEGUIMIENTO_TPM_xlsx[[#This Row],[HORA FIN  INTERVENCIÓN]]-SEGUIMIENTO_TPM_xlsx[[#This Row],[HORA INICIO INTERVENCIÓN]]</f>
        <v>8.5416666666666696E-2</v>
      </c>
      <c r="R539" s="20">
        <f>(SEGUIMIENTO_TPM_xlsx[[#This Row],[HORA REPORTE]]+SEGUIMIENTO_TPM_xlsx[[#This Row],[FECHA DE REPORTE]])</f>
        <v>46037.53125</v>
      </c>
      <c r="S539" s="20">
        <f>(SEGUIMIENTO_TPM_xlsx[[#This Row],[FECHA DE INTERVENCÓN]]+SEGUIMIENTO_TPM_xlsx[[#This Row],[HORA FIN  INTERVENCIÓN]])</f>
        <v>46037.627083333333</v>
      </c>
      <c r="T539" s="11">
        <f>(SEGUIMIENTO_TPM_xlsx[[#This Row],[FECHA Y HORA FINAL]]-SEGUIMIENTO_TPM_xlsx[[#This Row],[FECHA Y HORA INICIO]])</f>
        <v>9.5833333332848269E-2</v>
      </c>
    </row>
    <row r="540" spans="1:20" x14ac:dyDescent="0.25">
      <c r="A540">
        <v>548</v>
      </c>
      <c r="B540" t="s">
        <v>164</v>
      </c>
      <c r="C540" s="1">
        <v>0.64236111111111116</v>
      </c>
      <c r="D540" s="2">
        <v>46037</v>
      </c>
      <c r="E540" t="s">
        <v>143</v>
      </c>
      <c r="F540" t="s">
        <v>18</v>
      </c>
      <c r="G540" t="s">
        <v>861</v>
      </c>
      <c r="H540" s="1"/>
      <c r="I540" s="1"/>
      <c r="J540" s="2"/>
      <c r="P540" t="s">
        <v>33</v>
      </c>
      <c r="Q540" s="1">
        <f>SEGUIMIENTO_TPM_xlsx[[#This Row],[HORA FIN  INTERVENCIÓN]]-SEGUIMIENTO_TPM_xlsx[[#This Row],[HORA INICIO INTERVENCIÓN]]</f>
        <v>0</v>
      </c>
      <c r="R540" s="20">
        <f>(SEGUIMIENTO_TPM_xlsx[[#This Row],[HORA REPORTE]]+SEGUIMIENTO_TPM_xlsx[[#This Row],[FECHA DE REPORTE]])</f>
        <v>46037.642361111109</v>
      </c>
      <c r="S540" s="20">
        <f>(SEGUIMIENTO_TPM_xlsx[[#This Row],[FECHA DE INTERVENCÓN]]+SEGUIMIENTO_TPM_xlsx[[#This Row],[HORA FIN  INTERVENCIÓN]])</f>
        <v>0</v>
      </c>
      <c r="T540" s="11">
        <f>(SEGUIMIENTO_TPM_xlsx[[#This Row],[FECHA Y HORA FINAL]]-SEGUIMIENTO_TPM_xlsx[[#This Row],[FECHA Y HORA INICIO]])</f>
        <v>-46037.642361111109</v>
      </c>
    </row>
    <row r="541" spans="1:20" x14ac:dyDescent="0.25">
      <c r="A541">
        <v>549</v>
      </c>
      <c r="B541" t="s">
        <v>103</v>
      </c>
      <c r="C541" s="1">
        <v>0.5</v>
      </c>
      <c r="D541" s="2">
        <v>46037</v>
      </c>
      <c r="E541" t="s">
        <v>147</v>
      </c>
      <c r="F541" t="s">
        <v>18</v>
      </c>
      <c r="G541" t="s">
        <v>862</v>
      </c>
      <c r="H541" s="1">
        <v>0.77083333333333337</v>
      </c>
      <c r="I541" s="1">
        <v>0.7895833333333333</v>
      </c>
      <c r="J541" s="2">
        <v>46037</v>
      </c>
      <c r="K541" t="s">
        <v>25</v>
      </c>
      <c r="L541" t="s">
        <v>863</v>
      </c>
      <c r="M541" t="s">
        <v>22</v>
      </c>
      <c r="N541" t="s">
        <v>22</v>
      </c>
      <c r="O541" t="s">
        <v>661</v>
      </c>
      <c r="P541" t="s">
        <v>23</v>
      </c>
      <c r="Q541" s="1">
        <f>SEGUIMIENTO_TPM_xlsx[[#This Row],[HORA FIN  INTERVENCIÓN]]-SEGUIMIENTO_TPM_xlsx[[#This Row],[HORA INICIO INTERVENCIÓN]]</f>
        <v>1.8749999999999933E-2</v>
      </c>
      <c r="R541" s="20">
        <f>(SEGUIMIENTO_TPM_xlsx[[#This Row],[HORA REPORTE]]+SEGUIMIENTO_TPM_xlsx[[#This Row],[FECHA DE REPORTE]])</f>
        <v>46037.5</v>
      </c>
      <c r="S541" s="20">
        <f>(SEGUIMIENTO_TPM_xlsx[[#This Row],[FECHA DE INTERVENCÓN]]+SEGUIMIENTO_TPM_xlsx[[#This Row],[HORA FIN  INTERVENCIÓN]])</f>
        <v>46037.789583333331</v>
      </c>
      <c r="T541" s="11">
        <f>(SEGUIMIENTO_TPM_xlsx[[#This Row],[FECHA Y HORA FINAL]]-SEGUIMIENTO_TPM_xlsx[[#This Row],[FECHA Y HORA INICIO]])</f>
        <v>0.28958333333139308</v>
      </c>
    </row>
    <row r="542" spans="1:20" x14ac:dyDescent="0.25">
      <c r="A542">
        <v>550</v>
      </c>
      <c r="B542" t="s">
        <v>206</v>
      </c>
      <c r="C542" s="1">
        <v>0.77777777777777779</v>
      </c>
      <c r="D542" s="2">
        <v>46037</v>
      </c>
      <c r="E542" t="s">
        <v>116</v>
      </c>
      <c r="G542" t="s">
        <v>864</v>
      </c>
      <c r="H542" s="1">
        <v>0.79097222222222219</v>
      </c>
      <c r="I542" s="1">
        <v>0.87152777777777779</v>
      </c>
      <c r="J542" s="2">
        <v>46037</v>
      </c>
      <c r="K542" t="s">
        <v>20</v>
      </c>
      <c r="L542" t="s">
        <v>865</v>
      </c>
      <c r="M542" t="s">
        <v>722</v>
      </c>
      <c r="N542" t="s">
        <v>22</v>
      </c>
      <c r="O542" t="s">
        <v>661</v>
      </c>
      <c r="P542" t="s">
        <v>23</v>
      </c>
      <c r="Q542" s="1">
        <f>SEGUIMIENTO_TPM_xlsx[[#This Row],[HORA FIN  INTERVENCIÓN]]-SEGUIMIENTO_TPM_xlsx[[#This Row],[HORA INICIO INTERVENCIÓN]]</f>
        <v>8.0555555555555602E-2</v>
      </c>
      <c r="R542" s="20">
        <f>(SEGUIMIENTO_TPM_xlsx[[#This Row],[HORA REPORTE]]+SEGUIMIENTO_TPM_xlsx[[#This Row],[FECHA DE REPORTE]])</f>
        <v>46037.777777777781</v>
      </c>
      <c r="S542" s="20">
        <f>(SEGUIMIENTO_TPM_xlsx[[#This Row],[FECHA DE INTERVENCÓN]]+SEGUIMIENTO_TPM_xlsx[[#This Row],[HORA FIN  INTERVENCIÓN]])</f>
        <v>46037.871527777781</v>
      </c>
      <c r="T542" s="11">
        <f>(SEGUIMIENTO_TPM_xlsx[[#This Row],[FECHA Y HORA FINAL]]-SEGUIMIENTO_TPM_xlsx[[#This Row],[FECHA Y HORA INICIO]])</f>
        <v>9.375E-2</v>
      </c>
    </row>
    <row r="543" spans="1:20" x14ac:dyDescent="0.25">
      <c r="A543">
        <v>551</v>
      </c>
      <c r="B543" t="s">
        <v>206</v>
      </c>
      <c r="C543" s="1">
        <v>0.68402777777777779</v>
      </c>
      <c r="D543" s="2">
        <v>46037</v>
      </c>
      <c r="E543" t="s">
        <v>116</v>
      </c>
      <c r="G543" t="s">
        <v>866</v>
      </c>
      <c r="H543" s="1">
        <v>0.69444444444444442</v>
      </c>
      <c r="I543" s="1">
        <v>0.75694444444444442</v>
      </c>
      <c r="J543" s="2">
        <v>46037</v>
      </c>
      <c r="K543" t="s">
        <v>775</v>
      </c>
      <c r="L543" t="s">
        <v>867</v>
      </c>
      <c r="M543" t="s">
        <v>868</v>
      </c>
      <c r="N543" t="s">
        <v>22</v>
      </c>
      <c r="O543" t="s">
        <v>661</v>
      </c>
      <c r="P543" t="s">
        <v>23</v>
      </c>
      <c r="Q543" s="1">
        <f>SEGUIMIENTO_TPM_xlsx[[#This Row],[HORA FIN  INTERVENCIÓN]]-SEGUIMIENTO_TPM_xlsx[[#This Row],[HORA INICIO INTERVENCIÓN]]</f>
        <v>6.25E-2</v>
      </c>
      <c r="R543" s="20">
        <f>(SEGUIMIENTO_TPM_xlsx[[#This Row],[HORA REPORTE]]+SEGUIMIENTO_TPM_xlsx[[#This Row],[FECHA DE REPORTE]])</f>
        <v>46037.684027777781</v>
      </c>
      <c r="S543" s="20">
        <f>(SEGUIMIENTO_TPM_xlsx[[#This Row],[FECHA DE INTERVENCÓN]]+SEGUIMIENTO_TPM_xlsx[[#This Row],[HORA FIN  INTERVENCIÓN]])</f>
        <v>46037.756944444445</v>
      </c>
      <c r="T543" s="11">
        <f>(SEGUIMIENTO_TPM_xlsx[[#This Row],[FECHA Y HORA FINAL]]-SEGUIMIENTO_TPM_xlsx[[#This Row],[FECHA Y HORA INICIO]])</f>
        <v>7.2916666664241347E-2</v>
      </c>
    </row>
    <row r="544" spans="1:20" x14ac:dyDescent="0.25">
      <c r="A544">
        <v>552</v>
      </c>
      <c r="C544" s="1"/>
      <c r="D544" s="2"/>
      <c r="H544" s="1"/>
      <c r="I544" s="1"/>
      <c r="J544" s="2"/>
      <c r="Q544" s="1">
        <f>SEGUIMIENTO_TPM_xlsx[[#This Row],[HORA FIN  INTERVENCIÓN]]-SEGUIMIENTO_TPM_xlsx[[#This Row],[HORA INICIO INTERVENCIÓN]]</f>
        <v>0</v>
      </c>
      <c r="R544" s="20">
        <f>(SEGUIMIENTO_TPM_xlsx[[#This Row],[HORA REPORTE]]+SEGUIMIENTO_TPM_xlsx[[#This Row],[FECHA DE REPORTE]])</f>
        <v>0</v>
      </c>
      <c r="S544" s="20">
        <f>(SEGUIMIENTO_TPM_xlsx[[#This Row],[FECHA DE INTERVENCÓN]]+SEGUIMIENTO_TPM_xlsx[[#This Row],[HORA FIN  INTERVENCIÓN]])</f>
        <v>0</v>
      </c>
      <c r="T544" s="11">
        <f>(SEGUIMIENTO_TPM_xlsx[[#This Row],[FECHA Y HORA FINAL]]-SEGUIMIENTO_TPM_xlsx[[#This Row],[FECHA Y HORA INICIO]])</f>
        <v>0</v>
      </c>
    </row>
    <row r="545" spans="1:20" x14ac:dyDescent="0.25">
      <c r="A545">
        <v>553</v>
      </c>
      <c r="B545" t="s">
        <v>93</v>
      </c>
      <c r="C545" s="1">
        <v>0.29166666666666669</v>
      </c>
      <c r="D545" s="2">
        <v>46038</v>
      </c>
      <c r="E545" t="s">
        <v>94</v>
      </c>
      <c r="G545" t="s">
        <v>869</v>
      </c>
      <c r="H545" s="1">
        <v>0.29166666666666669</v>
      </c>
      <c r="I545" s="1">
        <v>0.3125</v>
      </c>
      <c r="J545" s="2">
        <v>46038</v>
      </c>
      <c r="K545" t="s">
        <v>870</v>
      </c>
      <c r="L545" t="s">
        <v>871</v>
      </c>
      <c r="M545" t="s">
        <v>22</v>
      </c>
      <c r="N545" t="s">
        <v>22</v>
      </c>
      <c r="O545" t="s">
        <v>44</v>
      </c>
      <c r="P545" t="s">
        <v>23</v>
      </c>
      <c r="Q545" s="1">
        <f>SEGUIMIENTO_TPM_xlsx[[#This Row],[HORA FIN  INTERVENCIÓN]]-SEGUIMIENTO_TPM_xlsx[[#This Row],[HORA INICIO INTERVENCIÓN]]</f>
        <v>2.0833333333333315E-2</v>
      </c>
      <c r="R545" s="20">
        <f>(SEGUIMIENTO_TPM_xlsx[[#This Row],[HORA REPORTE]]+SEGUIMIENTO_TPM_xlsx[[#This Row],[FECHA DE REPORTE]])</f>
        <v>46038.291666666664</v>
      </c>
      <c r="S545" s="20">
        <f>(SEGUIMIENTO_TPM_xlsx[[#This Row],[FECHA DE INTERVENCÓN]]+SEGUIMIENTO_TPM_xlsx[[#This Row],[HORA FIN  INTERVENCIÓN]])</f>
        <v>46038.3125</v>
      </c>
      <c r="T545" s="11">
        <f>(SEGUIMIENTO_TPM_xlsx[[#This Row],[FECHA Y HORA FINAL]]-SEGUIMIENTO_TPM_xlsx[[#This Row],[FECHA Y HORA INICIO]])</f>
        <v>2.0833333335758653E-2</v>
      </c>
    </row>
    <row r="546" spans="1:20" x14ac:dyDescent="0.25">
      <c r="A546">
        <v>554</v>
      </c>
      <c r="B546" t="s">
        <v>93</v>
      </c>
      <c r="C546" s="1">
        <v>0.375</v>
      </c>
      <c r="D546" s="2">
        <v>46038</v>
      </c>
      <c r="E546" t="s">
        <v>143</v>
      </c>
      <c r="G546" t="s">
        <v>872</v>
      </c>
      <c r="H546" s="1">
        <v>0.38194444444444442</v>
      </c>
      <c r="I546" s="1">
        <v>0.39583333333333331</v>
      </c>
      <c r="J546" s="2">
        <v>46038</v>
      </c>
      <c r="K546" t="s">
        <v>20</v>
      </c>
      <c r="L546" t="s">
        <v>873</v>
      </c>
      <c r="M546" t="s">
        <v>22</v>
      </c>
      <c r="N546" t="s">
        <v>22</v>
      </c>
      <c r="O546" t="s">
        <v>44</v>
      </c>
      <c r="P546" t="s">
        <v>23</v>
      </c>
      <c r="Q546" s="1">
        <f>SEGUIMIENTO_TPM_xlsx[[#This Row],[HORA FIN  INTERVENCIÓN]]-SEGUIMIENTO_TPM_xlsx[[#This Row],[HORA INICIO INTERVENCIÓN]]</f>
        <v>1.3888888888888895E-2</v>
      </c>
      <c r="R546" s="20">
        <f>(SEGUIMIENTO_TPM_xlsx[[#This Row],[HORA REPORTE]]+SEGUIMIENTO_TPM_xlsx[[#This Row],[FECHA DE REPORTE]])</f>
        <v>46038.375</v>
      </c>
      <c r="S546" s="20">
        <f>(SEGUIMIENTO_TPM_xlsx[[#This Row],[FECHA DE INTERVENCÓN]]+SEGUIMIENTO_TPM_xlsx[[#This Row],[HORA FIN  INTERVENCIÓN]])</f>
        <v>46038.395833333336</v>
      </c>
      <c r="T546" s="11">
        <f>(SEGUIMIENTO_TPM_xlsx[[#This Row],[FECHA Y HORA FINAL]]-SEGUIMIENTO_TPM_xlsx[[#This Row],[FECHA Y HORA INICIO]])</f>
        <v>2.0833333335758653E-2</v>
      </c>
    </row>
    <row r="547" spans="1:20" x14ac:dyDescent="0.25">
      <c r="A547">
        <v>555</v>
      </c>
      <c r="B547" t="s">
        <v>231</v>
      </c>
      <c r="C547" s="1">
        <v>0.46736111111111112</v>
      </c>
      <c r="D547" s="2">
        <v>46038</v>
      </c>
      <c r="E547" t="s">
        <v>143</v>
      </c>
      <c r="F547" t="s">
        <v>18</v>
      </c>
      <c r="G547" t="s">
        <v>874</v>
      </c>
      <c r="H547" s="1">
        <v>0.46875</v>
      </c>
      <c r="I547" s="1">
        <v>0.47916666666666669</v>
      </c>
      <c r="J547" s="2">
        <v>46038</v>
      </c>
      <c r="K547" t="s">
        <v>25</v>
      </c>
      <c r="L547" t="s">
        <v>875</v>
      </c>
      <c r="M547" t="s">
        <v>22</v>
      </c>
      <c r="N547" t="s">
        <v>673</v>
      </c>
      <c r="O547" t="s">
        <v>44</v>
      </c>
      <c r="P547" t="s">
        <v>23</v>
      </c>
      <c r="Q547" s="1">
        <f>SEGUIMIENTO_TPM_xlsx[[#This Row],[HORA FIN  INTERVENCIÓN]]-SEGUIMIENTO_TPM_xlsx[[#This Row],[HORA INICIO INTERVENCIÓN]]</f>
        <v>1.0416666666666685E-2</v>
      </c>
      <c r="R547" s="20">
        <f>(SEGUIMIENTO_TPM_xlsx[[#This Row],[HORA REPORTE]]+SEGUIMIENTO_TPM_xlsx[[#This Row],[FECHA DE REPORTE]])</f>
        <v>46038.467361111114</v>
      </c>
      <c r="S547" s="20">
        <f>(SEGUIMIENTO_TPM_xlsx[[#This Row],[FECHA DE INTERVENCÓN]]+SEGUIMIENTO_TPM_xlsx[[#This Row],[HORA FIN  INTERVENCIÓN]])</f>
        <v>46038.479166666664</v>
      </c>
      <c r="T547" s="11">
        <f>(SEGUIMIENTO_TPM_xlsx[[#This Row],[FECHA Y HORA FINAL]]-SEGUIMIENTO_TPM_xlsx[[#This Row],[FECHA Y HORA INICIO]])</f>
        <v>1.1805555550381541E-2</v>
      </c>
    </row>
    <row r="548" spans="1:20" x14ac:dyDescent="0.25">
      <c r="A548">
        <v>556</v>
      </c>
      <c r="B548" t="s">
        <v>93</v>
      </c>
      <c r="C548" s="1">
        <v>0.52430555555555558</v>
      </c>
      <c r="D548" s="2">
        <v>46038</v>
      </c>
      <c r="E548" t="s">
        <v>116</v>
      </c>
      <c r="G548" t="s">
        <v>876</v>
      </c>
      <c r="H548" s="1">
        <v>0.52430555555555558</v>
      </c>
      <c r="I548" s="1">
        <v>0.54166666666666663</v>
      </c>
      <c r="J548" s="2">
        <v>46038</v>
      </c>
      <c r="K548" t="s">
        <v>25</v>
      </c>
      <c r="L548" t="s">
        <v>877</v>
      </c>
      <c r="M548" t="s">
        <v>22</v>
      </c>
      <c r="N548" t="s">
        <v>22</v>
      </c>
      <c r="O548" t="s">
        <v>44</v>
      </c>
      <c r="P548" t="s">
        <v>23</v>
      </c>
      <c r="Q548" s="1">
        <f>SEGUIMIENTO_TPM_xlsx[[#This Row],[HORA FIN  INTERVENCIÓN]]-SEGUIMIENTO_TPM_xlsx[[#This Row],[HORA INICIO INTERVENCIÓN]]</f>
        <v>1.7361111111111049E-2</v>
      </c>
      <c r="R548" s="20">
        <f>(SEGUIMIENTO_TPM_xlsx[[#This Row],[HORA REPORTE]]+SEGUIMIENTO_TPM_xlsx[[#This Row],[FECHA DE REPORTE]])</f>
        <v>46038.524305555555</v>
      </c>
      <c r="S548" s="20">
        <f>(SEGUIMIENTO_TPM_xlsx[[#This Row],[FECHA DE INTERVENCÓN]]+SEGUIMIENTO_TPM_xlsx[[#This Row],[HORA FIN  INTERVENCIÓN]])</f>
        <v>46038.541666666664</v>
      </c>
      <c r="T548" s="11">
        <f>(SEGUIMIENTO_TPM_xlsx[[#This Row],[FECHA Y HORA FINAL]]-SEGUIMIENTO_TPM_xlsx[[#This Row],[FECHA Y HORA INICIO]])</f>
        <v>1.7361111109494232E-2</v>
      </c>
    </row>
    <row r="549" spans="1:20" x14ac:dyDescent="0.25">
      <c r="A549">
        <v>557</v>
      </c>
      <c r="B549" t="s">
        <v>176</v>
      </c>
      <c r="C549" s="1">
        <v>0.58333333333333337</v>
      </c>
      <c r="D549" s="2">
        <v>46038</v>
      </c>
      <c r="E549" t="s">
        <v>185</v>
      </c>
      <c r="G549" t="s">
        <v>878</v>
      </c>
      <c r="H549" s="1">
        <v>0.58402777777777781</v>
      </c>
      <c r="I549" s="1">
        <v>0.59722222222222221</v>
      </c>
      <c r="J549" s="2">
        <v>46038</v>
      </c>
      <c r="K549" t="s">
        <v>25</v>
      </c>
      <c r="L549" t="s">
        <v>879</v>
      </c>
      <c r="M549" t="s">
        <v>22</v>
      </c>
      <c r="N549" t="s">
        <v>22</v>
      </c>
      <c r="O549" t="s">
        <v>661</v>
      </c>
      <c r="P549" t="s">
        <v>23</v>
      </c>
      <c r="Q549" s="1">
        <f>SEGUIMIENTO_TPM_xlsx[[#This Row],[HORA FIN  INTERVENCIÓN]]-SEGUIMIENTO_TPM_xlsx[[#This Row],[HORA INICIO INTERVENCIÓN]]</f>
        <v>1.3194444444444398E-2</v>
      </c>
      <c r="R549" s="20">
        <f>(SEGUIMIENTO_TPM_xlsx[[#This Row],[HORA REPORTE]]+SEGUIMIENTO_TPM_xlsx[[#This Row],[FECHA DE REPORTE]])</f>
        <v>46038.583333333336</v>
      </c>
      <c r="S549" s="20">
        <f>(SEGUIMIENTO_TPM_xlsx[[#This Row],[FECHA DE INTERVENCÓN]]+SEGUIMIENTO_TPM_xlsx[[#This Row],[HORA FIN  INTERVENCIÓN]])</f>
        <v>46038.597222222219</v>
      </c>
      <c r="T549" s="11">
        <f>(SEGUIMIENTO_TPM_xlsx[[#This Row],[FECHA Y HORA FINAL]]-SEGUIMIENTO_TPM_xlsx[[#This Row],[FECHA Y HORA INICIO]])</f>
        <v>1.3888888883229811E-2</v>
      </c>
    </row>
    <row r="550" spans="1:20" x14ac:dyDescent="0.25">
      <c r="A550">
        <v>558</v>
      </c>
      <c r="B550" t="s">
        <v>206</v>
      </c>
      <c r="C550" s="1">
        <v>0.68055555555555558</v>
      </c>
      <c r="D550" s="2">
        <v>46038</v>
      </c>
      <c r="E550" t="s">
        <v>94</v>
      </c>
      <c r="G550" t="s">
        <v>880</v>
      </c>
      <c r="H550" s="1">
        <v>0.68194444444444446</v>
      </c>
      <c r="I550" s="1">
        <v>0.71180555555555558</v>
      </c>
      <c r="J550" s="2">
        <v>46038</v>
      </c>
      <c r="K550" t="s">
        <v>25</v>
      </c>
      <c r="L550" t="s">
        <v>881</v>
      </c>
      <c r="M550" t="s">
        <v>22</v>
      </c>
      <c r="N550" t="s">
        <v>22</v>
      </c>
      <c r="O550" t="s">
        <v>661</v>
      </c>
      <c r="P550" t="s">
        <v>23</v>
      </c>
      <c r="Q550" s="1">
        <f>SEGUIMIENTO_TPM_xlsx[[#This Row],[HORA FIN  INTERVENCIÓN]]-SEGUIMIENTO_TPM_xlsx[[#This Row],[HORA INICIO INTERVENCIÓN]]</f>
        <v>2.9861111111111116E-2</v>
      </c>
      <c r="R550" s="20">
        <f>(SEGUIMIENTO_TPM_xlsx[[#This Row],[HORA REPORTE]]+SEGUIMIENTO_TPM_xlsx[[#This Row],[FECHA DE REPORTE]])</f>
        <v>46038.680555555555</v>
      </c>
      <c r="S550" s="20">
        <f>(SEGUIMIENTO_TPM_xlsx[[#This Row],[FECHA DE INTERVENCÓN]]+SEGUIMIENTO_TPM_xlsx[[#This Row],[HORA FIN  INTERVENCIÓN]])</f>
        <v>46038.711805555555</v>
      </c>
      <c r="T550" s="11">
        <f>(SEGUIMIENTO_TPM_xlsx[[#This Row],[FECHA Y HORA FINAL]]-SEGUIMIENTO_TPM_xlsx[[#This Row],[FECHA Y HORA INICIO]])</f>
        <v>3.125E-2</v>
      </c>
    </row>
    <row r="551" spans="1:20" x14ac:dyDescent="0.25">
      <c r="A551">
        <v>559</v>
      </c>
      <c r="C551" s="1"/>
      <c r="D551" s="2"/>
      <c r="H551" s="1"/>
      <c r="I551" s="1"/>
      <c r="J551" s="2"/>
      <c r="Q551" s="1">
        <f>SEGUIMIENTO_TPM_xlsx[[#This Row],[HORA FIN  INTERVENCIÓN]]-SEGUIMIENTO_TPM_xlsx[[#This Row],[HORA INICIO INTERVENCIÓN]]</f>
        <v>0</v>
      </c>
      <c r="R551" s="20">
        <f>(SEGUIMIENTO_TPM_xlsx[[#This Row],[HORA REPORTE]]+SEGUIMIENTO_TPM_xlsx[[#This Row],[FECHA DE REPORTE]])</f>
        <v>0</v>
      </c>
      <c r="S551" s="20">
        <f>(SEGUIMIENTO_TPM_xlsx[[#This Row],[FECHA DE INTERVENCÓN]]+SEGUIMIENTO_TPM_xlsx[[#This Row],[HORA FIN  INTERVENCIÓN]])</f>
        <v>0</v>
      </c>
      <c r="T551" s="11">
        <f>(SEGUIMIENTO_TPM_xlsx[[#This Row],[FECHA Y HORA FINAL]]-SEGUIMIENTO_TPM_xlsx[[#This Row],[FECHA Y HORA INICIO]])</f>
        <v>0</v>
      </c>
    </row>
    <row r="552" spans="1:20" x14ac:dyDescent="0.25">
      <c r="A552">
        <v>560</v>
      </c>
      <c r="B552" t="s">
        <v>164</v>
      </c>
      <c r="C552" s="1">
        <v>0.85416666666666663</v>
      </c>
      <c r="D552" s="2">
        <v>46038</v>
      </c>
      <c r="E552" t="s">
        <v>143</v>
      </c>
      <c r="G552" t="s">
        <v>882</v>
      </c>
      <c r="H552" s="1">
        <v>0.85763888888888884</v>
      </c>
      <c r="I552" s="1">
        <v>0.86805555555555558</v>
      </c>
      <c r="J552" s="2">
        <v>46038</v>
      </c>
      <c r="K552" t="s">
        <v>25</v>
      </c>
      <c r="L552" t="s">
        <v>883</v>
      </c>
      <c r="M552" t="s">
        <v>22</v>
      </c>
      <c r="N552" t="s">
        <v>22</v>
      </c>
      <c r="O552" t="s">
        <v>661</v>
      </c>
      <c r="P552" t="s">
        <v>23</v>
      </c>
      <c r="Q552" s="1">
        <f>SEGUIMIENTO_TPM_xlsx[[#This Row],[HORA FIN  INTERVENCIÓN]]-SEGUIMIENTO_TPM_xlsx[[#This Row],[HORA INICIO INTERVENCIÓN]]</f>
        <v>1.0416666666666741E-2</v>
      </c>
      <c r="R552" s="20">
        <f>(SEGUIMIENTO_TPM_xlsx[[#This Row],[HORA REPORTE]]+SEGUIMIENTO_TPM_xlsx[[#This Row],[FECHA DE REPORTE]])</f>
        <v>46038.854166666664</v>
      </c>
      <c r="S552" s="20">
        <f>(SEGUIMIENTO_TPM_xlsx[[#This Row],[FECHA DE INTERVENCÓN]]+SEGUIMIENTO_TPM_xlsx[[#This Row],[HORA FIN  INTERVENCIÓN]])</f>
        <v>46038.868055555555</v>
      </c>
      <c r="T552" s="11">
        <f>(SEGUIMIENTO_TPM_xlsx[[#This Row],[FECHA Y HORA FINAL]]-SEGUIMIENTO_TPM_xlsx[[#This Row],[FECHA Y HORA INICIO]])</f>
        <v>1.3888888890505768E-2</v>
      </c>
    </row>
    <row r="553" spans="1:20" x14ac:dyDescent="0.25">
      <c r="A553">
        <v>561</v>
      </c>
      <c r="B553" t="s">
        <v>206</v>
      </c>
      <c r="C553" s="1">
        <v>0.86805555555555558</v>
      </c>
      <c r="D553" s="2">
        <v>46038</v>
      </c>
      <c r="E553" t="s">
        <v>94</v>
      </c>
      <c r="G553" t="s">
        <v>864</v>
      </c>
      <c r="H553" s="1">
        <v>0.87152777777777779</v>
      </c>
      <c r="I553" s="1">
        <v>0.89583333333333337</v>
      </c>
      <c r="J553" s="2">
        <v>46038</v>
      </c>
      <c r="K553" t="s">
        <v>20</v>
      </c>
      <c r="L553" t="s">
        <v>884</v>
      </c>
      <c r="M553" t="s">
        <v>722</v>
      </c>
      <c r="N553" t="s">
        <v>22</v>
      </c>
      <c r="O553" t="s">
        <v>661</v>
      </c>
      <c r="P553" t="s">
        <v>23</v>
      </c>
      <c r="Q553" s="1">
        <f>SEGUIMIENTO_TPM_xlsx[[#This Row],[HORA FIN  INTERVENCIÓN]]-SEGUIMIENTO_TPM_xlsx[[#This Row],[HORA INICIO INTERVENCIÓN]]</f>
        <v>2.430555555555558E-2</v>
      </c>
      <c r="R553" s="20">
        <f>(SEGUIMIENTO_TPM_xlsx[[#This Row],[HORA REPORTE]]+SEGUIMIENTO_TPM_xlsx[[#This Row],[FECHA DE REPORTE]])</f>
        <v>46038.868055555555</v>
      </c>
      <c r="S553" s="20">
        <f>(SEGUIMIENTO_TPM_xlsx[[#This Row],[FECHA DE INTERVENCÓN]]+SEGUIMIENTO_TPM_xlsx[[#This Row],[HORA FIN  INTERVENCIÓN]])</f>
        <v>46038.895833333336</v>
      </c>
      <c r="T553" s="11">
        <f>(SEGUIMIENTO_TPM_xlsx[[#This Row],[FECHA Y HORA FINAL]]-SEGUIMIENTO_TPM_xlsx[[#This Row],[FECHA Y HORA INICIO]])</f>
        <v>2.7777777781011537E-2</v>
      </c>
    </row>
    <row r="554" spans="1:20" x14ac:dyDescent="0.25">
      <c r="A554">
        <v>562</v>
      </c>
      <c r="B554" t="s">
        <v>103</v>
      </c>
      <c r="C554" s="1">
        <v>0.24305555555555555</v>
      </c>
      <c r="D554" s="2">
        <v>46039</v>
      </c>
      <c r="E554" t="s">
        <v>147</v>
      </c>
      <c r="F554" t="s">
        <v>18</v>
      </c>
      <c r="G554" t="s">
        <v>885</v>
      </c>
      <c r="H554" s="1">
        <v>0.58333333333333337</v>
      </c>
      <c r="I554" s="1">
        <v>0.60416666666666663</v>
      </c>
      <c r="J554" s="2">
        <v>46039</v>
      </c>
      <c r="K554" t="s">
        <v>20</v>
      </c>
      <c r="L554" t="s">
        <v>886</v>
      </c>
      <c r="M554" t="s">
        <v>814</v>
      </c>
      <c r="N554" t="s">
        <v>22</v>
      </c>
      <c r="O554" t="s">
        <v>112</v>
      </c>
      <c r="P554" t="s">
        <v>23</v>
      </c>
      <c r="Q554" s="1">
        <f>SEGUIMIENTO_TPM_xlsx[[#This Row],[HORA FIN  INTERVENCIÓN]]-SEGUIMIENTO_TPM_xlsx[[#This Row],[HORA INICIO INTERVENCIÓN]]</f>
        <v>2.0833333333333259E-2</v>
      </c>
      <c r="R554" s="20">
        <f>(SEGUIMIENTO_TPM_xlsx[[#This Row],[HORA REPORTE]]+SEGUIMIENTO_TPM_xlsx[[#This Row],[FECHA DE REPORTE]])</f>
        <v>46039.243055555555</v>
      </c>
      <c r="S554" s="20">
        <f>(SEGUIMIENTO_TPM_xlsx[[#This Row],[FECHA DE INTERVENCÓN]]+SEGUIMIENTO_TPM_xlsx[[#This Row],[HORA FIN  INTERVENCIÓN]])</f>
        <v>46039.604166666664</v>
      </c>
      <c r="T554" s="11">
        <f>(SEGUIMIENTO_TPM_xlsx[[#This Row],[FECHA Y HORA FINAL]]-SEGUIMIENTO_TPM_xlsx[[#This Row],[FECHA Y HORA INICIO]])</f>
        <v>0.36111111110949423</v>
      </c>
    </row>
    <row r="555" spans="1:20" x14ac:dyDescent="0.25">
      <c r="A555">
        <v>563</v>
      </c>
      <c r="B555" t="s">
        <v>164</v>
      </c>
      <c r="C555" s="1">
        <v>0.22569444444444445</v>
      </c>
      <c r="D555" s="2">
        <v>46039</v>
      </c>
      <c r="E555" t="s">
        <v>143</v>
      </c>
      <c r="F555" t="s">
        <v>18</v>
      </c>
      <c r="G555" t="s">
        <v>887</v>
      </c>
      <c r="H555" s="1">
        <v>0.25</v>
      </c>
      <c r="I555" s="1">
        <v>0.3125</v>
      </c>
      <c r="J555" s="2">
        <v>46039</v>
      </c>
      <c r="K555" t="s">
        <v>20</v>
      </c>
      <c r="L555" t="s">
        <v>888</v>
      </c>
      <c r="M555" t="s">
        <v>22</v>
      </c>
      <c r="N555" t="s">
        <v>22</v>
      </c>
      <c r="O555" t="s">
        <v>112</v>
      </c>
      <c r="P555" t="s">
        <v>33</v>
      </c>
      <c r="Q555" s="1">
        <f>SEGUIMIENTO_TPM_xlsx[[#This Row],[HORA FIN  INTERVENCIÓN]]-SEGUIMIENTO_TPM_xlsx[[#This Row],[HORA INICIO INTERVENCIÓN]]</f>
        <v>6.25E-2</v>
      </c>
      <c r="R555" s="20">
        <f>(SEGUIMIENTO_TPM_xlsx[[#This Row],[HORA REPORTE]]+SEGUIMIENTO_TPM_xlsx[[#This Row],[FECHA DE REPORTE]])</f>
        <v>46039.225694444445</v>
      </c>
      <c r="S555" s="20">
        <f>(SEGUIMIENTO_TPM_xlsx[[#This Row],[FECHA DE INTERVENCÓN]]+SEGUIMIENTO_TPM_xlsx[[#This Row],[HORA FIN  INTERVENCIÓN]])</f>
        <v>46039.3125</v>
      </c>
      <c r="T555" s="11">
        <f>(SEGUIMIENTO_TPM_xlsx[[#This Row],[FECHA Y HORA FINAL]]-SEGUIMIENTO_TPM_xlsx[[#This Row],[FECHA Y HORA INICIO]])</f>
        <v>8.6805555554747116E-2</v>
      </c>
    </row>
    <row r="556" spans="1:20" x14ac:dyDescent="0.25">
      <c r="A556">
        <v>564</v>
      </c>
      <c r="B556" t="s">
        <v>93</v>
      </c>
      <c r="C556" s="1">
        <v>0.2638888888888889</v>
      </c>
      <c r="D556" s="2">
        <v>46039</v>
      </c>
      <c r="E556" t="s">
        <v>109</v>
      </c>
      <c r="G556" t="s">
        <v>889</v>
      </c>
      <c r="H556" s="1">
        <v>0.3611111111111111</v>
      </c>
      <c r="I556" s="1">
        <v>0.39583333333333331</v>
      </c>
      <c r="J556" s="2">
        <v>46039</v>
      </c>
      <c r="K556" t="s">
        <v>25</v>
      </c>
      <c r="L556" t="s">
        <v>890</v>
      </c>
      <c r="M556" t="s">
        <v>22</v>
      </c>
      <c r="N556" t="s">
        <v>22</v>
      </c>
      <c r="O556" t="s">
        <v>112</v>
      </c>
      <c r="P556" t="s">
        <v>23</v>
      </c>
      <c r="Q556" s="1">
        <f>SEGUIMIENTO_TPM_xlsx[[#This Row],[HORA FIN  INTERVENCIÓN]]-SEGUIMIENTO_TPM_xlsx[[#This Row],[HORA INICIO INTERVENCIÓN]]</f>
        <v>3.472222222222221E-2</v>
      </c>
      <c r="R556" s="20">
        <f>(SEGUIMIENTO_TPM_xlsx[[#This Row],[HORA REPORTE]]+SEGUIMIENTO_TPM_xlsx[[#This Row],[FECHA DE REPORTE]])</f>
        <v>46039.263888888891</v>
      </c>
      <c r="S556" s="20">
        <f>(SEGUIMIENTO_TPM_xlsx[[#This Row],[FECHA DE INTERVENCÓN]]+SEGUIMIENTO_TPM_xlsx[[#This Row],[HORA FIN  INTERVENCIÓN]])</f>
        <v>46039.395833333336</v>
      </c>
      <c r="T556" s="11">
        <f>(SEGUIMIENTO_TPM_xlsx[[#This Row],[FECHA Y HORA FINAL]]-SEGUIMIENTO_TPM_xlsx[[#This Row],[FECHA Y HORA INICIO]])</f>
        <v>0.13194444444525288</v>
      </c>
    </row>
    <row r="557" spans="1:20" x14ac:dyDescent="0.25">
      <c r="A557">
        <v>565</v>
      </c>
      <c r="B557" t="s">
        <v>132</v>
      </c>
      <c r="C557" s="1">
        <v>0.54166666666666663</v>
      </c>
      <c r="D557" s="2">
        <v>46093</v>
      </c>
      <c r="E557" t="s">
        <v>91</v>
      </c>
      <c r="F557" t="s">
        <v>18</v>
      </c>
      <c r="G557" t="s">
        <v>1573</v>
      </c>
      <c r="H557" s="1">
        <v>0.54166666666666663</v>
      </c>
      <c r="I557" s="1">
        <v>0.27430555555555558</v>
      </c>
      <c r="J557" s="2">
        <v>46094</v>
      </c>
      <c r="K557" t="s">
        <v>25</v>
      </c>
      <c r="L557" t="s">
        <v>1574</v>
      </c>
      <c r="M557" t="s">
        <v>22</v>
      </c>
      <c r="N557" t="s">
        <v>205</v>
      </c>
      <c r="O557" t="s">
        <v>112</v>
      </c>
      <c r="P557" t="s">
        <v>23</v>
      </c>
      <c r="Q557" s="1">
        <f>SEGUIMIENTO_TPM_xlsx[[#This Row],[HORA FIN  INTERVENCIÓN]]-SEGUIMIENTO_TPM_xlsx[[#This Row],[HORA INICIO INTERVENCIÓN]]</f>
        <v>-0.26736111111111105</v>
      </c>
      <c r="R557" s="20">
        <f>(SEGUIMIENTO_TPM_xlsx[[#This Row],[HORA REPORTE]]+SEGUIMIENTO_TPM_xlsx[[#This Row],[FECHA DE REPORTE]])</f>
        <v>46093.541666666664</v>
      </c>
      <c r="S557" s="20">
        <f>(SEGUIMIENTO_TPM_xlsx[[#This Row],[FECHA DE INTERVENCÓN]]+SEGUIMIENTO_TPM_xlsx[[#This Row],[HORA FIN  INTERVENCIÓN]])</f>
        <v>46094.274305555555</v>
      </c>
      <c r="T557" s="11">
        <f>(SEGUIMIENTO_TPM_xlsx[[#This Row],[FECHA Y HORA FINAL]]-SEGUIMIENTO_TPM_xlsx[[#This Row],[FECHA Y HORA INICIO]])</f>
        <v>0.73263888889050577</v>
      </c>
    </row>
    <row r="558" spans="1:20" x14ac:dyDescent="0.25">
      <c r="A558">
        <v>566</v>
      </c>
      <c r="B558" t="s">
        <v>93</v>
      </c>
      <c r="C558" s="1">
        <v>0.52777777777777779</v>
      </c>
      <c r="D558" s="2">
        <v>46039</v>
      </c>
      <c r="E558" t="s">
        <v>116</v>
      </c>
      <c r="G558" t="s">
        <v>891</v>
      </c>
      <c r="H558" s="1">
        <v>0.52777777777777779</v>
      </c>
      <c r="I558" s="1">
        <v>0.54861111111111116</v>
      </c>
      <c r="J558" s="2">
        <v>46039</v>
      </c>
      <c r="K558" t="s">
        <v>25</v>
      </c>
      <c r="L558" t="s">
        <v>892</v>
      </c>
      <c r="M558" t="s">
        <v>22</v>
      </c>
      <c r="N558" t="s">
        <v>22</v>
      </c>
      <c r="O558" t="s">
        <v>112</v>
      </c>
      <c r="P558" t="s">
        <v>23</v>
      </c>
      <c r="Q558" s="1">
        <f>SEGUIMIENTO_TPM_xlsx[[#This Row],[HORA FIN  INTERVENCIÓN]]-SEGUIMIENTO_TPM_xlsx[[#This Row],[HORA INICIO INTERVENCIÓN]]</f>
        <v>2.083333333333337E-2</v>
      </c>
      <c r="R558" s="20">
        <f>(SEGUIMIENTO_TPM_xlsx[[#This Row],[HORA REPORTE]]+SEGUIMIENTO_TPM_xlsx[[#This Row],[FECHA DE REPORTE]])</f>
        <v>46039.527777777781</v>
      </c>
      <c r="S558" s="20">
        <f>(SEGUIMIENTO_TPM_xlsx[[#This Row],[FECHA DE INTERVENCÓN]]+SEGUIMIENTO_TPM_xlsx[[#This Row],[HORA FIN  INTERVENCIÓN]])</f>
        <v>46039.548611111109</v>
      </c>
      <c r="T558" s="11">
        <f>(SEGUIMIENTO_TPM_xlsx[[#This Row],[FECHA Y HORA FINAL]]-SEGUIMIENTO_TPM_xlsx[[#This Row],[FECHA Y HORA INICIO]])</f>
        <v>2.0833333328482695E-2</v>
      </c>
    </row>
    <row r="559" spans="1:20" x14ac:dyDescent="0.25">
      <c r="A559">
        <v>567</v>
      </c>
      <c r="B559" t="s">
        <v>93</v>
      </c>
      <c r="C559" s="1">
        <v>0.51388888888888884</v>
      </c>
      <c r="D559" s="2">
        <v>46039</v>
      </c>
      <c r="E559" t="s">
        <v>94</v>
      </c>
      <c r="G559" t="s">
        <v>520</v>
      </c>
      <c r="H559" s="1">
        <v>0.51388888888888884</v>
      </c>
      <c r="I559" s="1">
        <v>0.52777777777777779</v>
      </c>
      <c r="J559" s="2">
        <v>46039</v>
      </c>
      <c r="K559" t="s">
        <v>20</v>
      </c>
      <c r="L559" t="s">
        <v>893</v>
      </c>
      <c r="M559" t="s">
        <v>22</v>
      </c>
      <c r="N559" t="s">
        <v>22</v>
      </c>
      <c r="O559" t="s">
        <v>112</v>
      </c>
      <c r="P559" t="s">
        <v>23</v>
      </c>
      <c r="Q559" s="1">
        <f>SEGUIMIENTO_TPM_xlsx[[#This Row],[HORA FIN  INTERVENCIÓN]]-SEGUIMIENTO_TPM_xlsx[[#This Row],[HORA INICIO INTERVENCIÓN]]</f>
        <v>1.3888888888888951E-2</v>
      </c>
      <c r="R559" s="20">
        <f>(SEGUIMIENTO_TPM_xlsx[[#This Row],[HORA REPORTE]]+SEGUIMIENTO_TPM_xlsx[[#This Row],[FECHA DE REPORTE]])</f>
        <v>46039.513888888891</v>
      </c>
      <c r="S559" s="20">
        <f>(SEGUIMIENTO_TPM_xlsx[[#This Row],[FECHA DE INTERVENCÓN]]+SEGUIMIENTO_TPM_xlsx[[#This Row],[HORA FIN  INTERVENCIÓN]])</f>
        <v>46039.527777777781</v>
      </c>
      <c r="T559" s="11">
        <f>(SEGUIMIENTO_TPM_xlsx[[#This Row],[FECHA Y HORA FINAL]]-SEGUIMIENTO_TPM_xlsx[[#This Row],[FECHA Y HORA INICIO]])</f>
        <v>1.3888888890505768E-2</v>
      </c>
    </row>
    <row r="560" spans="1:20" x14ac:dyDescent="0.25">
      <c r="A560">
        <v>568</v>
      </c>
      <c r="B560" t="s">
        <v>199</v>
      </c>
      <c r="C560" s="1">
        <v>0.63194444444444442</v>
      </c>
      <c r="D560" s="2">
        <v>46039</v>
      </c>
      <c r="E560" t="s">
        <v>91</v>
      </c>
      <c r="G560" t="s">
        <v>894</v>
      </c>
      <c r="H560" s="1">
        <v>0.63194444444444442</v>
      </c>
      <c r="I560" s="1">
        <v>0.70833333333333337</v>
      </c>
      <c r="J560" s="2">
        <v>46039</v>
      </c>
      <c r="K560" t="s">
        <v>25</v>
      </c>
      <c r="L560" t="s">
        <v>895</v>
      </c>
      <c r="M560" t="s">
        <v>22</v>
      </c>
      <c r="N560" t="s">
        <v>22</v>
      </c>
      <c r="O560" t="s">
        <v>112</v>
      </c>
      <c r="P560" t="s">
        <v>23</v>
      </c>
      <c r="Q560" s="1">
        <f>SEGUIMIENTO_TPM_xlsx[[#This Row],[HORA FIN  INTERVENCIÓN]]-SEGUIMIENTO_TPM_xlsx[[#This Row],[HORA INICIO INTERVENCIÓN]]</f>
        <v>7.6388888888888951E-2</v>
      </c>
      <c r="R560" s="20">
        <f>(SEGUIMIENTO_TPM_xlsx[[#This Row],[HORA REPORTE]]+SEGUIMIENTO_TPM_xlsx[[#This Row],[FECHA DE REPORTE]])</f>
        <v>46039.631944444445</v>
      </c>
      <c r="S560" s="20">
        <f>(SEGUIMIENTO_TPM_xlsx[[#This Row],[FECHA DE INTERVENCÓN]]+SEGUIMIENTO_TPM_xlsx[[#This Row],[HORA FIN  INTERVENCIÓN]])</f>
        <v>46039.708333333336</v>
      </c>
      <c r="T560" s="11">
        <f>(SEGUIMIENTO_TPM_xlsx[[#This Row],[FECHA Y HORA FINAL]]-SEGUIMIENTO_TPM_xlsx[[#This Row],[FECHA Y HORA INICIO]])</f>
        <v>7.6388888890505768E-2</v>
      </c>
    </row>
    <row r="561" spans="1:20" x14ac:dyDescent="0.25">
      <c r="A561">
        <v>569</v>
      </c>
      <c r="B561" t="s">
        <v>139</v>
      </c>
      <c r="C561" s="1">
        <v>0.3125</v>
      </c>
      <c r="D561" s="2">
        <v>46039</v>
      </c>
      <c r="E561" t="s">
        <v>104</v>
      </c>
      <c r="G561" t="s">
        <v>564</v>
      </c>
      <c r="H561" s="1">
        <v>0.31944444444444442</v>
      </c>
      <c r="I561" s="1">
        <v>0.34722222222222221</v>
      </c>
      <c r="J561" s="2">
        <v>46039</v>
      </c>
      <c r="K561" t="s">
        <v>20</v>
      </c>
      <c r="L561" t="s">
        <v>896</v>
      </c>
      <c r="M561" t="s">
        <v>22</v>
      </c>
      <c r="N561" t="s">
        <v>22</v>
      </c>
      <c r="O561" t="s">
        <v>112</v>
      </c>
      <c r="P561" t="s">
        <v>23</v>
      </c>
      <c r="Q561" s="1">
        <f>SEGUIMIENTO_TPM_xlsx[[#This Row],[HORA FIN  INTERVENCIÓN]]-SEGUIMIENTO_TPM_xlsx[[#This Row],[HORA INICIO INTERVENCIÓN]]</f>
        <v>2.777777777777779E-2</v>
      </c>
      <c r="R561" s="20">
        <f>(SEGUIMIENTO_TPM_xlsx[[#This Row],[HORA REPORTE]]+SEGUIMIENTO_TPM_xlsx[[#This Row],[FECHA DE REPORTE]])</f>
        <v>46039.3125</v>
      </c>
      <c r="S561" s="20">
        <f>(SEGUIMIENTO_TPM_xlsx[[#This Row],[FECHA DE INTERVENCÓN]]+SEGUIMIENTO_TPM_xlsx[[#This Row],[HORA FIN  INTERVENCIÓN]])</f>
        <v>46039.347222222219</v>
      </c>
      <c r="T561" s="11">
        <f>(SEGUIMIENTO_TPM_xlsx[[#This Row],[FECHA Y HORA FINAL]]-SEGUIMIENTO_TPM_xlsx[[#This Row],[FECHA Y HORA INICIO]])</f>
        <v>3.4722222218988463E-2</v>
      </c>
    </row>
    <row r="562" spans="1:20" x14ac:dyDescent="0.25">
      <c r="A562">
        <v>570</v>
      </c>
      <c r="B562" t="s">
        <v>206</v>
      </c>
      <c r="C562" s="1">
        <v>0.58333333333333337</v>
      </c>
      <c r="D562" s="2">
        <v>46039</v>
      </c>
      <c r="E562" t="s">
        <v>185</v>
      </c>
      <c r="F562" t="s">
        <v>650</v>
      </c>
      <c r="G562" t="s">
        <v>897</v>
      </c>
      <c r="H562" s="1">
        <v>0.625</v>
      </c>
      <c r="I562" s="1">
        <v>0.63888888888888884</v>
      </c>
      <c r="J562" s="2">
        <v>46039</v>
      </c>
      <c r="K562" t="s">
        <v>25</v>
      </c>
      <c r="L562" t="s">
        <v>898</v>
      </c>
      <c r="M562" t="s">
        <v>22</v>
      </c>
      <c r="N562" t="s">
        <v>22</v>
      </c>
      <c r="O562" t="s">
        <v>112</v>
      </c>
      <c r="P562" t="s">
        <v>23</v>
      </c>
      <c r="Q562" s="1">
        <f>SEGUIMIENTO_TPM_xlsx[[#This Row],[HORA FIN  INTERVENCIÓN]]-SEGUIMIENTO_TPM_xlsx[[#This Row],[HORA INICIO INTERVENCIÓN]]</f>
        <v>1.388888888888884E-2</v>
      </c>
      <c r="R562" s="20">
        <f>(SEGUIMIENTO_TPM_xlsx[[#This Row],[HORA REPORTE]]+SEGUIMIENTO_TPM_xlsx[[#This Row],[FECHA DE REPORTE]])</f>
        <v>46039.583333333336</v>
      </c>
      <c r="S562" s="20">
        <f>(SEGUIMIENTO_TPM_xlsx[[#This Row],[FECHA DE INTERVENCÓN]]+SEGUIMIENTO_TPM_xlsx[[#This Row],[HORA FIN  INTERVENCIÓN]])</f>
        <v>46039.638888888891</v>
      </c>
      <c r="T562" s="11">
        <f>(SEGUIMIENTO_TPM_xlsx[[#This Row],[FECHA Y HORA FINAL]]-SEGUIMIENTO_TPM_xlsx[[#This Row],[FECHA Y HORA INICIO]])</f>
        <v>5.5555555554747116E-2</v>
      </c>
    </row>
    <row r="563" spans="1:20" x14ac:dyDescent="0.25">
      <c r="A563">
        <v>571</v>
      </c>
      <c r="B563" t="s">
        <v>341</v>
      </c>
      <c r="C563" s="1">
        <v>0.41666666666666669</v>
      </c>
      <c r="D563" s="2">
        <v>46039</v>
      </c>
      <c r="E563" t="s">
        <v>143</v>
      </c>
      <c r="G563" t="s">
        <v>899</v>
      </c>
      <c r="H563" s="1">
        <v>0.41666666666666669</v>
      </c>
      <c r="I563" s="1">
        <v>0.43055555555555558</v>
      </c>
      <c r="J563" s="2">
        <v>46039</v>
      </c>
      <c r="K563" t="s">
        <v>20</v>
      </c>
      <c r="L563" t="s">
        <v>900</v>
      </c>
      <c r="M563" t="s">
        <v>22</v>
      </c>
      <c r="N563" t="s">
        <v>22</v>
      </c>
      <c r="O563" t="s">
        <v>112</v>
      </c>
      <c r="P563" t="s">
        <v>23</v>
      </c>
      <c r="Q563" s="1">
        <f>SEGUIMIENTO_TPM_xlsx[[#This Row],[HORA FIN  INTERVENCIÓN]]-SEGUIMIENTO_TPM_xlsx[[#This Row],[HORA INICIO INTERVENCIÓN]]</f>
        <v>1.3888888888888895E-2</v>
      </c>
      <c r="R563" s="20">
        <f>(SEGUIMIENTO_TPM_xlsx[[#This Row],[HORA REPORTE]]+SEGUIMIENTO_TPM_xlsx[[#This Row],[FECHA DE REPORTE]])</f>
        <v>46039.416666666664</v>
      </c>
      <c r="S563" s="20">
        <f>(SEGUIMIENTO_TPM_xlsx[[#This Row],[FECHA DE INTERVENCÓN]]+SEGUIMIENTO_TPM_xlsx[[#This Row],[HORA FIN  INTERVENCIÓN]])</f>
        <v>46039.430555555555</v>
      </c>
      <c r="T563" s="11">
        <f>(SEGUIMIENTO_TPM_xlsx[[#This Row],[FECHA Y HORA FINAL]]-SEGUIMIENTO_TPM_xlsx[[#This Row],[FECHA Y HORA INICIO]])</f>
        <v>1.3888888890505768E-2</v>
      </c>
    </row>
    <row r="564" spans="1:20" x14ac:dyDescent="0.25">
      <c r="A564">
        <v>572</v>
      </c>
      <c r="B564" t="s">
        <v>176</v>
      </c>
      <c r="C564" s="1">
        <v>0.72222222222222221</v>
      </c>
      <c r="D564" s="2">
        <v>46039</v>
      </c>
      <c r="E564" t="s">
        <v>116</v>
      </c>
      <c r="G564" t="s">
        <v>901</v>
      </c>
      <c r="H564" s="1">
        <v>0.72222222222222221</v>
      </c>
      <c r="I564" s="1">
        <v>0.74305555555555558</v>
      </c>
      <c r="J564" s="2">
        <v>46039</v>
      </c>
      <c r="K564" t="s">
        <v>25</v>
      </c>
      <c r="L564" t="s">
        <v>902</v>
      </c>
      <c r="M564" t="s">
        <v>22</v>
      </c>
      <c r="N564" t="s">
        <v>22</v>
      </c>
      <c r="O564" t="s">
        <v>112</v>
      </c>
      <c r="P564" t="s">
        <v>23</v>
      </c>
      <c r="Q564" s="1">
        <f>SEGUIMIENTO_TPM_xlsx[[#This Row],[HORA FIN  INTERVENCIÓN]]-SEGUIMIENTO_TPM_xlsx[[#This Row],[HORA INICIO INTERVENCIÓN]]</f>
        <v>2.083333333333337E-2</v>
      </c>
      <c r="R564" s="20">
        <f>(SEGUIMIENTO_TPM_xlsx[[#This Row],[HORA REPORTE]]+SEGUIMIENTO_TPM_xlsx[[#This Row],[FECHA DE REPORTE]])</f>
        <v>46039.722222222219</v>
      </c>
      <c r="S564" s="20">
        <f>(SEGUIMIENTO_TPM_xlsx[[#This Row],[FECHA DE INTERVENCÓN]]+SEGUIMIENTO_TPM_xlsx[[#This Row],[HORA FIN  INTERVENCIÓN]])</f>
        <v>46039.743055555555</v>
      </c>
      <c r="T564" s="11">
        <f>(SEGUIMIENTO_TPM_xlsx[[#This Row],[FECHA Y HORA FINAL]]-SEGUIMIENTO_TPM_xlsx[[#This Row],[FECHA Y HORA INICIO]])</f>
        <v>2.0833333335758653E-2</v>
      </c>
    </row>
    <row r="565" spans="1:20" x14ac:dyDescent="0.25">
      <c r="A565">
        <v>573</v>
      </c>
      <c r="B565" t="s">
        <v>231</v>
      </c>
      <c r="C565" s="1">
        <v>0.77777777777777779</v>
      </c>
      <c r="D565" s="2">
        <v>46039</v>
      </c>
      <c r="E565" t="s">
        <v>143</v>
      </c>
      <c r="G565" t="s">
        <v>903</v>
      </c>
      <c r="H565" s="1">
        <v>0.77777777777777779</v>
      </c>
      <c r="I565" s="1">
        <v>0.80208333333333337</v>
      </c>
      <c r="J565" s="2">
        <v>46039</v>
      </c>
      <c r="K565" t="s">
        <v>25</v>
      </c>
      <c r="L565" t="s">
        <v>904</v>
      </c>
      <c r="M565" t="s">
        <v>22</v>
      </c>
      <c r="N565" t="s">
        <v>673</v>
      </c>
      <c r="O565" t="s">
        <v>44</v>
      </c>
      <c r="P565" t="s">
        <v>23</v>
      </c>
      <c r="Q565" s="1">
        <f>SEGUIMIENTO_TPM_xlsx[[#This Row],[HORA FIN  INTERVENCIÓN]]-SEGUIMIENTO_TPM_xlsx[[#This Row],[HORA INICIO INTERVENCIÓN]]</f>
        <v>2.430555555555558E-2</v>
      </c>
      <c r="R565" s="20">
        <f>(SEGUIMIENTO_TPM_xlsx[[#This Row],[HORA REPORTE]]+SEGUIMIENTO_TPM_xlsx[[#This Row],[FECHA DE REPORTE]])</f>
        <v>46039.777777777781</v>
      </c>
      <c r="S565" s="20">
        <f>(SEGUIMIENTO_TPM_xlsx[[#This Row],[FECHA DE INTERVENCÓN]]+SEGUIMIENTO_TPM_xlsx[[#This Row],[HORA FIN  INTERVENCIÓN]])</f>
        <v>46039.802083333336</v>
      </c>
      <c r="T565" s="11">
        <f>(SEGUIMIENTO_TPM_xlsx[[#This Row],[FECHA Y HORA FINAL]]-SEGUIMIENTO_TPM_xlsx[[#This Row],[FECHA Y HORA INICIO]])</f>
        <v>2.4305555554747116E-2</v>
      </c>
    </row>
    <row r="566" spans="1:20" x14ac:dyDescent="0.25">
      <c r="A566">
        <v>574</v>
      </c>
      <c r="B566" t="s">
        <v>206</v>
      </c>
      <c r="C566" s="1">
        <v>0.27777777777777779</v>
      </c>
      <c r="D566" s="2">
        <v>46039</v>
      </c>
      <c r="E566" t="s">
        <v>185</v>
      </c>
      <c r="F566" t="s">
        <v>650</v>
      </c>
      <c r="G566" t="s">
        <v>905</v>
      </c>
      <c r="H566" s="1">
        <v>0</v>
      </c>
      <c r="I566" s="1">
        <v>0.125</v>
      </c>
      <c r="J566" s="2">
        <v>46039</v>
      </c>
      <c r="K566" t="s">
        <v>25</v>
      </c>
      <c r="L566" t="s">
        <v>906</v>
      </c>
      <c r="M566" t="s">
        <v>22</v>
      </c>
      <c r="N566" t="s">
        <v>22</v>
      </c>
      <c r="O566" t="s">
        <v>44</v>
      </c>
      <c r="P566" t="s">
        <v>23</v>
      </c>
      <c r="Q566" s="1">
        <f>SEGUIMIENTO_TPM_xlsx[[#This Row],[HORA FIN  INTERVENCIÓN]]-SEGUIMIENTO_TPM_xlsx[[#This Row],[HORA INICIO INTERVENCIÓN]]</f>
        <v>0.125</v>
      </c>
      <c r="R566" s="20">
        <f>(SEGUIMIENTO_TPM_xlsx[[#This Row],[HORA REPORTE]]+SEGUIMIENTO_TPM_xlsx[[#This Row],[FECHA DE REPORTE]])</f>
        <v>46039.277777777781</v>
      </c>
      <c r="S566" s="20">
        <f>(SEGUIMIENTO_TPM_xlsx[[#This Row],[FECHA DE INTERVENCÓN]]+SEGUIMIENTO_TPM_xlsx[[#This Row],[HORA FIN  INTERVENCIÓN]])</f>
        <v>46039.125</v>
      </c>
      <c r="T566" s="11">
        <f>(SEGUIMIENTO_TPM_xlsx[[#This Row],[FECHA Y HORA FINAL]]-SEGUIMIENTO_TPM_xlsx[[#This Row],[FECHA Y HORA INICIO]])</f>
        <v>-0.15277777778101154</v>
      </c>
    </row>
    <row r="567" spans="1:20" x14ac:dyDescent="0.25">
      <c r="A567">
        <v>575</v>
      </c>
      <c r="C567" s="1"/>
      <c r="D567" s="2"/>
      <c r="H567" s="1"/>
      <c r="I567" s="1"/>
      <c r="J567" s="2"/>
      <c r="Q567" s="1">
        <f>SEGUIMIENTO_TPM_xlsx[[#This Row],[HORA FIN  INTERVENCIÓN]]-SEGUIMIENTO_TPM_xlsx[[#This Row],[HORA INICIO INTERVENCIÓN]]</f>
        <v>0</v>
      </c>
      <c r="R567" s="20">
        <f>(SEGUIMIENTO_TPM_xlsx[[#This Row],[HORA REPORTE]]+SEGUIMIENTO_TPM_xlsx[[#This Row],[FECHA DE REPORTE]])</f>
        <v>0</v>
      </c>
      <c r="S567" s="20">
        <f>(SEGUIMIENTO_TPM_xlsx[[#This Row],[FECHA DE INTERVENCÓN]]+SEGUIMIENTO_TPM_xlsx[[#This Row],[HORA FIN  INTERVENCIÓN]])</f>
        <v>0</v>
      </c>
      <c r="T567" s="11">
        <f>(SEGUIMIENTO_TPM_xlsx[[#This Row],[FECHA Y HORA FINAL]]-SEGUIMIENTO_TPM_xlsx[[#This Row],[FECHA Y HORA INICIO]])</f>
        <v>0</v>
      </c>
    </row>
    <row r="568" spans="1:20" x14ac:dyDescent="0.25">
      <c r="A568">
        <v>576</v>
      </c>
      <c r="B568" t="s">
        <v>907</v>
      </c>
      <c r="C568" s="1">
        <v>0.47013888888888888</v>
      </c>
      <c r="D568" s="2">
        <v>46040</v>
      </c>
      <c r="E568" t="s">
        <v>17</v>
      </c>
      <c r="G568" t="s">
        <v>908</v>
      </c>
      <c r="H568" s="1">
        <v>0.47222222222222221</v>
      </c>
      <c r="I568" s="1">
        <v>5.4166666666666669E-2</v>
      </c>
      <c r="J568" s="2">
        <v>46040</v>
      </c>
      <c r="K568" t="s">
        <v>25</v>
      </c>
      <c r="L568" t="s">
        <v>909</v>
      </c>
      <c r="M568" t="s">
        <v>22</v>
      </c>
      <c r="N568" t="s">
        <v>910</v>
      </c>
      <c r="O568" t="s">
        <v>661</v>
      </c>
      <c r="P568" t="s">
        <v>23</v>
      </c>
      <c r="Q568" s="1">
        <f>SEGUIMIENTO_TPM_xlsx[[#This Row],[HORA FIN  INTERVENCIÓN]]-SEGUIMIENTO_TPM_xlsx[[#This Row],[HORA INICIO INTERVENCIÓN]]</f>
        <v>-0.41805555555555551</v>
      </c>
      <c r="R568" s="20">
        <f>(SEGUIMIENTO_TPM_xlsx[[#This Row],[HORA REPORTE]]+SEGUIMIENTO_TPM_xlsx[[#This Row],[FECHA DE REPORTE]])</f>
        <v>46040.470138888886</v>
      </c>
      <c r="S568" s="20">
        <f>(SEGUIMIENTO_TPM_xlsx[[#This Row],[FECHA DE INTERVENCÓN]]+SEGUIMIENTO_TPM_xlsx[[#This Row],[HORA FIN  INTERVENCIÓN]])</f>
        <v>46040.054166666669</v>
      </c>
      <c r="T568" s="11">
        <f>(SEGUIMIENTO_TPM_xlsx[[#This Row],[FECHA Y HORA FINAL]]-SEGUIMIENTO_TPM_xlsx[[#This Row],[FECHA Y HORA INICIO]])</f>
        <v>-0.41597222221753327</v>
      </c>
    </row>
    <row r="569" spans="1:20" x14ac:dyDescent="0.25">
      <c r="A569">
        <v>577</v>
      </c>
      <c r="B569" t="s">
        <v>231</v>
      </c>
      <c r="C569" s="1">
        <v>8.8888888888888892E-2</v>
      </c>
      <c r="D569" s="2">
        <v>46041</v>
      </c>
      <c r="E569" t="s">
        <v>143</v>
      </c>
      <c r="G569" t="s">
        <v>911</v>
      </c>
      <c r="H569" s="1">
        <v>9.375E-2</v>
      </c>
      <c r="I569" s="1">
        <v>0.11458333333333333</v>
      </c>
      <c r="J569" s="2">
        <v>46041</v>
      </c>
      <c r="K569" t="s">
        <v>25</v>
      </c>
      <c r="L569" t="s">
        <v>912</v>
      </c>
      <c r="M569" t="s">
        <v>22</v>
      </c>
      <c r="N569" t="s">
        <v>22</v>
      </c>
      <c r="O569" t="s">
        <v>661</v>
      </c>
      <c r="P569" t="s">
        <v>23</v>
      </c>
      <c r="Q569" s="1">
        <f>SEGUIMIENTO_TPM_xlsx[[#This Row],[HORA FIN  INTERVENCIÓN]]-SEGUIMIENTO_TPM_xlsx[[#This Row],[HORA INICIO INTERVENCIÓN]]</f>
        <v>2.0833333333333329E-2</v>
      </c>
      <c r="R569" s="20">
        <f>(SEGUIMIENTO_TPM_xlsx[[#This Row],[HORA REPORTE]]+SEGUIMIENTO_TPM_xlsx[[#This Row],[FECHA DE REPORTE]])</f>
        <v>46041.088888888888</v>
      </c>
      <c r="S569" s="20">
        <f>(SEGUIMIENTO_TPM_xlsx[[#This Row],[FECHA DE INTERVENCÓN]]+SEGUIMIENTO_TPM_xlsx[[#This Row],[HORA FIN  INTERVENCIÓN]])</f>
        <v>46041.114583333336</v>
      </c>
      <c r="T569" s="11">
        <f>(SEGUIMIENTO_TPM_xlsx[[#This Row],[FECHA Y HORA FINAL]]-SEGUIMIENTO_TPM_xlsx[[#This Row],[FECHA Y HORA INICIO]])</f>
        <v>2.5694444448163267E-2</v>
      </c>
    </row>
    <row r="570" spans="1:20" x14ac:dyDescent="0.25">
      <c r="A570">
        <v>578</v>
      </c>
      <c r="B570" t="s">
        <v>199</v>
      </c>
      <c r="C570" s="1">
        <v>0.25694444444444442</v>
      </c>
      <c r="D570" s="2">
        <v>46041</v>
      </c>
      <c r="E570" t="s">
        <v>91</v>
      </c>
      <c r="F570" t="s">
        <v>18</v>
      </c>
      <c r="G570" t="s">
        <v>913</v>
      </c>
      <c r="H570" s="1">
        <v>0.29166666666666669</v>
      </c>
      <c r="I570" s="1">
        <v>0.35416666666666669</v>
      </c>
      <c r="J570" s="2">
        <v>46041</v>
      </c>
      <c r="K570" t="s">
        <v>25</v>
      </c>
      <c r="L570" t="s">
        <v>914</v>
      </c>
      <c r="M570" t="s">
        <v>22</v>
      </c>
      <c r="N570" t="s">
        <v>22</v>
      </c>
      <c r="O570" t="s">
        <v>915</v>
      </c>
      <c r="P570" t="s">
        <v>23</v>
      </c>
      <c r="Q570" s="1">
        <f>SEGUIMIENTO_TPM_xlsx[[#This Row],[HORA FIN  INTERVENCIÓN]]-SEGUIMIENTO_TPM_xlsx[[#This Row],[HORA INICIO INTERVENCIÓN]]</f>
        <v>6.25E-2</v>
      </c>
      <c r="R570" s="20">
        <f>(SEGUIMIENTO_TPM_xlsx[[#This Row],[HORA REPORTE]]+SEGUIMIENTO_TPM_xlsx[[#This Row],[FECHA DE REPORTE]])</f>
        <v>46041.256944444445</v>
      </c>
      <c r="S570" s="20">
        <f>(SEGUIMIENTO_TPM_xlsx[[#This Row],[FECHA DE INTERVENCÓN]]+SEGUIMIENTO_TPM_xlsx[[#This Row],[HORA FIN  INTERVENCIÓN]])</f>
        <v>46041.354166666664</v>
      </c>
      <c r="T570" s="11">
        <f>(SEGUIMIENTO_TPM_xlsx[[#This Row],[FECHA Y HORA FINAL]]-SEGUIMIENTO_TPM_xlsx[[#This Row],[FECHA Y HORA INICIO]])</f>
        <v>9.7222222218988463E-2</v>
      </c>
    </row>
    <row r="571" spans="1:20" x14ac:dyDescent="0.25">
      <c r="A571">
        <v>579</v>
      </c>
      <c r="B571" t="s">
        <v>199</v>
      </c>
      <c r="C571" s="1">
        <v>0.33333333333333331</v>
      </c>
      <c r="D571" s="2">
        <v>46041</v>
      </c>
      <c r="E571" t="s">
        <v>91</v>
      </c>
      <c r="F571" t="s">
        <v>18</v>
      </c>
      <c r="G571" t="s">
        <v>916</v>
      </c>
      <c r="H571" s="1"/>
      <c r="I571" s="1"/>
      <c r="J571" s="2"/>
      <c r="P571" t="s">
        <v>33</v>
      </c>
      <c r="Q571" s="1">
        <f>SEGUIMIENTO_TPM_xlsx[[#This Row],[HORA FIN  INTERVENCIÓN]]-SEGUIMIENTO_TPM_xlsx[[#This Row],[HORA INICIO INTERVENCIÓN]]</f>
        <v>0</v>
      </c>
      <c r="R571" s="20">
        <f>(SEGUIMIENTO_TPM_xlsx[[#This Row],[HORA REPORTE]]+SEGUIMIENTO_TPM_xlsx[[#This Row],[FECHA DE REPORTE]])</f>
        <v>46041.333333333336</v>
      </c>
      <c r="S571" s="20">
        <f>(SEGUIMIENTO_TPM_xlsx[[#This Row],[FECHA DE INTERVENCÓN]]+SEGUIMIENTO_TPM_xlsx[[#This Row],[HORA FIN  INTERVENCIÓN]])</f>
        <v>0</v>
      </c>
      <c r="T571" s="11">
        <f>(SEGUIMIENTO_TPM_xlsx[[#This Row],[FECHA Y HORA FINAL]]-SEGUIMIENTO_TPM_xlsx[[#This Row],[FECHA Y HORA INICIO]])</f>
        <v>-46041.333333333336</v>
      </c>
    </row>
    <row r="572" spans="1:20" x14ac:dyDescent="0.25">
      <c r="A572">
        <v>580</v>
      </c>
      <c r="C572" s="1"/>
      <c r="D572" s="2"/>
      <c r="H572" s="1"/>
      <c r="I572" s="1"/>
      <c r="J572" s="2"/>
      <c r="Q572" s="1">
        <f>SEGUIMIENTO_TPM_xlsx[[#This Row],[HORA FIN  INTERVENCIÓN]]-SEGUIMIENTO_TPM_xlsx[[#This Row],[HORA INICIO INTERVENCIÓN]]</f>
        <v>0</v>
      </c>
      <c r="R572" s="20">
        <f>(SEGUIMIENTO_TPM_xlsx[[#This Row],[HORA REPORTE]]+SEGUIMIENTO_TPM_xlsx[[#This Row],[FECHA DE REPORTE]])</f>
        <v>0</v>
      </c>
      <c r="S572" s="20">
        <f>(SEGUIMIENTO_TPM_xlsx[[#This Row],[FECHA DE INTERVENCÓN]]+SEGUIMIENTO_TPM_xlsx[[#This Row],[HORA FIN  INTERVENCIÓN]])</f>
        <v>0</v>
      </c>
      <c r="T572" s="11">
        <f>(SEGUIMIENTO_TPM_xlsx[[#This Row],[FECHA Y HORA FINAL]]-SEGUIMIENTO_TPM_xlsx[[#This Row],[FECHA Y HORA INICIO]])</f>
        <v>0</v>
      </c>
    </row>
    <row r="573" spans="1:20" x14ac:dyDescent="0.25">
      <c r="A573">
        <v>581</v>
      </c>
      <c r="C573" s="1"/>
      <c r="D573" s="2"/>
      <c r="H573" s="1"/>
      <c r="I573" s="1"/>
      <c r="J573" s="2"/>
      <c r="Q573" s="1">
        <f>SEGUIMIENTO_TPM_xlsx[[#This Row],[HORA FIN  INTERVENCIÓN]]-SEGUIMIENTO_TPM_xlsx[[#This Row],[HORA INICIO INTERVENCIÓN]]</f>
        <v>0</v>
      </c>
      <c r="R573" s="20">
        <f>(SEGUIMIENTO_TPM_xlsx[[#This Row],[HORA REPORTE]]+SEGUIMIENTO_TPM_xlsx[[#This Row],[FECHA DE REPORTE]])</f>
        <v>0</v>
      </c>
      <c r="S573" s="20">
        <f>(SEGUIMIENTO_TPM_xlsx[[#This Row],[FECHA DE INTERVENCÓN]]+SEGUIMIENTO_TPM_xlsx[[#This Row],[HORA FIN  INTERVENCIÓN]])</f>
        <v>0</v>
      </c>
      <c r="T573" s="11">
        <f>(SEGUIMIENTO_TPM_xlsx[[#This Row],[FECHA Y HORA FINAL]]-SEGUIMIENTO_TPM_xlsx[[#This Row],[FECHA Y HORA INICIO]])</f>
        <v>0</v>
      </c>
    </row>
    <row r="574" spans="1:20" x14ac:dyDescent="0.25">
      <c r="A574">
        <v>582</v>
      </c>
      <c r="B574" t="s">
        <v>103</v>
      </c>
      <c r="C574" s="1">
        <v>0.38194444444444442</v>
      </c>
      <c r="D574" s="2">
        <v>46041</v>
      </c>
      <c r="E574" t="s">
        <v>147</v>
      </c>
      <c r="F574" t="s">
        <v>18</v>
      </c>
      <c r="G574" t="s">
        <v>917</v>
      </c>
      <c r="H574" s="1">
        <v>0.38541666666666669</v>
      </c>
      <c r="I574" s="1">
        <v>0.39444444444444443</v>
      </c>
      <c r="J574" s="2">
        <v>46041</v>
      </c>
      <c r="K574" t="s">
        <v>25</v>
      </c>
      <c r="L574" t="s">
        <v>918</v>
      </c>
      <c r="M574" t="s">
        <v>22</v>
      </c>
      <c r="N574" t="s">
        <v>22</v>
      </c>
      <c r="O574" t="s">
        <v>661</v>
      </c>
      <c r="P574" t="s">
        <v>23</v>
      </c>
      <c r="Q574" s="1">
        <f>SEGUIMIENTO_TPM_xlsx[[#This Row],[HORA FIN  INTERVENCIÓN]]-SEGUIMIENTO_TPM_xlsx[[#This Row],[HORA INICIO INTERVENCIÓN]]</f>
        <v>9.0277777777777457E-3</v>
      </c>
      <c r="R574" s="20">
        <f>(SEGUIMIENTO_TPM_xlsx[[#This Row],[HORA REPORTE]]+SEGUIMIENTO_TPM_xlsx[[#This Row],[FECHA DE REPORTE]])</f>
        <v>46041.381944444445</v>
      </c>
      <c r="S574" s="20">
        <f>(SEGUIMIENTO_TPM_xlsx[[#This Row],[FECHA DE INTERVENCÓN]]+SEGUIMIENTO_TPM_xlsx[[#This Row],[HORA FIN  INTERVENCIÓN]])</f>
        <v>46041.394444444442</v>
      </c>
      <c r="T574" s="11">
        <f>(SEGUIMIENTO_TPM_xlsx[[#This Row],[FECHA Y HORA FINAL]]-SEGUIMIENTO_TPM_xlsx[[#This Row],[FECHA Y HORA INICIO]])</f>
        <v>1.2499999997089617E-2</v>
      </c>
    </row>
    <row r="575" spans="1:20" x14ac:dyDescent="0.25">
      <c r="A575">
        <v>583</v>
      </c>
      <c r="B575" t="s">
        <v>206</v>
      </c>
      <c r="C575" s="1">
        <v>0.25555555555555554</v>
      </c>
      <c r="D575" s="2">
        <v>46042</v>
      </c>
      <c r="E575" t="s">
        <v>185</v>
      </c>
      <c r="F575" t="s">
        <v>650</v>
      </c>
      <c r="G575" t="s">
        <v>919</v>
      </c>
      <c r="H575" s="1">
        <v>0.26041666666666669</v>
      </c>
      <c r="I575" s="1">
        <v>0.39583333333333331</v>
      </c>
      <c r="J575" s="2">
        <v>46042</v>
      </c>
      <c r="K575" t="s">
        <v>25</v>
      </c>
      <c r="L575" t="s">
        <v>920</v>
      </c>
      <c r="M575" t="s">
        <v>22</v>
      </c>
      <c r="N575" t="s">
        <v>22</v>
      </c>
      <c r="O575" t="s">
        <v>44</v>
      </c>
      <c r="P575" t="s">
        <v>23</v>
      </c>
      <c r="Q575" s="1">
        <f>SEGUIMIENTO_TPM_xlsx[[#This Row],[HORA FIN  INTERVENCIÓN]]-SEGUIMIENTO_TPM_xlsx[[#This Row],[HORA INICIO INTERVENCIÓN]]</f>
        <v>0.13541666666666663</v>
      </c>
      <c r="R575" s="20">
        <f>(SEGUIMIENTO_TPM_xlsx[[#This Row],[HORA REPORTE]]+SEGUIMIENTO_TPM_xlsx[[#This Row],[FECHA DE REPORTE]])</f>
        <v>46042.255555555559</v>
      </c>
      <c r="S575" s="20">
        <f>(SEGUIMIENTO_TPM_xlsx[[#This Row],[FECHA DE INTERVENCÓN]]+SEGUIMIENTO_TPM_xlsx[[#This Row],[HORA FIN  INTERVENCIÓN]])</f>
        <v>46042.395833333336</v>
      </c>
      <c r="T575" s="11">
        <f>(SEGUIMIENTO_TPM_xlsx[[#This Row],[FECHA Y HORA FINAL]]-SEGUIMIENTO_TPM_xlsx[[#This Row],[FECHA Y HORA INICIO]])</f>
        <v>0.14027777777664596</v>
      </c>
    </row>
    <row r="576" spans="1:20" x14ac:dyDescent="0.25">
      <c r="A576">
        <v>584</v>
      </c>
      <c r="B576" t="s">
        <v>921</v>
      </c>
      <c r="C576" s="1">
        <v>0.34375</v>
      </c>
      <c r="D576" s="2">
        <v>46042</v>
      </c>
      <c r="E576" t="s">
        <v>17</v>
      </c>
      <c r="G576" t="s">
        <v>922</v>
      </c>
      <c r="H576" s="1">
        <v>0.34375</v>
      </c>
      <c r="I576" s="1">
        <v>0.35069444444444442</v>
      </c>
      <c r="J576" s="2">
        <v>46042</v>
      </c>
      <c r="K576" t="s">
        <v>25</v>
      </c>
      <c r="L576" t="s">
        <v>923</v>
      </c>
      <c r="M576" t="s">
        <v>22</v>
      </c>
      <c r="N576" t="s">
        <v>22</v>
      </c>
      <c r="O576" t="s">
        <v>44</v>
      </c>
      <c r="P576" t="s">
        <v>23</v>
      </c>
      <c r="Q576" s="1">
        <f>SEGUIMIENTO_TPM_xlsx[[#This Row],[HORA FIN  INTERVENCIÓN]]-SEGUIMIENTO_TPM_xlsx[[#This Row],[HORA INICIO INTERVENCIÓN]]</f>
        <v>6.9444444444444198E-3</v>
      </c>
      <c r="R576" s="20">
        <f>(SEGUIMIENTO_TPM_xlsx[[#This Row],[HORA REPORTE]]+SEGUIMIENTO_TPM_xlsx[[#This Row],[FECHA DE REPORTE]])</f>
        <v>46042.34375</v>
      </c>
      <c r="S576" s="20">
        <f>(SEGUIMIENTO_TPM_xlsx[[#This Row],[FECHA DE INTERVENCÓN]]+SEGUIMIENTO_TPM_xlsx[[#This Row],[HORA FIN  INTERVENCIÓN]])</f>
        <v>46042.350694444445</v>
      </c>
      <c r="T576" s="11">
        <f>(SEGUIMIENTO_TPM_xlsx[[#This Row],[FECHA Y HORA FINAL]]-SEGUIMIENTO_TPM_xlsx[[#This Row],[FECHA Y HORA INICIO]])</f>
        <v>6.9444444452528842E-3</v>
      </c>
    </row>
    <row r="577" spans="1:20" x14ac:dyDescent="0.25">
      <c r="A577">
        <v>585</v>
      </c>
      <c r="B577" t="s">
        <v>206</v>
      </c>
      <c r="C577" s="1">
        <v>0.54861111111111116</v>
      </c>
      <c r="D577" s="2">
        <v>46042</v>
      </c>
      <c r="E577" t="s">
        <v>185</v>
      </c>
      <c r="G577" t="s">
        <v>924</v>
      </c>
      <c r="H577" s="1">
        <v>0.54861111111111116</v>
      </c>
      <c r="I577" s="1">
        <v>0.55555555555555558</v>
      </c>
      <c r="J577" s="2">
        <v>46042</v>
      </c>
      <c r="K577" t="s">
        <v>20</v>
      </c>
      <c r="L577" t="s">
        <v>925</v>
      </c>
      <c r="M577" t="s">
        <v>22</v>
      </c>
      <c r="N577" t="s">
        <v>22</v>
      </c>
      <c r="O577" t="s">
        <v>44</v>
      </c>
      <c r="P577" t="s">
        <v>23</v>
      </c>
      <c r="Q577" s="1">
        <f>SEGUIMIENTO_TPM_xlsx[[#This Row],[HORA FIN  INTERVENCIÓN]]-SEGUIMIENTO_TPM_xlsx[[#This Row],[HORA INICIO INTERVENCIÓN]]</f>
        <v>6.9444444444444198E-3</v>
      </c>
      <c r="R577" s="20">
        <f>(SEGUIMIENTO_TPM_xlsx[[#This Row],[HORA REPORTE]]+SEGUIMIENTO_TPM_xlsx[[#This Row],[FECHA DE REPORTE]])</f>
        <v>46042.548611111109</v>
      </c>
      <c r="S577" s="20">
        <f>(SEGUIMIENTO_TPM_xlsx[[#This Row],[FECHA DE INTERVENCÓN]]+SEGUIMIENTO_TPM_xlsx[[#This Row],[HORA FIN  INTERVENCIÓN]])</f>
        <v>46042.555555555555</v>
      </c>
      <c r="T577" s="11">
        <f>(SEGUIMIENTO_TPM_xlsx[[#This Row],[FECHA Y HORA FINAL]]-SEGUIMIENTO_TPM_xlsx[[#This Row],[FECHA Y HORA INICIO]])</f>
        <v>6.9444444452528842E-3</v>
      </c>
    </row>
    <row r="578" spans="1:20" x14ac:dyDescent="0.25">
      <c r="A578">
        <v>586</v>
      </c>
      <c r="B578" t="s">
        <v>93</v>
      </c>
      <c r="C578" s="1">
        <v>0.60416666666666663</v>
      </c>
      <c r="D578" s="2">
        <v>46042</v>
      </c>
      <c r="E578" t="s">
        <v>185</v>
      </c>
      <c r="G578" t="s">
        <v>926</v>
      </c>
      <c r="H578" s="1">
        <v>0.625</v>
      </c>
      <c r="I578" s="1"/>
      <c r="J578" s="2">
        <v>46042</v>
      </c>
      <c r="L578" t="s">
        <v>927</v>
      </c>
      <c r="M578" t="s">
        <v>22</v>
      </c>
      <c r="N578" t="s">
        <v>22</v>
      </c>
      <c r="O578" t="s">
        <v>112</v>
      </c>
      <c r="Q578" s="1">
        <f>SEGUIMIENTO_TPM_xlsx[[#This Row],[HORA FIN  INTERVENCIÓN]]-SEGUIMIENTO_TPM_xlsx[[#This Row],[HORA INICIO INTERVENCIÓN]]</f>
        <v>-0.625</v>
      </c>
      <c r="R578" s="20">
        <f>(SEGUIMIENTO_TPM_xlsx[[#This Row],[HORA REPORTE]]+SEGUIMIENTO_TPM_xlsx[[#This Row],[FECHA DE REPORTE]])</f>
        <v>46042.604166666664</v>
      </c>
      <c r="S578" s="20">
        <f>(SEGUIMIENTO_TPM_xlsx[[#This Row],[FECHA DE INTERVENCÓN]]+SEGUIMIENTO_TPM_xlsx[[#This Row],[HORA FIN  INTERVENCIÓN]])</f>
        <v>46042</v>
      </c>
      <c r="T578" s="11">
        <f>(SEGUIMIENTO_TPM_xlsx[[#This Row],[FECHA Y HORA FINAL]]-SEGUIMIENTO_TPM_xlsx[[#This Row],[FECHA Y HORA INICIO]])</f>
        <v>-0.60416666666424135</v>
      </c>
    </row>
    <row r="579" spans="1:20" x14ac:dyDescent="0.25">
      <c r="A579">
        <v>587</v>
      </c>
      <c r="B579" t="s">
        <v>93</v>
      </c>
      <c r="C579" s="1">
        <v>0.66666666666666663</v>
      </c>
      <c r="D579" s="2">
        <v>46042</v>
      </c>
      <c r="E579" t="s">
        <v>116</v>
      </c>
      <c r="G579" t="s">
        <v>928</v>
      </c>
      <c r="H579" s="1">
        <v>0.66666666666666663</v>
      </c>
      <c r="I579" s="1">
        <v>0.68055555555555558</v>
      </c>
      <c r="J579" s="2">
        <v>46042</v>
      </c>
      <c r="K579" t="s">
        <v>20</v>
      </c>
      <c r="L579" t="s">
        <v>929</v>
      </c>
      <c r="M579" t="s">
        <v>22</v>
      </c>
      <c r="N579" t="s">
        <v>768</v>
      </c>
      <c r="O579" t="s">
        <v>112</v>
      </c>
      <c r="P579" t="s">
        <v>23</v>
      </c>
      <c r="Q579" s="1">
        <f>SEGUIMIENTO_TPM_xlsx[[#This Row],[HORA FIN  INTERVENCIÓN]]-SEGUIMIENTO_TPM_xlsx[[#This Row],[HORA INICIO INTERVENCIÓN]]</f>
        <v>1.3888888888888951E-2</v>
      </c>
      <c r="R579" s="20">
        <f>(SEGUIMIENTO_TPM_xlsx[[#This Row],[HORA REPORTE]]+SEGUIMIENTO_TPM_xlsx[[#This Row],[FECHA DE REPORTE]])</f>
        <v>46042.666666666664</v>
      </c>
      <c r="S579" s="20">
        <f>(SEGUIMIENTO_TPM_xlsx[[#This Row],[FECHA DE INTERVENCÓN]]+SEGUIMIENTO_TPM_xlsx[[#This Row],[HORA FIN  INTERVENCIÓN]])</f>
        <v>46042.680555555555</v>
      </c>
      <c r="T579" s="11">
        <f>(SEGUIMIENTO_TPM_xlsx[[#This Row],[FECHA Y HORA FINAL]]-SEGUIMIENTO_TPM_xlsx[[#This Row],[FECHA Y HORA INICIO]])</f>
        <v>1.3888888890505768E-2</v>
      </c>
    </row>
    <row r="580" spans="1:20" x14ac:dyDescent="0.25">
      <c r="A580">
        <v>588</v>
      </c>
      <c r="B580" t="s">
        <v>93</v>
      </c>
      <c r="C580" s="1">
        <v>0.67361111111111116</v>
      </c>
      <c r="D580" s="2">
        <v>46042</v>
      </c>
      <c r="E580" t="s">
        <v>94</v>
      </c>
      <c r="F580" t="s">
        <v>650</v>
      </c>
      <c r="G580" t="s">
        <v>930</v>
      </c>
      <c r="H580" s="1">
        <v>0.70833333333333337</v>
      </c>
      <c r="I580" s="1">
        <v>0.72916666666666663</v>
      </c>
      <c r="J580" s="2">
        <v>46042</v>
      </c>
      <c r="K580" t="s">
        <v>25</v>
      </c>
      <c r="L580" t="s">
        <v>931</v>
      </c>
      <c r="M580" t="s">
        <v>22</v>
      </c>
      <c r="N580" t="s">
        <v>22</v>
      </c>
      <c r="O580" t="s">
        <v>112</v>
      </c>
      <c r="P580" t="s">
        <v>23</v>
      </c>
      <c r="Q580" s="1">
        <f>SEGUIMIENTO_TPM_xlsx[[#This Row],[HORA FIN  INTERVENCIÓN]]-SEGUIMIENTO_TPM_xlsx[[#This Row],[HORA INICIO INTERVENCIÓN]]</f>
        <v>2.0833333333333259E-2</v>
      </c>
      <c r="R580" s="20">
        <f>(SEGUIMIENTO_TPM_xlsx[[#This Row],[HORA REPORTE]]+SEGUIMIENTO_TPM_xlsx[[#This Row],[FECHA DE REPORTE]])</f>
        <v>46042.673611111109</v>
      </c>
      <c r="S580" s="20">
        <f>(SEGUIMIENTO_TPM_xlsx[[#This Row],[FECHA DE INTERVENCÓN]]+SEGUIMIENTO_TPM_xlsx[[#This Row],[HORA FIN  INTERVENCIÓN]])</f>
        <v>46042.729166666664</v>
      </c>
      <c r="T580" s="11">
        <f>(SEGUIMIENTO_TPM_xlsx[[#This Row],[FECHA Y HORA FINAL]]-SEGUIMIENTO_TPM_xlsx[[#This Row],[FECHA Y HORA INICIO]])</f>
        <v>5.5555555554747116E-2</v>
      </c>
    </row>
    <row r="581" spans="1:20" x14ac:dyDescent="0.25">
      <c r="A581">
        <v>589</v>
      </c>
      <c r="B581" t="s">
        <v>93</v>
      </c>
      <c r="C581" s="1">
        <v>0.72222222222222221</v>
      </c>
      <c r="D581" s="2">
        <v>46042</v>
      </c>
      <c r="E581" t="s">
        <v>116</v>
      </c>
      <c r="G581" t="s">
        <v>594</v>
      </c>
      <c r="H581" s="1">
        <v>0.72916666666666663</v>
      </c>
      <c r="I581" s="1">
        <v>0.73958333333333337</v>
      </c>
      <c r="J581" s="2">
        <v>46042</v>
      </c>
      <c r="K581" t="s">
        <v>25</v>
      </c>
      <c r="L581" t="s">
        <v>932</v>
      </c>
      <c r="M581" t="s">
        <v>933</v>
      </c>
      <c r="N581" t="s">
        <v>22</v>
      </c>
      <c r="O581" t="s">
        <v>112</v>
      </c>
      <c r="P581" t="s">
        <v>23</v>
      </c>
      <c r="Q581" s="1">
        <f>SEGUIMIENTO_TPM_xlsx[[#This Row],[HORA FIN  INTERVENCIÓN]]-SEGUIMIENTO_TPM_xlsx[[#This Row],[HORA INICIO INTERVENCIÓN]]</f>
        <v>1.0416666666666741E-2</v>
      </c>
      <c r="R581" s="20">
        <f>(SEGUIMIENTO_TPM_xlsx[[#This Row],[HORA REPORTE]]+SEGUIMIENTO_TPM_xlsx[[#This Row],[FECHA DE REPORTE]])</f>
        <v>46042.722222222219</v>
      </c>
      <c r="S581" s="20">
        <f>(SEGUIMIENTO_TPM_xlsx[[#This Row],[FECHA DE INTERVENCÓN]]+SEGUIMIENTO_TPM_xlsx[[#This Row],[HORA FIN  INTERVENCIÓN]])</f>
        <v>46042.739583333336</v>
      </c>
      <c r="T581" s="11">
        <f>(SEGUIMIENTO_TPM_xlsx[[#This Row],[FECHA Y HORA FINAL]]-SEGUIMIENTO_TPM_xlsx[[#This Row],[FECHA Y HORA INICIO]])</f>
        <v>1.7361111116770189E-2</v>
      </c>
    </row>
    <row r="582" spans="1:20" x14ac:dyDescent="0.25">
      <c r="A582">
        <v>590</v>
      </c>
      <c r="B582" t="s">
        <v>93</v>
      </c>
      <c r="C582" s="1">
        <v>0.84722222222222221</v>
      </c>
      <c r="D582" s="2">
        <v>46042</v>
      </c>
      <c r="E582" t="s">
        <v>94</v>
      </c>
      <c r="G582" t="s">
        <v>934</v>
      </c>
      <c r="H582" s="1">
        <v>0.85416666666666663</v>
      </c>
      <c r="I582" s="1">
        <v>0.875</v>
      </c>
      <c r="J582" s="2">
        <v>46042</v>
      </c>
      <c r="K582" t="s">
        <v>20</v>
      </c>
      <c r="L582" t="s">
        <v>935</v>
      </c>
      <c r="M582" t="s">
        <v>22</v>
      </c>
      <c r="N582" t="s">
        <v>22</v>
      </c>
      <c r="O582" t="s">
        <v>112</v>
      </c>
      <c r="P582" t="s">
        <v>23</v>
      </c>
      <c r="Q582" s="1">
        <f>SEGUIMIENTO_TPM_xlsx[[#This Row],[HORA FIN  INTERVENCIÓN]]-SEGUIMIENTO_TPM_xlsx[[#This Row],[HORA INICIO INTERVENCIÓN]]</f>
        <v>2.083333333333337E-2</v>
      </c>
      <c r="R582" s="20">
        <f>(SEGUIMIENTO_TPM_xlsx[[#This Row],[HORA REPORTE]]+SEGUIMIENTO_TPM_xlsx[[#This Row],[FECHA DE REPORTE]])</f>
        <v>46042.847222222219</v>
      </c>
      <c r="S582" s="20">
        <f>(SEGUIMIENTO_TPM_xlsx[[#This Row],[FECHA DE INTERVENCÓN]]+SEGUIMIENTO_TPM_xlsx[[#This Row],[HORA FIN  INTERVENCIÓN]])</f>
        <v>46042.875</v>
      </c>
      <c r="T582" s="11">
        <f>(SEGUIMIENTO_TPM_xlsx[[#This Row],[FECHA Y HORA FINAL]]-SEGUIMIENTO_TPM_xlsx[[#This Row],[FECHA Y HORA INICIO]])</f>
        <v>2.7777777781011537E-2</v>
      </c>
    </row>
    <row r="583" spans="1:20" x14ac:dyDescent="0.25">
      <c r="A583">
        <v>591</v>
      </c>
      <c r="B583" t="s">
        <v>936</v>
      </c>
      <c r="C583" s="1">
        <v>0.97916666666666663</v>
      </c>
      <c r="D583" s="2">
        <v>46042</v>
      </c>
      <c r="E583" t="s">
        <v>143</v>
      </c>
      <c r="G583" t="s">
        <v>937</v>
      </c>
      <c r="H583" s="1">
        <v>0.97916666666666663</v>
      </c>
      <c r="I583" s="1">
        <v>0.99375000000000002</v>
      </c>
      <c r="J583" s="2">
        <v>46042</v>
      </c>
      <c r="L583" t="s">
        <v>938</v>
      </c>
      <c r="M583" t="s">
        <v>939</v>
      </c>
      <c r="N583" t="s">
        <v>22</v>
      </c>
      <c r="O583" t="s">
        <v>108</v>
      </c>
      <c r="P583" t="s">
        <v>23</v>
      </c>
      <c r="Q583" s="1">
        <f>SEGUIMIENTO_TPM_xlsx[[#This Row],[HORA FIN  INTERVENCIÓN]]-SEGUIMIENTO_TPM_xlsx[[#This Row],[HORA INICIO INTERVENCIÓN]]</f>
        <v>1.4583333333333393E-2</v>
      </c>
      <c r="R583" s="20">
        <f>(SEGUIMIENTO_TPM_xlsx[[#This Row],[HORA REPORTE]]+SEGUIMIENTO_TPM_xlsx[[#This Row],[FECHA DE REPORTE]])</f>
        <v>46042.979166666664</v>
      </c>
      <c r="S583" s="20">
        <f>(SEGUIMIENTO_TPM_xlsx[[#This Row],[FECHA DE INTERVENCÓN]]+SEGUIMIENTO_TPM_xlsx[[#This Row],[HORA FIN  INTERVENCIÓN]])</f>
        <v>46042.993750000001</v>
      </c>
      <c r="T583" s="11">
        <f>(SEGUIMIENTO_TPM_xlsx[[#This Row],[FECHA Y HORA FINAL]]-SEGUIMIENTO_TPM_xlsx[[#This Row],[FECHA Y HORA INICIO]])</f>
        <v>1.4583333337213844E-2</v>
      </c>
    </row>
    <row r="584" spans="1:20" x14ac:dyDescent="0.25">
      <c r="A584">
        <v>592</v>
      </c>
      <c r="B584" t="s">
        <v>139</v>
      </c>
      <c r="C584" s="1">
        <v>0.91666666666666663</v>
      </c>
      <c r="D584" s="2">
        <v>46042</v>
      </c>
      <c r="G584" t="s">
        <v>940</v>
      </c>
      <c r="H584" s="1">
        <v>0.91666666666666663</v>
      </c>
      <c r="I584" s="1">
        <v>0.90277777777777779</v>
      </c>
      <c r="J584" s="2">
        <v>46042</v>
      </c>
      <c r="K584" t="s">
        <v>25</v>
      </c>
      <c r="L584" t="s">
        <v>941</v>
      </c>
      <c r="M584" t="s">
        <v>942</v>
      </c>
      <c r="N584" t="s">
        <v>22</v>
      </c>
      <c r="O584" t="s">
        <v>108</v>
      </c>
      <c r="P584" t="s">
        <v>23</v>
      </c>
      <c r="Q584" s="1">
        <f>SEGUIMIENTO_TPM_xlsx[[#This Row],[HORA FIN  INTERVENCIÓN]]-SEGUIMIENTO_TPM_xlsx[[#This Row],[HORA INICIO INTERVENCIÓN]]</f>
        <v>-1.388888888888884E-2</v>
      </c>
      <c r="R584" s="20">
        <f>(SEGUIMIENTO_TPM_xlsx[[#This Row],[HORA REPORTE]]+SEGUIMIENTO_TPM_xlsx[[#This Row],[FECHA DE REPORTE]])</f>
        <v>46042.916666666664</v>
      </c>
      <c r="S584" s="20">
        <f>(SEGUIMIENTO_TPM_xlsx[[#This Row],[FECHA DE INTERVENCÓN]]+SEGUIMIENTO_TPM_xlsx[[#This Row],[HORA FIN  INTERVENCIÓN]])</f>
        <v>46042.902777777781</v>
      </c>
      <c r="T584" s="11">
        <f>(SEGUIMIENTO_TPM_xlsx[[#This Row],[FECHA Y HORA FINAL]]-SEGUIMIENTO_TPM_xlsx[[#This Row],[FECHA Y HORA INICIO]])</f>
        <v>-1.3888888883229811E-2</v>
      </c>
    </row>
    <row r="585" spans="1:20" x14ac:dyDescent="0.25">
      <c r="A585">
        <v>593</v>
      </c>
      <c r="B585" t="s">
        <v>608</v>
      </c>
      <c r="C585" s="1">
        <v>0.11805555555555555</v>
      </c>
      <c r="D585" s="2">
        <v>46043</v>
      </c>
      <c r="E585" t="s">
        <v>188</v>
      </c>
      <c r="G585" t="s">
        <v>943</v>
      </c>
      <c r="H585" s="1">
        <v>0.11805555555555555</v>
      </c>
      <c r="I585" s="1">
        <v>0.125</v>
      </c>
      <c r="J585" s="2">
        <v>46043</v>
      </c>
      <c r="K585" t="s">
        <v>25</v>
      </c>
      <c r="L585" t="s">
        <v>944</v>
      </c>
      <c r="M585" t="s">
        <v>22</v>
      </c>
      <c r="N585" t="s">
        <v>22</v>
      </c>
      <c r="O585" t="s">
        <v>108</v>
      </c>
      <c r="P585" t="s">
        <v>23</v>
      </c>
      <c r="Q585" s="1">
        <f>SEGUIMIENTO_TPM_xlsx[[#This Row],[HORA FIN  INTERVENCIÓN]]-SEGUIMIENTO_TPM_xlsx[[#This Row],[HORA INICIO INTERVENCIÓN]]</f>
        <v>6.9444444444444475E-3</v>
      </c>
      <c r="R585" s="20">
        <f>(SEGUIMIENTO_TPM_xlsx[[#This Row],[HORA REPORTE]]+SEGUIMIENTO_TPM_xlsx[[#This Row],[FECHA DE REPORTE]])</f>
        <v>46043.118055555555</v>
      </c>
      <c r="S585" s="20">
        <f>(SEGUIMIENTO_TPM_xlsx[[#This Row],[FECHA DE INTERVENCÓN]]+SEGUIMIENTO_TPM_xlsx[[#This Row],[HORA FIN  INTERVENCIÓN]])</f>
        <v>46043.125</v>
      </c>
      <c r="T585" s="11">
        <f>(SEGUIMIENTO_TPM_xlsx[[#This Row],[FECHA Y HORA FINAL]]-SEGUIMIENTO_TPM_xlsx[[#This Row],[FECHA Y HORA INICIO]])</f>
        <v>6.9444444452528842E-3</v>
      </c>
    </row>
    <row r="586" spans="1:20" x14ac:dyDescent="0.25">
      <c r="A586">
        <v>594</v>
      </c>
      <c r="B586" t="s">
        <v>139</v>
      </c>
      <c r="C586" s="1">
        <v>0.13194444444444445</v>
      </c>
      <c r="D586" s="2">
        <v>46043</v>
      </c>
      <c r="E586" t="s">
        <v>188</v>
      </c>
      <c r="F586" t="s">
        <v>18</v>
      </c>
      <c r="G586" t="s">
        <v>945</v>
      </c>
      <c r="H586" s="1">
        <v>0.13194444444444445</v>
      </c>
      <c r="I586" s="1">
        <v>0.14583333333333334</v>
      </c>
      <c r="J586" s="2">
        <v>46043</v>
      </c>
      <c r="K586" t="s">
        <v>20</v>
      </c>
      <c r="L586" t="s">
        <v>946</v>
      </c>
      <c r="M586" t="s">
        <v>22</v>
      </c>
      <c r="N586" t="s">
        <v>22</v>
      </c>
      <c r="O586" t="s">
        <v>108</v>
      </c>
      <c r="P586" t="s">
        <v>23</v>
      </c>
      <c r="Q586" s="1">
        <f>SEGUIMIENTO_TPM_xlsx[[#This Row],[HORA FIN  INTERVENCIÓN]]-SEGUIMIENTO_TPM_xlsx[[#This Row],[HORA INICIO INTERVENCIÓN]]</f>
        <v>1.3888888888888895E-2</v>
      </c>
      <c r="R586" s="20">
        <f>(SEGUIMIENTO_TPM_xlsx[[#This Row],[HORA REPORTE]]+SEGUIMIENTO_TPM_xlsx[[#This Row],[FECHA DE REPORTE]])</f>
        <v>46043.131944444445</v>
      </c>
      <c r="S586" s="20">
        <f>(SEGUIMIENTO_TPM_xlsx[[#This Row],[FECHA DE INTERVENCÓN]]+SEGUIMIENTO_TPM_xlsx[[#This Row],[HORA FIN  INTERVENCIÓN]])</f>
        <v>46043.145833333336</v>
      </c>
      <c r="T586" s="11">
        <f>(SEGUIMIENTO_TPM_xlsx[[#This Row],[FECHA Y HORA FINAL]]-SEGUIMIENTO_TPM_xlsx[[#This Row],[FECHA Y HORA INICIO]])</f>
        <v>1.3888888890505768E-2</v>
      </c>
    </row>
    <row r="587" spans="1:20" x14ac:dyDescent="0.25">
      <c r="A587">
        <v>595</v>
      </c>
      <c r="B587" t="s">
        <v>256</v>
      </c>
      <c r="C587" s="1">
        <v>0.125</v>
      </c>
      <c r="D587" s="2">
        <v>46043</v>
      </c>
      <c r="E587" t="s">
        <v>154</v>
      </c>
      <c r="G587" t="s">
        <v>947</v>
      </c>
      <c r="H587" s="1">
        <v>0.125</v>
      </c>
      <c r="I587" s="1">
        <v>0.13541666666666666</v>
      </c>
      <c r="J587" s="2">
        <v>46043</v>
      </c>
      <c r="L587" t="s">
        <v>948</v>
      </c>
      <c r="M587" t="s">
        <v>949</v>
      </c>
      <c r="N587" t="s">
        <v>22</v>
      </c>
      <c r="O587" t="s">
        <v>108</v>
      </c>
      <c r="P587" t="s">
        <v>23</v>
      </c>
      <c r="Q587" s="1">
        <f>SEGUIMIENTO_TPM_xlsx[[#This Row],[HORA FIN  INTERVENCIÓN]]-SEGUIMIENTO_TPM_xlsx[[#This Row],[HORA INICIO INTERVENCIÓN]]</f>
        <v>1.0416666666666657E-2</v>
      </c>
      <c r="R587" s="20">
        <f>(SEGUIMIENTO_TPM_xlsx[[#This Row],[HORA REPORTE]]+SEGUIMIENTO_TPM_xlsx[[#This Row],[FECHA DE REPORTE]])</f>
        <v>46043.125</v>
      </c>
      <c r="S587" s="20">
        <f>(SEGUIMIENTO_TPM_xlsx[[#This Row],[FECHA DE INTERVENCÓN]]+SEGUIMIENTO_TPM_xlsx[[#This Row],[HORA FIN  INTERVENCIÓN]])</f>
        <v>46043.135416666664</v>
      </c>
      <c r="T587" s="11">
        <f>(SEGUIMIENTO_TPM_xlsx[[#This Row],[FECHA Y HORA FINAL]]-SEGUIMIENTO_TPM_xlsx[[#This Row],[FECHA Y HORA INICIO]])</f>
        <v>1.0416666664241347E-2</v>
      </c>
    </row>
    <row r="588" spans="1:20" x14ac:dyDescent="0.25">
      <c r="A588">
        <v>596</v>
      </c>
      <c r="B588" t="s">
        <v>16</v>
      </c>
      <c r="C588" s="1">
        <v>0.27083333333333331</v>
      </c>
      <c r="D588" s="2">
        <v>46043</v>
      </c>
      <c r="E588" t="s">
        <v>94</v>
      </c>
      <c r="F588" t="s">
        <v>18</v>
      </c>
      <c r="G588" t="s">
        <v>950</v>
      </c>
      <c r="H588" s="1">
        <v>0.27430555555555558</v>
      </c>
      <c r="I588" s="1">
        <v>0.29166666666666669</v>
      </c>
      <c r="J588" s="2">
        <v>46043</v>
      </c>
      <c r="K588" t="s">
        <v>20</v>
      </c>
      <c r="L588" t="s">
        <v>951</v>
      </c>
      <c r="M588" t="s">
        <v>22</v>
      </c>
      <c r="N588" t="s">
        <v>22</v>
      </c>
      <c r="O588" t="s">
        <v>44</v>
      </c>
      <c r="P588" t="s">
        <v>23</v>
      </c>
      <c r="Q588" s="1">
        <f>SEGUIMIENTO_TPM_xlsx[[#This Row],[HORA FIN  INTERVENCIÓN]]-SEGUIMIENTO_TPM_xlsx[[#This Row],[HORA INICIO INTERVENCIÓN]]</f>
        <v>1.7361111111111105E-2</v>
      </c>
      <c r="R588" s="20">
        <f>(SEGUIMIENTO_TPM_xlsx[[#This Row],[HORA REPORTE]]+SEGUIMIENTO_TPM_xlsx[[#This Row],[FECHA DE REPORTE]])</f>
        <v>46043.270833333336</v>
      </c>
      <c r="S588" s="20">
        <f>(SEGUIMIENTO_TPM_xlsx[[#This Row],[FECHA DE INTERVENCÓN]]+SEGUIMIENTO_TPM_xlsx[[#This Row],[HORA FIN  INTERVENCIÓN]])</f>
        <v>46043.291666666664</v>
      </c>
      <c r="T588" s="11">
        <f>(SEGUIMIENTO_TPM_xlsx[[#This Row],[FECHA Y HORA FINAL]]-SEGUIMIENTO_TPM_xlsx[[#This Row],[FECHA Y HORA INICIO]])</f>
        <v>2.0833333328482695E-2</v>
      </c>
    </row>
    <row r="589" spans="1:20" x14ac:dyDescent="0.25">
      <c r="A589">
        <v>597</v>
      </c>
      <c r="B589" t="s">
        <v>16</v>
      </c>
      <c r="C589" s="1">
        <v>0.29166666666666669</v>
      </c>
      <c r="D589" s="2">
        <v>46043</v>
      </c>
      <c r="F589" t="s">
        <v>18</v>
      </c>
      <c r="G589" t="s">
        <v>208</v>
      </c>
      <c r="H589" s="1">
        <v>0.29166666666666669</v>
      </c>
      <c r="I589" s="1">
        <v>0.30208333333333331</v>
      </c>
      <c r="J589" s="2">
        <v>46043</v>
      </c>
      <c r="K589" t="s">
        <v>25</v>
      </c>
      <c r="L589" t="s">
        <v>952</v>
      </c>
      <c r="M589" t="s">
        <v>22</v>
      </c>
      <c r="N589" t="s">
        <v>22</v>
      </c>
      <c r="O589" t="s">
        <v>44</v>
      </c>
      <c r="P589" t="s">
        <v>23</v>
      </c>
      <c r="Q589" s="1">
        <f>SEGUIMIENTO_TPM_xlsx[[#This Row],[HORA FIN  INTERVENCIÓN]]-SEGUIMIENTO_TPM_xlsx[[#This Row],[HORA INICIO INTERVENCIÓN]]</f>
        <v>1.041666666666663E-2</v>
      </c>
      <c r="R589" s="20">
        <f>(SEGUIMIENTO_TPM_xlsx[[#This Row],[HORA REPORTE]]+SEGUIMIENTO_TPM_xlsx[[#This Row],[FECHA DE REPORTE]])</f>
        <v>46043.291666666664</v>
      </c>
      <c r="S589" s="20">
        <f>(SEGUIMIENTO_TPM_xlsx[[#This Row],[FECHA DE INTERVENCÓN]]+SEGUIMIENTO_TPM_xlsx[[#This Row],[HORA FIN  INTERVENCIÓN]])</f>
        <v>46043.302083333336</v>
      </c>
      <c r="T589" s="11">
        <f>(SEGUIMIENTO_TPM_xlsx[[#This Row],[FECHA Y HORA FINAL]]-SEGUIMIENTO_TPM_xlsx[[#This Row],[FECHA Y HORA INICIO]])</f>
        <v>1.0416666671517305E-2</v>
      </c>
    </row>
    <row r="590" spans="1:20" x14ac:dyDescent="0.25">
      <c r="A590">
        <v>598</v>
      </c>
      <c r="B590" t="s">
        <v>16</v>
      </c>
      <c r="C590" s="1">
        <v>0.34375</v>
      </c>
      <c r="D590" s="2">
        <v>46043</v>
      </c>
      <c r="E590" t="s">
        <v>116</v>
      </c>
      <c r="F590" t="s">
        <v>18</v>
      </c>
      <c r="G590" t="s">
        <v>953</v>
      </c>
      <c r="H590" s="1">
        <v>0.34375</v>
      </c>
      <c r="I590" s="1">
        <v>0.35416666666666669</v>
      </c>
      <c r="J590" s="2">
        <v>46043</v>
      </c>
      <c r="K590" t="s">
        <v>25</v>
      </c>
      <c r="L590" t="s">
        <v>954</v>
      </c>
      <c r="M590" t="s">
        <v>955</v>
      </c>
      <c r="N590" t="s">
        <v>22</v>
      </c>
      <c r="O590" t="s">
        <v>44</v>
      </c>
      <c r="P590" t="s">
        <v>23</v>
      </c>
      <c r="Q590" s="1">
        <f>SEGUIMIENTO_TPM_xlsx[[#This Row],[HORA FIN  INTERVENCIÓN]]-SEGUIMIENTO_TPM_xlsx[[#This Row],[HORA INICIO INTERVENCIÓN]]</f>
        <v>1.0416666666666685E-2</v>
      </c>
      <c r="R590" s="20">
        <f>(SEGUIMIENTO_TPM_xlsx[[#This Row],[HORA REPORTE]]+SEGUIMIENTO_TPM_xlsx[[#This Row],[FECHA DE REPORTE]])</f>
        <v>46043.34375</v>
      </c>
      <c r="S590" s="20">
        <f>(SEGUIMIENTO_TPM_xlsx[[#This Row],[FECHA DE INTERVENCÓN]]+SEGUIMIENTO_TPM_xlsx[[#This Row],[HORA FIN  INTERVENCIÓN]])</f>
        <v>46043.354166666664</v>
      </c>
      <c r="T590" s="11">
        <f>(SEGUIMIENTO_TPM_xlsx[[#This Row],[FECHA Y HORA FINAL]]-SEGUIMIENTO_TPM_xlsx[[#This Row],[FECHA Y HORA INICIO]])</f>
        <v>1.0416666664241347E-2</v>
      </c>
    </row>
    <row r="591" spans="1:20" x14ac:dyDescent="0.25">
      <c r="A591">
        <v>599</v>
      </c>
      <c r="B591" t="s">
        <v>16</v>
      </c>
      <c r="C591" s="1">
        <v>0.2638888888888889</v>
      </c>
      <c r="D591" s="2">
        <v>46043</v>
      </c>
      <c r="E591" t="s">
        <v>185</v>
      </c>
      <c r="G591" t="s">
        <v>956</v>
      </c>
      <c r="H591" s="1">
        <v>0.2638888888888889</v>
      </c>
      <c r="I591" s="1">
        <v>0.37847222222222221</v>
      </c>
      <c r="J591" s="2">
        <v>46043</v>
      </c>
      <c r="K591" t="s">
        <v>775</v>
      </c>
      <c r="L591" t="s">
        <v>957</v>
      </c>
      <c r="M591" t="s">
        <v>22</v>
      </c>
      <c r="N591" t="s">
        <v>22</v>
      </c>
      <c r="O591" t="s">
        <v>44</v>
      </c>
      <c r="P591" t="s">
        <v>23</v>
      </c>
      <c r="Q591" s="1">
        <f>SEGUIMIENTO_TPM_xlsx[[#This Row],[HORA FIN  INTERVENCIÓN]]-SEGUIMIENTO_TPM_xlsx[[#This Row],[HORA INICIO INTERVENCIÓN]]</f>
        <v>0.11458333333333331</v>
      </c>
      <c r="R591" s="20">
        <f>(SEGUIMIENTO_TPM_xlsx[[#This Row],[HORA REPORTE]]+SEGUIMIENTO_TPM_xlsx[[#This Row],[FECHA DE REPORTE]])</f>
        <v>46043.263888888891</v>
      </c>
      <c r="S591" s="20">
        <f>(SEGUIMIENTO_TPM_xlsx[[#This Row],[FECHA DE INTERVENCÓN]]+SEGUIMIENTO_TPM_xlsx[[#This Row],[HORA FIN  INTERVENCIÓN]])</f>
        <v>46043.378472222219</v>
      </c>
      <c r="T591" s="11">
        <f>(SEGUIMIENTO_TPM_xlsx[[#This Row],[FECHA Y HORA FINAL]]-SEGUIMIENTO_TPM_xlsx[[#This Row],[FECHA Y HORA INICIO]])</f>
        <v>0.11458333332848269</v>
      </c>
    </row>
    <row r="592" spans="1:20" x14ac:dyDescent="0.25">
      <c r="A592">
        <v>600</v>
      </c>
      <c r="B592" t="s">
        <v>16</v>
      </c>
      <c r="C592" s="1">
        <v>0.43055555555555558</v>
      </c>
      <c r="D592" s="2">
        <v>46043</v>
      </c>
      <c r="G592" t="s">
        <v>958</v>
      </c>
      <c r="H592" s="1">
        <v>0.43055555555555558</v>
      </c>
      <c r="I592" s="1">
        <v>0.4513888888888889</v>
      </c>
      <c r="J592" s="2">
        <v>46043</v>
      </c>
      <c r="K592" t="s">
        <v>20</v>
      </c>
      <c r="L592" t="s">
        <v>959</v>
      </c>
      <c r="M592" t="s">
        <v>22</v>
      </c>
      <c r="N592" t="s">
        <v>22</v>
      </c>
      <c r="O592" t="s">
        <v>44</v>
      </c>
      <c r="P592" t="s">
        <v>23</v>
      </c>
      <c r="Q592" s="1">
        <f>SEGUIMIENTO_TPM_xlsx[[#This Row],[HORA FIN  INTERVENCIÓN]]-SEGUIMIENTO_TPM_xlsx[[#This Row],[HORA INICIO INTERVENCIÓN]]</f>
        <v>2.0833333333333315E-2</v>
      </c>
      <c r="R592" s="20">
        <f>(SEGUIMIENTO_TPM_xlsx[[#This Row],[HORA REPORTE]]+SEGUIMIENTO_TPM_xlsx[[#This Row],[FECHA DE REPORTE]])</f>
        <v>46043.430555555555</v>
      </c>
      <c r="S592" s="20">
        <f>(SEGUIMIENTO_TPM_xlsx[[#This Row],[FECHA DE INTERVENCÓN]]+SEGUIMIENTO_TPM_xlsx[[#This Row],[HORA FIN  INTERVENCIÓN]])</f>
        <v>46043.451388888891</v>
      </c>
      <c r="T592" s="11">
        <f>(SEGUIMIENTO_TPM_xlsx[[#This Row],[FECHA Y HORA FINAL]]-SEGUIMIENTO_TPM_xlsx[[#This Row],[FECHA Y HORA INICIO]])</f>
        <v>2.0833333335758653E-2</v>
      </c>
    </row>
    <row r="593" spans="1:20" x14ac:dyDescent="0.25">
      <c r="A593">
        <v>601</v>
      </c>
      <c r="B593" t="s">
        <v>261</v>
      </c>
      <c r="C593" s="1">
        <v>0.41666666666666669</v>
      </c>
      <c r="D593" s="2">
        <v>46043</v>
      </c>
      <c r="E593" t="s">
        <v>91</v>
      </c>
      <c r="G593" t="s">
        <v>960</v>
      </c>
      <c r="H593" s="1">
        <v>0.41666666666666669</v>
      </c>
      <c r="I593" s="1">
        <v>0.4201388888888889</v>
      </c>
      <c r="J593" s="2">
        <v>46043</v>
      </c>
      <c r="K593" t="s">
        <v>20</v>
      </c>
      <c r="L593" t="s">
        <v>961</v>
      </c>
      <c r="M593" t="s">
        <v>22</v>
      </c>
      <c r="N593" t="s">
        <v>22</v>
      </c>
      <c r="O593" t="s">
        <v>268</v>
      </c>
      <c r="P593" t="s">
        <v>23</v>
      </c>
      <c r="Q593" s="1">
        <f>SEGUIMIENTO_TPM_xlsx[[#This Row],[HORA FIN  INTERVENCIÓN]]-SEGUIMIENTO_TPM_xlsx[[#This Row],[HORA INICIO INTERVENCIÓN]]</f>
        <v>3.4722222222222099E-3</v>
      </c>
      <c r="R593" s="20">
        <f>(SEGUIMIENTO_TPM_xlsx[[#This Row],[HORA REPORTE]]+SEGUIMIENTO_TPM_xlsx[[#This Row],[FECHA DE REPORTE]])</f>
        <v>46043.416666666664</v>
      </c>
      <c r="S593" s="20">
        <f>(SEGUIMIENTO_TPM_xlsx[[#This Row],[FECHA DE INTERVENCÓN]]+SEGUIMIENTO_TPM_xlsx[[#This Row],[HORA FIN  INTERVENCIÓN]])</f>
        <v>46043.420138888891</v>
      </c>
      <c r="T593" s="11">
        <f>(SEGUIMIENTO_TPM_xlsx[[#This Row],[FECHA Y HORA FINAL]]-SEGUIMIENTO_TPM_xlsx[[#This Row],[FECHA Y HORA INICIO]])</f>
        <v>3.4722222262644209E-3</v>
      </c>
    </row>
    <row r="594" spans="1:20" x14ac:dyDescent="0.25">
      <c r="A594">
        <v>602</v>
      </c>
      <c r="B594" t="s">
        <v>261</v>
      </c>
      <c r="C594" s="1">
        <v>0.59027777777777779</v>
      </c>
      <c r="D594" s="2">
        <v>46043</v>
      </c>
      <c r="E594" t="s">
        <v>91</v>
      </c>
      <c r="G594" t="s">
        <v>962</v>
      </c>
      <c r="H594" s="1">
        <v>0.59027777777777779</v>
      </c>
      <c r="I594" s="1">
        <v>0.63888888888888884</v>
      </c>
      <c r="J594" s="2">
        <v>46043</v>
      </c>
      <c r="K594" t="s">
        <v>775</v>
      </c>
      <c r="L594" t="s">
        <v>963</v>
      </c>
      <c r="M594" t="s">
        <v>22</v>
      </c>
      <c r="N594" t="s">
        <v>22</v>
      </c>
      <c r="O594" t="s">
        <v>112</v>
      </c>
      <c r="P594" t="s">
        <v>23</v>
      </c>
      <c r="Q594" s="1">
        <f>SEGUIMIENTO_TPM_xlsx[[#This Row],[HORA FIN  INTERVENCIÓN]]-SEGUIMIENTO_TPM_xlsx[[#This Row],[HORA INICIO INTERVENCIÓN]]</f>
        <v>4.8611111111111049E-2</v>
      </c>
      <c r="R594" s="20">
        <f>(SEGUIMIENTO_TPM_xlsx[[#This Row],[HORA REPORTE]]+SEGUIMIENTO_TPM_xlsx[[#This Row],[FECHA DE REPORTE]])</f>
        <v>46043.590277777781</v>
      </c>
      <c r="S594" s="20">
        <f>(SEGUIMIENTO_TPM_xlsx[[#This Row],[FECHA DE INTERVENCÓN]]+SEGUIMIENTO_TPM_xlsx[[#This Row],[HORA FIN  INTERVENCIÓN]])</f>
        <v>46043.638888888891</v>
      </c>
      <c r="T594" s="11">
        <f>(SEGUIMIENTO_TPM_xlsx[[#This Row],[FECHA Y HORA FINAL]]-SEGUIMIENTO_TPM_xlsx[[#This Row],[FECHA Y HORA INICIO]])</f>
        <v>4.8611111109494232E-2</v>
      </c>
    </row>
    <row r="595" spans="1:20" x14ac:dyDescent="0.25">
      <c r="A595">
        <v>603</v>
      </c>
      <c r="B595" t="s">
        <v>113</v>
      </c>
      <c r="C595" s="1">
        <v>0.77083333333333337</v>
      </c>
      <c r="D595" s="2">
        <v>46043</v>
      </c>
      <c r="E595" t="s">
        <v>782</v>
      </c>
      <c r="G595" t="s">
        <v>964</v>
      </c>
      <c r="H595" s="1">
        <v>0.77083333333333337</v>
      </c>
      <c r="I595" s="1">
        <v>0.79166666666666663</v>
      </c>
      <c r="J595" s="2">
        <v>46043</v>
      </c>
      <c r="K595" t="s">
        <v>25</v>
      </c>
      <c r="L595" t="s">
        <v>965</v>
      </c>
      <c r="M595" t="s">
        <v>22</v>
      </c>
      <c r="N595" t="s">
        <v>22</v>
      </c>
      <c r="O595" t="s">
        <v>112</v>
      </c>
      <c r="P595" t="s">
        <v>23</v>
      </c>
      <c r="Q595" s="1">
        <f>SEGUIMIENTO_TPM_xlsx[[#This Row],[HORA FIN  INTERVENCIÓN]]-SEGUIMIENTO_TPM_xlsx[[#This Row],[HORA INICIO INTERVENCIÓN]]</f>
        <v>2.0833333333333259E-2</v>
      </c>
      <c r="R595" s="20">
        <f>(SEGUIMIENTO_TPM_xlsx[[#This Row],[HORA REPORTE]]+SEGUIMIENTO_TPM_xlsx[[#This Row],[FECHA DE REPORTE]])</f>
        <v>46043.770833333336</v>
      </c>
      <c r="S595" s="20">
        <f>(SEGUIMIENTO_TPM_xlsx[[#This Row],[FECHA DE INTERVENCÓN]]+SEGUIMIENTO_TPM_xlsx[[#This Row],[HORA FIN  INTERVENCIÓN]])</f>
        <v>46043.791666666664</v>
      </c>
      <c r="T595" s="11">
        <f>(SEGUIMIENTO_TPM_xlsx[[#This Row],[FECHA Y HORA FINAL]]-SEGUIMIENTO_TPM_xlsx[[#This Row],[FECHA Y HORA INICIO]])</f>
        <v>2.0833333328482695E-2</v>
      </c>
    </row>
    <row r="596" spans="1:20" x14ac:dyDescent="0.25">
      <c r="A596">
        <v>604</v>
      </c>
      <c r="B596" t="s">
        <v>192</v>
      </c>
      <c r="C596" s="1">
        <v>9.7222222222222224E-2</v>
      </c>
      <c r="D596" s="2">
        <v>46044</v>
      </c>
      <c r="E596" t="s">
        <v>162</v>
      </c>
      <c r="F596" t="s">
        <v>18</v>
      </c>
      <c r="G596" t="s">
        <v>966</v>
      </c>
      <c r="H596" s="1">
        <v>9.7222222222222224E-2</v>
      </c>
      <c r="I596" s="1">
        <v>0.14583333333333334</v>
      </c>
      <c r="J596" s="2">
        <v>46043</v>
      </c>
      <c r="K596" t="s">
        <v>25</v>
      </c>
      <c r="L596" t="s">
        <v>967</v>
      </c>
      <c r="M596" t="s">
        <v>22</v>
      </c>
      <c r="N596" t="s">
        <v>22</v>
      </c>
      <c r="O596" t="s">
        <v>108</v>
      </c>
      <c r="P596" t="s">
        <v>23</v>
      </c>
      <c r="Q596" s="1">
        <f>SEGUIMIENTO_TPM_xlsx[[#This Row],[HORA FIN  INTERVENCIÓN]]-SEGUIMIENTO_TPM_xlsx[[#This Row],[HORA INICIO INTERVENCIÓN]]</f>
        <v>4.8611111111111119E-2</v>
      </c>
      <c r="R596" s="20">
        <f>(SEGUIMIENTO_TPM_xlsx[[#This Row],[HORA REPORTE]]+SEGUIMIENTO_TPM_xlsx[[#This Row],[FECHA DE REPORTE]])</f>
        <v>46044.097222222219</v>
      </c>
      <c r="S596" s="20">
        <f>(SEGUIMIENTO_TPM_xlsx[[#This Row],[FECHA DE INTERVENCÓN]]+SEGUIMIENTO_TPM_xlsx[[#This Row],[HORA FIN  INTERVENCIÓN]])</f>
        <v>46043.145833333336</v>
      </c>
      <c r="T596" s="11">
        <f>(SEGUIMIENTO_TPM_xlsx[[#This Row],[FECHA Y HORA FINAL]]-SEGUIMIENTO_TPM_xlsx[[#This Row],[FECHA Y HORA INICIO]])</f>
        <v>-0.95138888888322981</v>
      </c>
    </row>
    <row r="597" spans="1:20" x14ac:dyDescent="0.25">
      <c r="A597">
        <v>605</v>
      </c>
      <c r="B597" t="s">
        <v>256</v>
      </c>
      <c r="C597" s="1"/>
      <c r="D597" s="2">
        <v>46044</v>
      </c>
      <c r="E597" t="s">
        <v>17</v>
      </c>
      <c r="F597" t="s">
        <v>650</v>
      </c>
      <c r="G597" t="s">
        <v>968</v>
      </c>
      <c r="H597" s="1"/>
      <c r="I597" s="1">
        <v>0.10069444444444445</v>
      </c>
      <c r="J597" s="2">
        <v>46044</v>
      </c>
      <c r="K597" t="s">
        <v>25</v>
      </c>
      <c r="L597" t="s">
        <v>969</v>
      </c>
      <c r="M597" t="s">
        <v>970</v>
      </c>
      <c r="N597" t="s">
        <v>22</v>
      </c>
      <c r="O597" t="s">
        <v>108</v>
      </c>
      <c r="P597" t="s">
        <v>23</v>
      </c>
      <c r="Q597" s="1">
        <f>SEGUIMIENTO_TPM_xlsx[[#This Row],[HORA FIN  INTERVENCIÓN]]-SEGUIMIENTO_TPM_xlsx[[#This Row],[HORA INICIO INTERVENCIÓN]]</f>
        <v>0.10069444444444445</v>
      </c>
      <c r="R597" s="20">
        <f>(SEGUIMIENTO_TPM_xlsx[[#This Row],[HORA REPORTE]]+SEGUIMIENTO_TPM_xlsx[[#This Row],[FECHA DE REPORTE]])</f>
        <v>46044</v>
      </c>
      <c r="S597" s="20">
        <f>(SEGUIMIENTO_TPM_xlsx[[#This Row],[FECHA DE INTERVENCÓN]]+SEGUIMIENTO_TPM_xlsx[[#This Row],[HORA FIN  INTERVENCIÓN]])</f>
        <v>46044.100694444445</v>
      </c>
      <c r="T597" s="11">
        <f>(SEGUIMIENTO_TPM_xlsx[[#This Row],[FECHA Y HORA FINAL]]-SEGUIMIENTO_TPM_xlsx[[#This Row],[FECHA Y HORA INICIO]])</f>
        <v>0.10069444444525288</v>
      </c>
    </row>
    <row r="598" spans="1:20" x14ac:dyDescent="0.25">
      <c r="A598">
        <v>606</v>
      </c>
      <c r="B598" t="s">
        <v>16</v>
      </c>
      <c r="C598" s="1">
        <v>0.29166666666666669</v>
      </c>
      <c r="D598" s="2">
        <v>46044</v>
      </c>
      <c r="E598" t="s">
        <v>116</v>
      </c>
      <c r="F598" t="s">
        <v>18</v>
      </c>
      <c r="G598" t="s">
        <v>971</v>
      </c>
      <c r="H598" s="1"/>
      <c r="I598" s="1"/>
      <c r="J598" s="2"/>
      <c r="P598" t="s">
        <v>33</v>
      </c>
      <c r="Q598" s="1">
        <f>SEGUIMIENTO_TPM_xlsx[[#This Row],[HORA FIN  INTERVENCIÓN]]-SEGUIMIENTO_TPM_xlsx[[#This Row],[HORA INICIO INTERVENCIÓN]]</f>
        <v>0</v>
      </c>
      <c r="R598" s="20">
        <f>(SEGUIMIENTO_TPM_xlsx[[#This Row],[HORA REPORTE]]+SEGUIMIENTO_TPM_xlsx[[#This Row],[FECHA DE REPORTE]])</f>
        <v>46044.291666666664</v>
      </c>
      <c r="S598" s="20">
        <f>(SEGUIMIENTO_TPM_xlsx[[#This Row],[FECHA DE INTERVENCÓN]]+SEGUIMIENTO_TPM_xlsx[[#This Row],[HORA FIN  INTERVENCIÓN]])</f>
        <v>0</v>
      </c>
      <c r="T598" s="11">
        <f>(SEGUIMIENTO_TPM_xlsx[[#This Row],[FECHA Y HORA FINAL]]-SEGUIMIENTO_TPM_xlsx[[#This Row],[FECHA Y HORA INICIO]])</f>
        <v>-46044.291666666664</v>
      </c>
    </row>
    <row r="599" spans="1:20" x14ac:dyDescent="0.25">
      <c r="A599">
        <v>607</v>
      </c>
      <c r="B599" t="s">
        <v>16</v>
      </c>
      <c r="C599" s="1">
        <v>0.29166666666666669</v>
      </c>
      <c r="D599" s="2">
        <v>46044</v>
      </c>
      <c r="E599" t="s">
        <v>116</v>
      </c>
      <c r="F599" t="s">
        <v>18</v>
      </c>
      <c r="G599" t="s">
        <v>972</v>
      </c>
      <c r="H599" s="1"/>
      <c r="I599" s="1"/>
      <c r="J599" s="2"/>
      <c r="P599" t="s">
        <v>33</v>
      </c>
      <c r="Q599" s="1">
        <f>SEGUIMIENTO_TPM_xlsx[[#This Row],[HORA FIN  INTERVENCIÓN]]-SEGUIMIENTO_TPM_xlsx[[#This Row],[HORA INICIO INTERVENCIÓN]]</f>
        <v>0</v>
      </c>
      <c r="R599" s="20">
        <f>(SEGUIMIENTO_TPM_xlsx[[#This Row],[HORA REPORTE]]+SEGUIMIENTO_TPM_xlsx[[#This Row],[FECHA DE REPORTE]])</f>
        <v>46044.291666666664</v>
      </c>
      <c r="S599" s="20">
        <f>(SEGUIMIENTO_TPM_xlsx[[#This Row],[FECHA DE INTERVENCÓN]]+SEGUIMIENTO_TPM_xlsx[[#This Row],[HORA FIN  INTERVENCIÓN]])</f>
        <v>0</v>
      </c>
      <c r="T599" s="11">
        <f>(SEGUIMIENTO_TPM_xlsx[[#This Row],[FECHA Y HORA FINAL]]-SEGUIMIENTO_TPM_xlsx[[#This Row],[FECHA Y HORA INICIO]])</f>
        <v>-46044.291666666664</v>
      </c>
    </row>
    <row r="600" spans="1:20" x14ac:dyDescent="0.25">
      <c r="A600">
        <v>608</v>
      </c>
      <c r="B600" t="s">
        <v>16</v>
      </c>
      <c r="C600" s="1">
        <v>0.47569444444444442</v>
      </c>
      <c r="D600" s="2">
        <v>46044</v>
      </c>
      <c r="E600" t="s">
        <v>116</v>
      </c>
      <c r="G600" t="s">
        <v>973</v>
      </c>
      <c r="H600" s="1">
        <v>0.47916666666666669</v>
      </c>
      <c r="I600" s="1">
        <v>0.50694444444444442</v>
      </c>
      <c r="J600" s="2">
        <v>46044</v>
      </c>
      <c r="K600" t="s">
        <v>20</v>
      </c>
      <c r="L600" t="s">
        <v>974</v>
      </c>
      <c r="M600" t="s">
        <v>722</v>
      </c>
      <c r="N600" t="s">
        <v>22</v>
      </c>
      <c r="O600" t="s">
        <v>661</v>
      </c>
      <c r="P600" t="s">
        <v>23</v>
      </c>
      <c r="Q600" s="1">
        <f>SEGUIMIENTO_TPM_xlsx[[#This Row],[HORA FIN  INTERVENCIÓN]]-SEGUIMIENTO_TPM_xlsx[[#This Row],[HORA INICIO INTERVENCIÓN]]</f>
        <v>2.7777777777777735E-2</v>
      </c>
      <c r="R600" s="20">
        <f>(SEGUIMIENTO_TPM_xlsx[[#This Row],[HORA REPORTE]]+SEGUIMIENTO_TPM_xlsx[[#This Row],[FECHA DE REPORTE]])</f>
        <v>46044.475694444445</v>
      </c>
      <c r="S600" s="20">
        <f>(SEGUIMIENTO_TPM_xlsx[[#This Row],[FECHA DE INTERVENCÓN]]+SEGUIMIENTO_TPM_xlsx[[#This Row],[HORA FIN  INTERVENCIÓN]])</f>
        <v>46044.506944444445</v>
      </c>
      <c r="T600" s="11">
        <f>(SEGUIMIENTO_TPM_xlsx[[#This Row],[FECHA Y HORA FINAL]]-SEGUIMIENTO_TPM_xlsx[[#This Row],[FECHA Y HORA INICIO]])</f>
        <v>3.125E-2</v>
      </c>
    </row>
    <row r="601" spans="1:20" x14ac:dyDescent="0.25">
      <c r="A601">
        <v>609</v>
      </c>
      <c r="B601" t="s">
        <v>16</v>
      </c>
      <c r="C601" s="1">
        <v>0.52083333333333337</v>
      </c>
      <c r="D601" s="2">
        <v>46044</v>
      </c>
      <c r="E601" t="s">
        <v>185</v>
      </c>
      <c r="G601" t="s">
        <v>975</v>
      </c>
      <c r="H601" s="1">
        <v>0.52222222222222225</v>
      </c>
      <c r="I601" s="1">
        <v>0.55208333333333337</v>
      </c>
      <c r="J601" s="2">
        <v>46044</v>
      </c>
      <c r="K601" t="s">
        <v>20</v>
      </c>
      <c r="L601" t="s">
        <v>976</v>
      </c>
      <c r="M601" t="s">
        <v>22</v>
      </c>
      <c r="N601" t="s">
        <v>22</v>
      </c>
      <c r="O601" t="s">
        <v>661</v>
      </c>
      <c r="P601" t="s">
        <v>23</v>
      </c>
      <c r="Q601" s="1">
        <f>SEGUIMIENTO_TPM_xlsx[[#This Row],[HORA FIN  INTERVENCIÓN]]-SEGUIMIENTO_TPM_xlsx[[#This Row],[HORA INICIO INTERVENCIÓN]]</f>
        <v>2.9861111111111116E-2</v>
      </c>
      <c r="R601" s="20">
        <f>(SEGUIMIENTO_TPM_xlsx[[#This Row],[HORA REPORTE]]+SEGUIMIENTO_TPM_xlsx[[#This Row],[FECHA DE REPORTE]])</f>
        <v>46044.520833333336</v>
      </c>
      <c r="S601" s="20">
        <f>(SEGUIMIENTO_TPM_xlsx[[#This Row],[FECHA DE INTERVENCÓN]]+SEGUIMIENTO_TPM_xlsx[[#This Row],[HORA FIN  INTERVENCIÓN]])</f>
        <v>46044.552083333336</v>
      </c>
      <c r="T601" s="11">
        <f>(SEGUIMIENTO_TPM_xlsx[[#This Row],[FECHA Y HORA FINAL]]-SEGUIMIENTO_TPM_xlsx[[#This Row],[FECHA Y HORA INICIO]])</f>
        <v>3.125E-2</v>
      </c>
    </row>
    <row r="602" spans="1:20" x14ac:dyDescent="0.25">
      <c r="A602">
        <v>610</v>
      </c>
      <c r="B602" t="s">
        <v>93</v>
      </c>
      <c r="C602" s="1">
        <v>0.58333333333333337</v>
      </c>
      <c r="D602" s="2">
        <v>46044</v>
      </c>
      <c r="E602" t="s">
        <v>185</v>
      </c>
      <c r="G602" t="s">
        <v>977</v>
      </c>
      <c r="H602" s="1">
        <v>0.59375</v>
      </c>
      <c r="I602" s="1">
        <v>0.61458333333333337</v>
      </c>
      <c r="J602" s="2">
        <v>46044</v>
      </c>
      <c r="K602" t="s">
        <v>25</v>
      </c>
      <c r="L602" t="s">
        <v>978</v>
      </c>
      <c r="M602" t="s">
        <v>22</v>
      </c>
      <c r="N602" t="s">
        <v>22</v>
      </c>
      <c r="O602" t="s">
        <v>44</v>
      </c>
      <c r="P602" t="s">
        <v>23</v>
      </c>
      <c r="Q602" s="1">
        <f>SEGUIMIENTO_TPM_xlsx[[#This Row],[HORA FIN  INTERVENCIÓN]]-SEGUIMIENTO_TPM_xlsx[[#This Row],[HORA INICIO INTERVENCIÓN]]</f>
        <v>2.083333333333337E-2</v>
      </c>
      <c r="R602" s="20">
        <f>(SEGUIMIENTO_TPM_xlsx[[#This Row],[HORA REPORTE]]+SEGUIMIENTO_TPM_xlsx[[#This Row],[FECHA DE REPORTE]])</f>
        <v>46044.583333333336</v>
      </c>
      <c r="S602" s="20">
        <f>(SEGUIMIENTO_TPM_xlsx[[#This Row],[FECHA DE INTERVENCÓN]]+SEGUIMIENTO_TPM_xlsx[[#This Row],[HORA FIN  INTERVENCIÓN]])</f>
        <v>46044.614583333336</v>
      </c>
      <c r="T602" s="11">
        <f>(SEGUIMIENTO_TPM_xlsx[[#This Row],[FECHA Y HORA FINAL]]-SEGUIMIENTO_TPM_xlsx[[#This Row],[FECHA Y HORA INICIO]])</f>
        <v>3.125E-2</v>
      </c>
    </row>
    <row r="603" spans="1:20" x14ac:dyDescent="0.25">
      <c r="A603">
        <v>611</v>
      </c>
      <c r="B603" t="s">
        <v>164</v>
      </c>
      <c r="C603" s="1">
        <v>0.15277777777777779</v>
      </c>
      <c r="D603" s="2">
        <v>46045</v>
      </c>
      <c r="E603" t="s">
        <v>143</v>
      </c>
      <c r="G603" t="s">
        <v>979</v>
      </c>
      <c r="H603" s="1">
        <v>0.15277777777777779</v>
      </c>
      <c r="I603" s="1">
        <v>0.16666666666666666</v>
      </c>
      <c r="J603" s="2">
        <v>46045</v>
      </c>
      <c r="K603" t="s">
        <v>980</v>
      </c>
      <c r="L603" t="s">
        <v>981</v>
      </c>
      <c r="M603" t="s">
        <v>22</v>
      </c>
      <c r="N603" t="s">
        <v>22</v>
      </c>
      <c r="O603" t="s">
        <v>112</v>
      </c>
      <c r="P603" t="s">
        <v>23</v>
      </c>
      <c r="Q603" s="1">
        <f>SEGUIMIENTO_TPM_xlsx[[#This Row],[HORA FIN  INTERVENCIÓN]]-SEGUIMIENTO_TPM_xlsx[[#This Row],[HORA INICIO INTERVENCIÓN]]</f>
        <v>1.3888888888888867E-2</v>
      </c>
      <c r="R603" s="20">
        <f>(SEGUIMIENTO_TPM_xlsx[[#This Row],[HORA REPORTE]]+SEGUIMIENTO_TPM_xlsx[[#This Row],[FECHA DE REPORTE]])</f>
        <v>46045.152777777781</v>
      </c>
      <c r="S603" s="20">
        <f>(SEGUIMIENTO_TPM_xlsx[[#This Row],[FECHA DE INTERVENCÓN]]+SEGUIMIENTO_TPM_xlsx[[#This Row],[HORA FIN  INTERVENCIÓN]])</f>
        <v>46045.166666666664</v>
      </c>
      <c r="T603" s="11">
        <f>(SEGUIMIENTO_TPM_xlsx[[#This Row],[FECHA Y HORA FINAL]]-SEGUIMIENTO_TPM_xlsx[[#This Row],[FECHA Y HORA INICIO]])</f>
        <v>1.3888888883229811E-2</v>
      </c>
    </row>
    <row r="604" spans="1:20" x14ac:dyDescent="0.25">
      <c r="A604">
        <v>612</v>
      </c>
      <c r="B604" t="s">
        <v>630</v>
      </c>
      <c r="C604" s="1">
        <v>0.16666666666666666</v>
      </c>
      <c r="D604" s="2">
        <v>46045</v>
      </c>
      <c r="G604" t="s">
        <v>982</v>
      </c>
      <c r="H604" s="1">
        <v>0.16666666666666666</v>
      </c>
      <c r="I604" s="1">
        <v>0.1875</v>
      </c>
      <c r="J604" s="2">
        <v>46045</v>
      </c>
      <c r="K604" t="s">
        <v>25</v>
      </c>
      <c r="L604" t="s">
        <v>983</v>
      </c>
      <c r="M604" t="s">
        <v>984</v>
      </c>
      <c r="N604" t="s">
        <v>205</v>
      </c>
      <c r="O604" t="s">
        <v>112</v>
      </c>
      <c r="P604" t="s">
        <v>23</v>
      </c>
      <c r="Q604" s="1">
        <f>SEGUIMIENTO_TPM_xlsx[[#This Row],[HORA FIN  INTERVENCIÓN]]-SEGUIMIENTO_TPM_xlsx[[#This Row],[HORA INICIO INTERVENCIÓN]]</f>
        <v>2.0833333333333343E-2</v>
      </c>
      <c r="R604" s="20">
        <f>(SEGUIMIENTO_TPM_xlsx[[#This Row],[HORA REPORTE]]+SEGUIMIENTO_TPM_xlsx[[#This Row],[FECHA DE REPORTE]])</f>
        <v>46045.166666666664</v>
      </c>
      <c r="S604" s="20">
        <f>(SEGUIMIENTO_TPM_xlsx[[#This Row],[FECHA DE INTERVENCÓN]]+SEGUIMIENTO_TPM_xlsx[[#This Row],[HORA FIN  INTERVENCIÓN]])</f>
        <v>46045.1875</v>
      </c>
      <c r="T604" s="11">
        <f>(SEGUIMIENTO_TPM_xlsx[[#This Row],[FECHA Y HORA FINAL]]-SEGUIMIENTO_TPM_xlsx[[#This Row],[FECHA Y HORA INICIO]])</f>
        <v>2.0833333335758653E-2</v>
      </c>
    </row>
    <row r="605" spans="1:20" x14ac:dyDescent="0.25">
      <c r="A605">
        <v>613</v>
      </c>
      <c r="B605" t="s">
        <v>113</v>
      </c>
      <c r="C605" s="1">
        <v>0.28125</v>
      </c>
      <c r="D605" s="2">
        <v>46045</v>
      </c>
      <c r="E605" t="s">
        <v>147</v>
      </c>
      <c r="F605" t="s">
        <v>18</v>
      </c>
      <c r="G605" t="s">
        <v>985</v>
      </c>
      <c r="H605" s="1">
        <v>0.29166666666666669</v>
      </c>
      <c r="I605" s="1">
        <v>0.34027777777777779</v>
      </c>
      <c r="J605" s="2">
        <v>46045</v>
      </c>
      <c r="K605" t="s">
        <v>25</v>
      </c>
      <c r="L605" t="s">
        <v>986</v>
      </c>
      <c r="M605" t="s">
        <v>987</v>
      </c>
      <c r="N605" t="s">
        <v>22</v>
      </c>
      <c r="O605" t="s">
        <v>661</v>
      </c>
      <c r="P605" t="s">
        <v>23</v>
      </c>
      <c r="Q605" s="1">
        <f>SEGUIMIENTO_TPM_xlsx[[#This Row],[HORA FIN  INTERVENCIÓN]]-SEGUIMIENTO_TPM_xlsx[[#This Row],[HORA INICIO INTERVENCIÓN]]</f>
        <v>4.8611111111111105E-2</v>
      </c>
      <c r="R605" s="20">
        <f>(SEGUIMIENTO_TPM_xlsx[[#This Row],[HORA REPORTE]]+SEGUIMIENTO_TPM_xlsx[[#This Row],[FECHA DE REPORTE]])</f>
        <v>46045.28125</v>
      </c>
      <c r="S605" s="20">
        <f>(SEGUIMIENTO_TPM_xlsx[[#This Row],[FECHA DE INTERVENCÓN]]+SEGUIMIENTO_TPM_xlsx[[#This Row],[HORA FIN  INTERVENCIÓN]])</f>
        <v>46045.340277777781</v>
      </c>
      <c r="T605" s="11">
        <f>(SEGUIMIENTO_TPM_xlsx[[#This Row],[FECHA Y HORA FINAL]]-SEGUIMIENTO_TPM_xlsx[[#This Row],[FECHA Y HORA INICIO]])</f>
        <v>5.9027777781011537E-2</v>
      </c>
    </row>
    <row r="606" spans="1:20" x14ac:dyDescent="0.25">
      <c r="A606">
        <v>614</v>
      </c>
      <c r="C606" s="1"/>
      <c r="D606" s="2"/>
      <c r="H606" s="1"/>
      <c r="I606" s="1"/>
      <c r="J606" s="2"/>
      <c r="Q606" s="1">
        <f>SEGUIMIENTO_TPM_xlsx[[#This Row],[HORA FIN  INTERVENCIÓN]]-SEGUIMIENTO_TPM_xlsx[[#This Row],[HORA INICIO INTERVENCIÓN]]</f>
        <v>0</v>
      </c>
      <c r="R606" s="20">
        <f>(SEGUIMIENTO_TPM_xlsx[[#This Row],[HORA REPORTE]]+SEGUIMIENTO_TPM_xlsx[[#This Row],[FECHA DE REPORTE]])</f>
        <v>0</v>
      </c>
      <c r="S606" s="20">
        <f>(SEGUIMIENTO_TPM_xlsx[[#This Row],[FECHA DE INTERVENCÓN]]+SEGUIMIENTO_TPM_xlsx[[#This Row],[HORA FIN  INTERVENCIÓN]])</f>
        <v>0</v>
      </c>
      <c r="T606" s="11">
        <f>(SEGUIMIENTO_TPM_xlsx[[#This Row],[FECHA Y HORA FINAL]]-SEGUIMIENTO_TPM_xlsx[[#This Row],[FECHA Y HORA INICIO]])</f>
        <v>0</v>
      </c>
    </row>
    <row r="607" spans="1:20" x14ac:dyDescent="0.25">
      <c r="A607">
        <v>615</v>
      </c>
      <c r="B607" t="s">
        <v>192</v>
      </c>
      <c r="C607" s="1">
        <v>2.0833333333333332E-2</v>
      </c>
      <c r="D607" s="2">
        <v>46046</v>
      </c>
      <c r="E607" t="s">
        <v>162</v>
      </c>
      <c r="G607" t="s">
        <v>988</v>
      </c>
      <c r="H607" s="1">
        <v>2.0833333333333332E-2</v>
      </c>
      <c r="I607" s="1">
        <v>4.1666666666666664E-2</v>
      </c>
      <c r="J607" s="2">
        <v>46046</v>
      </c>
      <c r="K607" t="s">
        <v>25</v>
      </c>
      <c r="L607" t="s">
        <v>989</v>
      </c>
      <c r="M607" t="s">
        <v>22</v>
      </c>
      <c r="N607" t="s">
        <v>22</v>
      </c>
      <c r="O607" t="s">
        <v>112</v>
      </c>
      <c r="P607" t="s">
        <v>23</v>
      </c>
      <c r="Q607" s="1">
        <f>SEGUIMIENTO_TPM_xlsx[[#This Row],[HORA FIN  INTERVENCIÓN]]-SEGUIMIENTO_TPM_xlsx[[#This Row],[HORA INICIO INTERVENCIÓN]]</f>
        <v>2.0833333333333332E-2</v>
      </c>
      <c r="R607" s="20">
        <f>(SEGUIMIENTO_TPM_xlsx[[#This Row],[HORA REPORTE]]+SEGUIMIENTO_TPM_xlsx[[#This Row],[FECHA DE REPORTE]])</f>
        <v>46046.020833333336</v>
      </c>
      <c r="S607" s="20">
        <f>(SEGUIMIENTO_TPM_xlsx[[#This Row],[FECHA DE INTERVENCÓN]]+SEGUIMIENTO_TPM_xlsx[[#This Row],[HORA FIN  INTERVENCIÓN]])</f>
        <v>46046.041666666664</v>
      </c>
      <c r="T607" s="11">
        <f>(SEGUIMIENTO_TPM_xlsx[[#This Row],[FECHA Y HORA FINAL]]-SEGUIMIENTO_TPM_xlsx[[#This Row],[FECHA Y HORA INICIO]])</f>
        <v>2.0833333328482695E-2</v>
      </c>
    </row>
    <row r="608" spans="1:20" x14ac:dyDescent="0.25">
      <c r="A608">
        <v>616</v>
      </c>
      <c r="B608" t="s">
        <v>103</v>
      </c>
      <c r="C608" s="1">
        <v>0.74305555555555558</v>
      </c>
      <c r="D608" s="2">
        <v>46046</v>
      </c>
      <c r="E608" t="s">
        <v>188</v>
      </c>
      <c r="F608" t="s">
        <v>650</v>
      </c>
      <c r="G608" t="s">
        <v>990</v>
      </c>
      <c r="H608" s="1">
        <v>0.74305555555555558</v>
      </c>
      <c r="I608" s="1">
        <v>0.75</v>
      </c>
      <c r="J608" s="2">
        <v>46046</v>
      </c>
      <c r="K608" t="s">
        <v>20</v>
      </c>
      <c r="L608" t="s">
        <v>991</v>
      </c>
      <c r="M608" t="s">
        <v>22</v>
      </c>
      <c r="N608" t="s">
        <v>22</v>
      </c>
      <c r="O608" t="s">
        <v>108</v>
      </c>
      <c r="P608" t="s">
        <v>23</v>
      </c>
      <c r="Q608" s="1">
        <f>SEGUIMIENTO_TPM_xlsx[[#This Row],[HORA FIN  INTERVENCIÓN]]-SEGUIMIENTO_TPM_xlsx[[#This Row],[HORA INICIO INTERVENCIÓN]]</f>
        <v>6.9444444444444198E-3</v>
      </c>
      <c r="R608" s="20">
        <f>(SEGUIMIENTO_TPM_xlsx[[#This Row],[HORA REPORTE]]+SEGUIMIENTO_TPM_xlsx[[#This Row],[FECHA DE REPORTE]])</f>
        <v>46046.743055555555</v>
      </c>
      <c r="S608" s="20">
        <f>(SEGUIMIENTO_TPM_xlsx[[#This Row],[FECHA DE INTERVENCÓN]]+SEGUIMIENTO_TPM_xlsx[[#This Row],[HORA FIN  INTERVENCIÓN]])</f>
        <v>46046.75</v>
      </c>
      <c r="T608" s="11">
        <f>(SEGUIMIENTO_TPM_xlsx[[#This Row],[FECHA Y HORA FINAL]]-SEGUIMIENTO_TPM_xlsx[[#This Row],[FECHA Y HORA INICIO]])</f>
        <v>6.9444444452528842E-3</v>
      </c>
    </row>
    <row r="609" spans="1:20" x14ac:dyDescent="0.25">
      <c r="A609">
        <v>617</v>
      </c>
      <c r="C609" s="1"/>
      <c r="D609" s="2"/>
      <c r="H609" s="1"/>
      <c r="I609" s="1"/>
      <c r="J609" s="2"/>
      <c r="Q609" s="1">
        <f>SEGUIMIENTO_TPM_xlsx[[#This Row],[HORA FIN  INTERVENCIÓN]]-SEGUIMIENTO_TPM_xlsx[[#This Row],[HORA INICIO INTERVENCIÓN]]</f>
        <v>0</v>
      </c>
      <c r="R609" s="20">
        <f>(SEGUIMIENTO_TPM_xlsx[[#This Row],[HORA REPORTE]]+SEGUIMIENTO_TPM_xlsx[[#This Row],[FECHA DE REPORTE]])</f>
        <v>0</v>
      </c>
      <c r="S609" s="20">
        <f>(SEGUIMIENTO_TPM_xlsx[[#This Row],[FECHA DE INTERVENCÓN]]+SEGUIMIENTO_TPM_xlsx[[#This Row],[HORA FIN  INTERVENCIÓN]])</f>
        <v>0</v>
      </c>
      <c r="T609" s="11">
        <f>(SEGUIMIENTO_TPM_xlsx[[#This Row],[FECHA Y HORA FINAL]]-SEGUIMIENTO_TPM_xlsx[[#This Row],[FECHA Y HORA INICIO]])</f>
        <v>0</v>
      </c>
    </row>
    <row r="610" spans="1:20" x14ac:dyDescent="0.25">
      <c r="A610">
        <v>618</v>
      </c>
      <c r="B610" t="s">
        <v>261</v>
      </c>
      <c r="C610" s="1">
        <v>0.60416666666666663</v>
      </c>
      <c r="D610" s="2">
        <v>46046</v>
      </c>
      <c r="E610" t="s">
        <v>91</v>
      </c>
      <c r="G610" t="s">
        <v>992</v>
      </c>
      <c r="H610" s="1">
        <v>0.60416666666666663</v>
      </c>
      <c r="I610" s="1">
        <v>0.70138888888888884</v>
      </c>
      <c r="J610" s="2">
        <v>46046</v>
      </c>
      <c r="K610" t="s">
        <v>20</v>
      </c>
      <c r="L610" t="s">
        <v>993</v>
      </c>
      <c r="M610" t="s">
        <v>22</v>
      </c>
      <c r="N610" t="s">
        <v>22</v>
      </c>
      <c r="O610" t="s">
        <v>108</v>
      </c>
      <c r="P610" t="s">
        <v>23</v>
      </c>
      <c r="Q610" s="1">
        <f>SEGUIMIENTO_TPM_xlsx[[#This Row],[HORA FIN  INTERVENCIÓN]]-SEGUIMIENTO_TPM_xlsx[[#This Row],[HORA INICIO INTERVENCIÓN]]</f>
        <v>9.722222222222221E-2</v>
      </c>
      <c r="R610" s="20">
        <f>(SEGUIMIENTO_TPM_xlsx[[#This Row],[HORA REPORTE]]+SEGUIMIENTO_TPM_xlsx[[#This Row],[FECHA DE REPORTE]])</f>
        <v>46046.604166666664</v>
      </c>
      <c r="S610" s="20">
        <f>(SEGUIMIENTO_TPM_xlsx[[#This Row],[FECHA DE INTERVENCÓN]]+SEGUIMIENTO_TPM_xlsx[[#This Row],[HORA FIN  INTERVENCIÓN]])</f>
        <v>46046.701388888891</v>
      </c>
      <c r="T610" s="11">
        <f>(SEGUIMIENTO_TPM_xlsx[[#This Row],[FECHA Y HORA FINAL]]-SEGUIMIENTO_TPM_xlsx[[#This Row],[FECHA Y HORA INICIO]])</f>
        <v>9.7222222226264421E-2</v>
      </c>
    </row>
    <row r="611" spans="1:20" x14ac:dyDescent="0.25">
      <c r="A611">
        <v>619</v>
      </c>
      <c r="B611" t="s">
        <v>103</v>
      </c>
      <c r="C611" s="1">
        <v>0.6875</v>
      </c>
      <c r="D611" s="2">
        <v>46046</v>
      </c>
      <c r="E611" t="s">
        <v>85</v>
      </c>
      <c r="G611" t="s">
        <v>994</v>
      </c>
      <c r="H611" s="1">
        <v>0.6875</v>
      </c>
      <c r="I611" s="1">
        <v>0.71875</v>
      </c>
      <c r="J611" s="2">
        <v>46046</v>
      </c>
      <c r="K611" t="s">
        <v>20</v>
      </c>
      <c r="L611" t="s">
        <v>995</v>
      </c>
      <c r="M611" t="s">
        <v>22</v>
      </c>
      <c r="N611" t="s">
        <v>22</v>
      </c>
      <c r="O611" t="s">
        <v>108</v>
      </c>
      <c r="P611" t="s">
        <v>23</v>
      </c>
      <c r="Q611" s="1">
        <f>SEGUIMIENTO_TPM_xlsx[[#This Row],[HORA FIN  INTERVENCIÓN]]-SEGUIMIENTO_TPM_xlsx[[#This Row],[HORA INICIO INTERVENCIÓN]]</f>
        <v>3.125E-2</v>
      </c>
      <c r="R611" s="20">
        <f>(SEGUIMIENTO_TPM_xlsx[[#This Row],[HORA REPORTE]]+SEGUIMIENTO_TPM_xlsx[[#This Row],[FECHA DE REPORTE]])</f>
        <v>46046.6875</v>
      </c>
      <c r="S611" s="20">
        <f>(SEGUIMIENTO_TPM_xlsx[[#This Row],[FECHA DE INTERVENCÓN]]+SEGUIMIENTO_TPM_xlsx[[#This Row],[HORA FIN  INTERVENCIÓN]])</f>
        <v>46046.71875</v>
      </c>
      <c r="T611" s="11">
        <f>(SEGUIMIENTO_TPM_xlsx[[#This Row],[FECHA Y HORA FINAL]]-SEGUIMIENTO_TPM_xlsx[[#This Row],[FECHA Y HORA INICIO]])</f>
        <v>3.125E-2</v>
      </c>
    </row>
    <row r="612" spans="1:20" x14ac:dyDescent="0.25">
      <c r="A612">
        <v>620</v>
      </c>
      <c r="B612" t="s">
        <v>261</v>
      </c>
      <c r="C612" s="1">
        <v>0.72222222222222221</v>
      </c>
      <c r="D612" s="2">
        <v>46046</v>
      </c>
      <c r="G612" t="s">
        <v>996</v>
      </c>
      <c r="H612" s="1">
        <v>0.72222222222222221</v>
      </c>
      <c r="I612" s="1">
        <v>0.73611111111111116</v>
      </c>
      <c r="J612" s="2">
        <v>46046</v>
      </c>
      <c r="K612" t="s">
        <v>48</v>
      </c>
      <c r="L612" t="s">
        <v>997</v>
      </c>
      <c r="M612" t="s">
        <v>22</v>
      </c>
      <c r="N612" t="s">
        <v>22</v>
      </c>
      <c r="O612" t="s">
        <v>108</v>
      </c>
      <c r="P612" t="s">
        <v>23</v>
      </c>
      <c r="Q612" s="1">
        <f>SEGUIMIENTO_TPM_xlsx[[#This Row],[HORA FIN  INTERVENCIÓN]]-SEGUIMIENTO_TPM_xlsx[[#This Row],[HORA INICIO INTERVENCIÓN]]</f>
        <v>1.3888888888888951E-2</v>
      </c>
      <c r="R612" s="20">
        <f>(SEGUIMIENTO_TPM_xlsx[[#This Row],[HORA REPORTE]]+SEGUIMIENTO_TPM_xlsx[[#This Row],[FECHA DE REPORTE]])</f>
        <v>46046.722222222219</v>
      </c>
      <c r="S612" s="20">
        <f>(SEGUIMIENTO_TPM_xlsx[[#This Row],[FECHA DE INTERVENCÓN]]+SEGUIMIENTO_TPM_xlsx[[#This Row],[HORA FIN  INTERVENCIÓN]])</f>
        <v>46046.736111111109</v>
      </c>
      <c r="T612" s="11">
        <f>(SEGUIMIENTO_TPM_xlsx[[#This Row],[FECHA Y HORA FINAL]]-SEGUIMIENTO_TPM_xlsx[[#This Row],[FECHA Y HORA INICIO]])</f>
        <v>1.3888888890505768E-2</v>
      </c>
    </row>
    <row r="613" spans="1:20" x14ac:dyDescent="0.25">
      <c r="A613">
        <v>621</v>
      </c>
      <c r="C613" s="1"/>
      <c r="D613" s="2"/>
      <c r="G613" t="s">
        <v>998</v>
      </c>
      <c r="H613" s="1"/>
      <c r="I613" s="1"/>
      <c r="J613" s="2"/>
      <c r="Q613" s="1">
        <f>SEGUIMIENTO_TPM_xlsx[[#This Row],[HORA FIN  INTERVENCIÓN]]-SEGUIMIENTO_TPM_xlsx[[#This Row],[HORA INICIO INTERVENCIÓN]]</f>
        <v>0</v>
      </c>
      <c r="R613" s="20">
        <f>(SEGUIMIENTO_TPM_xlsx[[#This Row],[HORA REPORTE]]+SEGUIMIENTO_TPM_xlsx[[#This Row],[FECHA DE REPORTE]])</f>
        <v>0</v>
      </c>
      <c r="S613" s="20">
        <f>(SEGUIMIENTO_TPM_xlsx[[#This Row],[FECHA DE INTERVENCÓN]]+SEGUIMIENTO_TPM_xlsx[[#This Row],[HORA FIN  INTERVENCIÓN]])</f>
        <v>0</v>
      </c>
      <c r="T613" s="11">
        <f>(SEGUIMIENTO_TPM_xlsx[[#This Row],[FECHA Y HORA FINAL]]-SEGUIMIENTO_TPM_xlsx[[#This Row],[FECHA Y HORA INICIO]])</f>
        <v>0</v>
      </c>
    </row>
    <row r="614" spans="1:20" x14ac:dyDescent="0.25">
      <c r="A614">
        <v>622</v>
      </c>
      <c r="C614" s="1"/>
      <c r="D614" s="2"/>
      <c r="H614" s="1"/>
      <c r="I614" s="1"/>
      <c r="J614" s="2"/>
      <c r="Q614" s="1">
        <f>SEGUIMIENTO_TPM_xlsx[[#This Row],[HORA FIN  INTERVENCIÓN]]-SEGUIMIENTO_TPM_xlsx[[#This Row],[HORA INICIO INTERVENCIÓN]]</f>
        <v>0</v>
      </c>
      <c r="R614" s="20">
        <f>(SEGUIMIENTO_TPM_xlsx[[#This Row],[HORA REPORTE]]+SEGUIMIENTO_TPM_xlsx[[#This Row],[FECHA DE REPORTE]])</f>
        <v>0</v>
      </c>
      <c r="S614" s="20">
        <f>(SEGUIMIENTO_TPM_xlsx[[#This Row],[FECHA DE INTERVENCÓN]]+SEGUIMIENTO_TPM_xlsx[[#This Row],[HORA FIN  INTERVENCIÓN]])</f>
        <v>0</v>
      </c>
      <c r="T614" s="11">
        <f>(SEGUIMIENTO_TPM_xlsx[[#This Row],[FECHA Y HORA FINAL]]-SEGUIMIENTO_TPM_xlsx[[#This Row],[FECHA Y HORA INICIO]])</f>
        <v>0</v>
      </c>
    </row>
    <row r="615" spans="1:20" x14ac:dyDescent="0.25">
      <c r="A615">
        <v>623</v>
      </c>
      <c r="B615" t="s">
        <v>139</v>
      </c>
      <c r="C615" s="1">
        <v>0.22916666666666666</v>
      </c>
      <c r="D615" s="2">
        <v>46047</v>
      </c>
      <c r="E615" t="s">
        <v>188</v>
      </c>
      <c r="G615" t="s">
        <v>999</v>
      </c>
      <c r="H615" s="1">
        <v>0.22916666666666666</v>
      </c>
      <c r="I615" s="1">
        <v>0.2361111111111111</v>
      </c>
      <c r="J615" s="2">
        <v>46047</v>
      </c>
      <c r="K615" t="s">
        <v>20</v>
      </c>
      <c r="L615" t="s">
        <v>1000</v>
      </c>
      <c r="M615" t="s">
        <v>22</v>
      </c>
      <c r="N615" t="s">
        <v>22</v>
      </c>
      <c r="O615" t="s">
        <v>44</v>
      </c>
      <c r="P615" t="s">
        <v>23</v>
      </c>
      <c r="Q615" s="1">
        <f>SEGUIMIENTO_TPM_xlsx[[#This Row],[HORA FIN  INTERVENCIÓN]]-SEGUIMIENTO_TPM_xlsx[[#This Row],[HORA INICIO INTERVENCIÓN]]</f>
        <v>6.9444444444444475E-3</v>
      </c>
      <c r="R615" s="20">
        <f>(SEGUIMIENTO_TPM_xlsx[[#This Row],[HORA REPORTE]]+SEGUIMIENTO_TPM_xlsx[[#This Row],[FECHA DE REPORTE]])</f>
        <v>46047.229166666664</v>
      </c>
      <c r="S615" s="20">
        <f>(SEGUIMIENTO_TPM_xlsx[[#This Row],[FECHA DE INTERVENCÓN]]+SEGUIMIENTO_TPM_xlsx[[#This Row],[HORA FIN  INTERVENCIÓN]])</f>
        <v>46047.236111111109</v>
      </c>
      <c r="T615" s="11">
        <f>(SEGUIMIENTO_TPM_xlsx[[#This Row],[FECHA Y HORA FINAL]]-SEGUIMIENTO_TPM_xlsx[[#This Row],[FECHA Y HORA INICIO]])</f>
        <v>6.9444444452528842E-3</v>
      </c>
    </row>
    <row r="616" spans="1:20" x14ac:dyDescent="0.25">
      <c r="A616">
        <v>624</v>
      </c>
      <c r="B616" t="s">
        <v>113</v>
      </c>
      <c r="C616" s="1">
        <v>0.24166666666666667</v>
      </c>
      <c r="D616" s="2">
        <v>46047</v>
      </c>
      <c r="E616" t="s">
        <v>188</v>
      </c>
      <c r="G616" t="s">
        <v>1001</v>
      </c>
      <c r="H616" s="1">
        <v>0.25</v>
      </c>
      <c r="I616" s="1">
        <v>0.28472222222222221</v>
      </c>
      <c r="J616" s="2">
        <v>46047</v>
      </c>
      <c r="K616" t="s">
        <v>20</v>
      </c>
      <c r="L616" t="s">
        <v>1002</v>
      </c>
      <c r="M616" t="s">
        <v>22</v>
      </c>
      <c r="N616" t="s">
        <v>22</v>
      </c>
      <c r="O616" t="s">
        <v>112</v>
      </c>
      <c r="P616" t="s">
        <v>23</v>
      </c>
      <c r="Q616" s="1">
        <f>SEGUIMIENTO_TPM_xlsx[[#This Row],[HORA FIN  INTERVENCIÓN]]-SEGUIMIENTO_TPM_xlsx[[#This Row],[HORA INICIO INTERVENCIÓN]]</f>
        <v>3.472222222222221E-2</v>
      </c>
      <c r="R616" s="20">
        <f>(SEGUIMIENTO_TPM_xlsx[[#This Row],[HORA REPORTE]]+SEGUIMIENTO_TPM_xlsx[[#This Row],[FECHA DE REPORTE]])</f>
        <v>46047.241666666669</v>
      </c>
      <c r="S616" s="20">
        <f>(SEGUIMIENTO_TPM_xlsx[[#This Row],[FECHA DE INTERVENCÓN]]+SEGUIMIENTO_TPM_xlsx[[#This Row],[HORA FIN  INTERVENCIÓN]])</f>
        <v>46047.284722222219</v>
      </c>
      <c r="T616" s="11">
        <f>(SEGUIMIENTO_TPM_xlsx[[#This Row],[FECHA Y HORA FINAL]]-SEGUIMIENTO_TPM_xlsx[[#This Row],[FECHA Y HORA INICIO]])</f>
        <v>4.3055555550381541E-2</v>
      </c>
    </row>
    <row r="617" spans="1:20" x14ac:dyDescent="0.25">
      <c r="A617">
        <v>625</v>
      </c>
      <c r="B617" t="s">
        <v>1003</v>
      </c>
      <c r="C617" s="1">
        <v>0.78819444444444442</v>
      </c>
      <c r="D617" s="2">
        <v>46047</v>
      </c>
      <c r="E617" t="s">
        <v>17</v>
      </c>
      <c r="G617" t="s">
        <v>1004</v>
      </c>
      <c r="H617" s="1">
        <v>0.78819444444444442</v>
      </c>
      <c r="I617" s="1">
        <v>0.8125</v>
      </c>
      <c r="J617" s="2">
        <v>46047</v>
      </c>
      <c r="K617" t="s">
        <v>25</v>
      </c>
      <c r="L617" t="s">
        <v>1005</v>
      </c>
      <c r="M617" t="s">
        <v>1006</v>
      </c>
      <c r="N617" t="s">
        <v>22</v>
      </c>
      <c r="O617" t="s">
        <v>108</v>
      </c>
      <c r="P617" t="s">
        <v>23</v>
      </c>
      <c r="Q617" s="1">
        <f>SEGUIMIENTO_TPM_xlsx[[#This Row],[HORA FIN  INTERVENCIÓN]]-SEGUIMIENTO_TPM_xlsx[[#This Row],[HORA INICIO INTERVENCIÓN]]</f>
        <v>2.430555555555558E-2</v>
      </c>
      <c r="R617" s="20">
        <f>(SEGUIMIENTO_TPM_xlsx[[#This Row],[HORA REPORTE]]+SEGUIMIENTO_TPM_xlsx[[#This Row],[FECHA DE REPORTE]])</f>
        <v>46047.788194444445</v>
      </c>
      <c r="S617" s="20">
        <f>(SEGUIMIENTO_TPM_xlsx[[#This Row],[FECHA DE INTERVENCÓN]]+SEGUIMIENTO_TPM_xlsx[[#This Row],[HORA FIN  INTERVENCIÓN]])</f>
        <v>46047.8125</v>
      </c>
      <c r="T617" s="11">
        <f>(SEGUIMIENTO_TPM_xlsx[[#This Row],[FECHA Y HORA FINAL]]-SEGUIMIENTO_TPM_xlsx[[#This Row],[FECHA Y HORA INICIO]])</f>
        <v>2.4305555554747116E-2</v>
      </c>
    </row>
    <row r="618" spans="1:20" x14ac:dyDescent="0.25">
      <c r="A618">
        <v>626</v>
      </c>
      <c r="B618" t="s">
        <v>103</v>
      </c>
      <c r="C618" s="1"/>
      <c r="D618" s="2">
        <v>46047</v>
      </c>
      <c r="E618" t="s">
        <v>147</v>
      </c>
      <c r="F618" t="s">
        <v>650</v>
      </c>
      <c r="G618" t="s">
        <v>1007</v>
      </c>
      <c r="H618" s="1"/>
      <c r="I618" s="1"/>
      <c r="J618" s="2">
        <v>46047</v>
      </c>
      <c r="K618" t="s">
        <v>20</v>
      </c>
      <c r="L618" t="s">
        <v>1008</v>
      </c>
      <c r="M618" t="s">
        <v>22</v>
      </c>
      <c r="N618" t="s">
        <v>22</v>
      </c>
      <c r="O618" t="s">
        <v>108</v>
      </c>
      <c r="P618" t="s">
        <v>23</v>
      </c>
      <c r="Q618" s="1">
        <f>SEGUIMIENTO_TPM_xlsx[[#This Row],[HORA FIN  INTERVENCIÓN]]-SEGUIMIENTO_TPM_xlsx[[#This Row],[HORA INICIO INTERVENCIÓN]]</f>
        <v>0</v>
      </c>
      <c r="R618" s="20">
        <f>(SEGUIMIENTO_TPM_xlsx[[#This Row],[HORA REPORTE]]+SEGUIMIENTO_TPM_xlsx[[#This Row],[FECHA DE REPORTE]])</f>
        <v>46047</v>
      </c>
      <c r="S618" s="20">
        <f>(SEGUIMIENTO_TPM_xlsx[[#This Row],[FECHA DE INTERVENCÓN]]+SEGUIMIENTO_TPM_xlsx[[#This Row],[HORA FIN  INTERVENCIÓN]])</f>
        <v>46047</v>
      </c>
      <c r="T618" s="11">
        <f>(SEGUIMIENTO_TPM_xlsx[[#This Row],[FECHA Y HORA FINAL]]-SEGUIMIENTO_TPM_xlsx[[#This Row],[FECHA Y HORA INICIO]])</f>
        <v>0</v>
      </c>
    </row>
    <row r="619" spans="1:20" x14ac:dyDescent="0.25">
      <c r="A619">
        <v>627</v>
      </c>
      <c r="B619" t="s">
        <v>1003</v>
      </c>
      <c r="C619" s="1">
        <v>0.83333333333333337</v>
      </c>
      <c r="D619" s="2">
        <v>46047</v>
      </c>
      <c r="E619" t="s">
        <v>17</v>
      </c>
      <c r="G619" t="s">
        <v>1009</v>
      </c>
      <c r="H619" s="1">
        <v>0.83333333333333337</v>
      </c>
      <c r="I619" s="1"/>
      <c r="J619" s="2">
        <v>46047</v>
      </c>
      <c r="K619" t="s">
        <v>25</v>
      </c>
      <c r="L619" t="s">
        <v>1010</v>
      </c>
      <c r="M619" t="s">
        <v>1011</v>
      </c>
      <c r="N619" t="s">
        <v>205</v>
      </c>
      <c r="O619" t="s">
        <v>108</v>
      </c>
      <c r="P619" t="s">
        <v>23</v>
      </c>
      <c r="Q619" s="1">
        <f>SEGUIMIENTO_TPM_xlsx[[#This Row],[HORA FIN  INTERVENCIÓN]]-SEGUIMIENTO_TPM_xlsx[[#This Row],[HORA INICIO INTERVENCIÓN]]</f>
        <v>-0.83333333333333337</v>
      </c>
      <c r="R619" s="20">
        <f>(SEGUIMIENTO_TPM_xlsx[[#This Row],[HORA REPORTE]]+SEGUIMIENTO_TPM_xlsx[[#This Row],[FECHA DE REPORTE]])</f>
        <v>46047.833333333336</v>
      </c>
      <c r="S619" s="20">
        <f>(SEGUIMIENTO_TPM_xlsx[[#This Row],[FECHA DE INTERVENCÓN]]+SEGUIMIENTO_TPM_xlsx[[#This Row],[HORA FIN  INTERVENCIÓN]])</f>
        <v>46047</v>
      </c>
      <c r="T619" s="11">
        <f>(SEGUIMIENTO_TPM_xlsx[[#This Row],[FECHA Y HORA FINAL]]-SEGUIMIENTO_TPM_xlsx[[#This Row],[FECHA Y HORA INICIO]])</f>
        <v>-0.83333333333575865</v>
      </c>
    </row>
    <row r="620" spans="1:20" x14ac:dyDescent="0.25">
      <c r="A620">
        <v>628</v>
      </c>
      <c r="B620" t="s">
        <v>103</v>
      </c>
      <c r="C620" s="1">
        <v>4.1666666666666664E-2</v>
      </c>
      <c r="D620" s="2">
        <v>46048</v>
      </c>
      <c r="E620" t="s">
        <v>147</v>
      </c>
      <c r="F620" t="s">
        <v>650</v>
      </c>
      <c r="G620" t="s">
        <v>1012</v>
      </c>
      <c r="H620" s="1">
        <v>4.1666666666666664E-2</v>
      </c>
      <c r="I620" s="1">
        <v>5.9027777777777776E-2</v>
      </c>
      <c r="J620" s="2">
        <v>46048</v>
      </c>
      <c r="K620" t="s">
        <v>25</v>
      </c>
      <c r="L620" t="s">
        <v>1013</v>
      </c>
      <c r="M620" t="s">
        <v>987</v>
      </c>
      <c r="N620" t="s">
        <v>22</v>
      </c>
      <c r="O620" t="s">
        <v>108</v>
      </c>
      <c r="P620" t="s">
        <v>23</v>
      </c>
      <c r="Q620" s="1">
        <f>SEGUIMIENTO_TPM_xlsx[[#This Row],[HORA FIN  INTERVENCIÓN]]-SEGUIMIENTO_TPM_xlsx[[#This Row],[HORA INICIO INTERVENCIÓN]]</f>
        <v>1.7361111111111112E-2</v>
      </c>
      <c r="R620" s="20">
        <f>(SEGUIMIENTO_TPM_xlsx[[#This Row],[HORA REPORTE]]+SEGUIMIENTO_TPM_xlsx[[#This Row],[FECHA DE REPORTE]])</f>
        <v>46048.041666666664</v>
      </c>
      <c r="S620" s="20">
        <f>(SEGUIMIENTO_TPM_xlsx[[#This Row],[FECHA DE INTERVENCÓN]]+SEGUIMIENTO_TPM_xlsx[[#This Row],[HORA FIN  INTERVENCIÓN]])</f>
        <v>46048.059027777781</v>
      </c>
      <c r="T620" s="11">
        <f>(SEGUIMIENTO_TPM_xlsx[[#This Row],[FECHA Y HORA FINAL]]-SEGUIMIENTO_TPM_xlsx[[#This Row],[FECHA Y HORA INICIO]])</f>
        <v>1.7361111116770189E-2</v>
      </c>
    </row>
    <row r="621" spans="1:20" x14ac:dyDescent="0.25">
      <c r="A621">
        <v>629</v>
      </c>
      <c r="B621" t="s">
        <v>1014</v>
      </c>
      <c r="C621" s="1">
        <v>0.45833333333333331</v>
      </c>
      <c r="D621" s="2">
        <v>46045</v>
      </c>
      <c r="G621" t="s">
        <v>1015</v>
      </c>
      <c r="H621" s="1">
        <v>0.45833333333333331</v>
      </c>
      <c r="I621" s="1">
        <v>0.4861111111111111</v>
      </c>
      <c r="J621" s="2">
        <v>46048</v>
      </c>
      <c r="K621" t="s">
        <v>25</v>
      </c>
      <c r="L621" t="s">
        <v>1016</v>
      </c>
      <c r="M621" t="s">
        <v>22</v>
      </c>
      <c r="N621" t="s">
        <v>1017</v>
      </c>
      <c r="O621" t="s">
        <v>112</v>
      </c>
      <c r="P621" t="s">
        <v>23</v>
      </c>
      <c r="Q621" s="1">
        <f>SEGUIMIENTO_TPM_xlsx[[#This Row],[HORA FIN  INTERVENCIÓN]]-SEGUIMIENTO_TPM_xlsx[[#This Row],[HORA INICIO INTERVENCIÓN]]</f>
        <v>2.777777777777779E-2</v>
      </c>
      <c r="R621" s="20">
        <f>(SEGUIMIENTO_TPM_xlsx[[#This Row],[HORA REPORTE]]+SEGUIMIENTO_TPM_xlsx[[#This Row],[FECHA DE REPORTE]])</f>
        <v>46045.458333333336</v>
      </c>
      <c r="S621" s="20">
        <f>(SEGUIMIENTO_TPM_xlsx[[#This Row],[FECHA DE INTERVENCÓN]]+SEGUIMIENTO_TPM_xlsx[[#This Row],[HORA FIN  INTERVENCIÓN]])</f>
        <v>46048.486111111109</v>
      </c>
      <c r="T621" s="11">
        <f>(SEGUIMIENTO_TPM_xlsx[[#This Row],[FECHA Y HORA FINAL]]-SEGUIMIENTO_TPM_xlsx[[#This Row],[FECHA Y HORA INICIO]])</f>
        <v>3.0277777777737356</v>
      </c>
    </row>
    <row r="622" spans="1:20" x14ac:dyDescent="0.25">
      <c r="A622">
        <v>630</v>
      </c>
      <c r="B622" t="s">
        <v>46</v>
      </c>
      <c r="C622" s="1">
        <v>0.67708333333333337</v>
      </c>
      <c r="D622" s="2">
        <v>46048</v>
      </c>
      <c r="E622" t="s">
        <v>143</v>
      </c>
      <c r="G622" t="s">
        <v>1018</v>
      </c>
      <c r="H622" s="1">
        <v>0.6875</v>
      </c>
      <c r="I622" s="1">
        <v>0.70138888888888884</v>
      </c>
      <c r="J622" s="2">
        <v>46048</v>
      </c>
      <c r="K622" t="s">
        <v>48</v>
      </c>
      <c r="L622" t="s">
        <v>1019</v>
      </c>
      <c r="M622" t="s">
        <v>22</v>
      </c>
      <c r="N622" t="s">
        <v>22</v>
      </c>
      <c r="O622" t="s">
        <v>108</v>
      </c>
      <c r="P622" t="s">
        <v>23</v>
      </c>
      <c r="Q622" s="1">
        <f>SEGUIMIENTO_TPM_xlsx[[#This Row],[HORA FIN  INTERVENCIÓN]]-SEGUIMIENTO_TPM_xlsx[[#This Row],[HORA INICIO INTERVENCIÓN]]</f>
        <v>1.388888888888884E-2</v>
      </c>
      <c r="R622" s="20">
        <f>(SEGUIMIENTO_TPM_xlsx[[#This Row],[HORA REPORTE]]+SEGUIMIENTO_TPM_xlsx[[#This Row],[FECHA DE REPORTE]])</f>
        <v>46048.677083333336</v>
      </c>
      <c r="S622" s="20">
        <f>(SEGUIMIENTO_TPM_xlsx[[#This Row],[FECHA DE INTERVENCÓN]]+SEGUIMIENTO_TPM_xlsx[[#This Row],[HORA FIN  INTERVENCIÓN]])</f>
        <v>46048.701388888891</v>
      </c>
      <c r="T622" s="11">
        <f>(SEGUIMIENTO_TPM_xlsx[[#This Row],[FECHA Y HORA FINAL]]-SEGUIMIENTO_TPM_xlsx[[#This Row],[FECHA Y HORA INICIO]])</f>
        <v>2.4305555554747116E-2</v>
      </c>
    </row>
    <row r="623" spans="1:20" x14ac:dyDescent="0.25">
      <c r="A623">
        <v>631</v>
      </c>
      <c r="B623" t="s">
        <v>231</v>
      </c>
      <c r="C623" s="1">
        <v>0.72569444444444442</v>
      </c>
      <c r="D623" s="2">
        <v>46048</v>
      </c>
      <c r="E623" t="s">
        <v>143</v>
      </c>
      <c r="F623" t="s">
        <v>650</v>
      </c>
      <c r="G623" t="s">
        <v>1020</v>
      </c>
      <c r="H623" s="1">
        <v>0.72569444444444442</v>
      </c>
      <c r="I623" s="1">
        <v>0.75</v>
      </c>
      <c r="J623" s="2">
        <v>46048</v>
      </c>
      <c r="K623" t="s">
        <v>20</v>
      </c>
      <c r="L623" t="s">
        <v>1021</v>
      </c>
      <c r="M623" t="s">
        <v>22</v>
      </c>
      <c r="N623" t="s">
        <v>22</v>
      </c>
      <c r="O623" t="s">
        <v>108</v>
      </c>
      <c r="P623" t="s">
        <v>23</v>
      </c>
      <c r="Q623" s="1">
        <f>SEGUIMIENTO_TPM_xlsx[[#This Row],[HORA FIN  INTERVENCIÓN]]-SEGUIMIENTO_TPM_xlsx[[#This Row],[HORA INICIO INTERVENCIÓN]]</f>
        <v>2.430555555555558E-2</v>
      </c>
      <c r="R623" s="20">
        <f>(SEGUIMIENTO_TPM_xlsx[[#This Row],[HORA REPORTE]]+SEGUIMIENTO_TPM_xlsx[[#This Row],[FECHA DE REPORTE]])</f>
        <v>46048.725694444445</v>
      </c>
      <c r="S623" s="20">
        <f>(SEGUIMIENTO_TPM_xlsx[[#This Row],[FECHA DE INTERVENCÓN]]+SEGUIMIENTO_TPM_xlsx[[#This Row],[HORA FIN  INTERVENCIÓN]])</f>
        <v>46048.75</v>
      </c>
      <c r="T623" s="11">
        <f>(SEGUIMIENTO_TPM_xlsx[[#This Row],[FECHA Y HORA FINAL]]-SEGUIMIENTO_TPM_xlsx[[#This Row],[FECHA Y HORA INICIO]])</f>
        <v>2.4305555554747116E-2</v>
      </c>
    </row>
    <row r="624" spans="1:20" x14ac:dyDescent="0.25">
      <c r="A624">
        <v>632</v>
      </c>
      <c r="B624" t="s">
        <v>164</v>
      </c>
      <c r="C624" s="1">
        <v>0.81874999999999998</v>
      </c>
      <c r="D624" s="2">
        <v>46048</v>
      </c>
      <c r="E624" t="s">
        <v>143</v>
      </c>
      <c r="F624" t="s">
        <v>650</v>
      </c>
      <c r="G624" t="s">
        <v>1022</v>
      </c>
      <c r="H624" s="1">
        <v>0.81874999999999998</v>
      </c>
      <c r="I624" s="1">
        <v>0.83333333333333337</v>
      </c>
      <c r="J624" s="2">
        <v>46048</v>
      </c>
      <c r="K624" t="s">
        <v>48</v>
      </c>
      <c r="L624" t="s">
        <v>1023</v>
      </c>
      <c r="M624" t="s">
        <v>22</v>
      </c>
      <c r="N624" t="s">
        <v>22</v>
      </c>
      <c r="O624" t="s">
        <v>108</v>
      </c>
      <c r="P624" t="s">
        <v>23</v>
      </c>
      <c r="Q624" s="1">
        <f>SEGUIMIENTO_TPM_xlsx[[#This Row],[HORA FIN  INTERVENCIÓN]]-SEGUIMIENTO_TPM_xlsx[[#This Row],[HORA INICIO INTERVENCIÓN]]</f>
        <v>1.4583333333333393E-2</v>
      </c>
      <c r="R624" s="20">
        <f>(SEGUIMIENTO_TPM_xlsx[[#This Row],[HORA REPORTE]]+SEGUIMIENTO_TPM_xlsx[[#This Row],[FECHA DE REPORTE]])</f>
        <v>46048.818749999999</v>
      </c>
      <c r="S624" s="20">
        <f>(SEGUIMIENTO_TPM_xlsx[[#This Row],[FECHA DE INTERVENCÓN]]+SEGUIMIENTO_TPM_xlsx[[#This Row],[HORA FIN  INTERVENCIÓN]])</f>
        <v>46048.833333333336</v>
      </c>
      <c r="T624" s="11">
        <f>(SEGUIMIENTO_TPM_xlsx[[#This Row],[FECHA Y HORA FINAL]]-SEGUIMIENTO_TPM_xlsx[[#This Row],[FECHA Y HORA INICIO]])</f>
        <v>1.4583333337213844E-2</v>
      </c>
    </row>
    <row r="625" spans="1:20" x14ac:dyDescent="0.25">
      <c r="A625">
        <v>633</v>
      </c>
      <c r="B625" t="s">
        <v>341</v>
      </c>
      <c r="C625" s="1">
        <v>0.28819444444444442</v>
      </c>
      <c r="D625" s="2">
        <v>46049</v>
      </c>
      <c r="E625" t="s">
        <v>143</v>
      </c>
      <c r="F625" t="s">
        <v>650</v>
      </c>
      <c r="G625" t="s">
        <v>1024</v>
      </c>
      <c r="H625" s="1">
        <v>0.28819444444444442</v>
      </c>
      <c r="I625" s="1">
        <v>0.37847222222222221</v>
      </c>
      <c r="J625" s="2">
        <v>46049</v>
      </c>
      <c r="K625" t="s">
        <v>48</v>
      </c>
      <c r="L625" t="s">
        <v>1025</v>
      </c>
      <c r="M625" t="s">
        <v>1026</v>
      </c>
      <c r="N625" t="s">
        <v>22</v>
      </c>
      <c r="O625" t="s">
        <v>44</v>
      </c>
      <c r="P625" t="s">
        <v>23</v>
      </c>
      <c r="Q625" s="1">
        <f>SEGUIMIENTO_TPM_xlsx[[#This Row],[HORA FIN  INTERVENCIÓN]]-SEGUIMIENTO_TPM_xlsx[[#This Row],[HORA INICIO INTERVENCIÓN]]</f>
        <v>9.027777777777779E-2</v>
      </c>
      <c r="R625" s="20">
        <f>(SEGUIMIENTO_TPM_xlsx[[#This Row],[HORA REPORTE]]+SEGUIMIENTO_TPM_xlsx[[#This Row],[FECHA DE REPORTE]])</f>
        <v>46049.288194444445</v>
      </c>
      <c r="S625" s="20">
        <f>(SEGUIMIENTO_TPM_xlsx[[#This Row],[FECHA DE INTERVENCÓN]]+SEGUIMIENTO_TPM_xlsx[[#This Row],[HORA FIN  INTERVENCIÓN]])</f>
        <v>46049.378472222219</v>
      </c>
      <c r="T625" s="11">
        <f>(SEGUIMIENTO_TPM_xlsx[[#This Row],[FECHA Y HORA FINAL]]-SEGUIMIENTO_TPM_xlsx[[#This Row],[FECHA Y HORA INICIO]])</f>
        <v>9.0277777773735579E-2</v>
      </c>
    </row>
    <row r="626" spans="1:20" x14ac:dyDescent="0.25">
      <c r="A626">
        <v>634</v>
      </c>
      <c r="B626" t="s">
        <v>1027</v>
      </c>
      <c r="C626" s="1">
        <v>0.38541666666666669</v>
      </c>
      <c r="D626" s="2">
        <v>46049</v>
      </c>
      <c r="E626" t="s">
        <v>17</v>
      </c>
      <c r="F626" t="s">
        <v>18</v>
      </c>
      <c r="G626" t="s">
        <v>1028</v>
      </c>
      <c r="H626" s="1">
        <v>0.38541666666666669</v>
      </c>
      <c r="I626" s="1">
        <v>0.43055555555555558</v>
      </c>
      <c r="J626" s="2">
        <v>46049</v>
      </c>
      <c r="K626" t="s">
        <v>20</v>
      </c>
      <c r="L626" t="s">
        <v>1029</v>
      </c>
      <c r="M626" t="s">
        <v>22</v>
      </c>
      <c r="N626" t="s">
        <v>22</v>
      </c>
      <c r="O626" t="s">
        <v>268</v>
      </c>
      <c r="P626" t="s">
        <v>23</v>
      </c>
      <c r="Q626" s="1">
        <f>SEGUIMIENTO_TPM_xlsx[[#This Row],[HORA FIN  INTERVENCIÓN]]-SEGUIMIENTO_TPM_xlsx[[#This Row],[HORA INICIO INTERVENCIÓN]]</f>
        <v>4.5138888888888895E-2</v>
      </c>
      <c r="R626" s="20">
        <f>(SEGUIMIENTO_TPM_xlsx[[#This Row],[HORA REPORTE]]+SEGUIMIENTO_TPM_xlsx[[#This Row],[FECHA DE REPORTE]])</f>
        <v>46049.385416666664</v>
      </c>
      <c r="S626" s="20">
        <f>(SEGUIMIENTO_TPM_xlsx[[#This Row],[FECHA DE INTERVENCÓN]]+SEGUIMIENTO_TPM_xlsx[[#This Row],[HORA FIN  INTERVENCIÓN]])</f>
        <v>46049.430555555555</v>
      </c>
      <c r="T626" s="11">
        <f>(SEGUIMIENTO_TPM_xlsx[[#This Row],[FECHA Y HORA FINAL]]-SEGUIMIENTO_TPM_xlsx[[#This Row],[FECHA Y HORA INICIO]])</f>
        <v>4.5138888890505768E-2</v>
      </c>
    </row>
    <row r="627" spans="1:20" x14ac:dyDescent="0.25">
      <c r="A627">
        <v>635</v>
      </c>
      <c r="B627" t="s">
        <v>103</v>
      </c>
      <c r="C627" s="1">
        <v>0.46666666666666667</v>
      </c>
      <c r="D627" s="2">
        <v>46049</v>
      </c>
      <c r="E627" t="s">
        <v>188</v>
      </c>
      <c r="F627" t="s">
        <v>18</v>
      </c>
      <c r="G627" t="s">
        <v>1030</v>
      </c>
      <c r="H627" s="1"/>
      <c r="I627" s="1">
        <v>0.84375</v>
      </c>
      <c r="J627" s="2">
        <v>46054</v>
      </c>
      <c r="K627" t="s">
        <v>20</v>
      </c>
      <c r="L627" t="s">
        <v>1031</v>
      </c>
      <c r="M627" t="s">
        <v>22</v>
      </c>
      <c r="N627" t="s">
        <v>22</v>
      </c>
      <c r="O627" t="s">
        <v>108</v>
      </c>
      <c r="P627" t="s">
        <v>23</v>
      </c>
      <c r="Q627" s="1">
        <f>SEGUIMIENTO_TPM_xlsx[[#This Row],[HORA FIN  INTERVENCIÓN]]-SEGUIMIENTO_TPM_xlsx[[#This Row],[HORA INICIO INTERVENCIÓN]]</f>
        <v>0.84375</v>
      </c>
      <c r="R627" s="20">
        <f>(SEGUIMIENTO_TPM_xlsx[[#This Row],[HORA REPORTE]]+SEGUIMIENTO_TPM_xlsx[[#This Row],[FECHA DE REPORTE]])</f>
        <v>46049.466666666667</v>
      </c>
      <c r="S627" s="20">
        <f>(SEGUIMIENTO_TPM_xlsx[[#This Row],[FECHA DE INTERVENCÓN]]+SEGUIMIENTO_TPM_xlsx[[#This Row],[HORA FIN  INTERVENCIÓN]])</f>
        <v>46054.84375</v>
      </c>
      <c r="T627" s="11">
        <f>(SEGUIMIENTO_TPM_xlsx[[#This Row],[FECHA Y HORA FINAL]]-SEGUIMIENTO_TPM_xlsx[[#This Row],[FECHA Y HORA INICIO]])</f>
        <v>5.3770833333328483</v>
      </c>
    </row>
    <row r="628" spans="1:20" x14ac:dyDescent="0.25">
      <c r="A628">
        <v>636</v>
      </c>
      <c r="B628" t="s">
        <v>199</v>
      </c>
      <c r="C628" s="1">
        <v>0.58333333333333337</v>
      </c>
      <c r="D628" s="2">
        <v>46049</v>
      </c>
      <c r="E628" t="s">
        <v>91</v>
      </c>
      <c r="F628" t="s">
        <v>18</v>
      </c>
      <c r="G628" t="s">
        <v>1032</v>
      </c>
      <c r="H628" s="1"/>
      <c r="I628" s="1"/>
      <c r="J628" s="2"/>
      <c r="P628" t="s">
        <v>33</v>
      </c>
      <c r="Q628" s="1">
        <f>SEGUIMIENTO_TPM_xlsx[[#This Row],[HORA FIN  INTERVENCIÓN]]-SEGUIMIENTO_TPM_xlsx[[#This Row],[HORA INICIO INTERVENCIÓN]]</f>
        <v>0</v>
      </c>
      <c r="R628" s="20">
        <f>(SEGUIMIENTO_TPM_xlsx[[#This Row],[HORA REPORTE]]+SEGUIMIENTO_TPM_xlsx[[#This Row],[FECHA DE REPORTE]])</f>
        <v>46049.583333333336</v>
      </c>
      <c r="S628" s="20">
        <f>(SEGUIMIENTO_TPM_xlsx[[#This Row],[FECHA DE INTERVENCÓN]]+SEGUIMIENTO_TPM_xlsx[[#This Row],[HORA FIN  INTERVENCIÓN]])</f>
        <v>0</v>
      </c>
      <c r="T628" s="11">
        <f>(SEGUIMIENTO_TPM_xlsx[[#This Row],[FECHA Y HORA FINAL]]-SEGUIMIENTO_TPM_xlsx[[#This Row],[FECHA Y HORA INICIO]])</f>
        <v>-46049.583333333336</v>
      </c>
    </row>
    <row r="629" spans="1:20" x14ac:dyDescent="0.25">
      <c r="A629">
        <v>637</v>
      </c>
      <c r="B629" t="s">
        <v>103</v>
      </c>
      <c r="C629" s="1">
        <v>0.65972222222222221</v>
      </c>
      <c r="D629" s="2">
        <v>46080</v>
      </c>
      <c r="E629" t="s">
        <v>188</v>
      </c>
      <c r="F629" t="s">
        <v>650</v>
      </c>
      <c r="G629" t="s">
        <v>1033</v>
      </c>
      <c r="H629" s="1"/>
      <c r="I629" s="1"/>
      <c r="J629" s="2"/>
      <c r="P629" t="s">
        <v>33</v>
      </c>
      <c r="Q629" s="1">
        <f>SEGUIMIENTO_TPM_xlsx[[#This Row],[HORA FIN  INTERVENCIÓN]]-SEGUIMIENTO_TPM_xlsx[[#This Row],[HORA INICIO INTERVENCIÓN]]</f>
        <v>0</v>
      </c>
      <c r="R629" s="20">
        <f>(SEGUIMIENTO_TPM_xlsx[[#This Row],[HORA REPORTE]]+SEGUIMIENTO_TPM_xlsx[[#This Row],[FECHA DE REPORTE]])</f>
        <v>46080.659722222219</v>
      </c>
      <c r="S629" s="20">
        <f>(SEGUIMIENTO_TPM_xlsx[[#This Row],[FECHA DE INTERVENCÓN]]+SEGUIMIENTO_TPM_xlsx[[#This Row],[HORA FIN  INTERVENCIÓN]])</f>
        <v>0</v>
      </c>
      <c r="T629" s="11">
        <f>(SEGUIMIENTO_TPM_xlsx[[#This Row],[FECHA Y HORA FINAL]]-SEGUIMIENTO_TPM_xlsx[[#This Row],[FECHA Y HORA INICIO]])</f>
        <v>-46080.659722222219</v>
      </c>
    </row>
    <row r="630" spans="1:20" x14ac:dyDescent="0.25">
      <c r="A630">
        <v>638</v>
      </c>
      <c r="B630" t="s">
        <v>242</v>
      </c>
      <c r="C630" s="1">
        <v>0.70833333333333337</v>
      </c>
      <c r="D630" s="2">
        <v>46049</v>
      </c>
      <c r="E630" t="s">
        <v>17</v>
      </c>
      <c r="F630" t="s">
        <v>18</v>
      </c>
      <c r="G630" t="s">
        <v>1034</v>
      </c>
      <c r="H630" s="1">
        <v>0.70833333333333337</v>
      </c>
      <c r="I630" s="1">
        <v>0.72013888888888888</v>
      </c>
      <c r="J630" s="2">
        <v>46049</v>
      </c>
      <c r="K630" t="s">
        <v>25</v>
      </c>
      <c r="L630" t="s">
        <v>1035</v>
      </c>
      <c r="M630" t="s">
        <v>1036</v>
      </c>
      <c r="N630" t="s">
        <v>22</v>
      </c>
      <c r="O630" t="s">
        <v>108</v>
      </c>
      <c r="P630" t="s">
        <v>23</v>
      </c>
      <c r="Q630" s="1">
        <f>SEGUIMIENTO_TPM_xlsx[[#This Row],[HORA FIN  INTERVENCIÓN]]-SEGUIMIENTO_TPM_xlsx[[#This Row],[HORA INICIO INTERVENCIÓN]]</f>
        <v>1.1805555555555514E-2</v>
      </c>
      <c r="R630" s="20">
        <f>(SEGUIMIENTO_TPM_xlsx[[#This Row],[HORA REPORTE]]+SEGUIMIENTO_TPM_xlsx[[#This Row],[FECHA DE REPORTE]])</f>
        <v>46049.708333333336</v>
      </c>
      <c r="S630" s="20">
        <f>(SEGUIMIENTO_TPM_xlsx[[#This Row],[FECHA DE INTERVENCÓN]]+SEGUIMIENTO_TPM_xlsx[[#This Row],[HORA FIN  INTERVENCIÓN]])</f>
        <v>46049.720138888886</v>
      </c>
      <c r="T630" s="11">
        <f>(SEGUIMIENTO_TPM_xlsx[[#This Row],[FECHA Y HORA FINAL]]-SEGUIMIENTO_TPM_xlsx[[#This Row],[FECHA Y HORA INICIO]])</f>
        <v>1.1805555550381541E-2</v>
      </c>
    </row>
    <row r="631" spans="1:20" x14ac:dyDescent="0.25">
      <c r="A631">
        <v>639</v>
      </c>
      <c r="B631" t="s">
        <v>16</v>
      </c>
      <c r="C631" s="1">
        <v>0.60416666666666663</v>
      </c>
      <c r="D631" s="2">
        <v>46049</v>
      </c>
      <c r="E631" t="s">
        <v>116</v>
      </c>
      <c r="G631" t="s">
        <v>1037</v>
      </c>
      <c r="H631" s="1">
        <v>0.60416666666666663</v>
      </c>
      <c r="I631" s="1">
        <v>0.70833333333333337</v>
      </c>
      <c r="J631" s="2">
        <v>46049</v>
      </c>
      <c r="K631" t="s">
        <v>20</v>
      </c>
      <c r="L631" t="s">
        <v>1038</v>
      </c>
      <c r="M631" t="s">
        <v>22</v>
      </c>
      <c r="N631" t="s">
        <v>22</v>
      </c>
      <c r="O631" t="s">
        <v>108</v>
      </c>
      <c r="P631" t="s">
        <v>23</v>
      </c>
      <c r="Q631" s="1">
        <f>SEGUIMIENTO_TPM_xlsx[[#This Row],[HORA FIN  INTERVENCIÓN]]-SEGUIMIENTO_TPM_xlsx[[#This Row],[HORA INICIO INTERVENCIÓN]]</f>
        <v>0.10416666666666674</v>
      </c>
      <c r="R631" s="20">
        <f>(SEGUIMIENTO_TPM_xlsx[[#This Row],[HORA REPORTE]]+SEGUIMIENTO_TPM_xlsx[[#This Row],[FECHA DE REPORTE]])</f>
        <v>46049.604166666664</v>
      </c>
      <c r="S631" s="20">
        <f>(SEGUIMIENTO_TPM_xlsx[[#This Row],[FECHA DE INTERVENCÓN]]+SEGUIMIENTO_TPM_xlsx[[#This Row],[HORA FIN  INTERVENCIÓN]])</f>
        <v>46049.708333333336</v>
      </c>
      <c r="T631" s="11">
        <f>(SEGUIMIENTO_TPM_xlsx[[#This Row],[FECHA Y HORA FINAL]]-SEGUIMIENTO_TPM_xlsx[[#This Row],[FECHA Y HORA INICIO]])</f>
        <v>0.10416666667151731</v>
      </c>
    </row>
    <row r="632" spans="1:20" x14ac:dyDescent="0.25">
      <c r="A632">
        <v>640</v>
      </c>
      <c r="B632" t="s">
        <v>103</v>
      </c>
      <c r="C632" s="1">
        <v>0.74305555555555558</v>
      </c>
      <c r="D632" s="2">
        <v>46049</v>
      </c>
      <c r="E632" t="s">
        <v>188</v>
      </c>
      <c r="F632" t="s">
        <v>18</v>
      </c>
      <c r="G632" t="s">
        <v>1039</v>
      </c>
      <c r="H632" s="1"/>
      <c r="I632" s="1"/>
      <c r="J632" s="2"/>
      <c r="P632" t="s">
        <v>33</v>
      </c>
      <c r="Q632" s="1">
        <f>SEGUIMIENTO_TPM_xlsx[[#This Row],[HORA FIN  INTERVENCIÓN]]-SEGUIMIENTO_TPM_xlsx[[#This Row],[HORA INICIO INTERVENCIÓN]]</f>
        <v>0</v>
      </c>
      <c r="R632" s="20">
        <f>(SEGUIMIENTO_TPM_xlsx[[#This Row],[HORA REPORTE]]+SEGUIMIENTO_TPM_xlsx[[#This Row],[FECHA DE REPORTE]])</f>
        <v>46049.743055555555</v>
      </c>
      <c r="S632" s="20">
        <f>(SEGUIMIENTO_TPM_xlsx[[#This Row],[FECHA DE INTERVENCÓN]]+SEGUIMIENTO_TPM_xlsx[[#This Row],[HORA FIN  INTERVENCIÓN]])</f>
        <v>0</v>
      </c>
      <c r="T632" s="11">
        <f>(SEGUIMIENTO_TPM_xlsx[[#This Row],[FECHA Y HORA FINAL]]-SEGUIMIENTO_TPM_xlsx[[#This Row],[FECHA Y HORA INICIO]])</f>
        <v>-46049.743055555555</v>
      </c>
    </row>
    <row r="633" spans="1:20" x14ac:dyDescent="0.25">
      <c r="A633">
        <v>641</v>
      </c>
      <c r="B633" t="s">
        <v>16</v>
      </c>
      <c r="C633" s="1">
        <v>0.875</v>
      </c>
      <c r="D633" s="2">
        <v>46049</v>
      </c>
      <c r="E633" t="s">
        <v>116</v>
      </c>
      <c r="F633" t="s">
        <v>650</v>
      </c>
      <c r="G633" t="s">
        <v>1040</v>
      </c>
      <c r="H633" s="1">
        <v>0.875</v>
      </c>
      <c r="I633" s="1">
        <v>0.88541666666666663</v>
      </c>
      <c r="J633" s="2">
        <v>46049</v>
      </c>
      <c r="K633" t="s">
        <v>20</v>
      </c>
      <c r="L633" t="s">
        <v>1041</v>
      </c>
      <c r="M633" t="s">
        <v>1042</v>
      </c>
      <c r="N633" t="s">
        <v>22</v>
      </c>
      <c r="O633" t="s">
        <v>108</v>
      </c>
      <c r="P633" t="s">
        <v>23</v>
      </c>
      <c r="Q633" s="1">
        <f>SEGUIMIENTO_TPM_xlsx[[#This Row],[HORA FIN  INTERVENCIÓN]]-SEGUIMIENTO_TPM_xlsx[[#This Row],[HORA INICIO INTERVENCIÓN]]</f>
        <v>1.041666666666663E-2</v>
      </c>
      <c r="R633" s="20">
        <f>(SEGUIMIENTO_TPM_xlsx[[#This Row],[HORA REPORTE]]+SEGUIMIENTO_TPM_xlsx[[#This Row],[FECHA DE REPORTE]])</f>
        <v>46049.875</v>
      </c>
      <c r="S633" s="20">
        <f>(SEGUIMIENTO_TPM_xlsx[[#This Row],[FECHA DE INTERVENCÓN]]+SEGUIMIENTO_TPM_xlsx[[#This Row],[HORA FIN  INTERVENCIÓN]])</f>
        <v>46049.885416666664</v>
      </c>
      <c r="T633" s="11">
        <f>(SEGUIMIENTO_TPM_xlsx[[#This Row],[FECHA Y HORA FINAL]]-SEGUIMIENTO_TPM_xlsx[[#This Row],[FECHA Y HORA INICIO]])</f>
        <v>1.0416666664241347E-2</v>
      </c>
    </row>
    <row r="634" spans="1:20" x14ac:dyDescent="0.25">
      <c r="A634">
        <v>642</v>
      </c>
      <c r="B634" t="s">
        <v>187</v>
      </c>
      <c r="C634" s="1">
        <v>0.27083333333333331</v>
      </c>
      <c r="D634" s="2">
        <v>46050</v>
      </c>
      <c r="E634" t="s">
        <v>17</v>
      </c>
      <c r="F634" t="s">
        <v>18</v>
      </c>
      <c r="G634" t="s">
        <v>1043</v>
      </c>
      <c r="H634" s="1">
        <v>0.27083333333333331</v>
      </c>
      <c r="I634" s="1">
        <v>0.30555555555555558</v>
      </c>
      <c r="J634" s="2">
        <v>46049</v>
      </c>
      <c r="K634" t="s">
        <v>25</v>
      </c>
      <c r="L634" t="s">
        <v>1044</v>
      </c>
      <c r="M634" t="s">
        <v>1045</v>
      </c>
      <c r="N634" t="s">
        <v>22</v>
      </c>
      <c r="O634" t="s">
        <v>44</v>
      </c>
      <c r="P634" t="s">
        <v>23</v>
      </c>
      <c r="Q634" s="1">
        <f>SEGUIMIENTO_TPM_xlsx[[#This Row],[HORA FIN  INTERVENCIÓN]]-SEGUIMIENTO_TPM_xlsx[[#This Row],[HORA INICIO INTERVENCIÓN]]</f>
        <v>3.4722222222222265E-2</v>
      </c>
      <c r="R634" s="20">
        <f>(SEGUIMIENTO_TPM_xlsx[[#This Row],[HORA REPORTE]]+SEGUIMIENTO_TPM_xlsx[[#This Row],[FECHA DE REPORTE]])</f>
        <v>46050.270833333336</v>
      </c>
      <c r="S634" s="20">
        <f>(SEGUIMIENTO_TPM_xlsx[[#This Row],[FECHA DE INTERVENCÓN]]+SEGUIMIENTO_TPM_xlsx[[#This Row],[HORA FIN  INTERVENCIÓN]])</f>
        <v>46049.305555555555</v>
      </c>
      <c r="T634" s="11">
        <f>(SEGUIMIENTO_TPM_xlsx[[#This Row],[FECHA Y HORA FINAL]]-SEGUIMIENTO_TPM_xlsx[[#This Row],[FECHA Y HORA INICIO]])</f>
        <v>-0.96527777778101154</v>
      </c>
    </row>
    <row r="635" spans="1:20" x14ac:dyDescent="0.25">
      <c r="A635">
        <v>643</v>
      </c>
      <c r="B635" t="s">
        <v>341</v>
      </c>
      <c r="C635" s="1">
        <v>0.625</v>
      </c>
      <c r="D635" s="2">
        <v>46050</v>
      </c>
      <c r="E635" t="s">
        <v>143</v>
      </c>
      <c r="F635" t="s">
        <v>650</v>
      </c>
      <c r="G635" t="s">
        <v>1046</v>
      </c>
      <c r="H635" s="1">
        <v>0.625</v>
      </c>
      <c r="I635" s="1">
        <v>0.6381944444444444</v>
      </c>
      <c r="J635" s="2">
        <v>46050</v>
      </c>
      <c r="K635" t="s">
        <v>48</v>
      </c>
      <c r="L635" t="s">
        <v>1047</v>
      </c>
      <c r="M635" t="s">
        <v>22</v>
      </c>
      <c r="N635" t="s">
        <v>22</v>
      </c>
      <c r="O635" t="s">
        <v>268</v>
      </c>
      <c r="P635" t="s">
        <v>23</v>
      </c>
      <c r="Q635" s="1">
        <f>SEGUIMIENTO_TPM_xlsx[[#This Row],[HORA FIN  INTERVENCIÓN]]-SEGUIMIENTO_TPM_xlsx[[#This Row],[HORA INICIO INTERVENCIÓN]]</f>
        <v>1.3194444444444398E-2</v>
      </c>
      <c r="R635" s="20">
        <f>(SEGUIMIENTO_TPM_xlsx[[#This Row],[HORA REPORTE]]+SEGUIMIENTO_TPM_xlsx[[#This Row],[FECHA DE REPORTE]])</f>
        <v>46050.625</v>
      </c>
      <c r="S635" s="20">
        <f>(SEGUIMIENTO_TPM_xlsx[[#This Row],[FECHA DE INTERVENCÓN]]+SEGUIMIENTO_TPM_xlsx[[#This Row],[HORA FIN  INTERVENCIÓN]])</f>
        <v>46050.638194444444</v>
      </c>
      <c r="T635" s="11">
        <f>(SEGUIMIENTO_TPM_xlsx[[#This Row],[FECHA Y HORA FINAL]]-SEGUIMIENTO_TPM_xlsx[[#This Row],[FECHA Y HORA INICIO]])</f>
        <v>1.3194444443797693E-2</v>
      </c>
    </row>
    <row r="636" spans="1:20" x14ac:dyDescent="0.25">
      <c r="A636">
        <v>644</v>
      </c>
      <c r="B636" t="s">
        <v>907</v>
      </c>
      <c r="C636" s="1">
        <v>0.60416666666666663</v>
      </c>
      <c r="D636" s="2">
        <v>46050</v>
      </c>
      <c r="E636" t="s">
        <v>17</v>
      </c>
      <c r="F636" t="s">
        <v>18</v>
      </c>
      <c r="G636" t="s">
        <v>1048</v>
      </c>
      <c r="H636" s="1">
        <v>0.61111111111111116</v>
      </c>
      <c r="I636" s="1">
        <v>0.76388888888888884</v>
      </c>
      <c r="J636" s="2">
        <v>46050</v>
      </c>
      <c r="K636" t="s">
        <v>20</v>
      </c>
      <c r="L636" t="s">
        <v>1049</v>
      </c>
      <c r="M636" t="s">
        <v>1050</v>
      </c>
      <c r="N636" t="s">
        <v>22</v>
      </c>
      <c r="O636" t="s">
        <v>661</v>
      </c>
      <c r="P636" t="s">
        <v>23</v>
      </c>
      <c r="Q636" s="1">
        <f>SEGUIMIENTO_TPM_xlsx[[#This Row],[HORA FIN  INTERVENCIÓN]]-SEGUIMIENTO_TPM_xlsx[[#This Row],[HORA INICIO INTERVENCIÓN]]</f>
        <v>0.15277777777777768</v>
      </c>
      <c r="R636" s="20">
        <f>(SEGUIMIENTO_TPM_xlsx[[#This Row],[HORA REPORTE]]+SEGUIMIENTO_TPM_xlsx[[#This Row],[FECHA DE REPORTE]])</f>
        <v>46050.604166666664</v>
      </c>
      <c r="S636" s="20">
        <f>(SEGUIMIENTO_TPM_xlsx[[#This Row],[FECHA DE INTERVENCÓN]]+SEGUIMIENTO_TPM_xlsx[[#This Row],[HORA FIN  INTERVENCIÓN]])</f>
        <v>46050.763888888891</v>
      </c>
      <c r="T636" s="11">
        <f>(SEGUIMIENTO_TPM_xlsx[[#This Row],[FECHA Y HORA FINAL]]-SEGUIMIENTO_TPM_xlsx[[#This Row],[FECHA Y HORA INICIO]])</f>
        <v>0.15972222222626442</v>
      </c>
    </row>
    <row r="637" spans="1:20" x14ac:dyDescent="0.25">
      <c r="A637">
        <v>645</v>
      </c>
      <c r="B637" t="s">
        <v>199</v>
      </c>
      <c r="C637" s="1">
        <v>0.78819444444444442</v>
      </c>
      <c r="D637" s="2">
        <v>46050</v>
      </c>
      <c r="E637" t="s">
        <v>91</v>
      </c>
      <c r="F637" t="s">
        <v>18</v>
      </c>
      <c r="G637" t="s">
        <v>1051</v>
      </c>
      <c r="H637" s="1">
        <v>0.7895833333333333</v>
      </c>
      <c r="I637" s="1">
        <v>0.80555555555555558</v>
      </c>
      <c r="J637" s="2">
        <v>46050</v>
      </c>
      <c r="K637" t="s">
        <v>20</v>
      </c>
      <c r="L637" t="s">
        <v>1052</v>
      </c>
      <c r="M637" t="s">
        <v>22</v>
      </c>
      <c r="N637" t="s">
        <v>22</v>
      </c>
      <c r="O637" t="s">
        <v>661</v>
      </c>
      <c r="P637" t="s">
        <v>23</v>
      </c>
      <c r="Q637" s="1">
        <f>SEGUIMIENTO_TPM_xlsx[[#This Row],[HORA FIN  INTERVENCIÓN]]-SEGUIMIENTO_TPM_xlsx[[#This Row],[HORA INICIO INTERVENCIÓN]]</f>
        <v>1.5972222222222276E-2</v>
      </c>
      <c r="R637" s="20">
        <f>(SEGUIMIENTO_TPM_xlsx[[#This Row],[HORA REPORTE]]+SEGUIMIENTO_TPM_xlsx[[#This Row],[FECHA DE REPORTE]])</f>
        <v>46050.788194444445</v>
      </c>
      <c r="S637" s="20">
        <f>(SEGUIMIENTO_TPM_xlsx[[#This Row],[FECHA DE INTERVENCÓN]]+SEGUIMIENTO_TPM_xlsx[[#This Row],[HORA FIN  INTERVENCIÓN]])</f>
        <v>46050.805555555555</v>
      </c>
      <c r="T637" s="11">
        <f>(SEGUIMIENTO_TPM_xlsx[[#This Row],[FECHA Y HORA FINAL]]-SEGUIMIENTO_TPM_xlsx[[#This Row],[FECHA Y HORA INICIO]])</f>
        <v>1.7361111109494232E-2</v>
      </c>
    </row>
    <row r="638" spans="1:20" x14ac:dyDescent="0.25">
      <c r="A638">
        <v>646</v>
      </c>
      <c r="B638" t="s">
        <v>199</v>
      </c>
      <c r="C638" s="1">
        <v>0.86805555555555558</v>
      </c>
      <c r="D638" s="2">
        <v>46050</v>
      </c>
      <c r="E638" t="s">
        <v>91</v>
      </c>
      <c r="F638" t="s">
        <v>18</v>
      </c>
      <c r="G638" t="s">
        <v>1053</v>
      </c>
      <c r="H638" s="1">
        <v>0.87152777777777779</v>
      </c>
      <c r="I638" s="1">
        <v>0.89583333333333337</v>
      </c>
      <c r="J638" s="2">
        <v>46050</v>
      </c>
      <c r="K638" t="s">
        <v>20</v>
      </c>
      <c r="L638" t="s">
        <v>1054</v>
      </c>
      <c r="M638" t="s">
        <v>22</v>
      </c>
      <c r="N638" t="s">
        <v>22</v>
      </c>
      <c r="O638" t="s">
        <v>661</v>
      </c>
      <c r="P638" t="s">
        <v>23</v>
      </c>
      <c r="Q638" s="1">
        <f>SEGUIMIENTO_TPM_xlsx[[#This Row],[HORA FIN  INTERVENCIÓN]]-SEGUIMIENTO_TPM_xlsx[[#This Row],[HORA INICIO INTERVENCIÓN]]</f>
        <v>2.430555555555558E-2</v>
      </c>
      <c r="R638" s="20">
        <f>(SEGUIMIENTO_TPM_xlsx[[#This Row],[HORA REPORTE]]+SEGUIMIENTO_TPM_xlsx[[#This Row],[FECHA DE REPORTE]])</f>
        <v>46050.868055555555</v>
      </c>
      <c r="S638" s="20">
        <f>(SEGUIMIENTO_TPM_xlsx[[#This Row],[FECHA DE INTERVENCÓN]]+SEGUIMIENTO_TPM_xlsx[[#This Row],[HORA FIN  INTERVENCIÓN]])</f>
        <v>46050.895833333336</v>
      </c>
      <c r="T638" s="11">
        <f>(SEGUIMIENTO_TPM_xlsx[[#This Row],[FECHA Y HORA FINAL]]-SEGUIMIENTO_TPM_xlsx[[#This Row],[FECHA Y HORA INICIO]])</f>
        <v>2.7777777781011537E-2</v>
      </c>
    </row>
    <row r="639" spans="1:20" x14ac:dyDescent="0.25">
      <c r="A639">
        <v>647</v>
      </c>
      <c r="B639" t="s">
        <v>103</v>
      </c>
      <c r="C639" s="1">
        <v>0.1875</v>
      </c>
      <c r="D639" s="2">
        <v>46051</v>
      </c>
      <c r="E639" t="s">
        <v>147</v>
      </c>
      <c r="F639" t="s">
        <v>18</v>
      </c>
      <c r="G639" t="s">
        <v>1055</v>
      </c>
      <c r="H639" s="1">
        <v>0.1875</v>
      </c>
      <c r="I639" s="1">
        <v>0.22222222222222221</v>
      </c>
      <c r="J639" s="2">
        <v>46051</v>
      </c>
      <c r="K639" t="s">
        <v>25</v>
      </c>
      <c r="L639" t="s">
        <v>1056</v>
      </c>
      <c r="M639" t="s">
        <v>1057</v>
      </c>
      <c r="N639" t="s">
        <v>22</v>
      </c>
      <c r="O639" t="s">
        <v>108</v>
      </c>
      <c r="P639" t="s">
        <v>23</v>
      </c>
      <c r="Q639" s="1">
        <f>SEGUIMIENTO_TPM_xlsx[[#This Row],[HORA FIN  INTERVENCIÓN]]-SEGUIMIENTO_TPM_xlsx[[#This Row],[HORA INICIO INTERVENCIÓN]]</f>
        <v>3.472222222222221E-2</v>
      </c>
      <c r="R639" s="20">
        <f>(SEGUIMIENTO_TPM_xlsx[[#This Row],[HORA REPORTE]]+SEGUIMIENTO_TPM_xlsx[[#This Row],[FECHA DE REPORTE]])</f>
        <v>46051.1875</v>
      </c>
      <c r="S639" s="20">
        <f>(SEGUIMIENTO_TPM_xlsx[[#This Row],[FECHA DE INTERVENCÓN]]+SEGUIMIENTO_TPM_xlsx[[#This Row],[HORA FIN  INTERVENCIÓN]])</f>
        <v>46051.222222222219</v>
      </c>
      <c r="T639" s="11">
        <f>(SEGUIMIENTO_TPM_xlsx[[#This Row],[FECHA Y HORA FINAL]]-SEGUIMIENTO_TPM_xlsx[[#This Row],[FECHA Y HORA INICIO]])</f>
        <v>3.4722222218988463E-2</v>
      </c>
    </row>
    <row r="640" spans="1:20" x14ac:dyDescent="0.25">
      <c r="A640">
        <v>648</v>
      </c>
      <c r="B640" t="s">
        <v>103</v>
      </c>
      <c r="C640" s="1">
        <v>0.18958333333333333</v>
      </c>
      <c r="D640" s="2">
        <v>46051</v>
      </c>
      <c r="E640" t="s">
        <v>147</v>
      </c>
      <c r="F640" t="s">
        <v>650</v>
      </c>
      <c r="G640" t="s">
        <v>1007</v>
      </c>
      <c r="H640" s="1">
        <v>0.18958333333333333</v>
      </c>
      <c r="I640" s="1">
        <v>0.22222222222222221</v>
      </c>
      <c r="J640" s="2">
        <v>46051</v>
      </c>
      <c r="K640" t="s">
        <v>20</v>
      </c>
      <c r="L640" t="s">
        <v>1058</v>
      </c>
      <c r="O640" t="s">
        <v>108</v>
      </c>
      <c r="P640" t="s">
        <v>33</v>
      </c>
      <c r="Q640" s="1">
        <f>SEGUIMIENTO_TPM_xlsx[[#This Row],[HORA FIN  INTERVENCIÓN]]-SEGUIMIENTO_TPM_xlsx[[#This Row],[HORA INICIO INTERVENCIÓN]]</f>
        <v>3.2638888888888884E-2</v>
      </c>
      <c r="R640" s="20">
        <f>(SEGUIMIENTO_TPM_xlsx[[#This Row],[HORA REPORTE]]+SEGUIMIENTO_TPM_xlsx[[#This Row],[FECHA DE REPORTE]])</f>
        <v>46051.189583333333</v>
      </c>
      <c r="S640" s="20">
        <f>(SEGUIMIENTO_TPM_xlsx[[#This Row],[FECHA DE INTERVENCÓN]]+SEGUIMIENTO_TPM_xlsx[[#This Row],[HORA FIN  INTERVENCIÓN]])</f>
        <v>46051.222222222219</v>
      </c>
      <c r="T640" s="11">
        <f>(SEGUIMIENTO_TPM_xlsx[[#This Row],[FECHA Y HORA FINAL]]-SEGUIMIENTO_TPM_xlsx[[#This Row],[FECHA Y HORA INICIO]])</f>
        <v>3.2638888886140194E-2</v>
      </c>
    </row>
    <row r="641" spans="1:20" x14ac:dyDescent="0.25">
      <c r="A641">
        <v>649</v>
      </c>
      <c r="B641" t="s">
        <v>103</v>
      </c>
      <c r="C641" s="1">
        <v>0.19097222222222221</v>
      </c>
      <c r="D641" s="2">
        <v>46051</v>
      </c>
      <c r="E641" t="s">
        <v>188</v>
      </c>
      <c r="F641" t="s">
        <v>650</v>
      </c>
      <c r="G641" t="s">
        <v>1059</v>
      </c>
      <c r="H641" s="1">
        <v>0.19097222222222221</v>
      </c>
      <c r="I641" s="1">
        <v>0.2361111111111111</v>
      </c>
      <c r="J641" s="2">
        <v>46051</v>
      </c>
      <c r="K641" t="s">
        <v>20</v>
      </c>
      <c r="L641" t="s">
        <v>1060</v>
      </c>
      <c r="P641" t="s">
        <v>33</v>
      </c>
      <c r="Q641" s="1">
        <f>SEGUIMIENTO_TPM_xlsx[[#This Row],[HORA FIN  INTERVENCIÓN]]-SEGUIMIENTO_TPM_xlsx[[#This Row],[HORA INICIO INTERVENCIÓN]]</f>
        <v>4.5138888888888895E-2</v>
      </c>
      <c r="R641" s="20">
        <f>(SEGUIMIENTO_TPM_xlsx[[#This Row],[HORA REPORTE]]+SEGUIMIENTO_TPM_xlsx[[#This Row],[FECHA DE REPORTE]])</f>
        <v>46051.190972222219</v>
      </c>
      <c r="S641" s="20">
        <f>(SEGUIMIENTO_TPM_xlsx[[#This Row],[FECHA DE INTERVENCÓN]]+SEGUIMIENTO_TPM_xlsx[[#This Row],[HORA FIN  INTERVENCIÓN]])</f>
        <v>46051.236111111109</v>
      </c>
      <c r="T641" s="11">
        <f>(SEGUIMIENTO_TPM_xlsx[[#This Row],[FECHA Y HORA FINAL]]-SEGUIMIENTO_TPM_xlsx[[#This Row],[FECHA Y HORA INICIO]])</f>
        <v>4.5138888890505768E-2</v>
      </c>
    </row>
    <row r="642" spans="1:20" x14ac:dyDescent="0.25">
      <c r="A642">
        <v>650</v>
      </c>
      <c r="B642" t="s">
        <v>526</v>
      </c>
      <c r="C642" s="1"/>
      <c r="D642" s="2">
        <v>46051</v>
      </c>
      <c r="E642" t="s">
        <v>104</v>
      </c>
      <c r="F642" t="s">
        <v>18</v>
      </c>
      <c r="G642" t="s">
        <v>1061</v>
      </c>
      <c r="H642" s="1"/>
      <c r="I642" s="1"/>
      <c r="J642" s="2"/>
      <c r="P642" t="s">
        <v>33</v>
      </c>
      <c r="Q642" s="1">
        <f>SEGUIMIENTO_TPM_xlsx[[#This Row],[HORA FIN  INTERVENCIÓN]]-SEGUIMIENTO_TPM_xlsx[[#This Row],[HORA INICIO INTERVENCIÓN]]</f>
        <v>0</v>
      </c>
      <c r="R642" s="20">
        <f>(SEGUIMIENTO_TPM_xlsx[[#This Row],[HORA REPORTE]]+SEGUIMIENTO_TPM_xlsx[[#This Row],[FECHA DE REPORTE]])</f>
        <v>46051</v>
      </c>
      <c r="S642" s="20">
        <f>(SEGUIMIENTO_TPM_xlsx[[#This Row],[FECHA DE INTERVENCÓN]]+SEGUIMIENTO_TPM_xlsx[[#This Row],[HORA FIN  INTERVENCIÓN]])</f>
        <v>0</v>
      </c>
      <c r="T642" s="11">
        <f>(SEGUIMIENTO_TPM_xlsx[[#This Row],[FECHA Y HORA FINAL]]-SEGUIMIENTO_TPM_xlsx[[#This Row],[FECHA Y HORA INICIO]])</f>
        <v>-46051</v>
      </c>
    </row>
    <row r="643" spans="1:20" x14ac:dyDescent="0.25">
      <c r="A643">
        <v>651</v>
      </c>
      <c r="B643" t="s">
        <v>93</v>
      </c>
      <c r="C643" s="1">
        <v>0.43055555555555558</v>
      </c>
      <c r="D643" s="2">
        <v>46051</v>
      </c>
      <c r="E643" t="s">
        <v>17</v>
      </c>
      <c r="F643" t="s">
        <v>18</v>
      </c>
      <c r="G643" t="s">
        <v>1062</v>
      </c>
      <c r="H643" s="1">
        <v>0.43055555555555558</v>
      </c>
      <c r="I643" s="1">
        <v>0.44444444444444442</v>
      </c>
      <c r="J643" s="2">
        <v>46051</v>
      </c>
      <c r="K643" t="s">
        <v>20</v>
      </c>
      <c r="L643" t="s">
        <v>1063</v>
      </c>
      <c r="M643" t="s">
        <v>22</v>
      </c>
      <c r="N643" t="s">
        <v>1064</v>
      </c>
      <c r="O643" t="s">
        <v>112</v>
      </c>
      <c r="P643" t="s">
        <v>23</v>
      </c>
      <c r="Q643" s="1">
        <f>SEGUIMIENTO_TPM_xlsx[[#This Row],[HORA FIN  INTERVENCIÓN]]-SEGUIMIENTO_TPM_xlsx[[#This Row],[HORA INICIO INTERVENCIÓN]]</f>
        <v>1.388888888888884E-2</v>
      </c>
      <c r="R643" s="20">
        <f>(SEGUIMIENTO_TPM_xlsx[[#This Row],[HORA REPORTE]]+SEGUIMIENTO_TPM_xlsx[[#This Row],[FECHA DE REPORTE]])</f>
        <v>46051.430555555555</v>
      </c>
      <c r="S643" s="20">
        <f>(SEGUIMIENTO_TPM_xlsx[[#This Row],[FECHA DE INTERVENCÓN]]+SEGUIMIENTO_TPM_xlsx[[#This Row],[HORA FIN  INTERVENCIÓN]])</f>
        <v>46051.444444444445</v>
      </c>
      <c r="T643" s="11">
        <f>(SEGUIMIENTO_TPM_xlsx[[#This Row],[FECHA Y HORA FINAL]]-SEGUIMIENTO_TPM_xlsx[[#This Row],[FECHA Y HORA INICIO]])</f>
        <v>1.3888888890505768E-2</v>
      </c>
    </row>
    <row r="644" spans="1:20" x14ac:dyDescent="0.25">
      <c r="A644">
        <v>652</v>
      </c>
      <c r="B644" t="s">
        <v>93</v>
      </c>
      <c r="C644" s="1">
        <v>0.39583333333333331</v>
      </c>
      <c r="D644" s="2">
        <v>46051</v>
      </c>
      <c r="E644" t="s">
        <v>94</v>
      </c>
      <c r="G644" t="s">
        <v>1065</v>
      </c>
      <c r="H644" s="1">
        <v>0.39583333333333331</v>
      </c>
      <c r="I644" s="1">
        <v>0.41666666666666669</v>
      </c>
      <c r="J644" s="2">
        <v>46051</v>
      </c>
      <c r="K644" t="s">
        <v>20</v>
      </c>
      <c r="L644" t="s">
        <v>1066</v>
      </c>
      <c r="M644" t="s">
        <v>22</v>
      </c>
      <c r="N644" t="s">
        <v>22</v>
      </c>
      <c r="O644" t="s">
        <v>112</v>
      </c>
      <c r="P644" t="s">
        <v>23</v>
      </c>
      <c r="Q644" s="1">
        <f>SEGUIMIENTO_TPM_xlsx[[#This Row],[HORA FIN  INTERVENCIÓN]]-SEGUIMIENTO_TPM_xlsx[[#This Row],[HORA INICIO INTERVENCIÓN]]</f>
        <v>2.083333333333337E-2</v>
      </c>
      <c r="R644" s="20">
        <f>(SEGUIMIENTO_TPM_xlsx[[#This Row],[HORA REPORTE]]+SEGUIMIENTO_TPM_xlsx[[#This Row],[FECHA DE REPORTE]])</f>
        <v>46051.395833333336</v>
      </c>
      <c r="S644" s="20">
        <f>(SEGUIMIENTO_TPM_xlsx[[#This Row],[FECHA DE INTERVENCÓN]]+SEGUIMIENTO_TPM_xlsx[[#This Row],[HORA FIN  INTERVENCIÓN]])</f>
        <v>46051.416666666664</v>
      </c>
      <c r="T644" s="11">
        <f>(SEGUIMIENTO_TPM_xlsx[[#This Row],[FECHA Y HORA FINAL]]-SEGUIMIENTO_TPM_xlsx[[#This Row],[FECHA Y HORA INICIO]])</f>
        <v>2.0833333328482695E-2</v>
      </c>
    </row>
    <row r="645" spans="1:20" x14ac:dyDescent="0.25">
      <c r="A645">
        <v>653</v>
      </c>
      <c r="C645" s="1"/>
      <c r="D645" s="2"/>
      <c r="H645" s="1"/>
      <c r="I645" s="1"/>
      <c r="J645" s="2"/>
      <c r="Q645" s="1">
        <f>SEGUIMIENTO_TPM_xlsx[[#This Row],[HORA FIN  INTERVENCIÓN]]-SEGUIMIENTO_TPM_xlsx[[#This Row],[HORA INICIO INTERVENCIÓN]]</f>
        <v>0</v>
      </c>
      <c r="R645" s="20">
        <f>(SEGUIMIENTO_TPM_xlsx[[#This Row],[HORA REPORTE]]+SEGUIMIENTO_TPM_xlsx[[#This Row],[FECHA DE REPORTE]])</f>
        <v>0</v>
      </c>
      <c r="S645" s="20">
        <f>(SEGUIMIENTO_TPM_xlsx[[#This Row],[FECHA DE INTERVENCÓN]]+SEGUIMIENTO_TPM_xlsx[[#This Row],[HORA FIN  INTERVENCIÓN]])</f>
        <v>0</v>
      </c>
      <c r="T645" s="11">
        <f>(SEGUIMIENTO_TPM_xlsx[[#This Row],[FECHA Y HORA FINAL]]-SEGUIMIENTO_TPM_xlsx[[#This Row],[FECHA Y HORA INICIO]])</f>
        <v>0</v>
      </c>
    </row>
    <row r="646" spans="1:20" x14ac:dyDescent="0.25">
      <c r="A646">
        <v>654</v>
      </c>
      <c r="B646" t="s">
        <v>16</v>
      </c>
      <c r="C646" s="1">
        <v>0.6875</v>
      </c>
      <c r="D646" s="2">
        <v>46051</v>
      </c>
      <c r="E646" t="s">
        <v>116</v>
      </c>
      <c r="F646" t="s">
        <v>650</v>
      </c>
      <c r="G646" t="s">
        <v>1067</v>
      </c>
      <c r="H646" s="1">
        <v>0.68888888888888888</v>
      </c>
      <c r="I646" s="1">
        <v>0.70138888888888884</v>
      </c>
      <c r="J646" s="2">
        <v>46051</v>
      </c>
      <c r="K646" t="s">
        <v>25</v>
      </c>
      <c r="L646" t="s">
        <v>1068</v>
      </c>
      <c r="M646" t="s">
        <v>22</v>
      </c>
      <c r="N646" t="s">
        <v>22</v>
      </c>
      <c r="O646" t="s">
        <v>661</v>
      </c>
      <c r="P646" t="s">
        <v>23</v>
      </c>
      <c r="Q646" s="1">
        <f>SEGUIMIENTO_TPM_xlsx[[#This Row],[HORA FIN  INTERVENCIÓN]]-SEGUIMIENTO_TPM_xlsx[[#This Row],[HORA INICIO INTERVENCIÓN]]</f>
        <v>1.2499999999999956E-2</v>
      </c>
      <c r="R646" s="20">
        <f>(SEGUIMIENTO_TPM_xlsx[[#This Row],[HORA REPORTE]]+SEGUIMIENTO_TPM_xlsx[[#This Row],[FECHA DE REPORTE]])</f>
        <v>46051.6875</v>
      </c>
      <c r="S646" s="20">
        <f>(SEGUIMIENTO_TPM_xlsx[[#This Row],[FECHA DE INTERVENCÓN]]+SEGUIMIENTO_TPM_xlsx[[#This Row],[HORA FIN  INTERVENCIÓN]])</f>
        <v>46051.701388888891</v>
      </c>
      <c r="T646" s="11">
        <f>(SEGUIMIENTO_TPM_xlsx[[#This Row],[FECHA Y HORA FINAL]]-SEGUIMIENTO_TPM_xlsx[[#This Row],[FECHA Y HORA INICIO]])</f>
        <v>1.3888888890505768E-2</v>
      </c>
    </row>
    <row r="647" spans="1:20" x14ac:dyDescent="0.25">
      <c r="A647">
        <v>655</v>
      </c>
      <c r="B647" t="s">
        <v>16</v>
      </c>
      <c r="C647" s="1">
        <v>0.86805555555555558</v>
      </c>
      <c r="D647" s="2">
        <v>46051</v>
      </c>
      <c r="E647" t="s">
        <v>185</v>
      </c>
      <c r="G647" t="s">
        <v>1069</v>
      </c>
      <c r="H647" s="1">
        <v>0.91319444444444442</v>
      </c>
      <c r="I647" s="1">
        <v>0.30208333333333331</v>
      </c>
      <c r="J647" s="2">
        <v>46052</v>
      </c>
      <c r="K647" t="s">
        <v>25</v>
      </c>
      <c r="L647" t="s">
        <v>1070</v>
      </c>
      <c r="M647" t="s">
        <v>1071</v>
      </c>
      <c r="N647" t="s">
        <v>22</v>
      </c>
      <c r="O647" t="s">
        <v>661</v>
      </c>
      <c r="P647" t="s">
        <v>23</v>
      </c>
      <c r="Q647" s="1">
        <f>SEGUIMIENTO_TPM_xlsx[[#This Row],[HORA FIN  INTERVENCIÓN]]-SEGUIMIENTO_TPM_xlsx[[#This Row],[HORA INICIO INTERVENCIÓN]]</f>
        <v>-0.61111111111111116</v>
      </c>
      <c r="R647" s="20">
        <f>(SEGUIMIENTO_TPM_xlsx[[#This Row],[HORA REPORTE]]+SEGUIMIENTO_TPM_xlsx[[#This Row],[FECHA DE REPORTE]])</f>
        <v>46051.868055555555</v>
      </c>
      <c r="S647" s="20">
        <f>(SEGUIMIENTO_TPM_xlsx[[#This Row],[FECHA DE INTERVENCÓN]]+SEGUIMIENTO_TPM_xlsx[[#This Row],[HORA FIN  INTERVENCIÓN]])</f>
        <v>46052.302083333336</v>
      </c>
      <c r="T647" s="11">
        <f>(SEGUIMIENTO_TPM_xlsx[[#This Row],[FECHA Y HORA FINAL]]-SEGUIMIENTO_TPM_xlsx[[#This Row],[FECHA Y HORA INICIO]])</f>
        <v>0.43402777778101154</v>
      </c>
    </row>
    <row r="648" spans="1:20" x14ac:dyDescent="0.25">
      <c r="A648">
        <v>656</v>
      </c>
      <c r="B648" t="s">
        <v>279</v>
      </c>
      <c r="C648" s="1">
        <v>0.89236111111111116</v>
      </c>
      <c r="D648" s="2">
        <v>46051</v>
      </c>
      <c r="E648" t="s">
        <v>17</v>
      </c>
      <c r="G648" t="s">
        <v>1072</v>
      </c>
      <c r="H648" s="1">
        <v>0.97222222222222221</v>
      </c>
      <c r="I648" s="1">
        <v>0.9916666666666667</v>
      </c>
      <c r="J648" s="2">
        <v>46051</v>
      </c>
      <c r="K648" t="s">
        <v>25</v>
      </c>
      <c r="L648" t="s">
        <v>1073</v>
      </c>
      <c r="M648" t="s">
        <v>22</v>
      </c>
      <c r="N648" t="s">
        <v>1074</v>
      </c>
      <c r="O648" t="s">
        <v>108</v>
      </c>
      <c r="P648" t="s">
        <v>23</v>
      </c>
      <c r="Q648" s="1">
        <f>SEGUIMIENTO_TPM_xlsx[[#This Row],[HORA FIN  INTERVENCIÓN]]-SEGUIMIENTO_TPM_xlsx[[#This Row],[HORA INICIO INTERVENCIÓN]]</f>
        <v>1.9444444444444486E-2</v>
      </c>
      <c r="R648" s="20">
        <f>(SEGUIMIENTO_TPM_xlsx[[#This Row],[HORA REPORTE]]+SEGUIMIENTO_TPM_xlsx[[#This Row],[FECHA DE REPORTE]])</f>
        <v>46051.892361111109</v>
      </c>
      <c r="S648" s="20">
        <f>(SEGUIMIENTO_TPM_xlsx[[#This Row],[FECHA DE INTERVENCÓN]]+SEGUIMIENTO_TPM_xlsx[[#This Row],[HORA FIN  INTERVENCIÓN]])</f>
        <v>46051.991666666669</v>
      </c>
      <c r="T648" s="11">
        <f>(SEGUIMIENTO_TPM_xlsx[[#This Row],[FECHA Y HORA FINAL]]-SEGUIMIENTO_TPM_xlsx[[#This Row],[FECHA Y HORA INICIO]])</f>
        <v>9.930555555911269E-2</v>
      </c>
    </row>
    <row r="649" spans="1:20" x14ac:dyDescent="0.25">
      <c r="A649">
        <v>657</v>
      </c>
      <c r="B649" t="s">
        <v>161</v>
      </c>
      <c r="C649" s="1">
        <v>0.13541666666666666</v>
      </c>
      <c r="D649" s="2">
        <v>46052</v>
      </c>
      <c r="E649" t="s">
        <v>162</v>
      </c>
      <c r="G649" t="s">
        <v>1075</v>
      </c>
      <c r="H649" s="1">
        <v>0.18055555555555555</v>
      </c>
      <c r="I649" s="1">
        <v>0.34722222222222221</v>
      </c>
      <c r="J649" s="2">
        <v>46052</v>
      </c>
      <c r="K649" t="s">
        <v>775</v>
      </c>
      <c r="L649" t="s">
        <v>1076</v>
      </c>
      <c r="M649" t="s">
        <v>1077</v>
      </c>
      <c r="N649" t="s">
        <v>22</v>
      </c>
      <c r="O649" t="s">
        <v>661</v>
      </c>
      <c r="P649" t="s">
        <v>23</v>
      </c>
      <c r="Q649" s="1">
        <f>SEGUIMIENTO_TPM_xlsx[[#This Row],[HORA FIN  INTERVENCIÓN]]-SEGUIMIENTO_TPM_xlsx[[#This Row],[HORA INICIO INTERVENCIÓN]]</f>
        <v>0.16666666666666666</v>
      </c>
      <c r="R649" s="20">
        <f>(SEGUIMIENTO_TPM_xlsx[[#This Row],[HORA REPORTE]]+SEGUIMIENTO_TPM_xlsx[[#This Row],[FECHA DE REPORTE]])</f>
        <v>46052.135416666664</v>
      </c>
      <c r="S649" s="20">
        <f>(SEGUIMIENTO_TPM_xlsx[[#This Row],[FECHA DE INTERVENCÓN]]+SEGUIMIENTO_TPM_xlsx[[#This Row],[HORA FIN  INTERVENCIÓN]])</f>
        <v>46052.347222222219</v>
      </c>
      <c r="T649" s="11">
        <f>(SEGUIMIENTO_TPM_xlsx[[#This Row],[FECHA Y HORA FINAL]]-SEGUIMIENTO_TPM_xlsx[[#This Row],[FECHA Y HORA INICIO]])</f>
        <v>0.21180555555474712</v>
      </c>
    </row>
    <row r="650" spans="1:20" x14ac:dyDescent="0.25">
      <c r="A650">
        <v>658</v>
      </c>
      <c r="B650" t="s">
        <v>103</v>
      </c>
      <c r="C650" s="1">
        <v>0.4548611111111111</v>
      </c>
      <c r="D650" s="2">
        <v>46052</v>
      </c>
      <c r="E650" t="s">
        <v>307</v>
      </c>
      <c r="F650" t="s">
        <v>18</v>
      </c>
      <c r="G650" t="s">
        <v>1078</v>
      </c>
      <c r="H650" s="1"/>
      <c r="I650" s="1"/>
      <c r="J650" s="2"/>
      <c r="P650" t="s">
        <v>33</v>
      </c>
      <c r="Q650" s="1">
        <f>SEGUIMIENTO_TPM_xlsx[[#This Row],[HORA FIN  INTERVENCIÓN]]-SEGUIMIENTO_TPM_xlsx[[#This Row],[HORA INICIO INTERVENCIÓN]]</f>
        <v>0</v>
      </c>
      <c r="R650" s="20">
        <f>(SEGUIMIENTO_TPM_xlsx[[#This Row],[HORA REPORTE]]+SEGUIMIENTO_TPM_xlsx[[#This Row],[FECHA DE REPORTE]])</f>
        <v>46052.454861111109</v>
      </c>
      <c r="S650" s="20">
        <f>(SEGUIMIENTO_TPM_xlsx[[#This Row],[FECHA DE INTERVENCÓN]]+SEGUIMIENTO_TPM_xlsx[[#This Row],[HORA FIN  INTERVENCIÓN]])</f>
        <v>0</v>
      </c>
      <c r="T650" s="11">
        <f>(SEGUIMIENTO_TPM_xlsx[[#This Row],[FECHA Y HORA FINAL]]-SEGUIMIENTO_TPM_xlsx[[#This Row],[FECHA Y HORA INICIO]])</f>
        <v>-46052.454861111109</v>
      </c>
    </row>
    <row r="651" spans="1:20" x14ac:dyDescent="0.25">
      <c r="A651">
        <v>659</v>
      </c>
      <c r="B651" t="s">
        <v>103</v>
      </c>
      <c r="C651" s="1">
        <v>0.45347222222222222</v>
      </c>
      <c r="D651" s="2">
        <v>46052</v>
      </c>
      <c r="E651" t="s">
        <v>104</v>
      </c>
      <c r="F651" t="s">
        <v>650</v>
      </c>
      <c r="G651" t="s">
        <v>1079</v>
      </c>
      <c r="H651" s="1"/>
      <c r="I651" s="1"/>
      <c r="J651" s="2"/>
      <c r="P651" t="s">
        <v>33</v>
      </c>
      <c r="Q651" s="1">
        <f>SEGUIMIENTO_TPM_xlsx[[#This Row],[HORA FIN  INTERVENCIÓN]]-SEGUIMIENTO_TPM_xlsx[[#This Row],[HORA INICIO INTERVENCIÓN]]</f>
        <v>0</v>
      </c>
      <c r="R651" s="20">
        <f>(SEGUIMIENTO_TPM_xlsx[[#This Row],[HORA REPORTE]]+SEGUIMIENTO_TPM_xlsx[[#This Row],[FECHA DE REPORTE]])</f>
        <v>46052.453472222223</v>
      </c>
      <c r="S651" s="20">
        <f>(SEGUIMIENTO_TPM_xlsx[[#This Row],[FECHA DE INTERVENCÓN]]+SEGUIMIENTO_TPM_xlsx[[#This Row],[HORA FIN  INTERVENCIÓN]])</f>
        <v>0</v>
      </c>
      <c r="T651" s="11">
        <f>(SEGUIMIENTO_TPM_xlsx[[#This Row],[FECHA Y HORA FINAL]]-SEGUIMIENTO_TPM_xlsx[[#This Row],[FECHA Y HORA INICIO]])</f>
        <v>-46052.453472222223</v>
      </c>
    </row>
    <row r="652" spans="1:20" x14ac:dyDescent="0.25">
      <c r="A652">
        <v>660</v>
      </c>
      <c r="B652" t="s">
        <v>1080</v>
      </c>
      <c r="C652" s="1">
        <v>0.79166666666666663</v>
      </c>
      <c r="D652" s="2">
        <v>46052</v>
      </c>
      <c r="E652" t="s">
        <v>782</v>
      </c>
      <c r="F652" t="s">
        <v>18</v>
      </c>
      <c r="G652" t="s">
        <v>1081</v>
      </c>
      <c r="H652" s="1">
        <v>0.82291666666666663</v>
      </c>
      <c r="I652" s="1">
        <v>0.85416666666666663</v>
      </c>
      <c r="J652" s="2">
        <v>46052</v>
      </c>
      <c r="K652" t="s">
        <v>20</v>
      </c>
      <c r="L652" t="s">
        <v>1082</v>
      </c>
      <c r="M652" t="s">
        <v>22</v>
      </c>
      <c r="N652" t="s">
        <v>22</v>
      </c>
      <c r="O652" t="s">
        <v>44</v>
      </c>
      <c r="P652" t="s">
        <v>33</v>
      </c>
      <c r="Q652" s="1">
        <f>SEGUIMIENTO_TPM_xlsx[[#This Row],[HORA FIN  INTERVENCIÓN]]-SEGUIMIENTO_TPM_xlsx[[#This Row],[HORA INICIO INTERVENCIÓN]]</f>
        <v>3.125E-2</v>
      </c>
      <c r="R652" s="20">
        <f>(SEGUIMIENTO_TPM_xlsx[[#This Row],[HORA REPORTE]]+SEGUIMIENTO_TPM_xlsx[[#This Row],[FECHA DE REPORTE]])</f>
        <v>46052.791666666664</v>
      </c>
      <c r="S652" s="20">
        <f>(SEGUIMIENTO_TPM_xlsx[[#This Row],[FECHA DE INTERVENCÓN]]+SEGUIMIENTO_TPM_xlsx[[#This Row],[HORA FIN  INTERVENCIÓN]])</f>
        <v>46052.854166666664</v>
      </c>
      <c r="T652" s="11">
        <f>(SEGUIMIENTO_TPM_xlsx[[#This Row],[FECHA Y HORA FINAL]]-SEGUIMIENTO_TPM_xlsx[[#This Row],[FECHA Y HORA INICIO]])</f>
        <v>6.25E-2</v>
      </c>
    </row>
    <row r="653" spans="1:20" x14ac:dyDescent="0.25">
      <c r="A653">
        <v>661</v>
      </c>
      <c r="B653" t="s">
        <v>103</v>
      </c>
      <c r="C653" s="1">
        <v>0.30902777777777779</v>
      </c>
      <c r="D653" s="2">
        <v>46053</v>
      </c>
      <c r="E653" t="s">
        <v>147</v>
      </c>
      <c r="F653" t="s">
        <v>650</v>
      </c>
      <c r="G653" t="s">
        <v>1083</v>
      </c>
      <c r="H653" s="1"/>
      <c r="I653" s="1"/>
      <c r="J653" s="2"/>
      <c r="P653" t="s">
        <v>33</v>
      </c>
      <c r="Q653" s="1">
        <f>SEGUIMIENTO_TPM_xlsx[[#This Row],[HORA FIN  INTERVENCIÓN]]-SEGUIMIENTO_TPM_xlsx[[#This Row],[HORA INICIO INTERVENCIÓN]]</f>
        <v>0</v>
      </c>
      <c r="R653" s="20">
        <f>(SEGUIMIENTO_TPM_xlsx[[#This Row],[HORA REPORTE]]+SEGUIMIENTO_TPM_xlsx[[#This Row],[FECHA DE REPORTE]])</f>
        <v>46053.309027777781</v>
      </c>
      <c r="S653" s="20">
        <f>(SEGUIMIENTO_TPM_xlsx[[#This Row],[FECHA DE INTERVENCÓN]]+SEGUIMIENTO_TPM_xlsx[[#This Row],[HORA FIN  INTERVENCIÓN]])</f>
        <v>0</v>
      </c>
      <c r="T653" s="11">
        <f>(SEGUIMIENTO_TPM_xlsx[[#This Row],[FECHA Y HORA FINAL]]-SEGUIMIENTO_TPM_xlsx[[#This Row],[FECHA Y HORA INICIO]])</f>
        <v>-46053.309027777781</v>
      </c>
    </row>
    <row r="654" spans="1:20" x14ac:dyDescent="0.25">
      <c r="A654">
        <v>662</v>
      </c>
      <c r="B654" t="s">
        <v>103</v>
      </c>
      <c r="C654" s="1">
        <v>0.30902777777777779</v>
      </c>
      <c r="D654" s="2">
        <v>46053</v>
      </c>
      <c r="E654" t="s">
        <v>104</v>
      </c>
      <c r="F654" t="s">
        <v>18</v>
      </c>
      <c r="G654" t="s">
        <v>1084</v>
      </c>
      <c r="H654" s="1"/>
      <c r="I654" s="1"/>
      <c r="J654" s="2"/>
      <c r="P654" t="s">
        <v>33</v>
      </c>
      <c r="Q654" s="1">
        <f>SEGUIMIENTO_TPM_xlsx[[#This Row],[HORA FIN  INTERVENCIÓN]]-SEGUIMIENTO_TPM_xlsx[[#This Row],[HORA INICIO INTERVENCIÓN]]</f>
        <v>0</v>
      </c>
      <c r="R654" s="20">
        <f>(SEGUIMIENTO_TPM_xlsx[[#This Row],[HORA REPORTE]]+SEGUIMIENTO_TPM_xlsx[[#This Row],[FECHA DE REPORTE]])</f>
        <v>46053.309027777781</v>
      </c>
      <c r="S654" s="20">
        <f>(SEGUIMIENTO_TPM_xlsx[[#This Row],[FECHA DE INTERVENCÓN]]+SEGUIMIENTO_TPM_xlsx[[#This Row],[HORA FIN  INTERVENCIÓN]])</f>
        <v>0</v>
      </c>
      <c r="T654" s="11">
        <f>(SEGUIMIENTO_TPM_xlsx[[#This Row],[FECHA Y HORA FINAL]]-SEGUIMIENTO_TPM_xlsx[[#This Row],[FECHA Y HORA INICIO]])</f>
        <v>-46053.309027777781</v>
      </c>
    </row>
    <row r="655" spans="1:20" x14ac:dyDescent="0.25">
      <c r="A655">
        <v>663</v>
      </c>
      <c r="B655" t="s">
        <v>103</v>
      </c>
      <c r="C655" s="1"/>
      <c r="D655" s="2">
        <v>46053</v>
      </c>
      <c r="E655" t="s">
        <v>188</v>
      </c>
      <c r="F655" t="s">
        <v>650</v>
      </c>
      <c r="G655" t="s">
        <v>1085</v>
      </c>
      <c r="H655" s="1"/>
      <c r="I655" s="1"/>
      <c r="J655" s="2"/>
      <c r="P655" t="s">
        <v>33</v>
      </c>
      <c r="Q655" s="1">
        <f>SEGUIMIENTO_TPM_xlsx[[#This Row],[HORA FIN  INTERVENCIÓN]]-SEGUIMIENTO_TPM_xlsx[[#This Row],[HORA INICIO INTERVENCIÓN]]</f>
        <v>0</v>
      </c>
      <c r="R655" s="20">
        <f>(SEGUIMIENTO_TPM_xlsx[[#This Row],[HORA REPORTE]]+SEGUIMIENTO_TPM_xlsx[[#This Row],[FECHA DE REPORTE]])</f>
        <v>46053</v>
      </c>
      <c r="S655" s="20">
        <f>(SEGUIMIENTO_TPM_xlsx[[#This Row],[FECHA DE INTERVENCÓN]]+SEGUIMIENTO_TPM_xlsx[[#This Row],[HORA FIN  INTERVENCIÓN]])</f>
        <v>0</v>
      </c>
      <c r="T655" s="11">
        <f>(SEGUIMIENTO_TPM_xlsx[[#This Row],[FECHA Y HORA FINAL]]-SEGUIMIENTO_TPM_xlsx[[#This Row],[FECHA Y HORA INICIO]])</f>
        <v>-46053</v>
      </c>
    </row>
    <row r="656" spans="1:20" x14ac:dyDescent="0.25">
      <c r="A656">
        <v>664</v>
      </c>
      <c r="B656" t="s">
        <v>103</v>
      </c>
      <c r="C656" s="1"/>
      <c r="D656" s="2">
        <v>46053</v>
      </c>
      <c r="E656" t="s">
        <v>188</v>
      </c>
      <c r="F656" t="s">
        <v>650</v>
      </c>
      <c r="G656" t="s">
        <v>1086</v>
      </c>
      <c r="H656" s="1"/>
      <c r="I656" s="1"/>
      <c r="J656" s="2"/>
      <c r="P656" t="s">
        <v>33</v>
      </c>
      <c r="Q656" s="1">
        <f>SEGUIMIENTO_TPM_xlsx[[#This Row],[HORA FIN  INTERVENCIÓN]]-SEGUIMIENTO_TPM_xlsx[[#This Row],[HORA INICIO INTERVENCIÓN]]</f>
        <v>0</v>
      </c>
      <c r="R656" s="20">
        <f>(SEGUIMIENTO_TPM_xlsx[[#This Row],[HORA REPORTE]]+SEGUIMIENTO_TPM_xlsx[[#This Row],[FECHA DE REPORTE]])</f>
        <v>46053</v>
      </c>
      <c r="S656" s="20">
        <f>(SEGUIMIENTO_TPM_xlsx[[#This Row],[FECHA DE INTERVENCÓN]]+SEGUIMIENTO_TPM_xlsx[[#This Row],[HORA FIN  INTERVENCIÓN]])</f>
        <v>0</v>
      </c>
      <c r="T656" s="11">
        <f>(SEGUIMIENTO_TPM_xlsx[[#This Row],[FECHA Y HORA FINAL]]-SEGUIMIENTO_TPM_xlsx[[#This Row],[FECHA Y HORA INICIO]])</f>
        <v>-46053</v>
      </c>
    </row>
    <row r="657" spans="1:20" x14ac:dyDescent="0.25">
      <c r="A657">
        <v>665</v>
      </c>
      <c r="B657" t="s">
        <v>103</v>
      </c>
      <c r="C657" s="1"/>
      <c r="D657" s="2">
        <v>46053</v>
      </c>
      <c r="E657" t="s">
        <v>1087</v>
      </c>
      <c r="F657" t="s">
        <v>18</v>
      </c>
      <c r="G657" t="s">
        <v>1088</v>
      </c>
      <c r="H657" s="1"/>
      <c r="I657" s="1"/>
      <c r="J657" s="2"/>
      <c r="P657" t="s">
        <v>33</v>
      </c>
      <c r="Q657" s="1">
        <f>SEGUIMIENTO_TPM_xlsx[[#This Row],[HORA FIN  INTERVENCIÓN]]-SEGUIMIENTO_TPM_xlsx[[#This Row],[HORA INICIO INTERVENCIÓN]]</f>
        <v>0</v>
      </c>
      <c r="R657" s="20">
        <f>(SEGUIMIENTO_TPM_xlsx[[#This Row],[HORA REPORTE]]+SEGUIMIENTO_TPM_xlsx[[#This Row],[FECHA DE REPORTE]])</f>
        <v>46053</v>
      </c>
      <c r="S657" s="20">
        <f>(SEGUIMIENTO_TPM_xlsx[[#This Row],[FECHA DE INTERVENCÓN]]+SEGUIMIENTO_TPM_xlsx[[#This Row],[HORA FIN  INTERVENCIÓN]])</f>
        <v>0</v>
      </c>
      <c r="T657" s="11">
        <f>(SEGUIMIENTO_TPM_xlsx[[#This Row],[FECHA Y HORA FINAL]]-SEGUIMIENTO_TPM_xlsx[[#This Row],[FECHA Y HORA INICIO]])</f>
        <v>-46053</v>
      </c>
    </row>
    <row r="658" spans="1:20" x14ac:dyDescent="0.25">
      <c r="A658">
        <v>666</v>
      </c>
      <c r="B658" t="s">
        <v>526</v>
      </c>
      <c r="C658" s="1">
        <v>0.31944444444444442</v>
      </c>
      <c r="D658" s="2">
        <v>46053</v>
      </c>
      <c r="E658" t="s">
        <v>91</v>
      </c>
      <c r="F658" t="s">
        <v>650</v>
      </c>
      <c r="G658" t="s">
        <v>1089</v>
      </c>
      <c r="H658" s="1"/>
      <c r="I658" s="1"/>
      <c r="J658" s="2"/>
      <c r="P658" t="s">
        <v>33</v>
      </c>
      <c r="Q658" s="1">
        <f>SEGUIMIENTO_TPM_xlsx[[#This Row],[HORA FIN  INTERVENCIÓN]]-SEGUIMIENTO_TPM_xlsx[[#This Row],[HORA INICIO INTERVENCIÓN]]</f>
        <v>0</v>
      </c>
      <c r="R658" s="20">
        <f>(SEGUIMIENTO_TPM_xlsx[[#This Row],[HORA REPORTE]]+SEGUIMIENTO_TPM_xlsx[[#This Row],[FECHA DE REPORTE]])</f>
        <v>46053.319444444445</v>
      </c>
      <c r="S658" s="20">
        <f>(SEGUIMIENTO_TPM_xlsx[[#This Row],[FECHA DE INTERVENCÓN]]+SEGUIMIENTO_TPM_xlsx[[#This Row],[HORA FIN  INTERVENCIÓN]])</f>
        <v>0</v>
      </c>
      <c r="T658" s="11">
        <f>(SEGUIMIENTO_TPM_xlsx[[#This Row],[FECHA Y HORA FINAL]]-SEGUIMIENTO_TPM_xlsx[[#This Row],[FECHA Y HORA INICIO]])</f>
        <v>-46053.319444444445</v>
      </c>
    </row>
    <row r="659" spans="1:20" x14ac:dyDescent="0.25">
      <c r="A659">
        <v>667</v>
      </c>
      <c r="B659" t="s">
        <v>231</v>
      </c>
      <c r="C659" s="1">
        <v>0.50486111111111109</v>
      </c>
      <c r="D659" s="2">
        <v>46053</v>
      </c>
      <c r="E659" t="s">
        <v>143</v>
      </c>
      <c r="F659" t="s">
        <v>18</v>
      </c>
      <c r="G659" t="s">
        <v>1090</v>
      </c>
      <c r="H659" s="1">
        <v>0.52083333333333337</v>
      </c>
      <c r="I659" s="1">
        <v>0.56944444444444442</v>
      </c>
      <c r="J659" s="2">
        <v>46053</v>
      </c>
      <c r="K659" t="s">
        <v>25</v>
      </c>
      <c r="L659" t="s">
        <v>1091</v>
      </c>
      <c r="M659" t="s">
        <v>1092</v>
      </c>
      <c r="N659" t="s">
        <v>205</v>
      </c>
      <c r="O659" t="s">
        <v>1093</v>
      </c>
      <c r="P659" t="s">
        <v>23</v>
      </c>
      <c r="Q659" s="1">
        <f>SEGUIMIENTO_TPM_xlsx[[#This Row],[HORA FIN  INTERVENCIÓN]]-SEGUIMIENTO_TPM_xlsx[[#This Row],[HORA INICIO INTERVENCIÓN]]</f>
        <v>4.8611111111111049E-2</v>
      </c>
      <c r="R659" s="20">
        <f>(SEGUIMIENTO_TPM_xlsx[[#This Row],[HORA REPORTE]]+SEGUIMIENTO_TPM_xlsx[[#This Row],[FECHA DE REPORTE]])</f>
        <v>46053.504861111112</v>
      </c>
      <c r="S659" s="20">
        <f>(SEGUIMIENTO_TPM_xlsx[[#This Row],[FECHA DE INTERVENCÓN]]+SEGUIMIENTO_TPM_xlsx[[#This Row],[HORA FIN  INTERVENCIÓN]])</f>
        <v>46053.569444444445</v>
      </c>
      <c r="T659" s="11">
        <f>(SEGUIMIENTO_TPM_xlsx[[#This Row],[FECHA Y HORA FINAL]]-SEGUIMIENTO_TPM_xlsx[[#This Row],[FECHA Y HORA INICIO]])</f>
        <v>6.4583333332848269E-2</v>
      </c>
    </row>
    <row r="660" spans="1:20" x14ac:dyDescent="0.25">
      <c r="A660">
        <v>668</v>
      </c>
      <c r="B660" t="s">
        <v>187</v>
      </c>
      <c r="C660" s="1">
        <v>0.52500000000000002</v>
      </c>
      <c r="D660" s="2">
        <v>46053</v>
      </c>
      <c r="E660" t="s">
        <v>782</v>
      </c>
      <c r="F660" t="s">
        <v>18</v>
      </c>
      <c r="G660" t="s">
        <v>1094</v>
      </c>
      <c r="H660" s="1"/>
      <c r="I660" s="1"/>
      <c r="J660" s="2"/>
      <c r="L660" t="s">
        <v>1095</v>
      </c>
      <c r="M660" t="s">
        <v>22</v>
      </c>
      <c r="N660" t="s">
        <v>22</v>
      </c>
      <c r="O660" t="s">
        <v>1093</v>
      </c>
      <c r="P660" t="s">
        <v>33</v>
      </c>
      <c r="Q660" s="1">
        <f>SEGUIMIENTO_TPM_xlsx[[#This Row],[HORA FIN  INTERVENCIÓN]]-SEGUIMIENTO_TPM_xlsx[[#This Row],[HORA INICIO INTERVENCIÓN]]</f>
        <v>0</v>
      </c>
      <c r="R660" s="20">
        <f>(SEGUIMIENTO_TPM_xlsx[[#This Row],[HORA REPORTE]]+SEGUIMIENTO_TPM_xlsx[[#This Row],[FECHA DE REPORTE]])</f>
        <v>46053.525000000001</v>
      </c>
      <c r="S660" s="20">
        <f>(SEGUIMIENTO_TPM_xlsx[[#This Row],[FECHA DE INTERVENCÓN]]+SEGUIMIENTO_TPM_xlsx[[#This Row],[HORA FIN  INTERVENCIÓN]])</f>
        <v>0</v>
      </c>
      <c r="T660" s="11">
        <f>(SEGUIMIENTO_TPM_xlsx[[#This Row],[FECHA Y HORA FINAL]]-SEGUIMIENTO_TPM_xlsx[[#This Row],[FECHA Y HORA INICIO]])</f>
        <v>-46053.525000000001</v>
      </c>
    </row>
    <row r="661" spans="1:20" x14ac:dyDescent="0.25">
      <c r="A661">
        <v>669</v>
      </c>
      <c r="B661" t="s">
        <v>103</v>
      </c>
      <c r="C661" s="1">
        <v>0.55555555555555558</v>
      </c>
      <c r="D661" s="2">
        <v>46053</v>
      </c>
      <c r="E661" t="s">
        <v>307</v>
      </c>
      <c r="F661" t="s">
        <v>18</v>
      </c>
      <c r="G661" t="s">
        <v>1096</v>
      </c>
      <c r="H661" s="1"/>
      <c r="I661" s="1"/>
      <c r="J661" s="2"/>
      <c r="P661" t="s">
        <v>33</v>
      </c>
      <c r="Q661" s="1">
        <f>SEGUIMIENTO_TPM_xlsx[[#This Row],[HORA FIN  INTERVENCIÓN]]-SEGUIMIENTO_TPM_xlsx[[#This Row],[HORA INICIO INTERVENCIÓN]]</f>
        <v>0</v>
      </c>
      <c r="R661" s="20">
        <f>(SEGUIMIENTO_TPM_xlsx[[#This Row],[HORA REPORTE]]+SEGUIMIENTO_TPM_xlsx[[#This Row],[FECHA DE REPORTE]])</f>
        <v>46053.555555555555</v>
      </c>
      <c r="S661" s="20">
        <f>(SEGUIMIENTO_TPM_xlsx[[#This Row],[FECHA DE INTERVENCÓN]]+SEGUIMIENTO_TPM_xlsx[[#This Row],[HORA FIN  INTERVENCIÓN]])</f>
        <v>0</v>
      </c>
      <c r="T661" s="11">
        <f>(SEGUIMIENTO_TPM_xlsx[[#This Row],[FECHA Y HORA FINAL]]-SEGUIMIENTO_TPM_xlsx[[#This Row],[FECHA Y HORA INICIO]])</f>
        <v>-46053.555555555555</v>
      </c>
    </row>
    <row r="662" spans="1:20" x14ac:dyDescent="0.25">
      <c r="A662">
        <v>670</v>
      </c>
      <c r="B662" t="s">
        <v>187</v>
      </c>
      <c r="C662" s="1">
        <v>0.68541666666666667</v>
      </c>
      <c r="D662" s="2">
        <v>46053</v>
      </c>
      <c r="E662" t="s">
        <v>782</v>
      </c>
      <c r="G662" t="s">
        <v>1097</v>
      </c>
      <c r="H662" s="1">
        <v>0.68541666666666667</v>
      </c>
      <c r="I662" s="1">
        <v>0.70625000000000004</v>
      </c>
      <c r="J662" s="2">
        <v>46053</v>
      </c>
      <c r="K662" t="s">
        <v>775</v>
      </c>
      <c r="L662" t="s">
        <v>1098</v>
      </c>
      <c r="M662" t="s">
        <v>22</v>
      </c>
      <c r="N662" t="s">
        <v>22</v>
      </c>
      <c r="O662" t="s">
        <v>44</v>
      </c>
      <c r="P662" t="s">
        <v>23</v>
      </c>
      <c r="Q662" s="1">
        <f>SEGUIMIENTO_TPM_xlsx[[#This Row],[HORA FIN  INTERVENCIÓN]]-SEGUIMIENTO_TPM_xlsx[[#This Row],[HORA INICIO INTERVENCIÓN]]</f>
        <v>2.083333333333337E-2</v>
      </c>
      <c r="R662" s="20">
        <f>(SEGUIMIENTO_TPM_xlsx[[#This Row],[HORA REPORTE]]+SEGUIMIENTO_TPM_xlsx[[#This Row],[FECHA DE REPORTE]])</f>
        <v>46053.685416666667</v>
      </c>
      <c r="S662" s="20">
        <f>(SEGUIMIENTO_TPM_xlsx[[#This Row],[FECHA DE INTERVENCÓN]]+SEGUIMIENTO_TPM_xlsx[[#This Row],[HORA FIN  INTERVENCIÓN]])</f>
        <v>46053.706250000003</v>
      </c>
      <c r="T662" s="11">
        <f>(SEGUIMIENTO_TPM_xlsx[[#This Row],[FECHA Y HORA FINAL]]-SEGUIMIENTO_TPM_xlsx[[#This Row],[FECHA Y HORA INICIO]])</f>
        <v>2.0833333335758653E-2</v>
      </c>
    </row>
    <row r="663" spans="1:20" x14ac:dyDescent="0.25">
      <c r="A663">
        <v>671</v>
      </c>
      <c r="B663" t="s">
        <v>192</v>
      </c>
      <c r="C663" s="1">
        <v>0.79166666666666663</v>
      </c>
      <c r="D663" s="2">
        <v>46053</v>
      </c>
      <c r="E663" t="s">
        <v>162</v>
      </c>
      <c r="G663" t="s">
        <v>1099</v>
      </c>
      <c r="H663" s="1">
        <v>0.79166666666666663</v>
      </c>
      <c r="I663" s="1">
        <v>0.8125</v>
      </c>
      <c r="J663" s="2">
        <v>46053</v>
      </c>
      <c r="K663" t="s">
        <v>25</v>
      </c>
      <c r="L663" t="s">
        <v>1100</v>
      </c>
      <c r="M663" t="s">
        <v>22</v>
      </c>
      <c r="N663" t="s">
        <v>22</v>
      </c>
      <c r="O663" t="s">
        <v>44</v>
      </c>
      <c r="P663" t="s">
        <v>23</v>
      </c>
      <c r="Q663" s="1">
        <f>SEGUIMIENTO_TPM_xlsx[[#This Row],[HORA FIN  INTERVENCIÓN]]-SEGUIMIENTO_TPM_xlsx[[#This Row],[HORA INICIO INTERVENCIÓN]]</f>
        <v>2.083333333333337E-2</v>
      </c>
      <c r="R663" s="20">
        <f>(SEGUIMIENTO_TPM_xlsx[[#This Row],[HORA REPORTE]]+SEGUIMIENTO_TPM_xlsx[[#This Row],[FECHA DE REPORTE]])</f>
        <v>46053.791666666664</v>
      </c>
      <c r="S663" s="20">
        <f>(SEGUIMIENTO_TPM_xlsx[[#This Row],[FECHA DE INTERVENCÓN]]+SEGUIMIENTO_TPM_xlsx[[#This Row],[HORA FIN  INTERVENCIÓN]])</f>
        <v>46053.8125</v>
      </c>
      <c r="T663" s="11">
        <f>(SEGUIMIENTO_TPM_xlsx[[#This Row],[FECHA Y HORA FINAL]]-SEGUIMIENTO_TPM_xlsx[[#This Row],[FECHA Y HORA INICIO]])</f>
        <v>2.0833333335758653E-2</v>
      </c>
    </row>
    <row r="664" spans="1:20" x14ac:dyDescent="0.25">
      <c r="A664">
        <v>672</v>
      </c>
      <c r="B664" t="s">
        <v>1101</v>
      </c>
      <c r="C664" s="1">
        <v>0.875</v>
      </c>
      <c r="D664" s="2">
        <v>46053</v>
      </c>
      <c r="E664" t="s">
        <v>94</v>
      </c>
      <c r="F664" t="s">
        <v>18</v>
      </c>
      <c r="G664" t="s">
        <v>1102</v>
      </c>
      <c r="H664" s="1">
        <v>0.88194444444444442</v>
      </c>
      <c r="I664" s="1">
        <v>0.89583333333333337</v>
      </c>
      <c r="J664" s="2">
        <v>46053</v>
      </c>
      <c r="K664" t="s">
        <v>25</v>
      </c>
      <c r="L664" t="s">
        <v>1103</v>
      </c>
      <c r="M664" t="s">
        <v>22</v>
      </c>
      <c r="N664" t="s">
        <v>22</v>
      </c>
      <c r="O664" t="s">
        <v>44</v>
      </c>
      <c r="P664" t="s">
        <v>23</v>
      </c>
      <c r="Q664" s="1">
        <f>SEGUIMIENTO_TPM_xlsx[[#This Row],[HORA FIN  INTERVENCIÓN]]-SEGUIMIENTO_TPM_xlsx[[#This Row],[HORA INICIO INTERVENCIÓN]]</f>
        <v>1.3888888888888951E-2</v>
      </c>
      <c r="R664" s="20">
        <f>(SEGUIMIENTO_TPM_xlsx[[#This Row],[HORA REPORTE]]+SEGUIMIENTO_TPM_xlsx[[#This Row],[FECHA DE REPORTE]])</f>
        <v>46053.875</v>
      </c>
      <c r="S664" s="20">
        <f>(SEGUIMIENTO_TPM_xlsx[[#This Row],[FECHA DE INTERVENCÓN]]+SEGUIMIENTO_TPM_xlsx[[#This Row],[HORA FIN  INTERVENCIÓN]])</f>
        <v>46053.895833333336</v>
      </c>
      <c r="T664" s="11">
        <f>(SEGUIMIENTO_TPM_xlsx[[#This Row],[FECHA Y HORA FINAL]]-SEGUIMIENTO_TPM_xlsx[[#This Row],[FECHA Y HORA INICIO]])</f>
        <v>2.0833333335758653E-2</v>
      </c>
    </row>
    <row r="665" spans="1:20" x14ac:dyDescent="0.25">
      <c r="A665">
        <v>673</v>
      </c>
      <c r="C665" s="1"/>
      <c r="D665" s="2"/>
      <c r="H665" s="1"/>
      <c r="I665" s="1"/>
      <c r="J665" s="2"/>
      <c r="Q665" s="1">
        <f>SEGUIMIENTO_TPM_xlsx[[#This Row],[HORA FIN  INTERVENCIÓN]]-SEGUIMIENTO_TPM_xlsx[[#This Row],[HORA INICIO INTERVENCIÓN]]</f>
        <v>0</v>
      </c>
      <c r="R665" s="20">
        <f>(SEGUIMIENTO_TPM_xlsx[[#This Row],[HORA REPORTE]]+SEGUIMIENTO_TPM_xlsx[[#This Row],[FECHA DE REPORTE]])</f>
        <v>0</v>
      </c>
      <c r="S665" s="20">
        <f>(SEGUIMIENTO_TPM_xlsx[[#This Row],[FECHA DE INTERVENCÓN]]+SEGUIMIENTO_TPM_xlsx[[#This Row],[HORA FIN  INTERVENCIÓN]])</f>
        <v>0</v>
      </c>
      <c r="T665" s="11">
        <f>(SEGUIMIENTO_TPM_xlsx[[#This Row],[FECHA Y HORA FINAL]]-SEGUIMIENTO_TPM_xlsx[[#This Row],[FECHA Y HORA INICIO]])</f>
        <v>0</v>
      </c>
    </row>
    <row r="666" spans="1:20" x14ac:dyDescent="0.25">
      <c r="A666">
        <v>674</v>
      </c>
      <c r="B666" t="s">
        <v>192</v>
      </c>
      <c r="C666" s="1">
        <v>2.0833333333333332E-2</v>
      </c>
      <c r="D666" s="2">
        <v>46054</v>
      </c>
      <c r="E666" t="s">
        <v>162</v>
      </c>
      <c r="G666" t="s">
        <v>1104</v>
      </c>
      <c r="H666" s="1">
        <v>0.14583333333333334</v>
      </c>
      <c r="I666" s="1">
        <v>0.16666666666666666</v>
      </c>
      <c r="J666" s="2">
        <v>46054</v>
      </c>
      <c r="K666" t="s">
        <v>20</v>
      </c>
      <c r="L666" t="s">
        <v>1105</v>
      </c>
      <c r="M666" t="s">
        <v>1106</v>
      </c>
      <c r="N666" t="s">
        <v>22</v>
      </c>
      <c r="O666" t="s">
        <v>112</v>
      </c>
      <c r="P666" t="s">
        <v>23</v>
      </c>
      <c r="Q666" s="1">
        <f>SEGUIMIENTO_TPM_xlsx[[#This Row],[HORA FIN  INTERVENCIÓN]]-SEGUIMIENTO_TPM_xlsx[[#This Row],[HORA INICIO INTERVENCIÓN]]</f>
        <v>2.0833333333333315E-2</v>
      </c>
      <c r="R666" s="20">
        <f>(SEGUIMIENTO_TPM_xlsx[[#This Row],[HORA REPORTE]]+SEGUIMIENTO_TPM_xlsx[[#This Row],[FECHA DE REPORTE]])</f>
        <v>46054.020833333336</v>
      </c>
      <c r="S666" s="20">
        <f>(SEGUIMIENTO_TPM_xlsx[[#This Row],[FECHA DE INTERVENCÓN]]+SEGUIMIENTO_TPM_xlsx[[#This Row],[HORA FIN  INTERVENCIÓN]])</f>
        <v>46054.166666666664</v>
      </c>
      <c r="T666" s="11">
        <f>(SEGUIMIENTO_TPM_xlsx[[#This Row],[FECHA Y HORA FINAL]]-SEGUIMIENTO_TPM_xlsx[[#This Row],[FECHA Y HORA INICIO]])</f>
        <v>0.14583333332848269</v>
      </c>
    </row>
    <row r="667" spans="1:20" x14ac:dyDescent="0.25">
      <c r="A667">
        <v>675</v>
      </c>
      <c r="B667" t="s">
        <v>199</v>
      </c>
      <c r="C667" s="1">
        <v>0.91666666666666663</v>
      </c>
      <c r="D667" s="2">
        <v>46053</v>
      </c>
      <c r="E667" t="s">
        <v>91</v>
      </c>
      <c r="G667" t="s">
        <v>1107</v>
      </c>
      <c r="H667" s="1">
        <v>0.91666666666666663</v>
      </c>
      <c r="I667" s="1">
        <v>0.125</v>
      </c>
      <c r="J667" s="2">
        <v>46054</v>
      </c>
      <c r="K667" t="s">
        <v>25</v>
      </c>
      <c r="L667" t="s">
        <v>1108</v>
      </c>
      <c r="M667" t="s">
        <v>1109</v>
      </c>
      <c r="N667" t="s">
        <v>22</v>
      </c>
      <c r="O667" t="s">
        <v>112</v>
      </c>
      <c r="P667" t="s">
        <v>23</v>
      </c>
      <c r="Q667" s="1">
        <f>SEGUIMIENTO_TPM_xlsx[[#This Row],[HORA FIN  INTERVENCIÓN]]-SEGUIMIENTO_TPM_xlsx[[#This Row],[HORA INICIO INTERVENCIÓN]]</f>
        <v>-0.79166666666666663</v>
      </c>
      <c r="R667" s="20">
        <f>(SEGUIMIENTO_TPM_xlsx[[#This Row],[HORA REPORTE]]+SEGUIMIENTO_TPM_xlsx[[#This Row],[FECHA DE REPORTE]])</f>
        <v>46053.916666666664</v>
      </c>
      <c r="S667" s="20">
        <f>(SEGUIMIENTO_TPM_xlsx[[#This Row],[FECHA DE INTERVENCÓN]]+SEGUIMIENTO_TPM_xlsx[[#This Row],[HORA FIN  INTERVENCIÓN]])</f>
        <v>46054.125</v>
      </c>
      <c r="T667" s="11">
        <f>(SEGUIMIENTO_TPM_xlsx[[#This Row],[FECHA Y HORA FINAL]]-SEGUIMIENTO_TPM_xlsx[[#This Row],[FECHA Y HORA INICIO]])</f>
        <v>0.20833333333575865</v>
      </c>
    </row>
    <row r="668" spans="1:20" x14ac:dyDescent="0.25">
      <c r="A668">
        <v>676</v>
      </c>
      <c r="B668" t="s">
        <v>231</v>
      </c>
      <c r="C668" s="1">
        <v>0.22222222222222221</v>
      </c>
      <c r="D668" s="2">
        <v>46054</v>
      </c>
      <c r="E668" t="s">
        <v>143</v>
      </c>
      <c r="F668" t="s">
        <v>18</v>
      </c>
      <c r="G668" t="s">
        <v>1110</v>
      </c>
      <c r="H668" s="1">
        <v>0.34722222222222221</v>
      </c>
      <c r="I668" s="1">
        <v>0.38194444444444442</v>
      </c>
      <c r="J668" s="2">
        <v>46054</v>
      </c>
      <c r="K668" t="s">
        <v>48</v>
      </c>
      <c r="L668" t="s">
        <v>1111</v>
      </c>
      <c r="M668" t="s">
        <v>22</v>
      </c>
      <c r="N668" t="s">
        <v>22</v>
      </c>
      <c r="O668" t="s">
        <v>44</v>
      </c>
      <c r="P668" t="s">
        <v>23</v>
      </c>
      <c r="Q668" s="1">
        <f>SEGUIMIENTO_TPM_xlsx[[#This Row],[HORA FIN  INTERVENCIÓN]]-SEGUIMIENTO_TPM_xlsx[[#This Row],[HORA INICIO INTERVENCIÓN]]</f>
        <v>3.472222222222221E-2</v>
      </c>
      <c r="R668" s="20">
        <f>(SEGUIMIENTO_TPM_xlsx[[#This Row],[HORA REPORTE]]+SEGUIMIENTO_TPM_xlsx[[#This Row],[FECHA DE REPORTE]])</f>
        <v>46054.222222222219</v>
      </c>
      <c r="S668" s="20">
        <f>(SEGUIMIENTO_TPM_xlsx[[#This Row],[FECHA DE INTERVENCÓN]]+SEGUIMIENTO_TPM_xlsx[[#This Row],[HORA FIN  INTERVENCIÓN]])</f>
        <v>46054.381944444445</v>
      </c>
      <c r="T668" s="11">
        <f>(SEGUIMIENTO_TPM_xlsx[[#This Row],[FECHA Y HORA FINAL]]-SEGUIMIENTO_TPM_xlsx[[#This Row],[FECHA Y HORA INICIO]])</f>
        <v>0.15972222222626442</v>
      </c>
    </row>
    <row r="669" spans="1:20" x14ac:dyDescent="0.25">
      <c r="A669">
        <v>677</v>
      </c>
      <c r="B669" t="s">
        <v>164</v>
      </c>
      <c r="C669" s="1">
        <v>0</v>
      </c>
      <c r="D669" s="2">
        <v>46055</v>
      </c>
      <c r="E669" t="s">
        <v>143</v>
      </c>
      <c r="F669" t="s">
        <v>650</v>
      </c>
      <c r="G669" t="s">
        <v>1112</v>
      </c>
      <c r="H669" s="1">
        <v>0</v>
      </c>
      <c r="I669" s="1">
        <v>6.9444444444444441E-3</v>
      </c>
      <c r="J669" s="2">
        <v>46055</v>
      </c>
      <c r="K669" t="s">
        <v>48</v>
      </c>
      <c r="L669" t="s">
        <v>1113</v>
      </c>
      <c r="M669" t="s">
        <v>22</v>
      </c>
      <c r="N669" t="s">
        <v>22</v>
      </c>
      <c r="O669" t="s">
        <v>108</v>
      </c>
      <c r="P669" t="s">
        <v>23</v>
      </c>
      <c r="Q669" s="1">
        <f>SEGUIMIENTO_TPM_xlsx[[#This Row],[HORA FIN  INTERVENCIÓN]]-SEGUIMIENTO_TPM_xlsx[[#This Row],[HORA INICIO INTERVENCIÓN]]</f>
        <v>6.9444444444444441E-3</v>
      </c>
      <c r="R669" s="20">
        <f>(SEGUIMIENTO_TPM_xlsx[[#This Row],[HORA REPORTE]]+SEGUIMIENTO_TPM_xlsx[[#This Row],[FECHA DE REPORTE]])</f>
        <v>46055</v>
      </c>
      <c r="S669" s="20">
        <f>(SEGUIMIENTO_TPM_xlsx[[#This Row],[FECHA DE INTERVENCÓN]]+SEGUIMIENTO_TPM_xlsx[[#This Row],[HORA FIN  INTERVENCIÓN]])</f>
        <v>46055.006944444445</v>
      </c>
      <c r="T669" s="11">
        <f>(SEGUIMIENTO_TPM_xlsx[[#This Row],[FECHA Y HORA FINAL]]-SEGUIMIENTO_TPM_xlsx[[#This Row],[FECHA Y HORA INICIO]])</f>
        <v>6.9444444452528842E-3</v>
      </c>
    </row>
    <row r="670" spans="1:20" x14ac:dyDescent="0.25">
      <c r="A670">
        <v>678</v>
      </c>
      <c r="C670" s="1"/>
      <c r="D670" s="2"/>
      <c r="H670" s="1"/>
      <c r="I670" s="1"/>
      <c r="J670" s="2"/>
      <c r="Q670" s="1">
        <f>SEGUIMIENTO_TPM_xlsx[[#This Row],[HORA FIN  INTERVENCIÓN]]-SEGUIMIENTO_TPM_xlsx[[#This Row],[HORA INICIO INTERVENCIÓN]]</f>
        <v>0</v>
      </c>
      <c r="R670" s="20">
        <f>(SEGUIMIENTO_TPM_xlsx[[#This Row],[HORA REPORTE]]+SEGUIMIENTO_TPM_xlsx[[#This Row],[FECHA DE REPORTE]])</f>
        <v>0</v>
      </c>
      <c r="S670" s="20">
        <f>(SEGUIMIENTO_TPM_xlsx[[#This Row],[FECHA DE INTERVENCÓN]]+SEGUIMIENTO_TPM_xlsx[[#This Row],[HORA FIN  INTERVENCIÓN]])</f>
        <v>0</v>
      </c>
      <c r="T670" s="11">
        <f>(SEGUIMIENTO_TPM_xlsx[[#This Row],[FECHA Y HORA FINAL]]-SEGUIMIENTO_TPM_xlsx[[#This Row],[FECHA Y HORA INICIO]])</f>
        <v>0</v>
      </c>
    </row>
    <row r="671" spans="1:20" x14ac:dyDescent="0.25">
      <c r="A671">
        <v>679</v>
      </c>
      <c r="B671" t="s">
        <v>103</v>
      </c>
      <c r="C671" s="1">
        <v>0.41041666666666665</v>
      </c>
      <c r="D671" s="2">
        <v>46055</v>
      </c>
      <c r="E671" t="s">
        <v>188</v>
      </c>
      <c r="F671" t="s">
        <v>650</v>
      </c>
      <c r="G671" t="s">
        <v>1114</v>
      </c>
      <c r="H671" s="1">
        <v>0.41666666666666669</v>
      </c>
      <c r="I671" s="1">
        <v>0.45833333333333331</v>
      </c>
      <c r="J671" s="2">
        <v>46055</v>
      </c>
      <c r="K671" t="s">
        <v>20</v>
      </c>
      <c r="L671" t="s">
        <v>1115</v>
      </c>
      <c r="M671" t="s">
        <v>22</v>
      </c>
      <c r="N671" t="s">
        <v>22</v>
      </c>
      <c r="O671" t="s">
        <v>661</v>
      </c>
      <c r="P671" t="s">
        <v>23</v>
      </c>
      <c r="Q671" s="1">
        <f>SEGUIMIENTO_TPM_xlsx[[#This Row],[HORA FIN  INTERVENCIÓN]]-SEGUIMIENTO_TPM_xlsx[[#This Row],[HORA INICIO INTERVENCIÓN]]</f>
        <v>4.166666666666663E-2</v>
      </c>
      <c r="R671" s="20">
        <f>(SEGUIMIENTO_TPM_xlsx[[#This Row],[HORA REPORTE]]+SEGUIMIENTO_TPM_xlsx[[#This Row],[FECHA DE REPORTE]])</f>
        <v>46055.410416666666</v>
      </c>
      <c r="S671" s="20">
        <f>(SEGUIMIENTO_TPM_xlsx[[#This Row],[FECHA DE INTERVENCÓN]]+SEGUIMIENTO_TPM_xlsx[[#This Row],[HORA FIN  INTERVENCIÓN]])</f>
        <v>46055.458333333336</v>
      </c>
      <c r="T671" s="11">
        <f>(SEGUIMIENTO_TPM_xlsx[[#This Row],[FECHA Y HORA FINAL]]-SEGUIMIENTO_TPM_xlsx[[#This Row],[FECHA Y HORA INICIO]])</f>
        <v>4.7916666670062114E-2</v>
      </c>
    </row>
    <row r="672" spans="1:20" x14ac:dyDescent="0.25">
      <c r="A672">
        <v>680</v>
      </c>
      <c r="B672" t="s">
        <v>103</v>
      </c>
      <c r="C672" s="1">
        <v>0.38541666666666669</v>
      </c>
      <c r="D672" s="2">
        <v>46055</v>
      </c>
      <c r="E672" t="s">
        <v>147</v>
      </c>
      <c r="F672" t="s">
        <v>18</v>
      </c>
      <c r="G672" t="s">
        <v>1116</v>
      </c>
      <c r="H672" s="1"/>
      <c r="I672" s="1">
        <v>0.79166666666666663</v>
      </c>
      <c r="J672" s="2">
        <v>46059</v>
      </c>
      <c r="L672" t="s">
        <v>1117</v>
      </c>
      <c r="M672" t="s">
        <v>22</v>
      </c>
      <c r="N672" t="s">
        <v>22</v>
      </c>
      <c r="O672" t="s">
        <v>112</v>
      </c>
      <c r="P672" t="s">
        <v>23</v>
      </c>
      <c r="Q672" s="1">
        <f>SEGUIMIENTO_TPM_xlsx[[#This Row],[HORA FIN  INTERVENCIÓN]]-SEGUIMIENTO_TPM_xlsx[[#This Row],[HORA INICIO INTERVENCIÓN]]</f>
        <v>0.79166666666666663</v>
      </c>
      <c r="R672" s="20">
        <f>(SEGUIMIENTO_TPM_xlsx[[#This Row],[HORA REPORTE]]+SEGUIMIENTO_TPM_xlsx[[#This Row],[FECHA DE REPORTE]])</f>
        <v>46055.385416666664</v>
      </c>
      <c r="S672" s="20">
        <f>(SEGUIMIENTO_TPM_xlsx[[#This Row],[FECHA DE INTERVENCÓN]]+SEGUIMIENTO_TPM_xlsx[[#This Row],[HORA FIN  INTERVENCIÓN]])</f>
        <v>46059.791666666664</v>
      </c>
      <c r="T672" s="11">
        <f>(SEGUIMIENTO_TPM_xlsx[[#This Row],[FECHA Y HORA FINAL]]-SEGUIMIENTO_TPM_xlsx[[#This Row],[FECHA Y HORA INICIO]])</f>
        <v>4.40625</v>
      </c>
    </row>
    <row r="673" spans="1:20" x14ac:dyDescent="0.25">
      <c r="A673">
        <v>681</v>
      </c>
      <c r="B673" t="s">
        <v>103</v>
      </c>
      <c r="C673" s="1">
        <v>0.72222222222222221</v>
      </c>
      <c r="D673" s="2">
        <v>46055</v>
      </c>
      <c r="E673" t="s">
        <v>188</v>
      </c>
      <c r="F673" t="s">
        <v>18</v>
      </c>
      <c r="G673" t="s">
        <v>1118</v>
      </c>
      <c r="H673" s="1"/>
      <c r="I673" s="1"/>
      <c r="J673" s="2"/>
      <c r="P673" t="s">
        <v>33</v>
      </c>
      <c r="Q673" s="1">
        <f>SEGUIMIENTO_TPM_xlsx[[#This Row],[HORA FIN  INTERVENCIÓN]]-SEGUIMIENTO_TPM_xlsx[[#This Row],[HORA INICIO INTERVENCIÓN]]</f>
        <v>0</v>
      </c>
      <c r="R673" s="20">
        <f>(SEGUIMIENTO_TPM_xlsx[[#This Row],[HORA REPORTE]]+SEGUIMIENTO_TPM_xlsx[[#This Row],[FECHA DE REPORTE]])</f>
        <v>46055.722222222219</v>
      </c>
      <c r="S673" s="20">
        <f>(SEGUIMIENTO_TPM_xlsx[[#This Row],[FECHA DE INTERVENCÓN]]+SEGUIMIENTO_TPM_xlsx[[#This Row],[HORA FIN  INTERVENCIÓN]])</f>
        <v>0</v>
      </c>
      <c r="T673" s="11">
        <f>(SEGUIMIENTO_TPM_xlsx[[#This Row],[FECHA Y HORA FINAL]]-SEGUIMIENTO_TPM_xlsx[[#This Row],[FECHA Y HORA INICIO]])</f>
        <v>-46055.722222222219</v>
      </c>
    </row>
    <row r="674" spans="1:20" x14ac:dyDescent="0.25">
      <c r="A674">
        <v>682</v>
      </c>
      <c r="B674" t="s">
        <v>139</v>
      </c>
      <c r="C674" s="1">
        <v>0.85416666666666663</v>
      </c>
      <c r="D674" s="2">
        <v>46055</v>
      </c>
      <c r="E674" t="s">
        <v>91</v>
      </c>
      <c r="F674" t="s">
        <v>18</v>
      </c>
      <c r="G674" t="s">
        <v>1119</v>
      </c>
      <c r="H674" s="1">
        <v>0.85416666666666663</v>
      </c>
      <c r="I674" s="1">
        <v>5.5555555555555552E-2</v>
      </c>
      <c r="J674" s="2">
        <v>46056</v>
      </c>
      <c r="K674" t="s">
        <v>1120</v>
      </c>
      <c r="L674" t="s">
        <v>1121</v>
      </c>
      <c r="M674" t="s">
        <v>22</v>
      </c>
      <c r="N674" t="s">
        <v>22</v>
      </c>
      <c r="O674" t="s">
        <v>108</v>
      </c>
      <c r="P674" t="s">
        <v>23</v>
      </c>
      <c r="Q674" s="1">
        <f>SEGUIMIENTO_TPM_xlsx[[#This Row],[HORA FIN  INTERVENCIÓN]]-SEGUIMIENTO_TPM_xlsx[[#This Row],[HORA INICIO INTERVENCIÓN]]</f>
        <v>-0.79861111111111105</v>
      </c>
      <c r="R674" s="20">
        <f>(SEGUIMIENTO_TPM_xlsx[[#This Row],[HORA REPORTE]]+SEGUIMIENTO_TPM_xlsx[[#This Row],[FECHA DE REPORTE]])</f>
        <v>46055.854166666664</v>
      </c>
      <c r="S674" s="20">
        <f>(SEGUIMIENTO_TPM_xlsx[[#This Row],[FECHA DE INTERVENCÓN]]+SEGUIMIENTO_TPM_xlsx[[#This Row],[HORA FIN  INTERVENCIÓN]])</f>
        <v>46056.055555555555</v>
      </c>
      <c r="T674" s="11">
        <f>(SEGUIMIENTO_TPM_xlsx[[#This Row],[FECHA Y HORA FINAL]]-SEGUIMIENTO_TPM_xlsx[[#This Row],[FECHA Y HORA INICIO]])</f>
        <v>0.20138888889050577</v>
      </c>
    </row>
    <row r="675" spans="1:20" x14ac:dyDescent="0.25">
      <c r="A675">
        <v>683</v>
      </c>
      <c r="B675" t="s">
        <v>526</v>
      </c>
      <c r="C675" s="1">
        <v>0.11458333333333333</v>
      </c>
      <c r="D675" s="2">
        <v>46056</v>
      </c>
      <c r="E675" t="s">
        <v>188</v>
      </c>
      <c r="F675" t="s">
        <v>18</v>
      </c>
      <c r="G675" t="s">
        <v>1122</v>
      </c>
      <c r="H675" s="1">
        <v>0.11458333333333333</v>
      </c>
      <c r="I675" s="1">
        <v>0.1388888888888889</v>
      </c>
      <c r="J675" s="2">
        <v>46056</v>
      </c>
      <c r="K675" t="s">
        <v>25</v>
      </c>
      <c r="L675" t="s">
        <v>1123</v>
      </c>
      <c r="M675" t="s">
        <v>1124</v>
      </c>
      <c r="N675" t="s">
        <v>22</v>
      </c>
      <c r="O675" t="s">
        <v>108</v>
      </c>
      <c r="P675" t="s">
        <v>23</v>
      </c>
      <c r="Q675" s="1">
        <f>SEGUIMIENTO_TPM_xlsx[[#This Row],[HORA FIN  INTERVENCIÓN]]-SEGUIMIENTO_TPM_xlsx[[#This Row],[HORA INICIO INTERVENCIÓN]]</f>
        <v>2.4305555555555566E-2</v>
      </c>
      <c r="R675" s="20">
        <f>(SEGUIMIENTO_TPM_xlsx[[#This Row],[HORA REPORTE]]+SEGUIMIENTO_TPM_xlsx[[#This Row],[FECHA DE REPORTE]])</f>
        <v>46056.114583333336</v>
      </c>
      <c r="S675" s="20">
        <f>(SEGUIMIENTO_TPM_xlsx[[#This Row],[FECHA DE INTERVENCÓN]]+SEGUIMIENTO_TPM_xlsx[[#This Row],[HORA FIN  INTERVENCIÓN]])</f>
        <v>46056.138888888891</v>
      </c>
      <c r="T675" s="11">
        <f>(SEGUIMIENTO_TPM_xlsx[[#This Row],[FECHA Y HORA FINAL]]-SEGUIMIENTO_TPM_xlsx[[#This Row],[FECHA Y HORA INICIO]])</f>
        <v>2.4305555554747116E-2</v>
      </c>
    </row>
    <row r="676" spans="1:20" x14ac:dyDescent="0.25">
      <c r="A676">
        <v>684</v>
      </c>
      <c r="B676" t="s">
        <v>526</v>
      </c>
      <c r="C676" s="1">
        <v>0.1875</v>
      </c>
      <c r="D676" s="2">
        <v>46056</v>
      </c>
      <c r="E676" t="s">
        <v>188</v>
      </c>
      <c r="F676" t="s">
        <v>18</v>
      </c>
      <c r="G676" t="s">
        <v>1125</v>
      </c>
      <c r="H676" s="1">
        <v>0.1875</v>
      </c>
      <c r="I676" s="1">
        <v>0.20833333333333334</v>
      </c>
      <c r="J676" s="2">
        <v>46056</v>
      </c>
      <c r="K676" t="s">
        <v>20</v>
      </c>
      <c r="L676" t="s">
        <v>1126</v>
      </c>
      <c r="M676" t="s">
        <v>1127</v>
      </c>
      <c r="N676" t="s">
        <v>22</v>
      </c>
      <c r="O676" t="s">
        <v>108</v>
      </c>
      <c r="P676" t="s">
        <v>23</v>
      </c>
      <c r="Q676" s="1">
        <f>SEGUIMIENTO_TPM_xlsx[[#This Row],[HORA FIN  INTERVENCIÓN]]-SEGUIMIENTO_TPM_xlsx[[#This Row],[HORA INICIO INTERVENCIÓN]]</f>
        <v>2.0833333333333343E-2</v>
      </c>
      <c r="R676" s="20">
        <f>(SEGUIMIENTO_TPM_xlsx[[#This Row],[HORA REPORTE]]+SEGUIMIENTO_TPM_xlsx[[#This Row],[FECHA DE REPORTE]])</f>
        <v>46056.1875</v>
      </c>
      <c r="S676" s="20">
        <f>(SEGUIMIENTO_TPM_xlsx[[#This Row],[FECHA DE INTERVENCÓN]]+SEGUIMIENTO_TPM_xlsx[[#This Row],[HORA FIN  INTERVENCIÓN]])</f>
        <v>46056.208333333336</v>
      </c>
      <c r="T676" s="11">
        <f>(SEGUIMIENTO_TPM_xlsx[[#This Row],[FECHA Y HORA FINAL]]-SEGUIMIENTO_TPM_xlsx[[#This Row],[FECHA Y HORA INICIO]])</f>
        <v>2.0833333335758653E-2</v>
      </c>
    </row>
    <row r="677" spans="1:20" x14ac:dyDescent="0.25">
      <c r="A677">
        <v>685</v>
      </c>
      <c r="B677" t="s">
        <v>139</v>
      </c>
      <c r="C677" s="1">
        <v>0.20833333333333334</v>
      </c>
      <c r="D677" s="2">
        <v>46056</v>
      </c>
      <c r="E677" t="s">
        <v>91</v>
      </c>
      <c r="F677" t="s">
        <v>18</v>
      </c>
      <c r="G677" t="s">
        <v>1128</v>
      </c>
      <c r="H677" s="1"/>
      <c r="I677" s="1"/>
      <c r="J677" s="2"/>
      <c r="P677" t="s">
        <v>33</v>
      </c>
      <c r="Q677" s="1">
        <f>SEGUIMIENTO_TPM_xlsx[[#This Row],[HORA FIN  INTERVENCIÓN]]-SEGUIMIENTO_TPM_xlsx[[#This Row],[HORA INICIO INTERVENCIÓN]]</f>
        <v>0</v>
      </c>
      <c r="R677" s="20">
        <f>(SEGUIMIENTO_TPM_xlsx[[#This Row],[HORA REPORTE]]+SEGUIMIENTO_TPM_xlsx[[#This Row],[FECHA DE REPORTE]])</f>
        <v>46056.208333333336</v>
      </c>
      <c r="S677" s="20">
        <f>(SEGUIMIENTO_TPM_xlsx[[#This Row],[FECHA DE INTERVENCÓN]]+SEGUIMIENTO_TPM_xlsx[[#This Row],[HORA FIN  INTERVENCIÓN]])</f>
        <v>0</v>
      </c>
      <c r="T677" s="11">
        <f>(SEGUIMIENTO_TPM_xlsx[[#This Row],[FECHA Y HORA FINAL]]-SEGUIMIENTO_TPM_xlsx[[#This Row],[FECHA Y HORA INICIO]])</f>
        <v>-46056.208333333336</v>
      </c>
    </row>
    <row r="678" spans="1:20" x14ac:dyDescent="0.25">
      <c r="A678">
        <v>686</v>
      </c>
      <c r="B678" t="s">
        <v>139</v>
      </c>
      <c r="C678" s="1"/>
      <c r="D678" s="2">
        <v>46056</v>
      </c>
      <c r="E678" t="s">
        <v>91</v>
      </c>
      <c r="F678" t="s">
        <v>18</v>
      </c>
      <c r="G678" t="s">
        <v>1129</v>
      </c>
      <c r="H678" s="1"/>
      <c r="I678" s="1"/>
      <c r="J678" s="2"/>
      <c r="P678" t="s">
        <v>33</v>
      </c>
      <c r="Q678" s="1">
        <f>SEGUIMIENTO_TPM_xlsx[[#This Row],[HORA FIN  INTERVENCIÓN]]-SEGUIMIENTO_TPM_xlsx[[#This Row],[HORA INICIO INTERVENCIÓN]]</f>
        <v>0</v>
      </c>
      <c r="R678" s="20">
        <f>(SEGUIMIENTO_TPM_xlsx[[#This Row],[HORA REPORTE]]+SEGUIMIENTO_TPM_xlsx[[#This Row],[FECHA DE REPORTE]])</f>
        <v>46056</v>
      </c>
      <c r="S678" s="20">
        <f>(SEGUIMIENTO_TPM_xlsx[[#This Row],[FECHA DE INTERVENCÓN]]+SEGUIMIENTO_TPM_xlsx[[#This Row],[HORA FIN  INTERVENCIÓN]])</f>
        <v>0</v>
      </c>
      <c r="T678" s="11">
        <f>(SEGUIMIENTO_TPM_xlsx[[#This Row],[FECHA Y HORA FINAL]]-SEGUIMIENTO_TPM_xlsx[[#This Row],[FECHA Y HORA INICIO]])</f>
        <v>-46056</v>
      </c>
    </row>
    <row r="679" spans="1:20" x14ac:dyDescent="0.25">
      <c r="A679">
        <v>687</v>
      </c>
      <c r="C679" s="1"/>
      <c r="D679" s="2"/>
      <c r="H679" s="1"/>
      <c r="I679" s="1"/>
      <c r="J679" s="2"/>
      <c r="Q679" s="1">
        <f>SEGUIMIENTO_TPM_xlsx[[#This Row],[HORA FIN  INTERVENCIÓN]]-SEGUIMIENTO_TPM_xlsx[[#This Row],[HORA INICIO INTERVENCIÓN]]</f>
        <v>0</v>
      </c>
      <c r="R679" s="20">
        <f>(SEGUIMIENTO_TPM_xlsx[[#This Row],[HORA REPORTE]]+SEGUIMIENTO_TPM_xlsx[[#This Row],[FECHA DE REPORTE]])</f>
        <v>0</v>
      </c>
      <c r="S679" s="20">
        <f>(SEGUIMIENTO_TPM_xlsx[[#This Row],[FECHA DE INTERVENCÓN]]+SEGUIMIENTO_TPM_xlsx[[#This Row],[HORA FIN  INTERVENCIÓN]])</f>
        <v>0</v>
      </c>
      <c r="T679" s="11">
        <f>(SEGUIMIENTO_TPM_xlsx[[#This Row],[FECHA Y HORA FINAL]]-SEGUIMIENTO_TPM_xlsx[[#This Row],[FECHA Y HORA INICIO]])</f>
        <v>0</v>
      </c>
    </row>
    <row r="680" spans="1:20" x14ac:dyDescent="0.25">
      <c r="A680">
        <v>688</v>
      </c>
      <c r="B680" t="s">
        <v>113</v>
      </c>
      <c r="C680" s="1">
        <v>0.38194444444444442</v>
      </c>
      <c r="D680" s="2">
        <v>46056</v>
      </c>
      <c r="E680" t="s">
        <v>188</v>
      </c>
      <c r="F680" t="s">
        <v>18</v>
      </c>
      <c r="G680" t="s">
        <v>1130</v>
      </c>
      <c r="H680" s="1"/>
      <c r="I680" s="1"/>
      <c r="J680" s="2"/>
      <c r="P680" t="s">
        <v>33</v>
      </c>
      <c r="Q680" s="1">
        <f>SEGUIMIENTO_TPM_xlsx[[#This Row],[HORA FIN  INTERVENCIÓN]]-SEGUIMIENTO_TPM_xlsx[[#This Row],[HORA INICIO INTERVENCIÓN]]</f>
        <v>0</v>
      </c>
      <c r="R680" s="20">
        <f>(SEGUIMIENTO_TPM_xlsx[[#This Row],[HORA REPORTE]]+SEGUIMIENTO_TPM_xlsx[[#This Row],[FECHA DE REPORTE]])</f>
        <v>46056.381944444445</v>
      </c>
      <c r="S680" s="20">
        <f>(SEGUIMIENTO_TPM_xlsx[[#This Row],[FECHA DE INTERVENCÓN]]+SEGUIMIENTO_TPM_xlsx[[#This Row],[HORA FIN  INTERVENCIÓN]])</f>
        <v>0</v>
      </c>
      <c r="T680" s="11">
        <f>(SEGUIMIENTO_TPM_xlsx[[#This Row],[FECHA Y HORA FINAL]]-SEGUIMIENTO_TPM_xlsx[[#This Row],[FECHA Y HORA INICIO]])</f>
        <v>-46056.381944444445</v>
      </c>
    </row>
    <row r="681" spans="1:20" x14ac:dyDescent="0.25">
      <c r="A681">
        <v>689</v>
      </c>
      <c r="B681" t="s">
        <v>113</v>
      </c>
      <c r="C681" s="1"/>
      <c r="D681" s="2">
        <v>46056</v>
      </c>
      <c r="E681" t="s">
        <v>188</v>
      </c>
      <c r="F681" t="s">
        <v>18</v>
      </c>
      <c r="G681" t="s">
        <v>1131</v>
      </c>
      <c r="H681" s="1"/>
      <c r="I681" s="1"/>
      <c r="J681" s="2"/>
      <c r="P681" t="s">
        <v>33</v>
      </c>
      <c r="Q681" s="1">
        <f>SEGUIMIENTO_TPM_xlsx[[#This Row],[HORA FIN  INTERVENCIÓN]]-SEGUIMIENTO_TPM_xlsx[[#This Row],[HORA INICIO INTERVENCIÓN]]</f>
        <v>0</v>
      </c>
      <c r="R681" s="20">
        <f>(SEGUIMIENTO_TPM_xlsx[[#This Row],[HORA REPORTE]]+SEGUIMIENTO_TPM_xlsx[[#This Row],[FECHA DE REPORTE]])</f>
        <v>46056</v>
      </c>
      <c r="S681" s="20">
        <f>(SEGUIMIENTO_TPM_xlsx[[#This Row],[FECHA DE INTERVENCÓN]]+SEGUIMIENTO_TPM_xlsx[[#This Row],[HORA FIN  INTERVENCIÓN]])</f>
        <v>0</v>
      </c>
      <c r="T681" s="11">
        <f>(SEGUIMIENTO_TPM_xlsx[[#This Row],[FECHA Y HORA FINAL]]-SEGUIMIENTO_TPM_xlsx[[#This Row],[FECHA Y HORA INICIO]])</f>
        <v>-46056</v>
      </c>
    </row>
    <row r="682" spans="1:20" x14ac:dyDescent="0.25">
      <c r="A682">
        <v>690</v>
      </c>
      <c r="B682" t="s">
        <v>16</v>
      </c>
      <c r="C682" s="1">
        <v>0.4861111111111111</v>
      </c>
      <c r="D682" s="2">
        <v>46056</v>
      </c>
      <c r="E682" t="s">
        <v>185</v>
      </c>
      <c r="F682" t="s">
        <v>18</v>
      </c>
      <c r="G682" t="s">
        <v>1132</v>
      </c>
      <c r="H682" s="1">
        <v>0.25</v>
      </c>
      <c r="I682" s="1">
        <v>0.27083333333333331</v>
      </c>
      <c r="J682" s="2">
        <v>46059</v>
      </c>
      <c r="K682" t="s">
        <v>25</v>
      </c>
      <c r="L682" t="s">
        <v>1133</v>
      </c>
      <c r="M682" t="s">
        <v>1134</v>
      </c>
      <c r="N682" t="s">
        <v>22</v>
      </c>
      <c r="O682" t="s">
        <v>661</v>
      </c>
      <c r="P682" t="s">
        <v>23</v>
      </c>
      <c r="Q682" s="1">
        <f>SEGUIMIENTO_TPM_xlsx[[#This Row],[HORA FIN  INTERVENCIÓN]]-SEGUIMIENTO_TPM_xlsx[[#This Row],[HORA INICIO INTERVENCIÓN]]</f>
        <v>2.0833333333333315E-2</v>
      </c>
      <c r="R682" s="20">
        <f>(SEGUIMIENTO_TPM_xlsx[[#This Row],[HORA REPORTE]]+SEGUIMIENTO_TPM_xlsx[[#This Row],[FECHA DE REPORTE]])</f>
        <v>46056.486111111109</v>
      </c>
      <c r="S682" s="20">
        <f>(SEGUIMIENTO_TPM_xlsx[[#This Row],[FECHA DE INTERVENCÓN]]+SEGUIMIENTO_TPM_xlsx[[#This Row],[HORA FIN  INTERVENCIÓN]])</f>
        <v>46059.270833333336</v>
      </c>
      <c r="T682" s="11">
        <f>(SEGUIMIENTO_TPM_xlsx[[#This Row],[FECHA Y HORA FINAL]]-SEGUIMIENTO_TPM_xlsx[[#This Row],[FECHA Y HORA INICIO]])</f>
        <v>2.7847222222262644</v>
      </c>
    </row>
    <row r="683" spans="1:20" x14ac:dyDescent="0.25">
      <c r="A683">
        <v>691</v>
      </c>
      <c r="C683" s="1"/>
      <c r="D683" s="2"/>
      <c r="H683" s="1"/>
      <c r="I683" s="1"/>
      <c r="J683" s="2"/>
      <c r="Q683" s="1">
        <f>SEGUIMIENTO_TPM_xlsx[[#This Row],[HORA FIN  INTERVENCIÓN]]-SEGUIMIENTO_TPM_xlsx[[#This Row],[HORA INICIO INTERVENCIÓN]]</f>
        <v>0</v>
      </c>
      <c r="R683" s="20">
        <f>(SEGUIMIENTO_TPM_xlsx[[#This Row],[HORA REPORTE]]+SEGUIMIENTO_TPM_xlsx[[#This Row],[FECHA DE REPORTE]])</f>
        <v>0</v>
      </c>
      <c r="S683" s="20">
        <f>(SEGUIMIENTO_TPM_xlsx[[#This Row],[FECHA DE INTERVENCÓN]]+SEGUIMIENTO_TPM_xlsx[[#This Row],[HORA FIN  INTERVENCIÓN]])</f>
        <v>0</v>
      </c>
      <c r="T683" s="11">
        <f>(SEGUIMIENTO_TPM_xlsx[[#This Row],[FECHA Y HORA FINAL]]-SEGUIMIENTO_TPM_xlsx[[#This Row],[FECHA Y HORA INICIO]])</f>
        <v>0</v>
      </c>
    </row>
    <row r="684" spans="1:20" x14ac:dyDescent="0.25">
      <c r="A684">
        <v>692</v>
      </c>
      <c r="B684" t="s">
        <v>1135</v>
      </c>
      <c r="C684" s="1">
        <v>0.72222222222222221</v>
      </c>
      <c r="D684" s="2">
        <v>46056</v>
      </c>
      <c r="E684" t="s">
        <v>17</v>
      </c>
      <c r="F684" t="s">
        <v>18</v>
      </c>
      <c r="G684" t="s">
        <v>1136</v>
      </c>
      <c r="H684" s="1">
        <v>0.72222222222222221</v>
      </c>
      <c r="I684" s="1">
        <v>0.74305555555555558</v>
      </c>
      <c r="J684" s="2">
        <v>46056</v>
      </c>
      <c r="K684" t="s">
        <v>20</v>
      </c>
      <c r="L684" t="s">
        <v>1137</v>
      </c>
      <c r="M684" t="s">
        <v>22</v>
      </c>
      <c r="N684" t="s">
        <v>22</v>
      </c>
      <c r="O684" t="s">
        <v>661</v>
      </c>
      <c r="P684" t="s">
        <v>23</v>
      </c>
      <c r="Q684" s="1">
        <f>SEGUIMIENTO_TPM_xlsx[[#This Row],[HORA FIN  INTERVENCIÓN]]-SEGUIMIENTO_TPM_xlsx[[#This Row],[HORA INICIO INTERVENCIÓN]]</f>
        <v>2.083333333333337E-2</v>
      </c>
      <c r="R684" s="20">
        <f>(SEGUIMIENTO_TPM_xlsx[[#This Row],[HORA REPORTE]]+SEGUIMIENTO_TPM_xlsx[[#This Row],[FECHA DE REPORTE]])</f>
        <v>46056.722222222219</v>
      </c>
      <c r="S684" s="20">
        <f>(SEGUIMIENTO_TPM_xlsx[[#This Row],[FECHA DE INTERVENCÓN]]+SEGUIMIENTO_TPM_xlsx[[#This Row],[HORA FIN  INTERVENCIÓN]])</f>
        <v>46056.743055555555</v>
      </c>
      <c r="T684" s="11">
        <f>(SEGUIMIENTO_TPM_xlsx[[#This Row],[FECHA Y HORA FINAL]]-SEGUIMIENTO_TPM_xlsx[[#This Row],[FECHA Y HORA INICIO]])</f>
        <v>2.0833333335758653E-2</v>
      </c>
    </row>
    <row r="685" spans="1:20" x14ac:dyDescent="0.25">
      <c r="A685">
        <v>693</v>
      </c>
      <c r="C685" s="1"/>
      <c r="D685" s="2"/>
      <c r="H685" s="1"/>
      <c r="I685" s="1"/>
      <c r="J685" s="2"/>
      <c r="Q685" s="1">
        <f>SEGUIMIENTO_TPM_xlsx[[#This Row],[HORA FIN  INTERVENCIÓN]]-SEGUIMIENTO_TPM_xlsx[[#This Row],[HORA INICIO INTERVENCIÓN]]</f>
        <v>0</v>
      </c>
      <c r="R685" s="20">
        <f>(SEGUIMIENTO_TPM_xlsx[[#This Row],[HORA REPORTE]]+SEGUIMIENTO_TPM_xlsx[[#This Row],[FECHA DE REPORTE]])</f>
        <v>0</v>
      </c>
      <c r="S685" s="20">
        <f>(SEGUIMIENTO_TPM_xlsx[[#This Row],[FECHA DE INTERVENCÓN]]+SEGUIMIENTO_TPM_xlsx[[#This Row],[HORA FIN  INTERVENCIÓN]])</f>
        <v>0</v>
      </c>
      <c r="T685" s="11">
        <f>(SEGUIMIENTO_TPM_xlsx[[#This Row],[FECHA Y HORA FINAL]]-SEGUIMIENTO_TPM_xlsx[[#This Row],[FECHA Y HORA INICIO]])</f>
        <v>0</v>
      </c>
    </row>
    <row r="686" spans="1:20" x14ac:dyDescent="0.25">
      <c r="A686">
        <v>694</v>
      </c>
      <c r="B686" t="s">
        <v>279</v>
      </c>
      <c r="C686" s="1">
        <v>0.84375</v>
      </c>
      <c r="D686" s="2">
        <v>46058</v>
      </c>
      <c r="E686" t="s">
        <v>17</v>
      </c>
      <c r="F686" t="s">
        <v>18</v>
      </c>
      <c r="G686" t="s">
        <v>1138</v>
      </c>
      <c r="H686" s="1">
        <v>0.84375</v>
      </c>
      <c r="I686" s="1">
        <v>5.2777777777777778E-2</v>
      </c>
      <c r="J686" s="2">
        <v>46059</v>
      </c>
      <c r="K686" t="s">
        <v>25</v>
      </c>
      <c r="L686" t="s">
        <v>1139</v>
      </c>
      <c r="M686" t="s">
        <v>22</v>
      </c>
      <c r="N686" t="s">
        <v>1140</v>
      </c>
      <c r="O686" t="s">
        <v>108</v>
      </c>
      <c r="P686" t="s">
        <v>23</v>
      </c>
      <c r="Q686" s="1">
        <f>SEGUIMIENTO_TPM_xlsx[[#This Row],[HORA FIN  INTERVENCIÓN]]-SEGUIMIENTO_TPM_xlsx[[#This Row],[HORA INICIO INTERVENCIÓN]]</f>
        <v>-0.79097222222222219</v>
      </c>
      <c r="R686" s="20">
        <f>(SEGUIMIENTO_TPM_xlsx[[#This Row],[HORA REPORTE]]+SEGUIMIENTO_TPM_xlsx[[#This Row],[FECHA DE REPORTE]])</f>
        <v>46058.84375</v>
      </c>
      <c r="S686" s="20">
        <f>(SEGUIMIENTO_TPM_xlsx[[#This Row],[FECHA DE INTERVENCÓN]]+SEGUIMIENTO_TPM_xlsx[[#This Row],[HORA FIN  INTERVENCIÓN]])</f>
        <v>46059.052777777775</v>
      </c>
      <c r="T686" s="11">
        <f>(SEGUIMIENTO_TPM_xlsx[[#This Row],[FECHA Y HORA FINAL]]-SEGUIMIENTO_TPM_xlsx[[#This Row],[FECHA Y HORA INICIO]])</f>
        <v>0.20902777777519077</v>
      </c>
    </row>
    <row r="687" spans="1:20" x14ac:dyDescent="0.25">
      <c r="A687">
        <v>695</v>
      </c>
      <c r="B687" t="s">
        <v>279</v>
      </c>
      <c r="C687" s="1">
        <v>0.39097222222222222</v>
      </c>
      <c r="D687" s="2">
        <v>46062</v>
      </c>
      <c r="E687" t="s">
        <v>17</v>
      </c>
      <c r="F687" t="s">
        <v>18</v>
      </c>
      <c r="G687" t="s">
        <v>1957</v>
      </c>
      <c r="H687" s="1"/>
      <c r="I687" s="1">
        <v>0.52083333333333337</v>
      </c>
      <c r="J687" s="2"/>
      <c r="K687" t="s">
        <v>25</v>
      </c>
      <c r="L687" t="s">
        <v>1958</v>
      </c>
      <c r="M687" t="s">
        <v>22</v>
      </c>
      <c r="N687" t="s">
        <v>22</v>
      </c>
      <c r="O687" t="s">
        <v>268</v>
      </c>
      <c r="P687" t="s">
        <v>23</v>
      </c>
      <c r="Q687" s="1">
        <f>SEGUIMIENTO_TPM_xlsx[[#This Row],[HORA FIN  INTERVENCIÓN]]-SEGUIMIENTO_TPM_xlsx[[#This Row],[HORA INICIO INTERVENCIÓN]]</f>
        <v>0.52083333333333337</v>
      </c>
      <c r="R687" s="20">
        <f>(SEGUIMIENTO_TPM_xlsx[[#This Row],[HORA REPORTE]]+SEGUIMIENTO_TPM_xlsx[[#This Row],[FECHA DE REPORTE]])</f>
        <v>46062.390972222223</v>
      </c>
      <c r="S687" s="20">
        <f>(SEGUIMIENTO_TPM_xlsx[[#This Row],[FECHA DE INTERVENCÓN]]+SEGUIMIENTO_TPM_xlsx[[#This Row],[HORA FIN  INTERVENCIÓN]])</f>
        <v>0.52083333333333337</v>
      </c>
      <c r="T687" s="11">
        <f>(SEGUIMIENTO_TPM_xlsx[[#This Row],[FECHA Y HORA FINAL]]-SEGUIMIENTO_TPM_xlsx[[#This Row],[FECHA Y HORA INICIO]])</f>
        <v>-46061.870138888888</v>
      </c>
    </row>
    <row r="688" spans="1:20" x14ac:dyDescent="0.25">
      <c r="A688">
        <v>696</v>
      </c>
      <c r="B688" t="s">
        <v>695</v>
      </c>
      <c r="C688" s="1">
        <v>0.79166666666666663</v>
      </c>
      <c r="D688" s="2">
        <v>46101</v>
      </c>
      <c r="E688" t="s">
        <v>17</v>
      </c>
      <c r="F688" t="s">
        <v>18</v>
      </c>
      <c r="G688" t="s">
        <v>1626</v>
      </c>
      <c r="H688" s="1">
        <v>0.84722222222222221</v>
      </c>
      <c r="I688" s="1">
        <v>0.86805555555555558</v>
      </c>
      <c r="J688" s="2">
        <v>46101</v>
      </c>
      <c r="K688" t="s">
        <v>25</v>
      </c>
      <c r="L688" t="s">
        <v>1627</v>
      </c>
      <c r="M688" t="s">
        <v>1628</v>
      </c>
      <c r="N688" t="s">
        <v>22</v>
      </c>
      <c r="O688" t="s">
        <v>112</v>
      </c>
      <c r="P688" t="s">
        <v>23</v>
      </c>
      <c r="Q688" s="1">
        <f>SEGUIMIENTO_TPM_xlsx[[#This Row],[HORA FIN  INTERVENCIÓN]]-SEGUIMIENTO_TPM_xlsx[[#This Row],[HORA INICIO INTERVENCIÓN]]</f>
        <v>2.083333333333337E-2</v>
      </c>
      <c r="R688" s="20">
        <f>(SEGUIMIENTO_TPM_xlsx[[#This Row],[HORA REPORTE]]+SEGUIMIENTO_TPM_xlsx[[#This Row],[FECHA DE REPORTE]])</f>
        <v>46101.791666666664</v>
      </c>
      <c r="S688" s="20">
        <f>(SEGUIMIENTO_TPM_xlsx[[#This Row],[FECHA DE INTERVENCÓN]]+SEGUIMIENTO_TPM_xlsx[[#This Row],[HORA FIN  INTERVENCIÓN]])</f>
        <v>46101.868055555555</v>
      </c>
      <c r="T688" s="11">
        <f>(SEGUIMIENTO_TPM_xlsx[[#This Row],[FECHA Y HORA FINAL]]-SEGUIMIENTO_TPM_xlsx[[#This Row],[FECHA Y HORA INICIO]])</f>
        <v>7.6388888890505768E-2</v>
      </c>
    </row>
    <row r="689" spans="1:20" x14ac:dyDescent="0.25">
      <c r="A689">
        <v>697</v>
      </c>
      <c r="C689" s="1"/>
      <c r="D689" s="2"/>
      <c r="H689" s="1"/>
      <c r="I689" s="1"/>
      <c r="J689" s="2"/>
      <c r="Q689" s="1">
        <f>SEGUIMIENTO_TPM_xlsx[[#This Row],[HORA FIN  INTERVENCIÓN]]-SEGUIMIENTO_TPM_xlsx[[#This Row],[HORA INICIO INTERVENCIÓN]]</f>
        <v>0</v>
      </c>
      <c r="R689" s="20">
        <f>(SEGUIMIENTO_TPM_xlsx[[#This Row],[HORA REPORTE]]+SEGUIMIENTO_TPM_xlsx[[#This Row],[FECHA DE REPORTE]])</f>
        <v>0</v>
      </c>
      <c r="S689" s="20">
        <f>(SEGUIMIENTO_TPM_xlsx[[#This Row],[FECHA DE INTERVENCÓN]]+SEGUIMIENTO_TPM_xlsx[[#This Row],[HORA FIN  INTERVENCIÓN]])</f>
        <v>0</v>
      </c>
      <c r="T689" s="11">
        <f>(SEGUIMIENTO_TPM_xlsx[[#This Row],[FECHA Y HORA FINAL]]-SEGUIMIENTO_TPM_xlsx[[#This Row],[FECHA Y HORA INICIO]])</f>
        <v>0</v>
      </c>
    </row>
    <row r="690" spans="1:20" x14ac:dyDescent="0.25">
      <c r="A690">
        <v>698</v>
      </c>
      <c r="B690" t="s">
        <v>317</v>
      </c>
      <c r="C690" s="1">
        <v>9.7222222222222224E-2</v>
      </c>
      <c r="D690" s="2">
        <v>46057</v>
      </c>
      <c r="E690" t="s">
        <v>91</v>
      </c>
      <c r="F690" t="s">
        <v>18</v>
      </c>
      <c r="G690" t="s">
        <v>1141</v>
      </c>
      <c r="H690" s="1"/>
      <c r="I690" s="1"/>
      <c r="J690" s="2"/>
      <c r="P690" t="s">
        <v>33</v>
      </c>
      <c r="Q690" s="1">
        <f>SEGUIMIENTO_TPM_xlsx[[#This Row],[HORA FIN  INTERVENCIÓN]]-SEGUIMIENTO_TPM_xlsx[[#This Row],[HORA INICIO INTERVENCIÓN]]</f>
        <v>0</v>
      </c>
      <c r="R690" s="20">
        <f>(SEGUIMIENTO_TPM_xlsx[[#This Row],[HORA REPORTE]]+SEGUIMIENTO_TPM_xlsx[[#This Row],[FECHA DE REPORTE]])</f>
        <v>46057.097222222219</v>
      </c>
      <c r="S690" s="20">
        <f>(SEGUIMIENTO_TPM_xlsx[[#This Row],[FECHA DE INTERVENCÓN]]+SEGUIMIENTO_TPM_xlsx[[#This Row],[HORA FIN  INTERVENCIÓN]])</f>
        <v>0</v>
      </c>
      <c r="T690" s="11">
        <f>(SEGUIMIENTO_TPM_xlsx[[#This Row],[FECHA Y HORA FINAL]]-SEGUIMIENTO_TPM_xlsx[[#This Row],[FECHA Y HORA INICIO]])</f>
        <v>-46057.097222222219</v>
      </c>
    </row>
    <row r="691" spans="1:20" x14ac:dyDescent="0.25">
      <c r="A691">
        <v>699</v>
      </c>
      <c r="B691" t="s">
        <v>164</v>
      </c>
      <c r="C691" s="1">
        <v>0.31944444444444442</v>
      </c>
      <c r="D691" s="2">
        <v>46057</v>
      </c>
      <c r="E691" t="s">
        <v>143</v>
      </c>
      <c r="F691" t="s">
        <v>18</v>
      </c>
      <c r="G691" t="s">
        <v>1142</v>
      </c>
      <c r="H691" s="1">
        <v>0.31944444444444442</v>
      </c>
      <c r="I691" s="1">
        <v>0.35416666666666669</v>
      </c>
      <c r="J691" s="2">
        <v>46057</v>
      </c>
      <c r="K691" t="s">
        <v>25</v>
      </c>
      <c r="L691" t="s">
        <v>1143</v>
      </c>
      <c r="M691" t="s">
        <v>1144</v>
      </c>
      <c r="N691" t="s">
        <v>22</v>
      </c>
      <c r="O691" t="s">
        <v>108</v>
      </c>
      <c r="P691" t="s">
        <v>23</v>
      </c>
      <c r="Q691" s="1">
        <f>SEGUIMIENTO_TPM_xlsx[[#This Row],[HORA FIN  INTERVENCIÓN]]-SEGUIMIENTO_TPM_xlsx[[#This Row],[HORA INICIO INTERVENCIÓN]]</f>
        <v>3.4722222222222265E-2</v>
      </c>
      <c r="R691" s="20">
        <f>(SEGUIMIENTO_TPM_xlsx[[#This Row],[HORA REPORTE]]+SEGUIMIENTO_TPM_xlsx[[#This Row],[FECHA DE REPORTE]])</f>
        <v>46057.319444444445</v>
      </c>
      <c r="S691" s="20">
        <f>(SEGUIMIENTO_TPM_xlsx[[#This Row],[FECHA DE INTERVENCÓN]]+SEGUIMIENTO_TPM_xlsx[[#This Row],[HORA FIN  INTERVENCIÓN]])</f>
        <v>46057.354166666664</v>
      </c>
      <c r="T691" s="11">
        <f>(SEGUIMIENTO_TPM_xlsx[[#This Row],[FECHA Y HORA FINAL]]-SEGUIMIENTO_TPM_xlsx[[#This Row],[FECHA Y HORA INICIO]])</f>
        <v>3.4722222218988463E-2</v>
      </c>
    </row>
    <row r="692" spans="1:20" x14ac:dyDescent="0.25">
      <c r="A692">
        <v>700</v>
      </c>
      <c r="B692" t="s">
        <v>16</v>
      </c>
      <c r="C692" s="1">
        <v>0.36458333333333331</v>
      </c>
      <c r="D692" s="2">
        <v>46057</v>
      </c>
      <c r="E692" t="s">
        <v>94</v>
      </c>
      <c r="F692" t="s">
        <v>18</v>
      </c>
      <c r="G692" t="s">
        <v>1145</v>
      </c>
      <c r="H692" s="1">
        <v>0.36458333333333331</v>
      </c>
      <c r="I692" s="1">
        <v>0.375</v>
      </c>
      <c r="J692" s="2">
        <v>46057</v>
      </c>
      <c r="K692" t="s">
        <v>20</v>
      </c>
      <c r="L692" t="s">
        <v>1146</v>
      </c>
      <c r="M692" t="s">
        <v>22</v>
      </c>
      <c r="N692" t="s">
        <v>22</v>
      </c>
      <c r="O692" t="s">
        <v>108</v>
      </c>
      <c r="P692" t="s">
        <v>23</v>
      </c>
      <c r="Q692" s="1">
        <f>SEGUIMIENTO_TPM_xlsx[[#This Row],[HORA FIN  INTERVENCIÓN]]-SEGUIMIENTO_TPM_xlsx[[#This Row],[HORA INICIO INTERVENCIÓN]]</f>
        <v>1.0416666666666685E-2</v>
      </c>
      <c r="R692" s="20">
        <f>(SEGUIMIENTO_TPM_xlsx[[#This Row],[HORA REPORTE]]+SEGUIMIENTO_TPM_xlsx[[#This Row],[FECHA DE REPORTE]])</f>
        <v>46057.364583333336</v>
      </c>
      <c r="S692" s="20">
        <f>(SEGUIMIENTO_TPM_xlsx[[#This Row],[FECHA DE INTERVENCÓN]]+SEGUIMIENTO_TPM_xlsx[[#This Row],[HORA FIN  INTERVENCIÓN]])</f>
        <v>46057.375</v>
      </c>
      <c r="T692" s="11">
        <f>(SEGUIMIENTO_TPM_xlsx[[#This Row],[FECHA Y HORA FINAL]]-SEGUIMIENTO_TPM_xlsx[[#This Row],[FECHA Y HORA INICIO]])</f>
        <v>1.0416666664241347E-2</v>
      </c>
    </row>
    <row r="693" spans="1:20" x14ac:dyDescent="0.25">
      <c r="A693">
        <v>701</v>
      </c>
      <c r="B693" t="s">
        <v>164</v>
      </c>
      <c r="C693" s="1">
        <v>0.4826388888888889</v>
      </c>
      <c r="D693" s="2">
        <v>46055</v>
      </c>
      <c r="E693" t="s">
        <v>143</v>
      </c>
      <c r="F693" t="s">
        <v>650</v>
      </c>
      <c r="G693" t="s">
        <v>1147</v>
      </c>
      <c r="H693" s="1">
        <v>0.4826388888888889</v>
      </c>
      <c r="I693" s="1">
        <v>0.49305555555555558</v>
      </c>
      <c r="J693" s="2">
        <v>46055</v>
      </c>
      <c r="K693" t="s">
        <v>25</v>
      </c>
      <c r="L693" t="s">
        <v>1148</v>
      </c>
      <c r="M693" t="s">
        <v>22</v>
      </c>
      <c r="N693" t="s">
        <v>1149</v>
      </c>
      <c r="O693" t="s">
        <v>108</v>
      </c>
      <c r="P693" t="s">
        <v>23</v>
      </c>
      <c r="Q693" s="1">
        <f>SEGUIMIENTO_TPM_xlsx[[#This Row],[HORA FIN  INTERVENCIÓN]]-SEGUIMIENTO_TPM_xlsx[[#This Row],[HORA INICIO INTERVENCIÓN]]</f>
        <v>1.0416666666666685E-2</v>
      </c>
      <c r="R693" s="20">
        <f>(SEGUIMIENTO_TPM_xlsx[[#This Row],[HORA REPORTE]]+SEGUIMIENTO_TPM_xlsx[[#This Row],[FECHA DE REPORTE]])</f>
        <v>46055.482638888891</v>
      </c>
      <c r="S693" s="20">
        <f>(SEGUIMIENTO_TPM_xlsx[[#This Row],[FECHA DE INTERVENCÓN]]+SEGUIMIENTO_TPM_xlsx[[#This Row],[HORA FIN  INTERVENCIÓN]])</f>
        <v>46055.493055555555</v>
      </c>
      <c r="T693" s="11">
        <f>(SEGUIMIENTO_TPM_xlsx[[#This Row],[FECHA Y HORA FINAL]]-SEGUIMIENTO_TPM_xlsx[[#This Row],[FECHA Y HORA INICIO]])</f>
        <v>1.0416666664241347E-2</v>
      </c>
    </row>
    <row r="694" spans="1:20" x14ac:dyDescent="0.25">
      <c r="A694">
        <v>702</v>
      </c>
      <c r="B694" t="s">
        <v>16</v>
      </c>
      <c r="C694" s="1">
        <v>0.38194444444444442</v>
      </c>
      <c r="D694" s="2">
        <v>46057</v>
      </c>
      <c r="E694" t="s">
        <v>94</v>
      </c>
      <c r="F694" t="s">
        <v>18</v>
      </c>
      <c r="G694" t="s">
        <v>1150</v>
      </c>
      <c r="H694" s="1">
        <v>0.38194444444444442</v>
      </c>
      <c r="I694" s="1">
        <v>0.50347222222222221</v>
      </c>
      <c r="J694" s="2">
        <v>46057</v>
      </c>
      <c r="K694" t="s">
        <v>25</v>
      </c>
      <c r="L694" t="s">
        <v>1151</v>
      </c>
      <c r="M694" t="s">
        <v>22</v>
      </c>
      <c r="N694" t="s">
        <v>22</v>
      </c>
      <c r="O694" t="s">
        <v>108</v>
      </c>
      <c r="P694" t="s">
        <v>23</v>
      </c>
      <c r="Q694" s="1">
        <f>SEGUIMIENTO_TPM_xlsx[[#This Row],[HORA FIN  INTERVENCIÓN]]-SEGUIMIENTO_TPM_xlsx[[#This Row],[HORA INICIO INTERVENCIÓN]]</f>
        <v>0.12152777777777779</v>
      </c>
      <c r="R694" s="20">
        <f>(SEGUIMIENTO_TPM_xlsx[[#This Row],[HORA REPORTE]]+SEGUIMIENTO_TPM_xlsx[[#This Row],[FECHA DE REPORTE]])</f>
        <v>46057.381944444445</v>
      </c>
      <c r="S694" s="20">
        <f>(SEGUIMIENTO_TPM_xlsx[[#This Row],[FECHA DE INTERVENCÓN]]+SEGUIMIENTO_TPM_xlsx[[#This Row],[HORA FIN  INTERVENCIÓN]])</f>
        <v>46057.503472222219</v>
      </c>
      <c r="T694" s="11">
        <f>(SEGUIMIENTO_TPM_xlsx[[#This Row],[FECHA Y HORA FINAL]]-SEGUIMIENTO_TPM_xlsx[[#This Row],[FECHA Y HORA INICIO]])</f>
        <v>0.12152777777373558</v>
      </c>
    </row>
    <row r="695" spans="1:20" x14ac:dyDescent="0.25">
      <c r="A695">
        <v>703</v>
      </c>
      <c r="C695" s="1"/>
      <c r="D695" s="2"/>
      <c r="H695" s="1"/>
      <c r="I695" s="1"/>
      <c r="J695" s="2"/>
      <c r="Q695" s="1">
        <f>SEGUIMIENTO_TPM_xlsx[[#This Row],[HORA FIN  INTERVENCIÓN]]-SEGUIMIENTO_TPM_xlsx[[#This Row],[HORA INICIO INTERVENCIÓN]]</f>
        <v>0</v>
      </c>
      <c r="R695" s="20">
        <f>(SEGUIMIENTO_TPM_xlsx[[#This Row],[HORA REPORTE]]+SEGUIMIENTO_TPM_xlsx[[#This Row],[FECHA DE REPORTE]])</f>
        <v>0</v>
      </c>
      <c r="S695" s="20">
        <f>(SEGUIMIENTO_TPM_xlsx[[#This Row],[FECHA DE INTERVENCÓN]]+SEGUIMIENTO_TPM_xlsx[[#This Row],[HORA FIN  INTERVENCIÓN]])</f>
        <v>0</v>
      </c>
      <c r="T695" s="11">
        <f>(SEGUIMIENTO_TPM_xlsx[[#This Row],[FECHA Y HORA FINAL]]-SEGUIMIENTO_TPM_xlsx[[#This Row],[FECHA Y HORA INICIO]])</f>
        <v>0</v>
      </c>
    </row>
    <row r="696" spans="1:20" x14ac:dyDescent="0.25">
      <c r="A696">
        <v>704</v>
      </c>
      <c r="B696" t="s">
        <v>199</v>
      </c>
      <c r="C696" s="1">
        <v>0.79166666666666663</v>
      </c>
      <c r="D696" s="2">
        <v>46057</v>
      </c>
      <c r="E696" t="s">
        <v>91</v>
      </c>
      <c r="F696" t="s">
        <v>18</v>
      </c>
      <c r="G696" t="s">
        <v>1152</v>
      </c>
      <c r="H696" s="1"/>
      <c r="I696" s="1"/>
      <c r="J696" s="2"/>
      <c r="P696" t="s">
        <v>33</v>
      </c>
      <c r="Q696" s="1">
        <f>SEGUIMIENTO_TPM_xlsx[[#This Row],[HORA FIN  INTERVENCIÓN]]-SEGUIMIENTO_TPM_xlsx[[#This Row],[HORA INICIO INTERVENCIÓN]]</f>
        <v>0</v>
      </c>
      <c r="R696" s="20">
        <f>(SEGUIMIENTO_TPM_xlsx[[#This Row],[HORA REPORTE]]+SEGUIMIENTO_TPM_xlsx[[#This Row],[FECHA DE REPORTE]])</f>
        <v>46057.791666666664</v>
      </c>
      <c r="S696" s="20">
        <f>(SEGUIMIENTO_TPM_xlsx[[#This Row],[FECHA DE INTERVENCÓN]]+SEGUIMIENTO_TPM_xlsx[[#This Row],[HORA FIN  INTERVENCIÓN]])</f>
        <v>0</v>
      </c>
      <c r="T696" s="11">
        <f>(SEGUIMIENTO_TPM_xlsx[[#This Row],[FECHA Y HORA FINAL]]-SEGUIMIENTO_TPM_xlsx[[#This Row],[FECHA Y HORA INICIO]])</f>
        <v>-46057.791666666664</v>
      </c>
    </row>
    <row r="697" spans="1:20" x14ac:dyDescent="0.25">
      <c r="A697">
        <v>705</v>
      </c>
      <c r="B697" t="s">
        <v>526</v>
      </c>
      <c r="C697" s="1">
        <v>0.11458333333333333</v>
      </c>
      <c r="D697" s="2">
        <v>46058</v>
      </c>
      <c r="E697" t="s">
        <v>104</v>
      </c>
      <c r="F697" t="s">
        <v>18</v>
      </c>
      <c r="G697" t="s">
        <v>1153</v>
      </c>
      <c r="H697" s="1">
        <v>0.2638888888888889</v>
      </c>
      <c r="I697" s="1">
        <v>0.27777777777777779</v>
      </c>
      <c r="J697" s="2">
        <v>46058</v>
      </c>
      <c r="K697" t="s">
        <v>20</v>
      </c>
      <c r="L697" t="s">
        <v>1154</v>
      </c>
      <c r="M697" t="s">
        <v>22</v>
      </c>
      <c r="N697" t="s">
        <v>22</v>
      </c>
      <c r="O697" t="s">
        <v>112</v>
      </c>
      <c r="P697" t="s">
        <v>23</v>
      </c>
      <c r="Q697" s="1">
        <f>SEGUIMIENTO_TPM_xlsx[[#This Row],[HORA FIN  INTERVENCIÓN]]-SEGUIMIENTO_TPM_xlsx[[#This Row],[HORA INICIO INTERVENCIÓN]]</f>
        <v>1.3888888888888895E-2</v>
      </c>
      <c r="R697" s="20">
        <f>(SEGUIMIENTO_TPM_xlsx[[#This Row],[HORA REPORTE]]+SEGUIMIENTO_TPM_xlsx[[#This Row],[FECHA DE REPORTE]])</f>
        <v>46058.114583333336</v>
      </c>
      <c r="S697" s="20">
        <f>(SEGUIMIENTO_TPM_xlsx[[#This Row],[FECHA DE INTERVENCÓN]]+SEGUIMIENTO_TPM_xlsx[[#This Row],[HORA FIN  INTERVENCIÓN]])</f>
        <v>46058.277777777781</v>
      </c>
      <c r="T697" s="11">
        <f>(SEGUIMIENTO_TPM_xlsx[[#This Row],[FECHA Y HORA FINAL]]-SEGUIMIENTO_TPM_xlsx[[#This Row],[FECHA Y HORA INICIO]])</f>
        <v>0.16319444444525288</v>
      </c>
    </row>
    <row r="698" spans="1:20" x14ac:dyDescent="0.25">
      <c r="A698">
        <v>706</v>
      </c>
      <c r="B698" t="s">
        <v>199</v>
      </c>
      <c r="C698" s="1">
        <v>0.12152777777777778</v>
      </c>
      <c r="D698" s="2">
        <v>46058</v>
      </c>
      <c r="E698" t="s">
        <v>91</v>
      </c>
      <c r="F698" t="s">
        <v>18</v>
      </c>
      <c r="G698" t="s">
        <v>1155</v>
      </c>
      <c r="H698" s="1"/>
      <c r="I698" s="1"/>
      <c r="J698" s="2"/>
      <c r="P698" t="s">
        <v>33</v>
      </c>
      <c r="Q698" s="1">
        <f>SEGUIMIENTO_TPM_xlsx[[#This Row],[HORA FIN  INTERVENCIÓN]]-SEGUIMIENTO_TPM_xlsx[[#This Row],[HORA INICIO INTERVENCIÓN]]</f>
        <v>0</v>
      </c>
      <c r="R698" s="20">
        <f>(SEGUIMIENTO_TPM_xlsx[[#This Row],[HORA REPORTE]]+SEGUIMIENTO_TPM_xlsx[[#This Row],[FECHA DE REPORTE]])</f>
        <v>46058.121527777781</v>
      </c>
      <c r="S698" s="20">
        <f>(SEGUIMIENTO_TPM_xlsx[[#This Row],[FECHA DE INTERVENCÓN]]+SEGUIMIENTO_TPM_xlsx[[#This Row],[HORA FIN  INTERVENCIÓN]])</f>
        <v>0</v>
      </c>
      <c r="T698" s="11">
        <f>(SEGUIMIENTO_TPM_xlsx[[#This Row],[FECHA Y HORA FINAL]]-SEGUIMIENTO_TPM_xlsx[[#This Row],[FECHA Y HORA INICIO]])</f>
        <v>-46058.121527777781</v>
      </c>
    </row>
    <row r="699" spans="1:20" x14ac:dyDescent="0.25">
      <c r="A699">
        <v>707</v>
      </c>
      <c r="B699" t="s">
        <v>164</v>
      </c>
      <c r="C699" s="1">
        <v>0.45069444444444445</v>
      </c>
      <c r="D699" s="2">
        <v>46094</v>
      </c>
      <c r="E699" t="s">
        <v>143</v>
      </c>
      <c r="F699" t="s">
        <v>18</v>
      </c>
      <c r="G699" t="s">
        <v>1156</v>
      </c>
      <c r="H699" s="1">
        <v>0.45069444444444445</v>
      </c>
      <c r="I699" s="1">
        <v>0.46875</v>
      </c>
      <c r="J699" s="2">
        <v>46094</v>
      </c>
      <c r="K699" t="s">
        <v>25</v>
      </c>
      <c r="L699" t="s">
        <v>1157</v>
      </c>
      <c r="M699" t="s">
        <v>22</v>
      </c>
      <c r="N699" t="s">
        <v>673</v>
      </c>
      <c r="O699" t="s">
        <v>661</v>
      </c>
      <c r="P699" t="s">
        <v>23</v>
      </c>
      <c r="Q699" s="1">
        <f>SEGUIMIENTO_TPM_xlsx[[#This Row],[HORA FIN  INTERVENCIÓN]]-SEGUIMIENTO_TPM_xlsx[[#This Row],[HORA INICIO INTERVENCIÓN]]</f>
        <v>1.8055555555555547E-2</v>
      </c>
      <c r="R699" s="20">
        <f>(SEGUIMIENTO_TPM_xlsx[[#This Row],[HORA REPORTE]]+SEGUIMIENTO_TPM_xlsx[[#This Row],[FECHA DE REPORTE]])</f>
        <v>46094.450694444444</v>
      </c>
      <c r="S699" s="20">
        <f>(SEGUIMIENTO_TPM_xlsx[[#This Row],[FECHA DE INTERVENCÓN]]+SEGUIMIENTO_TPM_xlsx[[#This Row],[HORA FIN  INTERVENCIÓN]])</f>
        <v>46094.46875</v>
      </c>
      <c r="T699" s="11">
        <f>(SEGUIMIENTO_TPM_xlsx[[#This Row],[FECHA Y HORA FINAL]]-SEGUIMIENTO_TPM_xlsx[[#This Row],[FECHA Y HORA INICIO]])</f>
        <v>1.8055555556202307E-2</v>
      </c>
    </row>
    <row r="700" spans="1:20" x14ac:dyDescent="0.25">
      <c r="A700">
        <v>708</v>
      </c>
      <c r="B700" t="s">
        <v>16</v>
      </c>
      <c r="C700" s="1">
        <v>0.29166666666666669</v>
      </c>
      <c r="D700" s="2">
        <v>46058</v>
      </c>
      <c r="E700" t="s">
        <v>94</v>
      </c>
      <c r="F700" t="s">
        <v>18</v>
      </c>
      <c r="G700" t="s">
        <v>1158</v>
      </c>
      <c r="H700" s="1">
        <v>0.35416666666666669</v>
      </c>
      <c r="I700" s="1">
        <v>0.37847222222222221</v>
      </c>
      <c r="J700" s="2">
        <v>46058</v>
      </c>
      <c r="K700" t="s">
        <v>25</v>
      </c>
      <c r="L700" t="s">
        <v>1159</v>
      </c>
      <c r="M700" t="s">
        <v>987</v>
      </c>
      <c r="N700" t="s">
        <v>22</v>
      </c>
      <c r="O700" t="s">
        <v>112</v>
      </c>
      <c r="P700" t="s">
        <v>23</v>
      </c>
      <c r="Q700" s="1">
        <f>SEGUIMIENTO_TPM_xlsx[[#This Row],[HORA FIN  INTERVENCIÓN]]-SEGUIMIENTO_TPM_xlsx[[#This Row],[HORA INICIO INTERVENCIÓN]]</f>
        <v>2.4305555555555525E-2</v>
      </c>
      <c r="R700" s="20">
        <f>(SEGUIMIENTO_TPM_xlsx[[#This Row],[HORA REPORTE]]+SEGUIMIENTO_TPM_xlsx[[#This Row],[FECHA DE REPORTE]])</f>
        <v>46058.291666666664</v>
      </c>
      <c r="S700" s="20">
        <f>(SEGUIMIENTO_TPM_xlsx[[#This Row],[FECHA DE INTERVENCÓN]]+SEGUIMIENTO_TPM_xlsx[[#This Row],[HORA FIN  INTERVENCIÓN]])</f>
        <v>46058.378472222219</v>
      </c>
      <c r="T700" s="11">
        <f>(SEGUIMIENTO_TPM_xlsx[[#This Row],[FECHA Y HORA FINAL]]-SEGUIMIENTO_TPM_xlsx[[#This Row],[FECHA Y HORA INICIO]])</f>
        <v>8.6805555554747116E-2</v>
      </c>
    </row>
    <row r="701" spans="1:20" x14ac:dyDescent="0.25">
      <c r="A701">
        <v>709</v>
      </c>
      <c r="B701" t="s">
        <v>103</v>
      </c>
      <c r="C701" s="1">
        <v>0.4513888888888889</v>
      </c>
      <c r="D701" s="2">
        <v>46058</v>
      </c>
      <c r="E701" t="s">
        <v>147</v>
      </c>
      <c r="F701" t="s">
        <v>18</v>
      </c>
      <c r="G701" t="s">
        <v>1160</v>
      </c>
      <c r="H701" s="1">
        <v>0.47916666666666669</v>
      </c>
      <c r="I701" s="1">
        <v>0.53125</v>
      </c>
      <c r="J701" s="2">
        <v>46058</v>
      </c>
      <c r="K701" t="s">
        <v>25</v>
      </c>
      <c r="L701" t="s">
        <v>1161</v>
      </c>
      <c r="M701" t="s">
        <v>22</v>
      </c>
      <c r="N701" t="s">
        <v>22</v>
      </c>
      <c r="O701" t="s">
        <v>112</v>
      </c>
      <c r="P701" t="s">
        <v>23</v>
      </c>
      <c r="Q701" s="1">
        <f>SEGUIMIENTO_TPM_xlsx[[#This Row],[HORA FIN  INTERVENCIÓN]]-SEGUIMIENTO_TPM_xlsx[[#This Row],[HORA INICIO INTERVENCIÓN]]</f>
        <v>5.2083333333333315E-2</v>
      </c>
      <c r="R701" s="20">
        <f>(SEGUIMIENTO_TPM_xlsx[[#This Row],[HORA REPORTE]]+SEGUIMIENTO_TPM_xlsx[[#This Row],[FECHA DE REPORTE]])</f>
        <v>46058.451388888891</v>
      </c>
      <c r="S701" s="20">
        <f>(SEGUIMIENTO_TPM_xlsx[[#This Row],[FECHA DE INTERVENCÓN]]+SEGUIMIENTO_TPM_xlsx[[#This Row],[HORA FIN  INTERVENCIÓN]])</f>
        <v>46058.53125</v>
      </c>
      <c r="T701" s="11">
        <f>(SEGUIMIENTO_TPM_xlsx[[#This Row],[FECHA Y HORA FINAL]]-SEGUIMIENTO_TPM_xlsx[[#This Row],[FECHA Y HORA INICIO]])</f>
        <v>7.9861111109494232E-2</v>
      </c>
    </row>
    <row r="702" spans="1:20" x14ac:dyDescent="0.25">
      <c r="A702">
        <v>710</v>
      </c>
      <c r="B702" t="s">
        <v>16</v>
      </c>
      <c r="C702" s="1">
        <v>0.4236111111111111</v>
      </c>
      <c r="D702" s="2">
        <v>46058</v>
      </c>
      <c r="E702" t="s">
        <v>116</v>
      </c>
      <c r="F702" t="s">
        <v>18</v>
      </c>
      <c r="G702" t="s">
        <v>1162</v>
      </c>
      <c r="H702" s="1">
        <v>0.4236111111111111</v>
      </c>
      <c r="I702" s="1">
        <v>0.44444444444444442</v>
      </c>
      <c r="J702" s="2">
        <v>46058</v>
      </c>
      <c r="K702" t="s">
        <v>25</v>
      </c>
      <c r="L702" t="s">
        <v>1163</v>
      </c>
      <c r="M702" t="s">
        <v>1164</v>
      </c>
      <c r="N702" t="s">
        <v>22</v>
      </c>
      <c r="O702" t="s">
        <v>112</v>
      </c>
      <c r="P702" t="s">
        <v>23</v>
      </c>
      <c r="Q702" s="1">
        <f>SEGUIMIENTO_TPM_xlsx[[#This Row],[HORA FIN  INTERVENCIÓN]]-SEGUIMIENTO_TPM_xlsx[[#This Row],[HORA INICIO INTERVENCIÓN]]</f>
        <v>2.0833333333333315E-2</v>
      </c>
      <c r="R702" s="20">
        <f>(SEGUIMIENTO_TPM_xlsx[[#This Row],[HORA REPORTE]]+SEGUIMIENTO_TPM_xlsx[[#This Row],[FECHA DE REPORTE]])</f>
        <v>46058.423611111109</v>
      </c>
      <c r="S702" s="20">
        <f>(SEGUIMIENTO_TPM_xlsx[[#This Row],[FECHA DE INTERVENCÓN]]+SEGUIMIENTO_TPM_xlsx[[#This Row],[HORA FIN  INTERVENCIÓN]])</f>
        <v>46058.444444444445</v>
      </c>
      <c r="T702" s="11">
        <f>(SEGUIMIENTO_TPM_xlsx[[#This Row],[FECHA Y HORA FINAL]]-SEGUIMIENTO_TPM_xlsx[[#This Row],[FECHA Y HORA INICIO]])</f>
        <v>2.0833333335758653E-2</v>
      </c>
    </row>
    <row r="703" spans="1:20" x14ac:dyDescent="0.25">
      <c r="A703">
        <v>711</v>
      </c>
      <c r="B703" t="s">
        <v>103</v>
      </c>
      <c r="C703" s="1">
        <v>0.5625</v>
      </c>
      <c r="D703" s="2">
        <v>46058</v>
      </c>
      <c r="E703" t="s">
        <v>307</v>
      </c>
      <c r="F703" t="s">
        <v>18</v>
      </c>
      <c r="G703" t="s">
        <v>1165</v>
      </c>
      <c r="H703" s="1"/>
      <c r="I703" s="1"/>
      <c r="J703" s="2"/>
      <c r="P703" t="s">
        <v>33</v>
      </c>
      <c r="Q703" s="1">
        <f>SEGUIMIENTO_TPM_xlsx[[#This Row],[HORA FIN  INTERVENCIÓN]]-SEGUIMIENTO_TPM_xlsx[[#This Row],[HORA INICIO INTERVENCIÓN]]</f>
        <v>0</v>
      </c>
      <c r="R703" s="20">
        <f>(SEGUIMIENTO_TPM_xlsx[[#This Row],[HORA REPORTE]]+SEGUIMIENTO_TPM_xlsx[[#This Row],[FECHA DE REPORTE]])</f>
        <v>46058.5625</v>
      </c>
      <c r="S703" s="20">
        <f>(SEGUIMIENTO_TPM_xlsx[[#This Row],[FECHA DE INTERVENCÓN]]+SEGUIMIENTO_TPM_xlsx[[#This Row],[HORA FIN  INTERVENCIÓN]])</f>
        <v>0</v>
      </c>
      <c r="T703" s="11">
        <f>(SEGUIMIENTO_TPM_xlsx[[#This Row],[FECHA Y HORA FINAL]]-SEGUIMIENTO_TPM_xlsx[[#This Row],[FECHA Y HORA INICIO]])</f>
        <v>-46058.5625</v>
      </c>
    </row>
    <row r="704" spans="1:20" x14ac:dyDescent="0.25">
      <c r="A704">
        <v>712</v>
      </c>
      <c r="B704" t="s">
        <v>93</v>
      </c>
      <c r="C704" s="1">
        <v>0.625</v>
      </c>
      <c r="D704" s="2">
        <v>46058</v>
      </c>
      <c r="E704" t="s">
        <v>94</v>
      </c>
      <c r="F704" t="s">
        <v>18</v>
      </c>
      <c r="G704" t="s">
        <v>1166</v>
      </c>
      <c r="H704" s="1">
        <v>0.63194444444444442</v>
      </c>
      <c r="I704" s="1">
        <v>0.65972222222222221</v>
      </c>
      <c r="J704" s="2">
        <v>46058</v>
      </c>
      <c r="K704" t="s">
        <v>20</v>
      </c>
      <c r="L704" t="s">
        <v>1167</v>
      </c>
      <c r="M704" t="s">
        <v>1168</v>
      </c>
      <c r="N704" t="s">
        <v>22</v>
      </c>
      <c r="O704" t="s">
        <v>112</v>
      </c>
      <c r="P704" t="s">
        <v>23</v>
      </c>
      <c r="Q704" s="1">
        <f>SEGUIMIENTO_TPM_xlsx[[#This Row],[HORA FIN  INTERVENCIÓN]]-SEGUIMIENTO_TPM_xlsx[[#This Row],[HORA INICIO INTERVENCIÓN]]</f>
        <v>2.777777777777779E-2</v>
      </c>
      <c r="R704" s="20">
        <f>(SEGUIMIENTO_TPM_xlsx[[#This Row],[HORA REPORTE]]+SEGUIMIENTO_TPM_xlsx[[#This Row],[FECHA DE REPORTE]])</f>
        <v>46058.625</v>
      </c>
      <c r="S704" s="20">
        <f>(SEGUIMIENTO_TPM_xlsx[[#This Row],[FECHA DE INTERVENCÓN]]+SEGUIMIENTO_TPM_xlsx[[#This Row],[HORA FIN  INTERVENCIÓN]])</f>
        <v>46058.659722222219</v>
      </c>
      <c r="T704" s="11">
        <f>(SEGUIMIENTO_TPM_xlsx[[#This Row],[FECHA Y HORA FINAL]]-SEGUIMIENTO_TPM_xlsx[[#This Row],[FECHA Y HORA INICIO]])</f>
        <v>3.4722222218988463E-2</v>
      </c>
    </row>
    <row r="705" spans="1:20" x14ac:dyDescent="0.25">
      <c r="A705">
        <v>713</v>
      </c>
      <c r="B705" t="s">
        <v>93</v>
      </c>
      <c r="C705" s="1">
        <v>0.70138888888888884</v>
      </c>
      <c r="D705" s="2">
        <v>46058</v>
      </c>
      <c r="E705" t="s">
        <v>116</v>
      </c>
      <c r="F705" t="s">
        <v>18</v>
      </c>
      <c r="G705" t="s">
        <v>1169</v>
      </c>
      <c r="H705" s="1">
        <v>0.29166666666666669</v>
      </c>
      <c r="I705" s="1">
        <v>0.4236111111111111</v>
      </c>
      <c r="J705" s="2">
        <v>46059</v>
      </c>
      <c r="K705" t="s">
        <v>25</v>
      </c>
      <c r="L705" t="s">
        <v>1170</v>
      </c>
      <c r="M705" t="s">
        <v>22</v>
      </c>
      <c r="N705" t="s">
        <v>22</v>
      </c>
      <c r="O705" t="s">
        <v>661</v>
      </c>
      <c r="P705" t="s">
        <v>23</v>
      </c>
      <c r="Q705" s="1">
        <f>SEGUIMIENTO_TPM_xlsx[[#This Row],[HORA FIN  INTERVENCIÓN]]-SEGUIMIENTO_TPM_xlsx[[#This Row],[HORA INICIO INTERVENCIÓN]]</f>
        <v>0.13194444444444442</v>
      </c>
      <c r="R705" s="20">
        <f>(SEGUIMIENTO_TPM_xlsx[[#This Row],[HORA REPORTE]]+SEGUIMIENTO_TPM_xlsx[[#This Row],[FECHA DE REPORTE]])</f>
        <v>46058.701388888891</v>
      </c>
      <c r="S705" s="20">
        <f>(SEGUIMIENTO_TPM_xlsx[[#This Row],[FECHA DE INTERVENCÓN]]+SEGUIMIENTO_TPM_xlsx[[#This Row],[HORA FIN  INTERVENCIÓN]])</f>
        <v>46059.423611111109</v>
      </c>
      <c r="T705" s="11">
        <f>(SEGUIMIENTO_TPM_xlsx[[#This Row],[FECHA Y HORA FINAL]]-SEGUIMIENTO_TPM_xlsx[[#This Row],[FECHA Y HORA INICIO]])</f>
        <v>0.72222222221898846</v>
      </c>
    </row>
    <row r="706" spans="1:20" x14ac:dyDescent="0.25">
      <c r="A706">
        <v>714</v>
      </c>
      <c r="B706" t="s">
        <v>103</v>
      </c>
      <c r="C706" s="1">
        <v>0.71527777777777779</v>
      </c>
      <c r="D706" s="2">
        <v>46058</v>
      </c>
      <c r="E706" t="s">
        <v>147</v>
      </c>
      <c r="F706" t="s">
        <v>18</v>
      </c>
      <c r="G706" t="s">
        <v>1171</v>
      </c>
      <c r="H706" s="1">
        <v>0.70833333333333337</v>
      </c>
      <c r="I706" s="1">
        <v>0.75</v>
      </c>
      <c r="J706" s="2">
        <v>46059</v>
      </c>
      <c r="K706" t="s">
        <v>25</v>
      </c>
      <c r="L706" t="s">
        <v>1172</v>
      </c>
      <c r="M706" t="s">
        <v>22</v>
      </c>
      <c r="N706" t="s">
        <v>22</v>
      </c>
      <c r="O706" t="s">
        <v>661</v>
      </c>
      <c r="P706" t="s">
        <v>23</v>
      </c>
      <c r="Q706" s="1">
        <f>SEGUIMIENTO_TPM_xlsx[[#This Row],[HORA FIN  INTERVENCIÓN]]-SEGUIMIENTO_TPM_xlsx[[#This Row],[HORA INICIO INTERVENCIÓN]]</f>
        <v>4.166666666666663E-2</v>
      </c>
      <c r="R706" s="20">
        <f>(SEGUIMIENTO_TPM_xlsx[[#This Row],[HORA REPORTE]]+SEGUIMIENTO_TPM_xlsx[[#This Row],[FECHA DE REPORTE]])</f>
        <v>46058.715277777781</v>
      </c>
      <c r="S706" s="20">
        <f>(SEGUIMIENTO_TPM_xlsx[[#This Row],[FECHA DE INTERVENCÓN]]+SEGUIMIENTO_TPM_xlsx[[#This Row],[HORA FIN  INTERVENCIÓN]])</f>
        <v>46059.75</v>
      </c>
      <c r="T706" s="11">
        <f>(SEGUIMIENTO_TPM_xlsx[[#This Row],[FECHA Y HORA FINAL]]-SEGUIMIENTO_TPM_xlsx[[#This Row],[FECHA Y HORA INICIO]])</f>
        <v>1.0347222222189885</v>
      </c>
    </row>
    <row r="707" spans="1:20" x14ac:dyDescent="0.25">
      <c r="A707">
        <v>715</v>
      </c>
      <c r="B707" t="s">
        <v>139</v>
      </c>
      <c r="C707" s="1">
        <v>0.75</v>
      </c>
      <c r="D707" s="2">
        <v>46058</v>
      </c>
      <c r="E707" t="s">
        <v>307</v>
      </c>
      <c r="F707" t="s">
        <v>18</v>
      </c>
      <c r="G707" t="s">
        <v>1173</v>
      </c>
      <c r="H707" s="1">
        <v>0.79166666666666663</v>
      </c>
      <c r="I707" s="1">
        <v>0.95833333333333337</v>
      </c>
      <c r="J707" s="2">
        <v>46058</v>
      </c>
      <c r="K707" t="s">
        <v>25</v>
      </c>
      <c r="L707" t="s">
        <v>1174</v>
      </c>
      <c r="M707" t="s">
        <v>1175</v>
      </c>
      <c r="N707" t="s">
        <v>22</v>
      </c>
      <c r="O707" t="s">
        <v>112</v>
      </c>
      <c r="P707" t="s">
        <v>23</v>
      </c>
      <c r="Q707" s="1">
        <f>SEGUIMIENTO_TPM_xlsx[[#This Row],[HORA FIN  INTERVENCIÓN]]-SEGUIMIENTO_TPM_xlsx[[#This Row],[HORA INICIO INTERVENCIÓN]]</f>
        <v>0.16666666666666674</v>
      </c>
      <c r="R707" s="20">
        <f>(SEGUIMIENTO_TPM_xlsx[[#This Row],[HORA REPORTE]]+SEGUIMIENTO_TPM_xlsx[[#This Row],[FECHA DE REPORTE]])</f>
        <v>46058.75</v>
      </c>
      <c r="S707" s="20">
        <f>(SEGUIMIENTO_TPM_xlsx[[#This Row],[FECHA DE INTERVENCÓN]]+SEGUIMIENTO_TPM_xlsx[[#This Row],[HORA FIN  INTERVENCIÓN]])</f>
        <v>46058.958333333336</v>
      </c>
      <c r="T707" s="11">
        <f>(SEGUIMIENTO_TPM_xlsx[[#This Row],[FECHA Y HORA FINAL]]-SEGUIMIENTO_TPM_xlsx[[#This Row],[FECHA Y HORA INICIO]])</f>
        <v>0.20833333333575865</v>
      </c>
    </row>
    <row r="708" spans="1:20" x14ac:dyDescent="0.25">
      <c r="A708">
        <v>716</v>
      </c>
      <c r="B708" t="s">
        <v>231</v>
      </c>
      <c r="C708" s="1">
        <v>6.9444444444444448E-2</v>
      </c>
      <c r="D708" s="2">
        <v>46059</v>
      </c>
      <c r="E708" t="s">
        <v>143</v>
      </c>
      <c r="F708" t="s">
        <v>18</v>
      </c>
      <c r="G708" t="s">
        <v>1176</v>
      </c>
      <c r="H708" s="1">
        <v>6.9444444444444448E-2</v>
      </c>
      <c r="I708" s="1">
        <v>9.0277777777777776E-2</v>
      </c>
      <c r="J708" s="2">
        <v>46059</v>
      </c>
      <c r="K708" t="s">
        <v>25</v>
      </c>
      <c r="L708" t="s">
        <v>1177</v>
      </c>
      <c r="M708" t="s">
        <v>22</v>
      </c>
      <c r="N708" t="s">
        <v>22</v>
      </c>
      <c r="O708" t="s">
        <v>108</v>
      </c>
      <c r="P708" t="s">
        <v>23</v>
      </c>
      <c r="Q708" s="1">
        <f>SEGUIMIENTO_TPM_xlsx[[#This Row],[HORA FIN  INTERVENCIÓN]]-SEGUIMIENTO_TPM_xlsx[[#This Row],[HORA INICIO INTERVENCIÓN]]</f>
        <v>2.0833333333333329E-2</v>
      </c>
      <c r="R708" s="20">
        <f>(SEGUIMIENTO_TPM_xlsx[[#This Row],[HORA REPORTE]]+SEGUIMIENTO_TPM_xlsx[[#This Row],[FECHA DE REPORTE]])</f>
        <v>46059.069444444445</v>
      </c>
      <c r="S708" s="20">
        <f>(SEGUIMIENTO_TPM_xlsx[[#This Row],[FECHA DE INTERVENCÓN]]+SEGUIMIENTO_TPM_xlsx[[#This Row],[HORA FIN  INTERVENCIÓN]])</f>
        <v>46059.090277777781</v>
      </c>
      <c r="T708" s="11">
        <f>(SEGUIMIENTO_TPM_xlsx[[#This Row],[FECHA Y HORA FINAL]]-SEGUIMIENTO_TPM_xlsx[[#This Row],[FECHA Y HORA INICIO]])</f>
        <v>2.0833333335758653E-2</v>
      </c>
    </row>
    <row r="709" spans="1:20" x14ac:dyDescent="0.25">
      <c r="A709">
        <v>717</v>
      </c>
      <c r="C709" s="1"/>
      <c r="D709" s="2"/>
      <c r="H709" s="1"/>
      <c r="I709" s="1"/>
      <c r="J709" s="2"/>
      <c r="Q709" s="1">
        <f>SEGUIMIENTO_TPM_xlsx[[#This Row],[HORA FIN  INTERVENCIÓN]]-SEGUIMIENTO_TPM_xlsx[[#This Row],[HORA INICIO INTERVENCIÓN]]</f>
        <v>0</v>
      </c>
      <c r="R709" s="20">
        <f>(SEGUIMIENTO_TPM_xlsx[[#This Row],[HORA REPORTE]]+SEGUIMIENTO_TPM_xlsx[[#This Row],[FECHA DE REPORTE]])</f>
        <v>0</v>
      </c>
      <c r="S709" s="20">
        <f>(SEGUIMIENTO_TPM_xlsx[[#This Row],[FECHA DE INTERVENCÓN]]+SEGUIMIENTO_TPM_xlsx[[#This Row],[HORA FIN  INTERVENCIÓN]])</f>
        <v>0</v>
      </c>
      <c r="T709" s="11">
        <f>(SEGUIMIENTO_TPM_xlsx[[#This Row],[FECHA Y HORA FINAL]]-SEGUIMIENTO_TPM_xlsx[[#This Row],[FECHA Y HORA INICIO]])</f>
        <v>0</v>
      </c>
    </row>
    <row r="710" spans="1:20" x14ac:dyDescent="0.25">
      <c r="A710">
        <v>718</v>
      </c>
      <c r="B710" t="s">
        <v>1178</v>
      </c>
      <c r="C710" s="1"/>
      <c r="D710" s="2">
        <v>46059</v>
      </c>
      <c r="E710" t="s">
        <v>17</v>
      </c>
      <c r="F710" t="s">
        <v>18</v>
      </c>
      <c r="G710" t="s">
        <v>1179</v>
      </c>
      <c r="H710" s="1"/>
      <c r="I710" s="1"/>
      <c r="J710" s="2"/>
      <c r="P710" t="s">
        <v>33</v>
      </c>
      <c r="Q710" s="1">
        <f>SEGUIMIENTO_TPM_xlsx[[#This Row],[HORA FIN  INTERVENCIÓN]]-SEGUIMIENTO_TPM_xlsx[[#This Row],[HORA INICIO INTERVENCIÓN]]</f>
        <v>0</v>
      </c>
      <c r="R710" s="20">
        <f>(SEGUIMIENTO_TPM_xlsx[[#This Row],[HORA REPORTE]]+SEGUIMIENTO_TPM_xlsx[[#This Row],[FECHA DE REPORTE]])</f>
        <v>46059</v>
      </c>
      <c r="S710" s="20">
        <f>(SEGUIMIENTO_TPM_xlsx[[#This Row],[FECHA DE INTERVENCÓN]]+SEGUIMIENTO_TPM_xlsx[[#This Row],[HORA FIN  INTERVENCIÓN]])</f>
        <v>0</v>
      </c>
      <c r="T710" s="11">
        <f>(SEGUIMIENTO_TPM_xlsx[[#This Row],[FECHA Y HORA FINAL]]-SEGUIMIENTO_TPM_xlsx[[#This Row],[FECHA Y HORA INICIO]])</f>
        <v>-46059</v>
      </c>
    </row>
    <row r="711" spans="1:20" x14ac:dyDescent="0.25">
      <c r="A711">
        <v>719</v>
      </c>
      <c r="C711" s="1"/>
      <c r="D711" s="2"/>
      <c r="H711" s="1"/>
      <c r="I711" s="1"/>
      <c r="J711" s="2"/>
      <c r="Q711" s="1">
        <f>SEGUIMIENTO_TPM_xlsx[[#This Row],[HORA FIN  INTERVENCIÓN]]-SEGUIMIENTO_TPM_xlsx[[#This Row],[HORA INICIO INTERVENCIÓN]]</f>
        <v>0</v>
      </c>
      <c r="R711" s="20">
        <f>(SEGUIMIENTO_TPM_xlsx[[#This Row],[HORA REPORTE]]+SEGUIMIENTO_TPM_xlsx[[#This Row],[FECHA DE REPORTE]])</f>
        <v>0</v>
      </c>
      <c r="S711" s="20">
        <f>(SEGUIMIENTO_TPM_xlsx[[#This Row],[FECHA DE INTERVENCÓN]]+SEGUIMIENTO_TPM_xlsx[[#This Row],[HORA FIN  INTERVENCIÓN]])</f>
        <v>0</v>
      </c>
      <c r="T711" s="11">
        <f>(SEGUIMIENTO_TPM_xlsx[[#This Row],[FECHA Y HORA FINAL]]-SEGUIMIENTO_TPM_xlsx[[#This Row],[FECHA Y HORA INICIO]])</f>
        <v>0</v>
      </c>
    </row>
    <row r="712" spans="1:20" x14ac:dyDescent="0.25">
      <c r="A712">
        <v>720</v>
      </c>
      <c r="B712" t="s">
        <v>199</v>
      </c>
      <c r="C712" s="1">
        <v>0.77777777777777779</v>
      </c>
      <c r="D712" s="2">
        <v>46059</v>
      </c>
      <c r="F712" t="s">
        <v>18</v>
      </c>
      <c r="G712" t="s">
        <v>1180</v>
      </c>
      <c r="H712" s="1">
        <v>0.83333333333333337</v>
      </c>
      <c r="I712" s="1">
        <v>0.9375</v>
      </c>
      <c r="J712" s="2">
        <v>46059</v>
      </c>
      <c r="K712" t="s">
        <v>25</v>
      </c>
      <c r="L712" t="s">
        <v>1181</v>
      </c>
      <c r="M712" t="s">
        <v>22</v>
      </c>
      <c r="N712" t="s">
        <v>22</v>
      </c>
      <c r="O712" t="s">
        <v>112</v>
      </c>
      <c r="P712" t="s">
        <v>23</v>
      </c>
      <c r="Q712" s="1">
        <f>SEGUIMIENTO_TPM_xlsx[[#This Row],[HORA FIN  INTERVENCIÓN]]-SEGUIMIENTO_TPM_xlsx[[#This Row],[HORA INICIO INTERVENCIÓN]]</f>
        <v>0.10416666666666663</v>
      </c>
      <c r="R712" s="20">
        <f>(SEGUIMIENTO_TPM_xlsx[[#This Row],[HORA REPORTE]]+SEGUIMIENTO_TPM_xlsx[[#This Row],[FECHA DE REPORTE]])</f>
        <v>46059.777777777781</v>
      </c>
      <c r="S712" s="20">
        <f>(SEGUIMIENTO_TPM_xlsx[[#This Row],[FECHA DE INTERVENCÓN]]+SEGUIMIENTO_TPM_xlsx[[#This Row],[HORA FIN  INTERVENCIÓN]])</f>
        <v>46059.9375</v>
      </c>
      <c r="T712" s="11">
        <f>(SEGUIMIENTO_TPM_xlsx[[#This Row],[FECHA Y HORA FINAL]]-SEGUIMIENTO_TPM_xlsx[[#This Row],[FECHA Y HORA INICIO]])</f>
        <v>0.15972222221898846</v>
      </c>
    </row>
    <row r="713" spans="1:20" x14ac:dyDescent="0.25">
      <c r="A713">
        <v>721</v>
      </c>
      <c r="B713" t="s">
        <v>103</v>
      </c>
      <c r="C713" s="1">
        <v>0.27083333333333331</v>
      </c>
      <c r="D713" s="2">
        <v>46059</v>
      </c>
      <c r="E713" t="s">
        <v>147</v>
      </c>
      <c r="F713" t="s">
        <v>18</v>
      </c>
      <c r="G713" t="s">
        <v>1182</v>
      </c>
      <c r="H713" s="1">
        <v>0.78472222222222221</v>
      </c>
      <c r="I713" s="1">
        <v>0.80555555555555558</v>
      </c>
      <c r="J713" s="2">
        <v>46059</v>
      </c>
      <c r="K713" t="s">
        <v>20</v>
      </c>
      <c r="L713" t="s">
        <v>1183</v>
      </c>
      <c r="M713" t="s">
        <v>22</v>
      </c>
      <c r="N713" t="s">
        <v>22</v>
      </c>
      <c r="O713" t="s">
        <v>112</v>
      </c>
      <c r="P713" t="s">
        <v>23</v>
      </c>
      <c r="Q713" s="1">
        <f>SEGUIMIENTO_TPM_xlsx[[#This Row],[HORA FIN  INTERVENCIÓN]]-SEGUIMIENTO_TPM_xlsx[[#This Row],[HORA INICIO INTERVENCIÓN]]</f>
        <v>2.083333333333337E-2</v>
      </c>
      <c r="R713" s="20">
        <f>(SEGUIMIENTO_TPM_xlsx[[#This Row],[HORA REPORTE]]+SEGUIMIENTO_TPM_xlsx[[#This Row],[FECHA DE REPORTE]])</f>
        <v>46059.270833333336</v>
      </c>
      <c r="S713" s="20">
        <f>(SEGUIMIENTO_TPM_xlsx[[#This Row],[FECHA DE INTERVENCÓN]]+SEGUIMIENTO_TPM_xlsx[[#This Row],[HORA FIN  INTERVENCIÓN]])</f>
        <v>46059.805555555555</v>
      </c>
      <c r="T713" s="11">
        <f>(SEGUIMIENTO_TPM_xlsx[[#This Row],[FECHA Y HORA FINAL]]-SEGUIMIENTO_TPM_xlsx[[#This Row],[FECHA Y HORA INICIO]])</f>
        <v>0.53472222221898846</v>
      </c>
    </row>
    <row r="714" spans="1:20" x14ac:dyDescent="0.25">
      <c r="A714">
        <v>722</v>
      </c>
      <c r="B714" t="s">
        <v>103</v>
      </c>
      <c r="C714" s="1">
        <v>0.84027777777777779</v>
      </c>
      <c r="D714" s="2">
        <v>46059</v>
      </c>
      <c r="E714" t="s">
        <v>147</v>
      </c>
      <c r="F714" t="s">
        <v>18</v>
      </c>
      <c r="G714" t="s">
        <v>1184</v>
      </c>
      <c r="H714" s="1"/>
      <c r="I714" s="1"/>
      <c r="J714" s="2"/>
      <c r="P714" t="s">
        <v>33</v>
      </c>
      <c r="Q714" s="1">
        <f>SEGUIMIENTO_TPM_xlsx[[#This Row],[HORA FIN  INTERVENCIÓN]]-SEGUIMIENTO_TPM_xlsx[[#This Row],[HORA INICIO INTERVENCIÓN]]</f>
        <v>0</v>
      </c>
      <c r="R714" s="20">
        <f>(SEGUIMIENTO_TPM_xlsx[[#This Row],[HORA REPORTE]]+SEGUIMIENTO_TPM_xlsx[[#This Row],[FECHA DE REPORTE]])</f>
        <v>46059.840277777781</v>
      </c>
      <c r="S714" s="20">
        <f>(SEGUIMIENTO_TPM_xlsx[[#This Row],[FECHA DE INTERVENCÓN]]+SEGUIMIENTO_TPM_xlsx[[#This Row],[HORA FIN  INTERVENCIÓN]])</f>
        <v>0</v>
      </c>
      <c r="T714" s="11">
        <f>(SEGUIMIENTO_TPM_xlsx[[#This Row],[FECHA Y HORA FINAL]]-SEGUIMIENTO_TPM_xlsx[[#This Row],[FECHA Y HORA INICIO]])</f>
        <v>-46059.840277777781</v>
      </c>
    </row>
    <row r="715" spans="1:20" x14ac:dyDescent="0.25">
      <c r="A715">
        <v>723</v>
      </c>
      <c r="B715" t="s">
        <v>199</v>
      </c>
      <c r="C715" s="1">
        <v>0.97222222222222221</v>
      </c>
      <c r="D715" s="2">
        <v>46059</v>
      </c>
      <c r="E715" t="s">
        <v>91</v>
      </c>
      <c r="F715" t="s">
        <v>18</v>
      </c>
      <c r="G715" t="s">
        <v>1185</v>
      </c>
      <c r="H715" s="1"/>
      <c r="I715" s="1"/>
      <c r="J715" s="2"/>
      <c r="P715" t="s">
        <v>33</v>
      </c>
      <c r="Q715" s="1">
        <f>SEGUIMIENTO_TPM_xlsx[[#This Row],[HORA FIN  INTERVENCIÓN]]-SEGUIMIENTO_TPM_xlsx[[#This Row],[HORA INICIO INTERVENCIÓN]]</f>
        <v>0</v>
      </c>
      <c r="R715" s="20">
        <f>(SEGUIMIENTO_TPM_xlsx[[#This Row],[HORA REPORTE]]+SEGUIMIENTO_TPM_xlsx[[#This Row],[FECHA DE REPORTE]])</f>
        <v>46059.972222222219</v>
      </c>
      <c r="S715" s="20">
        <f>(SEGUIMIENTO_TPM_xlsx[[#This Row],[FECHA DE INTERVENCÓN]]+SEGUIMIENTO_TPM_xlsx[[#This Row],[HORA FIN  INTERVENCIÓN]])</f>
        <v>0</v>
      </c>
      <c r="T715" s="11">
        <f>(SEGUIMIENTO_TPM_xlsx[[#This Row],[FECHA Y HORA FINAL]]-SEGUIMIENTO_TPM_xlsx[[#This Row],[FECHA Y HORA INICIO]])</f>
        <v>-46059.972222222219</v>
      </c>
    </row>
    <row r="716" spans="1:20" x14ac:dyDescent="0.25">
      <c r="A716">
        <v>724</v>
      </c>
      <c r="B716" t="s">
        <v>317</v>
      </c>
      <c r="C716" s="1">
        <v>0.32569444444444445</v>
      </c>
      <c r="D716" s="2">
        <v>46080</v>
      </c>
      <c r="E716" t="s">
        <v>104</v>
      </c>
      <c r="F716" t="s">
        <v>18</v>
      </c>
      <c r="G716" t="s">
        <v>1186</v>
      </c>
      <c r="H716" s="1"/>
      <c r="I716" s="1">
        <v>0.65972222222222221</v>
      </c>
      <c r="J716" s="2"/>
      <c r="K716" t="s">
        <v>25</v>
      </c>
      <c r="L716" t="s">
        <v>1187</v>
      </c>
      <c r="M716" t="s">
        <v>1188</v>
      </c>
      <c r="N716" t="s">
        <v>22</v>
      </c>
      <c r="O716" t="s">
        <v>108</v>
      </c>
      <c r="P716" t="s">
        <v>23</v>
      </c>
      <c r="Q716" s="1">
        <f>SEGUIMIENTO_TPM_xlsx[[#This Row],[HORA FIN  INTERVENCIÓN]]-SEGUIMIENTO_TPM_xlsx[[#This Row],[HORA INICIO INTERVENCIÓN]]</f>
        <v>0.65972222222222221</v>
      </c>
      <c r="R716" s="20">
        <f>(SEGUIMIENTO_TPM_xlsx[[#This Row],[HORA REPORTE]]+SEGUIMIENTO_TPM_xlsx[[#This Row],[FECHA DE REPORTE]])</f>
        <v>46080.325694444444</v>
      </c>
      <c r="S716" s="20">
        <f>(SEGUIMIENTO_TPM_xlsx[[#This Row],[FECHA DE INTERVENCÓN]]+SEGUIMIENTO_TPM_xlsx[[#This Row],[HORA FIN  INTERVENCIÓN]])</f>
        <v>0.65972222222222221</v>
      </c>
      <c r="T716" s="11">
        <f>(SEGUIMIENTO_TPM_xlsx[[#This Row],[FECHA Y HORA FINAL]]-SEGUIMIENTO_TPM_xlsx[[#This Row],[FECHA Y HORA INICIO]])</f>
        <v>-46079.665972222225</v>
      </c>
    </row>
    <row r="717" spans="1:20" x14ac:dyDescent="0.25">
      <c r="A717">
        <v>725</v>
      </c>
      <c r="B717" t="s">
        <v>256</v>
      </c>
      <c r="C717" s="1">
        <v>0.31944444444444442</v>
      </c>
      <c r="D717" s="2">
        <v>46060</v>
      </c>
      <c r="E717" t="s">
        <v>215</v>
      </c>
      <c r="F717" t="s">
        <v>18</v>
      </c>
      <c r="G717" t="s">
        <v>1189</v>
      </c>
      <c r="H717" s="1">
        <v>0.31944444444444442</v>
      </c>
      <c r="I717" s="1">
        <v>0.35416666666666669</v>
      </c>
      <c r="J717" s="2">
        <v>46060</v>
      </c>
      <c r="K717" t="s">
        <v>25</v>
      </c>
      <c r="L717" t="s">
        <v>1190</v>
      </c>
      <c r="M717" t="s">
        <v>22</v>
      </c>
      <c r="N717" t="s">
        <v>22</v>
      </c>
      <c r="O717" t="s">
        <v>108</v>
      </c>
      <c r="P717" t="s">
        <v>23</v>
      </c>
      <c r="Q717" s="1">
        <f>SEGUIMIENTO_TPM_xlsx[[#This Row],[HORA FIN  INTERVENCIÓN]]-SEGUIMIENTO_TPM_xlsx[[#This Row],[HORA INICIO INTERVENCIÓN]]</f>
        <v>3.4722222222222265E-2</v>
      </c>
      <c r="R717" s="20">
        <f>(SEGUIMIENTO_TPM_xlsx[[#This Row],[HORA REPORTE]]+SEGUIMIENTO_TPM_xlsx[[#This Row],[FECHA DE REPORTE]])</f>
        <v>46060.319444444445</v>
      </c>
      <c r="S717" s="20">
        <f>(SEGUIMIENTO_TPM_xlsx[[#This Row],[FECHA DE INTERVENCÓN]]+SEGUIMIENTO_TPM_xlsx[[#This Row],[HORA FIN  INTERVENCIÓN]])</f>
        <v>46060.354166666664</v>
      </c>
      <c r="T717" s="11">
        <f>(SEGUIMIENTO_TPM_xlsx[[#This Row],[FECHA Y HORA FINAL]]-SEGUIMIENTO_TPM_xlsx[[#This Row],[FECHA Y HORA INICIO]])</f>
        <v>3.4722222218988463E-2</v>
      </c>
    </row>
    <row r="718" spans="1:20" x14ac:dyDescent="0.25">
      <c r="A718">
        <v>726</v>
      </c>
      <c r="B718" t="s">
        <v>231</v>
      </c>
      <c r="C718" s="1">
        <v>0.88194444444444442</v>
      </c>
      <c r="D718" s="2">
        <v>46060</v>
      </c>
      <c r="E718" t="s">
        <v>143</v>
      </c>
      <c r="F718" t="s">
        <v>18</v>
      </c>
      <c r="G718" t="s">
        <v>1191</v>
      </c>
      <c r="H718" s="1">
        <v>0.88194444444444442</v>
      </c>
      <c r="I718" s="1">
        <v>0.89583333333333337</v>
      </c>
      <c r="J718" s="2">
        <v>46060</v>
      </c>
      <c r="K718" t="s">
        <v>25</v>
      </c>
      <c r="L718" t="s">
        <v>1192</v>
      </c>
      <c r="M718" t="s">
        <v>22</v>
      </c>
      <c r="N718" t="s">
        <v>22</v>
      </c>
      <c r="O718" t="s">
        <v>661</v>
      </c>
      <c r="P718" t="s">
        <v>23</v>
      </c>
      <c r="Q718" s="1">
        <f>SEGUIMIENTO_TPM_xlsx[[#This Row],[HORA FIN  INTERVENCIÓN]]-SEGUIMIENTO_TPM_xlsx[[#This Row],[HORA INICIO INTERVENCIÓN]]</f>
        <v>1.3888888888888951E-2</v>
      </c>
      <c r="R718" s="20">
        <f>(SEGUIMIENTO_TPM_xlsx[[#This Row],[HORA REPORTE]]+SEGUIMIENTO_TPM_xlsx[[#This Row],[FECHA DE REPORTE]])</f>
        <v>46060.881944444445</v>
      </c>
      <c r="S718" s="20">
        <f>(SEGUIMIENTO_TPM_xlsx[[#This Row],[FECHA DE INTERVENCÓN]]+SEGUIMIENTO_TPM_xlsx[[#This Row],[HORA FIN  INTERVENCIÓN]])</f>
        <v>46060.895833333336</v>
      </c>
      <c r="T718" s="11">
        <f>(SEGUIMIENTO_TPM_xlsx[[#This Row],[FECHA Y HORA FINAL]]-SEGUIMIENTO_TPM_xlsx[[#This Row],[FECHA Y HORA INICIO]])</f>
        <v>1.3888888890505768E-2</v>
      </c>
    </row>
    <row r="719" spans="1:20" x14ac:dyDescent="0.25">
      <c r="A719">
        <v>727</v>
      </c>
      <c r="B719" t="s">
        <v>199</v>
      </c>
      <c r="C719" s="1">
        <v>0.85416666666666663</v>
      </c>
      <c r="D719" s="2">
        <v>46060</v>
      </c>
      <c r="E719" t="s">
        <v>188</v>
      </c>
      <c r="F719" t="s">
        <v>18</v>
      </c>
      <c r="G719" t="s">
        <v>1193</v>
      </c>
      <c r="H719" s="1"/>
      <c r="I719" s="1"/>
      <c r="J719" s="2"/>
      <c r="P719" t="s">
        <v>33</v>
      </c>
      <c r="Q719" s="1">
        <f>SEGUIMIENTO_TPM_xlsx[[#This Row],[HORA FIN  INTERVENCIÓN]]-SEGUIMIENTO_TPM_xlsx[[#This Row],[HORA INICIO INTERVENCIÓN]]</f>
        <v>0</v>
      </c>
      <c r="R719" s="20">
        <f>(SEGUIMIENTO_TPM_xlsx[[#This Row],[HORA REPORTE]]+SEGUIMIENTO_TPM_xlsx[[#This Row],[FECHA DE REPORTE]])</f>
        <v>46060.854166666664</v>
      </c>
      <c r="S719" s="20">
        <f>(SEGUIMIENTO_TPM_xlsx[[#This Row],[FECHA DE INTERVENCÓN]]+SEGUIMIENTO_TPM_xlsx[[#This Row],[HORA FIN  INTERVENCIÓN]])</f>
        <v>0</v>
      </c>
      <c r="T719" s="11">
        <f>(SEGUIMIENTO_TPM_xlsx[[#This Row],[FECHA Y HORA FINAL]]-SEGUIMIENTO_TPM_xlsx[[#This Row],[FECHA Y HORA INICIO]])</f>
        <v>-46060.854166666664</v>
      </c>
    </row>
    <row r="720" spans="1:20" x14ac:dyDescent="0.25">
      <c r="A720">
        <v>728</v>
      </c>
      <c r="C720" s="1"/>
      <c r="D720" s="2"/>
      <c r="H720" s="1"/>
      <c r="I720" s="1"/>
      <c r="J720" s="2"/>
      <c r="Q720" s="1">
        <f>SEGUIMIENTO_TPM_xlsx[[#This Row],[HORA FIN  INTERVENCIÓN]]-SEGUIMIENTO_TPM_xlsx[[#This Row],[HORA INICIO INTERVENCIÓN]]</f>
        <v>0</v>
      </c>
      <c r="R720" s="20">
        <f>(SEGUIMIENTO_TPM_xlsx[[#This Row],[HORA REPORTE]]+SEGUIMIENTO_TPM_xlsx[[#This Row],[FECHA DE REPORTE]])</f>
        <v>0</v>
      </c>
      <c r="S720" s="20">
        <f>(SEGUIMIENTO_TPM_xlsx[[#This Row],[FECHA DE INTERVENCÓN]]+SEGUIMIENTO_TPM_xlsx[[#This Row],[HORA FIN  INTERVENCIÓN]])</f>
        <v>0</v>
      </c>
      <c r="T720" s="11">
        <f>(SEGUIMIENTO_TPM_xlsx[[#This Row],[FECHA Y HORA FINAL]]-SEGUIMIENTO_TPM_xlsx[[#This Row],[FECHA Y HORA INICIO]])</f>
        <v>0</v>
      </c>
    </row>
    <row r="721" spans="1:20" x14ac:dyDescent="0.25">
      <c r="A721">
        <v>729</v>
      </c>
      <c r="B721" t="s">
        <v>341</v>
      </c>
      <c r="C721" s="1">
        <v>0.35416666666666669</v>
      </c>
      <c r="D721" s="2">
        <v>46061</v>
      </c>
      <c r="E721" t="s">
        <v>143</v>
      </c>
      <c r="F721" t="s">
        <v>18</v>
      </c>
      <c r="G721" t="s">
        <v>1194</v>
      </c>
      <c r="H721" s="1"/>
      <c r="I721" s="1"/>
      <c r="J721" s="2"/>
      <c r="P721" t="s">
        <v>33</v>
      </c>
      <c r="Q721" s="1">
        <f>SEGUIMIENTO_TPM_xlsx[[#This Row],[HORA FIN  INTERVENCIÓN]]-SEGUIMIENTO_TPM_xlsx[[#This Row],[HORA INICIO INTERVENCIÓN]]</f>
        <v>0</v>
      </c>
      <c r="R721" s="20">
        <f>(SEGUIMIENTO_TPM_xlsx[[#This Row],[HORA REPORTE]]+SEGUIMIENTO_TPM_xlsx[[#This Row],[FECHA DE REPORTE]])</f>
        <v>46061.354166666664</v>
      </c>
      <c r="S721" s="20">
        <f>(SEGUIMIENTO_TPM_xlsx[[#This Row],[FECHA DE INTERVENCÓN]]+SEGUIMIENTO_TPM_xlsx[[#This Row],[HORA FIN  INTERVENCIÓN]])</f>
        <v>0</v>
      </c>
      <c r="T721" s="11">
        <f>(SEGUIMIENTO_TPM_xlsx[[#This Row],[FECHA Y HORA FINAL]]-SEGUIMIENTO_TPM_xlsx[[#This Row],[FECHA Y HORA INICIO]])</f>
        <v>-46061.354166666664</v>
      </c>
    </row>
    <row r="722" spans="1:20" x14ac:dyDescent="0.25">
      <c r="A722">
        <v>730</v>
      </c>
      <c r="B722" t="s">
        <v>93</v>
      </c>
      <c r="C722" s="1">
        <v>0.27083333333333331</v>
      </c>
      <c r="D722" s="2">
        <v>46062</v>
      </c>
      <c r="E722" t="s">
        <v>116</v>
      </c>
      <c r="F722" t="s">
        <v>18</v>
      </c>
      <c r="G722" t="s">
        <v>1195</v>
      </c>
      <c r="H722" s="1">
        <v>0.27083333333333331</v>
      </c>
      <c r="I722" s="1">
        <v>0.29166666666666669</v>
      </c>
      <c r="J722" s="2">
        <v>46062</v>
      </c>
      <c r="K722" t="s">
        <v>25</v>
      </c>
      <c r="L722" t="s">
        <v>1196</v>
      </c>
      <c r="M722" t="s">
        <v>1197</v>
      </c>
      <c r="N722" t="s">
        <v>22</v>
      </c>
      <c r="O722" t="s">
        <v>108</v>
      </c>
      <c r="P722" t="s">
        <v>23</v>
      </c>
      <c r="Q722" s="1">
        <f>SEGUIMIENTO_TPM_xlsx[[#This Row],[HORA FIN  INTERVENCIÓN]]-SEGUIMIENTO_TPM_xlsx[[#This Row],[HORA INICIO INTERVENCIÓN]]</f>
        <v>2.083333333333337E-2</v>
      </c>
      <c r="R722" s="20">
        <f>(SEGUIMIENTO_TPM_xlsx[[#This Row],[HORA REPORTE]]+SEGUIMIENTO_TPM_xlsx[[#This Row],[FECHA DE REPORTE]])</f>
        <v>46062.270833333336</v>
      </c>
      <c r="S722" s="20">
        <f>(SEGUIMIENTO_TPM_xlsx[[#This Row],[FECHA DE INTERVENCÓN]]+SEGUIMIENTO_TPM_xlsx[[#This Row],[HORA FIN  INTERVENCIÓN]])</f>
        <v>46062.291666666664</v>
      </c>
      <c r="T722" s="11">
        <f>(SEGUIMIENTO_TPM_xlsx[[#This Row],[FECHA Y HORA FINAL]]-SEGUIMIENTO_TPM_xlsx[[#This Row],[FECHA Y HORA INICIO]])</f>
        <v>2.0833333328482695E-2</v>
      </c>
    </row>
    <row r="723" spans="1:20" x14ac:dyDescent="0.25">
      <c r="A723">
        <v>731</v>
      </c>
      <c r="B723" t="s">
        <v>317</v>
      </c>
      <c r="C723" s="1">
        <v>0.29583333333333334</v>
      </c>
      <c r="D723" s="2">
        <v>46062</v>
      </c>
      <c r="E723" t="s">
        <v>307</v>
      </c>
      <c r="F723" t="s">
        <v>18</v>
      </c>
      <c r="G723" t="s">
        <v>1198</v>
      </c>
      <c r="H723" s="1"/>
      <c r="I723" s="1"/>
      <c r="J723" s="2"/>
      <c r="P723" t="s">
        <v>33</v>
      </c>
      <c r="Q723" s="1">
        <f>SEGUIMIENTO_TPM_xlsx[[#This Row],[HORA FIN  INTERVENCIÓN]]-SEGUIMIENTO_TPM_xlsx[[#This Row],[HORA INICIO INTERVENCIÓN]]</f>
        <v>0</v>
      </c>
      <c r="R723" s="20">
        <f>(SEGUIMIENTO_TPM_xlsx[[#This Row],[HORA REPORTE]]+SEGUIMIENTO_TPM_xlsx[[#This Row],[FECHA DE REPORTE]])</f>
        <v>46062.29583333333</v>
      </c>
      <c r="S723" s="20">
        <f>(SEGUIMIENTO_TPM_xlsx[[#This Row],[FECHA DE INTERVENCÓN]]+SEGUIMIENTO_TPM_xlsx[[#This Row],[HORA FIN  INTERVENCIÓN]])</f>
        <v>0</v>
      </c>
      <c r="T723" s="11">
        <f>(SEGUIMIENTO_TPM_xlsx[[#This Row],[FECHA Y HORA FINAL]]-SEGUIMIENTO_TPM_xlsx[[#This Row],[FECHA Y HORA INICIO]])</f>
        <v>-46062.29583333333</v>
      </c>
    </row>
    <row r="724" spans="1:20" x14ac:dyDescent="0.25">
      <c r="A724">
        <v>732</v>
      </c>
      <c r="B724" t="s">
        <v>1199</v>
      </c>
      <c r="C724" s="1">
        <v>0.3888888888888889</v>
      </c>
      <c r="D724" s="2">
        <v>46062</v>
      </c>
      <c r="E724" t="s">
        <v>17</v>
      </c>
      <c r="F724" t="s">
        <v>650</v>
      </c>
      <c r="G724" t="s">
        <v>1200</v>
      </c>
      <c r="H724" s="1"/>
      <c r="I724" s="1"/>
      <c r="J724" s="2"/>
      <c r="P724" t="s">
        <v>33</v>
      </c>
      <c r="Q724" s="1">
        <f>SEGUIMIENTO_TPM_xlsx[[#This Row],[HORA FIN  INTERVENCIÓN]]-SEGUIMIENTO_TPM_xlsx[[#This Row],[HORA INICIO INTERVENCIÓN]]</f>
        <v>0</v>
      </c>
      <c r="R724" s="20">
        <f>(SEGUIMIENTO_TPM_xlsx[[#This Row],[HORA REPORTE]]+SEGUIMIENTO_TPM_xlsx[[#This Row],[FECHA DE REPORTE]])</f>
        <v>46062.388888888891</v>
      </c>
      <c r="S724" s="20">
        <f>(SEGUIMIENTO_TPM_xlsx[[#This Row],[FECHA DE INTERVENCÓN]]+SEGUIMIENTO_TPM_xlsx[[#This Row],[HORA FIN  INTERVENCIÓN]])</f>
        <v>0</v>
      </c>
      <c r="T724" s="11">
        <f>(SEGUIMIENTO_TPM_xlsx[[#This Row],[FECHA Y HORA FINAL]]-SEGUIMIENTO_TPM_xlsx[[#This Row],[FECHA Y HORA INICIO]])</f>
        <v>-46062.388888888891</v>
      </c>
    </row>
    <row r="725" spans="1:20" x14ac:dyDescent="0.25">
      <c r="A725">
        <v>733</v>
      </c>
      <c r="B725" t="s">
        <v>317</v>
      </c>
      <c r="C725" s="1">
        <v>0.40694444444444444</v>
      </c>
      <c r="D725" s="2">
        <v>46062</v>
      </c>
      <c r="E725" t="s">
        <v>91</v>
      </c>
      <c r="F725" t="s">
        <v>18</v>
      </c>
      <c r="G725" t="s">
        <v>1201</v>
      </c>
      <c r="H725" s="1"/>
      <c r="I725" s="1"/>
      <c r="J725" s="2"/>
      <c r="P725" t="s">
        <v>33</v>
      </c>
      <c r="Q725" s="1">
        <f>SEGUIMIENTO_TPM_xlsx[[#This Row],[HORA FIN  INTERVENCIÓN]]-SEGUIMIENTO_TPM_xlsx[[#This Row],[HORA INICIO INTERVENCIÓN]]</f>
        <v>0</v>
      </c>
      <c r="R725" s="20">
        <f>(SEGUIMIENTO_TPM_xlsx[[#This Row],[HORA REPORTE]]+SEGUIMIENTO_TPM_xlsx[[#This Row],[FECHA DE REPORTE]])</f>
        <v>46062.406944444447</v>
      </c>
      <c r="S725" s="20">
        <f>(SEGUIMIENTO_TPM_xlsx[[#This Row],[FECHA DE INTERVENCÓN]]+SEGUIMIENTO_TPM_xlsx[[#This Row],[HORA FIN  INTERVENCIÓN]])</f>
        <v>0</v>
      </c>
      <c r="T725" s="11">
        <f>(SEGUIMIENTO_TPM_xlsx[[#This Row],[FECHA Y HORA FINAL]]-SEGUIMIENTO_TPM_xlsx[[#This Row],[FECHA Y HORA INICIO]])</f>
        <v>-46062.406944444447</v>
      </c>
    </row>
    <row r="726" spans="1:20" x14ac:dyDescent="0.25">
      <c r="A726">
        <v>734</v>
      </c>
      <c r="B726" t="s">
        <v>164</v>
      </c>
      <c r="C726" s="1">
        <v>0.1111111111111111</v>
      </c>
      <c r="D726" s="2">
        <v>46081</v>
      </c>
      <c r="E726" t="s">
        <v>17</v>
      </c>
      <c r="F726" t="s">
        <v>18</v>
      </c>
      <c r="G726" t="s">
        <v>1202</v>
      </c>
      <c r="H726" s="1"/>
      <c r="I726" s="1">
        <v>0.14583333333333334</v>
      </c>
      <c r="J726" s="2">
        <v>46081</v>
      </c>
      <c r="K726" t="s">
        <v>25</v>
      </c>
      <c r="L726" t="s">
        <v>1203</v>
      </c>
      <c r="M726" t="s">
        <v>22</v>
      </c>
      <c r="N726" t="s">
        <v>22</v>
      </c>
      <c r="O726" t="s">
        <v>108</v>
      </c>
      <c r="P726" t="s">
        <v>23</v>
      </c>
      <c r="Q726" s="1">
        <f>SEGUIMIENTO_TPM_xlsx[[#This Row],[HORA FIN  INTERVENCIÓN]]-SEGUIMIENTO_TPM_xlsx[[#This Row],[HORA INICIO INTERVENCIÓN]]</f>
        <v>0.14583333333333334</v>
      </c>
      <c r="R726" s="20">
        <f>(SEGUIMIENTO_TPM_xlsx[[#This Row],[HORA REPORTE]]+SEGUIMIENTO_TPM_xlsx[[#This Row],[FECHA DE REPORTE]])</f>
        <v>46081.111111111109</v>
      </c>
      <c r="S726" s="20">
        <f>(SEGUIMIENTO_TPM_xlsx[[#This Row],[FECHA DE INTERVENCÓN]]+SEGUIMIENTO_TPM_xlsx[[#This Row],[HORA FIN  INTERVENCIÓN]])</f>
        <v>46081.145833333336</v>
      </c>
      <c r="T726" s="11">
        <f>(SEGUIMIENTO_TPM_xlsx[[#This Row],[FECHA Y HORA FINAL]]-SEGUIMIENTO_TPM_xlsx[[#This Row],[FECHA Y HORA INICIO]])</f>
        <v>3.4722222226264421E-2</v>
      </c>
    </row>
    <row r="727" spans="1:20" x14ac:dyDescent="0.25">
      <c r="A727">
        <v>735</v>
      </c>
      <c r="C727" s="1"/>
      <c r="D727" s="2"/>
      <c r="H727" s="1"/>
      <c r="I727" s="1"/>
      <c r="J727" s="2"/>
      <c r="Q727" s="1">
        <f>SEGUIMIENTO_TPM_xlsx[[#This Row],[HORA FIN  INTERVENCIÓN]]-SEGUIMIENTO_TPM_xlsx[[#This Row],[HORA INICIO INTERVENCIÓN]]</f>
        <v>0</v>
      </c>
      <c r="R727" s="20">
        <f>(SEGUIMIENTO_TPM_xlsx[[#This Row],[HORA REPORTE]]+SEGUIMIENTO_TPM_xlsx[[#This Row],[FECHA DE REPORTE]])</f>
        <v>0</v>
      </c>
      <c r="S727" s="20">
        <f>(SEGUIMIENTO_TPM_xlsx[[#This Row],[FECHA DE INTERVENCÓN]]+SEGUIMIENTO_TPM_xlsx[[#This Row],[HORA FIN  INTERVENCIÓN]])</f>
        <v>0</v>
      </c>
      <c r="T727" s="11">
        <f>(SEGUIMIENTO_TPM_xlsx[[#This Row],[FECHA Y HORA FINAL]]-SEGUIMIENTO_TPM_xlsx[[#This Row],[FECHA Y HORA INICIO]])</f>
        <v>0</v>
      </c>
    </row>
    <row r="728" spans="1:20" x14ac:dyDescent="0.25">
      <c r="A728">
        <v>736</v>
      </c>
      <c r="C728" s="1"/>
      <c r="D728" s="2"/>
      <c r="H728" s="1"/>
      <c r="I728" s="1"/>
      <c r="J728" s="2"/>
      <c r="Q728" s="1">
        <f>SEGUIMIENTO_TPM_xlsx[[#This Row],[HORA FIN  INTERVENCIÓN]]-SEGUIMIENTO_TPM_xlsx[[#This Row],[HORA INICIO INTERVENCIÓN]]</f>
        <v>0</v>
      </c>
      <c r="R728" s="20">
        <f>(SEGUIMIENTO_TPM_xlsx[[#This Row],[HORA REPORTE]]+SEGUIMIENTO_TPM_xlsx[[#This Row],[FECHA DE REPORTE]])</f>
        <v>0</v>
      </c>
      <c r="S728" s="20">
        <f>(SEGUIMIENTO_TPM_xlsx[[#This Row],[FECHA DE INTERVENCÓN]]+SEGUIMIENTO_TPM_xlsx[[#This Row],[HORA FIN  INTERVENCIÓN]])</f>
        <v>0</v>
      </c>
      <c r="T728" s="11">
        <f>(SEGUIMIENTO_TPM_xlsx[[#This Row],[FECHA Y HORA FINAL]]-SEGUIMIENTO_TPM_xlsx[[#This Row],[FECHA Y HORA INICIO]])</f>
        <v>0</v>
      </c>
    </row>
    <row r="729" spans="1:20" x14ac:dyDescent="0.25">
      <c r="A729">
        <v>737</v>
      </c>
      <c r="B729" t="s">
        <v>695</v>
      </c>
      <c r="C729" s="1">
        <v>0.95833333333333337</v>
      </c>
      <c r="D729" s="2">
        <v>46062</v>
      </c>
      <c r="E729" t="s">
        <v>147</v>
      </c>
      <c r="F729" t="s">
        <v>18</v>
      </c>
      <c r="G729" t="s">
        <v>1204</v>
      </c>
      <c r="H729" s="1">
        <v>0.95833333333333337</v>
      </c>
      <c r="I729" s="1">
        <v>0</v>
      </c>
      <c r="J729" s="2">
        <v>46063</v>
      </c>
      <c r="K729" t="s">
        <v>25</v>
      </c>
      <c r="L729" t="s">
        <v>1205</v>
      </c>
      <c r="M729" t="s">
        <v>22</v>
      </c>
      <c r="N729" t="s">
        <v>158</v>
      </c>
      <c r="O729" t="s">
        <v>112</v>
      </c>
      <c r="P729" t="s">
        <v>23</v>
      </c>
      <c r="Q729" s="1">
        <f>SEGUIMIENTO_TPM_xlsx[[#This Row],[HORA FIN  INTERVENCIÓN]]-SEGUIMIENTO_TPM_xlsx[[#This Row],[HORA INICIO INTERVENCIÓN]]</f>
        <v>-0.95833333333333337</v>
      </c>
      <c r="R729" s="20">
        <f>(SEGUIMIENTO_TPM_xlsx[[#This Row],[HORA REPORTE]]+SEGUIMIENTO_TPM_xlsx[[#This Row],[FECHA DE REPORTE]])</f>
        <v>46062.958333333336</v>
      </c>
      <c r="S729" s="20">
        <f>(SEGUIMIENTO_TPM_xlsx[[#This Row],[FECHA DE INTERVENCÓN]]+SEGUIMIENTO_TPM_xlsx[[#This Row],[HORA FIN  INTERVENCIÓN]])</f>
        <v>46063</v>
      </c>
      <c r="T729" s="11">
        <f>(SEGUIMIENTO_TPM_xlsx[[#This Row],[FECHA Y HORA FINAL]]-SEGUIMIENTO_TPM_xlsx[[#This Row],[FECHA Y HORA INICIO]])</f>
        <v>4.1666666664241347E-2</v>
      </c>
    </row>
    <row r="730" spans="1:20" x14ac:dyDescent="0.25">
      <c r="A730">
        <v>738</v>
      </c>
      <c r="C730" s="1"/>
      <c r="D730" s="2"/>
      <c r="H730" s="1"/>
      <c r="I730" s="1"/>
      <c r="J730" s="2"/>
      <c r="Q730" s="1">
        <f>SEGUIMIENTO_TPM_xlsx[[#This Row],[HORA FIN  INTERVENCIÓN]]-SEGUIMIENTO_TPM_xlsx[[#This Row],[HORA INICIO INTERVENCIÓN]]</f>
        <v>0</v>
      </c>
      <c r="R730" s="20">
        <f>(SEGUIMIENTO_TPM_xlsx[[#This Row],[HORA REPORTE]]+SEGUIMIENTO_TPM_xlsx[[#This Row],[FECHA DE REPORTE]])</f>
        <v>0</v>
      </c>
      <c r="S730" s="20">
        <f>(SEGUIMIENTO_TPM_xlsx[[#This Row],[FECHA DE INTERVENCÓN]]+SEGUIMIENTO_TPM_xlsx[[#This Row],[HORA FIN  INTERVENCIÓN]])</f>
        <v>0</v>
      </c>
      <c r="T730" s="11">
        <f>(SEGUIMIENTO_TPM_xlsx[[#This Row],[FECHA Y HORA FINAL]]-SEGUIMIENTO_TPM_xlsx[[#This Row],[FECHA Y HORA INICIO]])</f>
        <v>0</v>
      </c>
    </row>
    <row r="731" spans="1:20" x14ac:dyDescent="0.25">
      <c r="A731">
        <v>739</v>
      </c>
      <c r="B731" t="s">
        <v>199</v>
      </c>
      <c r="C731" s="1">
        <v>0.17152777777777778</v>
      </c>
      <c r="D731" s="2">
        <v>46063</v>
      </c>
      <c r="E731" t="s">
        <v>91</v>
      </c>
      <c r="F731" t="s">
        <v>18</v>
      </c>
      <c r="G731" t="s">
        <v>1206</v>
      </c>
      <c r="H731" s="1"/>
      <c r="I731" s="1"/>
      <c r="J731" s="2"/>
      <c r="P731" t="s">
        <v>33</v>
      </c>
      <c r="Q731" s="1">
        <f>SEGUIMIENTO_TPM_xlsx[[#This Row],[HORA FIN  INTERVENCIÓN]]-SEGUIMIENTO_TPM_xlsx[[#This Row],[HORA INICIO INTERVENCIÓN]]</f>
        <v>0</v>
      </c>
      <c r="R731" s="20">
        <f>(SEGUIMIENTO_TPM_xlsx[[#This Row],[HORA REPORTE]]+SEGUIMIENTO_TPM_xlsx[[#This Row],[FECHA DE REPORTE]])</f>
        <v>46063.171527777777</v>
      </c>
      <c r="S731" s="20">
        <f>(SEGUIMIENTO_TPM_xlsx[[#This Row],[FECHA DE INTERVENCÓN]]+SEGUIMIENTO_TPM_xlsx[[#This Row],[HORA FIN  INTERVENCIÓN]])</f>
        <v>0</v>
      </c>
      <c r="T731" s="11">
        <f>(SEGUIMIENTO_TPM_xlsx[[#This Row],[FECHA Y HORA FINAL]]-SEGUIMIENTO_TPM_xlsx[[#This Row],[FECHA Y HORA INICIO]])</f>
        <v>-46063.171527777777</v>
      </c>
    </row>
    <row r="732" spans="1:20" x14ac:dyDescent="0.25">
      <c r="A732">
        <v>740</v>
      </c>
      <c r="B732" t="s">
        <v>93</v>
      </c>
      <c r="C732" s="1">
        <v>0.35416666666666669</v>
      </c>
      <c r="D732" s="2">
        <v>46063</v>
      </c>
      <c r="E732" t="s">
        <v>185</v>
      </c>
      <c r="F732" t="s">
        <v>18</v>
      </c>
      <c r="G732" t="s">
        <v>1207</v>
      </c>
      <c r="H732" s="1"/>
      <c r="I732" s="1"/>
      <c r="J732" s="2"/>
      <c r="P732" t="s">
        <v>33</v>
      </c>
      <c r="Q732" s="1">
        <f>SEGUIMIENTO_TPM_xlsx[[#This Row],[HORA FIN  INTERVENCIÓN]]-SEGUIMIENTO_TPM_xlsx[[#This Row],[HORA INICIO INTERVENCIÓN]]</f>
        <v>0</v>
      </c>
      <c r="R732" s="20">
        <f>(SEGUIMIENTO_TPM_xlsx[[#This Row],[HORA REPORTE]]+SEGUIMIENTO_TPM_xlsx[[#This Row],[FECHA DE REPORTE]])</f>
        <v>46063.354166666664</v>
      </c>
      <c r="S732" s="20">
        <f>(SEGUIMIENTO_TPM_xlsx[[#This Row],[FECHA DE INTERVENCÓN]]+SEGUIMIENTO_TPM_xlsx[[#This Row],[HORA FIN  INTERVENCIÓN]])</f>
        <v>0</v>
      </c>
      <c r="T732" s="11">
        <f>(SEGUIMIENTO_TPM_xlsx[[#This Row],[FECHA Y HORA FINAL]]-SEGUIMIENTO_TPM_xlsx[[#This Row],[FECHA Y HORA INICIO]])</f>
        <v>-46063.354166666664</v>
      </c>
    </row>
    <row r="733" spans="1:20" x14ac:dyDescent="0.25">
      <c r="A733">
        <v>741</v>
      </c>
      <c r="B733" t="s">
        <v>103</v>
      </c>
      <c r="C733" s="1">
        <v>0.79861111111111116</v>
      </c>
      <c r="D733" s="2">
        <v>46063</v>
      </c>
      <c r="E733" t="s">
        <v>104</v>
      </c>
      <c r="F733" t="s">
        <v>18</v>
      </c>
      <c r="G733" t="s">
        <v>1208</v>
      </c>
      <c r="H733" s="1"/>
      <c r="I733" s="1"/>
      <c r="J733" s="2"/>
      <c r="P733" t="s">
        <v>33</v>
      </c>
      <c r="Q733" s="1">
        <f>SEGUIMIENTO_TPM_xlsx[[#This Row],[HORA FIN  INTERVENCIÓN]]-SEGUIMIENTO_TPM_xlsx[[#This Row],[HORA INICIO INTERVENCIÓN]]</f>
        <v>0</v>
      </c>
      <c r="R733" s="20">
        <f>(SEGUIMIENTO_TPM_xlsx[[#This Row],[HORA REPORTE]]+SEGUIMIENTO_TPM_xlsx[[#This Row],[FECHA DE REPORTE]])</f>
        <v>46063.798611111109</v>
      </c>
      <c r="S733" s="20">
        <f>(SEGUIMIENTO_TPM_xlsx[[#This Row],[FECHA DE INTERVENCÓN]]+SEGUIMIENTO_TPM_xlsx[[#This Row],[HORA FIN  INTERVENCIÓN]])</f>
        <v>0</v>
      </c>
      <c r="T733" s="11">
        <f>(SEGUIMIENTO_TPM_xlsx[[#This Row],[FECHA Y HORA FINAL]]-SEGUIMIENTO_TPM_xlsx[[#This Row],[FECHA Y HORA INICIO]])</f>
        <v>-46063.798611111109</v>
      </c>
    </row>
    <row r="734" spans="1:20" x14ac:dyDescent="0.25">
      <c r="A734">
        <v>742</v>
      </c>
      <c r="B734" t="s">
        <v>1209</v>
      </c>
      <c r="C734" s="1">
        <v>0.83333333333333337</v>
      </c>
      <c r="D734" s="2">
        <v>46063</v>
      </c>
      <c r="E734" t="s">
        <v>116</v>
      </c>
      <c r="F734" t="s">
        <v>18</v>
      </c>
      <c r="G734" t="s">
        <v>1210</v>
      </c>
      <c r="H734" s="1">
        <v>0.83333333333333337</v>
      </c>
      <c r="I734" s="1">
        <v>0.89583333333333337</v>
      </c>
      <c r="J734" s="2">
        <v>46063</v>
      </c>
      <c r="K734" t="s">
        <v>20</v>
      </c>
      <c r="L734" t="s">
        <v>1211</v>
      </c>
      <c r="M734" t="s">
        <v>22</v>
      </c>
      <c r="N734" t="s">
        <v>22</v>
      </c>
      <c r="O734" t="s">
        <v>108</v>
      </c>
      <c r="P734" t="s">
        <v>23</v>
      </c>
      <c r="Q734" s="1">
        <f>SEGUIMIENTO_TPM_xlsx[[#This Row],[HORA FIN  INTERVENCIÓN]]-SEGUIMIENTO_TPM_xlsx[[#This Row],[HORA INICIO INTERVENCIÓN]]</f>
        <v>6.25E-2</v>
      </c>
      <c r="R734" s="20">
        <f>(SEGUIMIENTO_TPM_xlsx[[#This Row],[HORA REPORTE]]+SEGUIMIENTO_TPM_xlsx[[#This Row],[FECHA DE REPORTE]])</f>
        <v>46063.833333333336</v>
      </c>
      <c r="S734" s="20">
        <f>(SEGUIMIENTO_TPM_xlsx[[#This Row],[FECHA DE INTERVENCÓN]]+SEGUIMIENTO_TPM_xlsx[[#This Row],[HORA FIN  INTERVENCIÓN]])</f>
        <v>46063.895833333336</v>
      </c>
      <c r="T734" s="11">
        <f>(SEGUIMIENTO_TPM_xlsx[[#This Row],[FECHA Y HORA FINAL]]-SEGUIMIENTO_TPM_xlsx[[#This Row],[FECHA Y HORA INICIO]])</f>
        <v>6.25E-2</v>
      </c>
    </row>
    <row r="735" spans="1:20" x14ac:dyDescent="0.25">
      <c r="A735">
        <v>743</v>
      </c>
      <c r="B735" t="s">
        <v>103</v>
      </c>
      <c r="C735" s="1">
        <v>0.9375</v>
      </c>
      <c r="D735" s="2">
        <v>46063</v>
      </c>
      <c r="E735" t="s">
        <v>104</v>
      </c>
      <c r="F735" t="s">
        <v>650</v>
      </c>
      <c r="G735" t="s">
        <v>1212</v>
      </c>
      <c r="H735" s="1"/>
      <c r="I735" s="1"/>
      <c r="J735" s="2"/>
      <c r="P735" t="s">
        <v>33</v>
      </c>
      <c r="Q735" s="1">
        <f>SEGUIMIENTO_TPM_xlsx[[#This Row],[HORA FIN  INTERVENCIÓN]]-SEGUIMIENTO_TPM_xlsx[[#This Row],[HORA INICIO INTERVENCIÓN]]</f>
        <v>0</v>
      </c>
      <c r="R735" s="20">
        <f>(SEGUIMIENTO_TPM_xlsx[[#This Row],[HORA REPORTE]]+SEGUIMIENTO_TPM_xlsx[[#This Row],[FECHA DE REPORTE]])</f>
        <v>46063.9375</v>
      </c>
      <c r="S735" s="20">
        <f>(SEGUIMIENTO_TPM_xlsx[[#This Row],[FECHA DE INTERVENCÓN]]+SEGUIMIENTO_TPM_xlsx[[#This Row],[HORA FIN  INTERVENCIÓN]])</f>
        <v>0</v>
      </c>
      <c r="T735" s="11">
        <f>(SEGUIMIENTO_TPM_xlsx[[#This Row],[FECHA Y HORA FINAL]]-SEGUIMIENTO_TPM_xlsx[[#This Row],[FECHA Y HORA INICIO]])</f>
        <v>-46063.9375</v>
      </c>
    </row>
    <row r="736" spans="1:20" x14ac:dyDescent="0.25">
      <c r="A736">
        <v>744</v>
      </c>
      <c r="B736" t="s">
        <v>93</v>
      </c>
      <c r="C736" s="1">
        <v>0.33333333333333331</v>
      </c>
      <c r="D736" s="2">
        <v>46064</v>
      </c>
      <c r="E736" t="s">
        <v>94</v>
      </c>
      <c r="F736" t="s">
        <v>18</v>
      </c>
      <c r="G736" t="s">
        <v>1213</v>
      </c>
      <c r="H736" s="1">
        <v>0.33333333333333331</v>
      </c>
      <c r="I736" s="1">
        <v>0.375</v>
      </c>
      <c r="J736" s="2">
        <v>46064</v>
      </c>
      <c r="K736" t="s">
        <v>25</v>
      </c>
      <c r="L736" t="s">
        <v>1214</v>
      </c>
      <c r="M736" t="s">
        <v>22</v>
      </c>
      <c r="N736" t="s">
        <v>22</v>
      </c>
      <c r="O736" t="s">
        <v>44</v>
      </c>
      <c r="P736" t="s">
        <v>23</v>
      </c>
      <c r="Q736" s="1">
        <f>SEGUIMIENTO_TPM_xlsx[[#This Row],[HORA FIN  INTERVENCIÓN]]-SEGUIMIENTO_TPM_xlsx[[#This Row],[HORA INICIO INTERVENCIÓN]]</f>
        <v>4.1666666666666685E-2</v>
      </c>
      <c r="R736" s="20">
        <f>(SEGUIMIENTO_TPM_xlsx[[#This Row],[HORA REPORTE]]+SEGUIMIENTO_TPM_xlsx[[#This Row],[FECHA DE REPORTE]])</f>
        <v>46064.333333333336</v>
      </c>
      <c r="S736" s="20">
        <f>(SEGUIMIENTO_TPM_xlsx[[#This Row],[FECHA DE INTERVENCÓN]]+SEGUIMIENTO_TPM_xlsx[[#This Row],[HORA FIN  INTERVENCIÓN]])</f>
        <v>46064.375</v>
      </c>
      <c r="T736" s="11">
        <f>(SEGUIMIENTO_TPM_xlsx[[#This Row],[FECHA Y HORA FINAL]]-SEGUIMIENTO_TPM_xlsx[[#This Row],[FECHA Y HORA INICIO]])</f>
        <v>4.1666666664241347E-2</v>
      </c>
    </row>
    <row r="737" spans="1:20" x14ac:dyDescent="0.25">
      <c r="A737">
        <v>745</v>
      </c>
      <c r="B737" t="s">
        <v>93</v>
      </c>
      <c r="C737" s="1">
        <v>0.38541666666666669</v>
      </c>
      <c r="D737" s="2">
        <v>46064</v>
      </c>
      <c r="E737" t="s">
        <v>94</v>
      </c>
      <c r="F737" t="s">
        <v>18</v>
      </c>
      <c r="G737" t="s">
        <v>1215</v>
      </c>
      <c r="H737" s="1">
        <v>0.38541666666666669</v>
      </c>
      <c r="I737" s="1">
        <v>0.3923611111111111</v>
      </c>
      <c r="J737" s="2">
        <v>46064</v>
      </c>
      <c r="K737" t="s">
        <v>20</v>
      </c>
      <c r="L737" t="s">
        <v>1216</v>
      </c>
      <c r="M737" t="s">
        <v>22</v>
      </c>
      <c r="N737" t="s">
        <v>22</v>
      </c>
      <c r="O737" t="s">
        <v>44</v>
      </c>
      <c r="P737" t="s">
        <v>23</v>
      </c>
      <c r="Q737" s="1">
        <f>SEGUIMIENTO_TPM_xlsx[[#This Row],[HORA FIN  INTERVENCIÓN]]-SEGUIMIENTO_TPM_xlsx[[#This Row],[HORA INICIO INTERVENCIÓN]]</f>
        <v>6.9444444444444198E-3</v>
      </c>
      <c r="R737" s="20">
        <f>(SEGUIMIENTO_TPM_xlsx[[#This Row],[HORA REPORTE]]+SEGUIMIENTO_TPM_xlsx[[#This Row],[FECHA DE REPORTE]])</f>
        <v>46064.385416666664</v>
      </c>
      <c r="S737" s="20">
        <f>(SEGUIMIENTO_TPM_xlsx[[#This Row],[FECHA DE INTERVENCÓN]]+SEGUIMIENTO_TPM_xlsx[[#This Row],[HORA FIN  INTERVENCIÓN]])</f>
        <v>46064.392361111109</v>
      </c>
      <c r="T737" s="11">
        <f>(SEGUIMIENTO_TPM_xlsx[[#This Row],[FECHA Y HORA FINAL]]-SEGUIMIENTO_TPM_xlsx[[#This Row],[FECHA Y HORA INICIO]])</f>
        <v>6.9444444452528842E-3</v>
      </c>
    </row>
    <row r="738" spans="1:20" x14ac:dyDescent="0.25">
      <c r="A738">
        <v>746</v>
      </c>
      <c r="B738" t="s">
        <v>93</v>
      </c>
      <c r="C738" s="1">
        <v>0.45833333333333331</v>
      </c>
      <c r="D738" s="2">
        <v>46064</v>
      </c>
      <c r="E738" t="s">
        <v>116</v>
      </c>
      <c r="F738" t="s">
        <v>18</v>
      </c>
      <c r="G738" t="s">
        <v>1217</v>
      </c>
      <c r="H738" s="1">
        <v>0.45833333333333331</v>
      </c>
      <c r="I738" s="1">
        <v>0.47222222222222221</v>
      </c>
      <c r="J738" s="2">
        <v>46064</v>
      </c>
      <c r="K738" t="s">
        <v>25</v>
      </c>
      <c r="L738" t="s">
        <v>1218</v>
      </c>
      <c r="M738" t="s">
        <v>1219</v>
      </c>
      <c r="N738" t="s">
        <v>22</v>
      </c>
      <c r="O738" t="s">
        <v>44</v>
      </c>
      <c r="P738" t="s">
        <v>23</v>
      </c>
      <c r="Q738" s="1">
        <f>SEGUIMIENTO_TPM_xlsx[[#This Row],[HORA FIN  INTERVENCIÓN]]-SEGUIMIENTO_TPM_xlsx[[#This Row],[HORA INICIO INTERVENCIÓN]]</f>
        <v>1.3888888888888895E-2</v>
      </c>
      <c r="R738" s="20">
        <f>(SEGUIMIENTO_TPM_xlsx[[#This Row],[HORA REPORTE]]+SEGUIMIENTO_TPM_xlsx[[#This Row],[FECHA DE REPORTE]])</f>
        <v>46064.458333333336</v>
      </c>
      <c r="S738" s="20">
        <f>(SEGUIMIENTO_TPM_xlsx[[#This Row],[FECHA DE INTERVENCÓN]]+SEGUIMIENTO_TPM_xlsx[[#This Row],[HORA FIN  INTERVENCIÓN]])</f>
        <v>46064.472222222219</v>
      </c>
      <c r="T738" s="11">
        <f>(SEGUIMIENTO_TPM_xlsx[[#This Row],[FECHA Y HORA FINAL]]-SEGUIMIENTO_TPM_xlsx[[#This Row],[FECHA Y HORA INICIO]])</f>
        <v>1.3888888883229811E-2</v>
      </c>
    </row>
    <row r="739" spans="1:20" x14ac:dyDescent="0.25">
      <c r="A739">
        <v>747</v>
      </c>
      <c r="C739" s="1"/>
      <c r="D739" s="2"/>
      <c r="H739" s="1"/>
      <c r="I739" s="1"/>
      <c r="J739" s="2"/>
      <c r="Q739" s="1">
        <f>SEGUIMIENTO_TPM_xlsx[[#This Row],[HORA FIN  INTERVENCIÓN]]-SEGUIMIENTO_TPM_xlsx[[#This Row],[HORA INICIO INTERVENCIÓN]]</f>
        <v>0</v>
      </c>
      <c r="R739" s="20">
        <f>(SEGUIMIENTO_TPM_xlsx[[#This Row],[HORA REPORTE]]+SEGUIMIENTO_TPM_xlsx[[#This Row],[FECHA DE REPORTE]])</f>
        <v>0</v>
      </c>
      <c r="S739" s="20">
        <f>(SEGUIMIENTO_TPM_xlsx[[#This Row],[FECHA DE INTERVENCÓN]]+SEGUIMIENTO_TPM_xlsx[[#This Row],[HORA FIN  INTERVENCIÓN]])</f>
        <v>0</v>
      </c>
      <c r="T739" s="11">
        <f>(SEGUIMIENTO_TPM_xlsx[[#This Row],[FECHA Y HORA FINAL]]-SEGUIMIENTO_TPM_xlsx[[#This Row],[FECHA Y HORA INICIO]])</f>
        <v>0</v>
      </c>
    </row>
    <row r="740" spans="1:20" x14ac:dyDescent="0.25">
      <c r="A740">
        <v>748</v>
      </c>
      <c r="B740" t="s">
        <v>16</v>
      </c>
      <c r="C740" s="1">
        <v>0.75</v>
      </c>
      <c r="D740" s="2">
        <v>46064</v>
      </c>
      <c r="E740" t="s">
        <v>116</v>
      </c>
      <c r="F740" t="s">
        <v>18</v>
      </c>
      <c r="G740" t="s">
        <v>1220</v>
      </c>
      <c r="H740" s="1">
        <v>0.76041666666666663</v>
      </c>
      <c r="I740" s="1">
        <v>0.78125</v>
      </c>
      <c r="J740" s="2">
        <v>46064</v>
      </c>
      <c r="K740" t="s">
        <v>25</v>
      </c>
      <c r="L740" t="s">
        <v>1221</v>
      </c>
      <c r="M740" t="s">
        <v>1222</v>
      </c>
      <c r="N740" t="s">
        <v>22</v>
      </c>
      <c r="O740" t="s">
        <v>112</v>
      </c>
      <c r="P740" t="s">
        <v>23</v>
      </c>
      <c r="Q740" s="1">
        <f>SEGUIMIENTO_TPM_xlsx[[#This Row],[HORA FIN  INTERVENCIÓN]]-SEGUIMIENTO_TPM_xlsx[[#This Row],[HORA INICIO INTERVENCIÓN]]</f>
        <v>2.083333333333337E-2</v>
      </c>
      <c r="R740" s="20">
        <f>(SEGUIMIENTO_TPM_xlsx[[#This Row],[HORA REPORTE]]+SEGUIMIENTO_TPM_xlsx[[#This Row],[FECHA DE REPORTE]])</f>
        <v>46064.75</v>
      </c>
      <c r="S740" s="20">
        <f>(SEGUIMIENTO_TPM_xlsx[[#This Row],[FECHA DE INTERVENCÓN]]+SEGUIMIENTO_TPM_xlsx[[#This Row],[HORA FIN  INTERVENCIÓN]])</f>
        <v>46064.78125</v>
      </c>
      <c r="T740" s="11">
        <f>(SEGUIMIENTO_TPM_xlsx[[#This Row],[FECHA Y HORA FINAL]]-SEGUIMIENTO_TPM_xlsx[[#This Row],[FECHA Y HORA INICIO]])</f>
        <v>3.125E-2</v>
      </c>
    </row>
    <row r="741" spans="1:20" x14ac:dyDescent="0.25">
      <c r="A741">
        <v>749</v>
      </c>
      <c r="B741" t="s">
        <v>16</v>
      </c>
      <c r="C741" s="1">
        <v>0.75</v>
      </c>
      <c r="D741" s="2">
        <v>46064</v>
      </c>
      <c r="E741" t="s">
        <v>185</v>
      </c>
      <c r="F741" t="s">
        <v>18</v>
      </c>
      <c r="G741" t="s">
        <v>1223</v>
      </c>
      <c r="H741" s="1">
        <v>0.75</v>
      </c>
      <c r="I741" s="1">
        <v>0.76041666666666663</v>
      </c>
      <c r="J741" s="2">
        <v>46064</v>
      </c>
      <c r="K741" t="s">
        <v>25</v>
      </c>
      <c r="L741" t="s">
        <v>1224</v>
      </c>
      <c r="M741" t="s">
        <v>22</v>
      </c>
      <c r="N741" t="s">
        <v>22</v>
      </c>
      <c r="O741" t="s">
        <v>112</v>
      </c>
      <c r="P741" t="s">
        <v>23</v>
      </c>
      <c r="Q741" s="1">
        <f>SEGUIMIENTO_TPM_xlsx[[#This Row],[HORA FIN  INTERVENCIÓN]]-SEGUIMIENTO_TPM_xlsx[[#This Row],[HORA INICIO INTERVENCIÓN]]</f>
        <v>1.041666666666663E-2</v>
      </c>
      <c r="R741" s="20">
        <f>(SEGUIMIENTO_TPM_xlsx[[#This Row],[HORA REPORTE]]+SEGUIMIENTO_TPM_xlsx[[#This Row],[FECHA DE REPORTE]])</f>
        <v>46064.75</v>
      </c>
      <c r="S741" s="20">
        <f>(SEGUIMIENTO_TPM_xlsx[[#This Row],[FECHA DE INTERVENCÓN]]+SEGUIMIENTO_TPM_xlsx[[#This Row],[HORA FIN  INTERVENCIÓN]])</f>
        <v>46064.760416666664</v>
      </c>
      <c r="T741" s="11">
        <f>(SEGUIMIENTO_TPM_xlsx[[#This Row],[FECHA Y HORA FINAL]]-SEGUIMIENTO_TPM_xlsx[[#This Row],[FECHA Y HORA INICIO]])</f>
        <v>1.0416666664241347E-2</v>
      </c>
    </row>
    <row r="742" spans="1:20" x14ac:dyDescent="0.25">
      <c r="A742">
        <v>750</v>
      </c>
      <c r="B742" t="s">
        <v>16</v>
      </c>
      <c r="C742" s="1">
        <v>0.72222222222222221</v>
      </c>
      <c r="D742" s="2">
        <v>46064</v>
      </c>
      <c r="E742" t="s">
        <v>116</v>
      </c>
      <c r="F742" t="s">
        <v>18</v>
      </c>
      <c r="G742" t="s">
        <v>1225</v>
      </c>
      <c r="H742" s="1">
        <v>0.72569444444444442</v>
      </c>
      <c r="I742" s="1">
        <v>0.74305555555555558</v>
      </c>
      <c r="J742" s="2">
        <v>46064</v>
      </c>
      <c r="K742" t="s">
        <v>775</v>
      </c>
      <c r="L742" t="s">
        <v>1226</v>
      </c>
      <c r="M742" t="s">
        <v>22</v>
      </c>
      <c r="N742" t="s">
        <v>22</v>
      </c>
      <c r="O742" t="s">
        <v>112</v>
      </c>
      <c r="P742" t="s">
        <v>23</v>
      </c>
      <c r="Q742" s="1">
        <f>SEGUIMIENTO_TPM_xlsx[[#This Row],[HORA FIN  INTERVENCIÓN]]-SEGUIMIENTO_TPM_xlsx[[#This Row],[HORA INICIO INTERVENCIÓN]]</f>
        <v>1.736111111111116E-2</v>
      </c>
      <c r="R742" s="20">
        <f>(SEGUIMIENTO_TPM_xlsx[[#This Row],[HORA REPORTE]]+SEGUIMIENTO_TPM_xlsx[[#This Row],[FECHA DE REPORTE]])</f>
        <v>46064.722222222219</v>
      </c>
      <c r="S742" s="20">
        <f>(SEGUIMIENTO_TPM_xlsx[[#This Row],[FECHA DE INTERVENCÓN]]+SEGUIMIENTO_TPM_xlsx[[#This Row],[HORA FIN  INTERVENCIÓN]])</f>
        <v>46064.743055555555</v>
      </c>
      <c r="T742" s="11">
        <f>(SEGUIMIENTO_TPM_xlsx[[#This Row],[FECHA Y HORA FINAL]]-SEGUIMIENTO_TPM_xlsx[[#This Row],[FECHA Y HORA INICIO]])</f>
        <v>2.0833333335758653E-2</v>
      </c>
    </row>
    <row r="743" spans="1:20" x14ac:dyDescent="0.25">
      <c r="A743">
        <v>751</v>
      </c>
      <c r="B743" t="s">
        <v>103</v>
      </c>
      <c r="C743" s="1">
        <v>0.28472222222222221</v>
      </c>
      <c r="D743" s="2">
        <v>46065</v>
      </c>
      <c r="E743" t="s">
        <v>104</v>
      </c>
      <c r="F743" t="s">
        <v>650</v>
      </c>
      <c r="G743" t="s">
        <v>1227</v>
      </c>
      <c r="H743" s="1">
        <v>0.29166666666666669</v>
      </c>
      <c r="I743" s="1">
        <v>0.33680555555555558</v>
      </c>
      <c r="J743" s="2">
        <v>46065</v>
      </c>
      <c r="K743" t="s">
        <v>20</v>
      </c>
      <c r="L743" t="s">
        <v>1228</v>
      </c>
      <c r="M743" t="s">
        <v>1229</v>
      </c>
      <c r="N743" t="s">
        <v>22</v>
      </c>
      <c r="O743" t="s">
        <v>44</v>
      </c>
      <c r="P743" t="s">
        <v>23</v>
      </c>
      <c r="Q743" s="1">
        <f>SEGUIMIENTO_TPM_xlsx[[#This Row],[HORA FIN  INTERVENCIÓN]]-SEGUIMIENTO_TPM_xlsx[[#This Row],[HORA INICIO INTERVENCIÓN]]</f>
        <v>4.5138888888888895E-2</v>
      </c>
      <c r="R743" s="20">
        <f>(SEGUIMIENTO_TPM_xlsx[[#This Row],[HORA REPORTE]]+SEGUIMIENTO_TPM_xlsx[[#This Row],[FECHA DE REPORTE]])</f>
        <v>46065.284722222219</v>
      </c>
      <c r="S743" s="20">
        <f>(SEGUIMIENTO_TPM_xlsx[[#This Row],[FECHA DE INTERVENCÓN]]+SEGUIMIENTO_TPM_xlsx[[#This Row],[HORA FIN  INTERVENCIÓN]])</f>
        <v>46065.336805555555</v>
      </c>
      <c r="T743" s="11">
        <f>(SEGUIMIENTO_TPM_xlsx[[#This Row],[FECHA Y HORA FINAL]]-SEGUIMIENTO_TPM_xlsx[[#This Row],[FECHA Y HORA INICIO]])</f>
        <v>5.2083333335758653E-2</v>
      </c>
    </row>
    <row r="744" spans="1:20" x14ac:dyDescent="0.25">
      <c r="A744">
        <v>752</v>
      </c>
      <c r="B744" t="s">
        <v>1230</v>
      </c>
      <c r="C744" s="1">
        <v>0.31944444444444442</v>
      </c>
      <c r="D744" s="2">
        <v>46065</v>
      </c>
      <c r="E744" t="s">
        <v>17</v>
      </c>
      <c r="F744" t="s">
        <v>18</v>
      </c>
      <c r="G744" t="s">
        <v>1231</v>
      </c>
      <c r="H744" s="1"/>
      <c r="I744" s="1"/>
      <c r="J744" s="2"/>
      <c r="P744" t="s">
        <v>33</v>
      </c>
      <c r="Q744" s="1">
        <f>SEGUIMIENTO_TPM_xlsx[[#This Row],[HORA FIN  INTERVENCIÓN]]-SEGUIMIENTO_TPM_xlsx[[#This Row],[HORA INICIO INTERVENCIÓN]]</f>
        <v>0</v>
      </c>
      <c r="R744" s="20">
        <f>(SEGUIMIENTO_TPM_xlsx[[#This Row],[HORA REPORTE]]+SEGUIMIENTO_TPM_xlsx[[#This Row],[FECHA DE REPORTE]])</f>
        <v>46065.319444444445</v>
      </c>
      <c r="S744" s="20">
        <f>(SEGUIMIENTO_TPM_xlsx[[#This Row],[FECHA DE INTERVENCÓN]]+SEGUIMIENTO_TPM_xlsx[[#This Row],[HORA FIN  INTERVENCIÓN]])</f>
        <v>0</v>
      </c>
      <c r="T744" s="11">
        <f>(SEGUIMIENTO_TPM_xlsx[[#This Row],[FECHA Y HORA FINAL]]-SEGUIMIENTO_TPM_xlsx[[#This Row],[FECHA Y HORA INICIO]])</f>
        <v>-46065.319444444445</v>
      </c>
    </row>
    <row r="745" spans="1:20" x14ac:dyDescent="0.25">
      <c r="A745">
        <v>753</v>
      </c>
      <c r="B745" t="s">
        <v>139</v>
      </c>
      <c r="C745" s="1">
        <v>0.39444444444444443</v>
      </c>
      <c r="D745" s="2">
        <v>46065</v>
      </c>
      <c r="E745" t="s">
        <v>85</v>
      </c>
      <c r="F745" t="s">
        <v>18</v>
      </c>
      <c r="G745" t="s">
        <v>1232</v>
      </c>
      <c r="H745" s="1">
        <v>0.64583333333333337</v>
      </c>
      <c r="I745" s="1">
        <v>0.66666666666666663</v>
      </c>
      <c r="J745" s="2">
        <v>46065</v>
      </c>
      <c r="K745" t="s">
        <v>25</v>
      </c>
      <c r="L745" t="s">
        <v>1233</v>
      </c>
      <c r="M745" t="s">
        <v>22</v>
      </c>
      <c r="N745" t="s">
        <v>22</v>
      </c>
      <c r="O745" t="s">
        <v>112</v>
      </c>
      <c r="P745" t="s">
        <v>23</v>
      </c>
      <c r="Q745" s="1">
        <f>SEGUIMIENTO_TPM_xlsx[[#This Row],[HORA FIN  INTERVENCIÓN]]-SEGUIMIENTO_TPM_xlsx[[#This Row],[HORA INICIO INTERVENCIÓN]]</f>
        <v>2.0833333333333259E-2</v>
      </c>
      <c r="R745" s="20">
        <f>(SEGUIMIENTO_TPM_xlsx[[#This Row],[HORA REPORTE]]+SEGUIMIENTO_TPM_xlsx[[#This Row],[FECHA DE REPORTE]])</f>
        <v>46065.394444444442</v>
      </c>
      <c r="S745" s="20">
        <f>(SEGUIMIENTO_TPM_xlsx[[#This Row],[FECHA DE INTERVENCÓN]]+SEGUIMIENTO_TPM_xlsx[[#This Row],[HORA FIN  INTERVENCIÓN]])</f>
        <v>46065.666666666664</v>
      </c>
      <c r="T745" s="11">
        <f>(SEGUIMIENTO_TPM_xlsx[[#This Row],[FECHA Y HORA FINAL]]-SEGUIMIENTO_TPM_xlsx[[#This Row],[FECHA Y HORA INICIO]])</f>
        <v>0.27222222222189885</v>
      </c>
    </row>
    <row r="746" spans="1:20" x14ac:dyDescent="0.25">
      <c r="A746">
        <v>754</v>
      </c>
      <c r="B746" t="s">
        <v>103</v>
      </c>
      <c r="C746" s="1">
        <v>0.43055555555555558</v>
      </c>
      <c r="D746" s="2">
        <v>46065</v>
      </c>
      <c r="E746" t="s">
        <v>104</v>
      </c>
      <c r="F746" t="s">
        <v>18</v>
      </c>
      <c r="G746" t="s">
        <v>1234</v>
      </c>
      <c r="H746" s="1">
        <v>0.66666666666666663</v>
      </c>
      <c r="I746" s="1">
        <v>0.70833333333333337</v>
      </c>
      <c r="J746" s="2">
        <v>46065</v>
      </c>
      <c r="K746" t="s">
        <v>20</v>
      </c>
      <c r="L746" t="s">
        <v>1575</v>
      </c>
      <c r="M746" t="s">
        <v>22</v>
      </c>
      <c r="N746" t="s">
        <v>22</v>
      </c>
      <c r="O746" t="s">
        <v>112</v>
      </c>
      <c r="P746" t="s">
        <v>23</v>
      </c>
      <c r="Q746" s="1">
        <f>SEGUIMIENTO_TPM_xlsx[[#This Row],[HORA FIN  INTERVENCIÓN]]-SEGUIMIENTO_TPM_xlsx[[#This Row],[HORA INICIO INTERVENCIÓN]]</f>
        <v>4.1666666666666741E-2</v>
      </c>
      <c r="R746" s="20">
        <f>(SEGUIMIENTO_TPM_xlsx[[#This Row],[HORA REPORTE]]+SEGUIMIENTO_TPM_xlsx[[#This Row],[FECHA DE REPORTE]])</f>
        <v>46065.430555555555</v>
      </c>
      <c r="S746" s="20">
        <f>(SEGUIMIENTO_TPM_xlsx[[#This Row],[FECHA DE INTERVENCÓN]]+SEGUIMIENTO_TPM_xlsx[[#This Row],[HORA FIN  INTERVENCIÓN]])</f>
        <v>46065.708333333336</v>
      </c>
      <c r="T746" s="11">
        <f>(SEGUIMIENTO_TPM_xlsx[[#This Row],[FECHA Y HORA FINAL]]-SEGUIMIENTO_TPM_xlsx[[#This Row],[FECHA Y HORA INICIO]])</f>
        <v>0.27777777778101154</v>
      </c>
    </row>
    <row r="747" spans="1:20" x14ac:dyDescent="0.25">
      <c r="A747">
        <v>755</v>
      </c>
      <c r="B747" t="s">
        <v>103</v>
      </c>
      <c r="C747" s="1"/>
      <c r="D747" s="2">
        <v>46065</v>
      </c>
      <c r="E747" t="s">
        <v>147</v>
      </c>
      <c r="F747" t="s">
        <v>650</v>
      </c>
      <c r="G747" t="s">
        <v>1235</v>
      </c>
      <c r="H747" s="1"/>
      <c r="I747" s="1"/>
      <c r="J747" s="2"/>
      <c r="P747" t="s">
        <v>33</v>
      </c>
      <c r="Q747" s="1">
        <f>SEGUIMIENTO_TPM_xlsx[[#This Row],[HORA FIN  INTERVENCIÓN]]-SEGUIMIENTO_TPM_xlsx[[#This Row],[HORA INICIO INTERVENCIÓN]]</f>
        <v>0</v>
      </c>
      <c r="R747" s="20">
        <f>(SEGUIMIENTO_TPM_xlsx[[#This Row],[HORA REPORTE]]+SEGUIMIENTO_TPM_xlsx[[#This Row],[FECHA DE REPORTE]])</f>
        <v>46065</v>
      </c>
      <c r="S747" s="20">
        <f>(SEGUIMIENTO_TPM_xlsx[[#This Row],[FECHA DE INTERVENCÓN]]+SEGUIMIENTO_TPM_xlsx[[#This Row],[HORA FIN  INTERVENCIÓN]])</f>
        <v>0</v>
      </c>
      <c r="T747" s="11">
        <f>(SEGUIMIENTO_TPM_xlsx[[#This Row],[FECHA Y HORA FINAL]]-SEGUIMIENTO_TPM_xlsx[[#This Row],[FECHA Y HORA INICIO]])</f>
        <v>-46065</v>
      </c>
    </row>
    <row r="748" spans="1:20" x14ac:dyDescent="0.25">
      <c r="A748">
        <v>756</v>
      </c>
      <c r="B748" t="s">
        <v>206</v>
      </c>
      <c r="C748" s="1">
        <v>0.44444444444444442</v>
      </c>
      <c r="D748" s="2">
        <v>46065</v>
      </c>
      <c r="E748" t="s">
        <v>116</v>
      </c>
      <c r="F748" t="s">
        <v>18</v>
      </c>
      <c r="G748" t="s">
        <v>1236</v>
      </c>
      <c r="H748" s="1">
        <v>0.44444444444444442</v>
      </c>
      <c r="I748" s="1">
        <v>0.47222222222222221</v>
      </c>
      <c r="J748" s="2">
        <v>46065</v>
      </c>
      <c r="K748" t="s">
        <v>25</v>
      </c>
      <c r="L748" t="s">
        <v>1237</v>
      </c>
      <c r="M748" t="s">
        <v>1238</v>
      </c>
      <c r="N748" t="s">
        <v>205</v>
      </c>
      <c r="O748" t="s">
        <v>44</v>
      </c>
      <c r="P748" t="s">
        <v>23</v>
      </c>
      <c r="Q748" s="1">
        <f>SEGUIMIENTO_TPM_xlsx[[#This Row],[HORA FIN  INTERVENCIÓN]]-SEGUIMIENTO_TPM_xlsx[[#This Row],[HORA INICIO INTERVENCIÓN]]</f>
        <v>2.777777777777779E-2</v>
      </c>
      <c r="R748" s="20">
        <f>(SEGUIMIENTO_TPM_xlsx[[#This Row],[HORA REPORTE]]+SEGUIMIENTO_TPM_xlsx[[#This Row],[FECHA DE REPORTE]])</f>
        <v>46065.444444444445</v>
      </c>
      <c r="S748" s="20">
        <f>(SEGUIMIENTO_TPM_xlsx[[#This Row],[FECHA DE INTERVENCÓN]]+SEGUIMIENTO_TPM_xlsx[[#This Row],[HORA FIN  INTERVENCIÓN]])</f>
        <v>46065.472222222219</v>
      </c>
      <c r="T748" s="11">
        <f>(SEGUIMIENTO_TPM_xlsx[[#This Row],[FECHA Y HORA FINAL]]-SEGUIMIENTO_TPM_xlsx[[#This Row],[FECHA Y HORA INICIO]])</f>
        <v>2.7777777773735579E-2</v>
      </c>
    </row>
    <row r="749" spans="1:20" x14ac:dyDescent="0.25">
      <c r="A749">
        <v>757</v>
      </c>
      <c r="B749" t="s">
        <v>103</v>
      </c>
      <c r="C749" s="1">
        <v>0.4513888888888889</v>
      </c>
      <c r="D749" s="2">
        <v>46065</v>
      </c>
      <c r="E749" t="s">
        <v>104</v>
      </c>
      <c r="F749" t="s">
        <v>18</v>
      </c>
      <c r="G749" t="s">
        <v>1239</v>
      </c>
      <c r="H749" s="1">
        <v>0.5</v>
      </c>
      <c r="I749" s="1">
        <v>0.53125</v>
      </c>
      <c r="J749" s="2">
        <v>46065</v>
      </c>
      <c r="K749" t="s">
        <v>25</v>
      </c>
      <c r="L749" t="s">
        <v>1240</v>
      </c>
      <c r="M749" t="s">
        <v>1241</v>
      </c>
      <c r="N749" t="s">
        <v>22</v>
      </c>
      <c r="O749" t="s">
        <v>44</v>
      </c>
      <c r="P749" t="s">
        <v>23</v>
      </c>
      <c r="Q749" s="1">
        <f>SEGUIMIENTO_TPM_xlsx[[#This Row],[HORA FIN  INTERVENCIÓN]]-SEGUIMIENTO_TPM_xlsx[[#This Row],[HORA INICIO INTERVENCIÓN]]</f>
        <v>3.125E-2</v>
      </c>
      <c r="R749" s="20">
        <f>(SEGUIMIENTO_TPM_xlsx[[#This Row],[HORA REPORTE]]+SEGUIMIENTO_TPM_xlsx[[#This Row],[FECHA DE REPORTE]])</f>
        <v>46065.451388888891</v>
      </c>
      <c r="S749" s="20">
        <f>(SEGUIMIENTO_TPM_xlsx[[#This Row],[FECHA DE INTERVENCÓN]]+SEGUIMIENTO_TPM_xlsx[[#This Row],[HORA FIN  INTERVENCIÓN]])</f>
        <v>46065.53125</v>
      </c>
      <c r="T749" s="11">
        <f>(SEGUIMIENTO_TPM_xlsx[[#This Row],[FECHA Y HORA FINAL]]-SEGUIMIENTO_TPM_xlsx[[#This Row],[FECHA Y HORA INICIO]])</f>
        <v>7.9861111109494232E-2</v>
      </c>
    </row>
    <row r="750" spans="1:20" x14ac:dyDescent="0.25">
      <c r="A750">
        <v>758</v>
      </c>
      <c r="B750" t="s">
        <v>206</v>
      </c>
      <c r="C750" s="1">
        <v>0.52777777777777779</v>
      </c>
      <c r="D750" s="2">
        <v>46065</v>
      </c>
      <c r="E750" t="s">
        <v>116</v>
      </c>
      <c r="F750" t="s">
        <v>650</v>
      </c>
      <c r="G750" t="s">
        <v>1236</v>
      </c>
      <c r="H750" s="1">
        <v>0.47222222222222221</v>
      </c>
      <c r="I750" s="1">
        <v>0.5</v>
      </c>
      <c r="J750" s="2">
        <v>46065</v>
      </c>
      <c r="K750" t="s">
        <v>20</v>
      </c>
      <c r="L750" t="s">
        <v>1242</v>
      </c>
      <c r="M750" t="s">
        <v>22</v>
      </c>
      <c r="N750" t="s">
        <v>22</v>
      </c>
      <c r="O750" t="s">
        <v>44</v>
      </c>
      <c r="P750" t="s">
        <v>23</v>
      </c>
      <c r="Q750" s="1">
        <f>SEGUIMIENTO_TPM_xlsx[[#This Row],[HORA FIN  INTERVENCIÓN]]-SEGUIMIENTO_TPM_xlsx[[#This Row],[HORA INICIO INTERVENCIÓN]]</f>
        <v>2.777777777777779E-2</v>
      </c>
      <c r="R750" s="20">
        <f>(SEGUIMIENTO_TPM_xlsx[[#This Row],[HORA REPORTE]]+SEGUIMIENTO_TPM_xlsx[[#This Row],[FECHA DE REPORTE]])</f>
        <v>46065.527777777781</v>
      </c>
      <c r="S750" s="20">
        <f>(SEGUIMIENTO_TPM_xlsx[[#This Row],[FECHA DE INTERVENCÓN]]+SEGUIMIENTO_TPM_xlsx[[#This Row],[HORA FIN  INTERVENCIÓN]])</f>
        <v>46065.5</v>
      </c>
      <c r="T750" s="11">
        <f>(SEGUIMIENTO_TPM_xlsx[[#This Row],[FECHA Y HORA FINAL]]-SEGUIMIENTO_TPM_xlsx[[#This Row],[FECHA Y HORA INICIO]])</f>
        <v>-2.7777777781011537E-2</v>
      </c>
    </row>
    <row r="751" spans="1:20" x14ac:dyDescent="0.25">
      <c r="A751">
        <v>759</v>
      </c>
      <c r="B751" t="s">
        <v>103</v>
      </c>
      <c r="C751" s="1">
        <v>0.65625</v>
      </c>
      <c r="D751" s="2">
        <v>46065</v>
      </c>
      <c r="E751" t="s">
        <v>104</v>
      </c>
      <c r="F751" t="s">
        <v>650</v>
      </c>
      <c r="G751" t="s">
        <v>1243</v>
      </c>
      <c r="H751" s="1"/>
      <c r="I751" s="1"/>
      <c r="J751" s="2"/>
      <c r="P751" t="s">
        <v>33</v>
      </c>
      <c r="Q751" s="1">
        <f>SEGUIMIENTO_TPM_xlsx[[#This Row],[HORA FIN  INTERVENCIÓN]]-SEGUIMIENTO_TPM_xlsx[[#This Row],[HORA INICIO INTERVENCIÓN]]</f>
        <v>0</v>
      </c>
      <c r="R751" s="20">
        <f>(SEGUIMIENTO_TPM_xlsx[[#This Row],[HORA REPORTE]]+SEGUIMIENTO_TPM_xlsx[[#This Row],[FECHA DE REPORTE]])</f>
        <v>46065.65625</v>
      </c>
      <c r="S751" s="20">
        <f>(SEGUIMIENTO_TPM_xlsx[[#This Row],[FECHA DE INTERVENCÓN]]+SEGUIMIENTO_TPM_xlsx[[#This Row],[HORA FIN  INTERVENCIÓN]])</f>
        <v>0</v>
      </c>
      <c r="T751" s="11">
        <f>(SEGUIMIENTO_TPM_xlsx[[#This Row],[FECHA Y HORA FINAL]]-SEGUIMIENTO_TPM_xlsx[[#This Row],[FECHA Y HORA INICIO]])</f>
        <v>-46065.65625</v>
      </c>
    </row>
    <row r="752" spans="1:20" x14ac:dyDescent="0.25">
      <c r="A752">
        <v>760</v>
      </c>
      <c r="B752" t="s">
        <v>16</v>
      </c>
      <c r="C752" s="1">
        <v>0.58333333333333337</v>
      </c>
      <c r="D752" s="2">
        <v>46065</v>
      </c>
      <c r="E752" t="s">
        <v>185</v>
      </c>
      <c r="F752" t="s">
        <v>18</v>
      </c>
      <c r="G752" t="s">
        <v>1244</v>
      </c>
      <c r="H752" s="1">
        <v>0.58333333333333337</v>
      </c>
      <c r="I752" s="1">
        <v>0.63541666666666663</v>
      </c>
      <c r="J752" s="2">
        <v>46065</v>
      </c>
      <c r="K752" t="s">
        <v>25</v>
      </c>
      <c r="L752" t="s">
        <v>1245</v>
      </c>
      <c r="M752" t="s">
        <v>22</v>
      </c>
      <c r="N752" t="s">
        <v>22</v>
      </c>
      <c r="O752" t="s">
        <v>112</v>
      </c>
      <c r="P752" t="s">
        <v>23</v>
      </c>
      <c r="Q752" s="1">
        <f>SEGUIMIENTO_TPM_xlsx[[#This Row],[HORA FIN  INTERVENCIÓN]]-SEGUIMIENTO_TPM_xlsx[[#This Row],[HORA INICIO INTERVENCIÓN]]</f>
        <v>5.2083333333333259E-2</v>
      </c>
      <c r="R752" s="20">
        <f>(SEGUIMIENTO_TPM_xlsx[[#This Row],[HORA REPORTE]]+SEGUIMIENTO_TPM_xlsx[[#This Row],[FECHA DE REPORTE]])</f>
        <v>46065.583333333336</v>
      </c>
      <c r="S752" s="20">
        <f>(SEGUIMIENTO_TPM_xlsx[[#This Row],[FECHA DE INTERVENCÓN]]+SEGUIMIENTO_TPM_xlsx[[#This Row],[HORA FIN  INTERVENCIÓN]])</f>
        <v>46065.635416666664</v>
      </c>
      <c r="T752" s="11">
        <f>(SEGUIMIENTO_TPM_xlsx[[#This Row],[FECHA Y HORA FINAL]]-SEGUIMIENTO_TPM_xlsx[[#This Row],[FECHA Y HORA INICIO]])</f>
        <v>5.2083333328482695E-2</v>
      </c>
    </row>
    <row r="753" spans="1:20" x14ac:dyDescent="0.25">
      <c r="A753">
        <v>761</v>
      </c>
      <c r="B753" t="s">
        <v>16</v>
      </c>
      <c r="C753" s="1">
        <v>0.59027777777777779</v>
      </c>
      <c r="D753" s="2">
        <v>46065</v>
      </c>
      <c r="E753" t="s">
        <v>116</v>
      </c>
      <c r="F753" t="s">
        <v>18</v>
      </c>
      <c r="G753" t="s">
        <v>1246</v>
      </c>
      <c r="H753" s="1">
        <v>0.63888888888888884</v>
      </c>
      <c r="I753" s="1">
        <v>0.6875</v>
      </c>
      <c r="J753" s="2">
        <v>46065</v>
      </c>
      <c r="K753" t="s">
        <v>25</v>
      </c>
      <c r="L753" t="s">
        <v>1247</v>
      </c>
      <c r="M753" t="s">
        <v>22</v>
      </c>
      <c r="N753" t="s">
        <v>22</v>
      </c>
      <c r="O753" t="s">
        <v>112</v>
      </c>
      <c r="P753" t="s">
        <v>23</v>
      </c>
      <c r="Q753" s="1">
        <f>SEGUIMIENTO_TPM_xlsx[[#This Row],[HORA FIN  INTERVENCIÓN]]-SEGUIMIENTO_TPM_xlsx[[#This Row],[HORA INICIO INTERVENCIÓN]]</f>
        <v>4.861111111111116E-2</v>
      </c>
      <c r="R753" s="20">
        <f>(SEGUIMIENTO_TPM_xlsx[[#This Row],[HORA REPORTE]]+SEGUIMIENTO_TPM_xlsx[[#This Row],[FECHA DE REPORTE]])</f>
        <v>46065.590277777781</v>
      </c>
      <c r="S753" s="20">
        <f>(SEGUIMIENTO_TPM_xlsx[[#This Row],[FECHA DE INTERVENCÓN]]+SEGUIMIENTO_TPM_xlsx[[#This Row],[HORA FIN  INTERVENCIÓN]])</f>
        <v>46065.6875</v>
      </c>
      <c r="T753" s="11">
        <f>(SEGUIMIENTO_TPM_xlsx[[#This Row],[FECHA Y HORA FINAL]]-SEGUIMIENTO_TPM_xlsx[[#This Row],[FECHA Y HORA INICIO]])</f>
        <v>9.7222222218988463E-2</v>
      </c>
    </row>
    <row r="754" spans="1:20" x14ac:dyDescent="0.25">
      <c r="A754">
        <v>762</v>
      </c>
      <c r="B754" t="s">
        <v>199</v>
      </c>
      <c r="C754" s="1">
        <v>0.39583333333333331</v>
      </c>
      <c r="D754" s="2">
        <v>46066</v>
      </c>
      <c r="E754" t="s">
        <v>91</v>
      </c>
      <c r="F754" t="s">
        <v>18</v>
      </c>
      <c r="G754" t="s">
        <v>1248</v>
      </c>
      <c r="H754" s="1"/>
      <c r="I754" s="1"/>
      <c r="J754" s="2"/>
      <c r="P754" t="s">
        <v>33</v>
      </c>
      <c r="Q754" s="1">
        <f>SEGUIMIENTO_TPM_xlsx[[#This Row],[HORA FIN  INTERVENCIÓN]]-SEGUIMIENTO_TPM_xlsx[[#This Row],[HORA INICIO INTERVENCIÓN]]</f>
        <v>0</v>
      </c>
      <c r="R754" s="20">
        <f>(SEGUIMIENTO_TPM_xlsx[[#This Row],[HORA REPORTE]]+SEGUIMIENTO_TPM_xlsx[[#This Row],[FECHA DE REPORTE]])</f>
        <v>46066.395833333336</v>
      </c>
      <c r="S754" s="20">
        <f>(SEGUIMIENTO_TPM_xlsx[[#This Row],[FECHA DE INTERVENCÓN]]+SEGUIMIENTO_TPM_xlsx[[#This Row],[HORA FIN  INTERVENCIÓN]])</f>
        <v>0</v>
      </c>
      <c r="T754" s="11">
        <f>(SEGUIMIENTO_TPM_xlsx[[#This Row],[FECHA Y HORA FINAL]]-SEGUIMIENTO_TPM_xlsx[[#This Row],[FECHA Y HORA INICIO]])</f>
        <v>-46066.395833333336</v>
      </c>
    </row>
    <row r="755" spans="1:20" x14ac:dyDescent="0.25">
      <c r="A755">
        <v>763</v>
      </c>
      <c r="B755" t="s">
        <v>199</v>
      </c>
      <c r="C755" s="1">
        <v>0.45416666666666666</v>
      </c>
      <c r="D755" s="2">
        <v>46066</v>
      </c>
      <c r="E755" t="s">
        <v>91</v>
      </c>
      <c r="F755" t="s">
        <v>18</v>
      </c>
      <c r="G755" t="s">
        <v>1249</v>
      </c>
      <c r="H755" s="1"/>
      <c r="I755" s="1"/>
      <c r="J755" s="2"/>
      <c r="P755" t="s">
        <v>33</v>
      </c>
      <c r="Q755" s="1">
        <f>SEGUIMIENTO_TPM_xlsx[[#This Row],[HORA FIN  INTERVENCIÓN]]-SEGUIMIENTO_TPM_xlsx[[#This Row],[HORA INICIO INTERVENCIÓN]]</f>
        <v>0</v>
      </c>
      <c r="R755" s="20">
        <f>(SEGUIMIENTO_TPM_xlsx[[#This Row],[HORA REPORTE]]+SEGUIMIENTO_TPM_xlsx[[#This Row],[FECHA DE REPORTE]])</f>
        <v>46066.45416666667</v>
      </c>
      <c r="S755" s="20">
        <f>(SEGUIMIENTO_TPM_xlsx[[#This Row],[FECHA DE INTERVENCÓN]]+SEGUIMIENTO_TPM_xlsx[[#This Row],[HORA FIN  INTERVENCIÓN]])</f>
        <v>0</v>
      </c>
      <c r="T755" s="11">
        <f>(SEGUIMIENTO_TPM_xlsx[[#This Row],[FECHA Y HORA FINAL]]-SEGUIMIENTO_TPM_xlsx[[#This Row],[FECHA Y HORA INICIO]])</f>
        <v>-46066.45416666667</v>
      </c>
    </row>
    <row r="756" spans="1:20" x14ac:dyDescent="0.25">
      <c r="A756">
        <v>764</v>
      </c>
      <c r="B756" t="s">
        <v>164</v>
      </c>
      <c r="C756" s="1"/>
      <c r="D756" s="2">
        <v>46066</v>
      </c>
      <c r="E756" t="s">
        <v>143</v>
      </c>
      <c r="G756" t="s">
        <v>1250</v>
      </c>
      <c r="H756" s="1"/>
      <c r="I756" s="1"/>
      <c r="J756" s="2"/>
      <c r="P756" t="s">
        <v>33</v>
      </c>
      <c r="Q756" s="1">
        <f>SEGUIMIENTO_TPM_xlsx[[#This Row],[HORA FIN  INTERVENCIÓN]]-SEGUIMIENTO_TPM_xlsx[[#This Row],[HORA INICIO INTERVENCIÓN]]</f>
        <v>0</v>
      </c>
      <c r="R756" s="20">
        <f>(SEGUIMIENTO_TPM_xlsx[[#This Row],[HORA REPORTE]]+SEGUIMIENTO_TPM_xlsx[[#This Row],[FECHA DE REPORTE]])</f>
        <v>46066</v>
      </c>
      <c r="S756" s="20">
        <f>(SEGUIMIENTO_TPM_xlsx[[#This Row],[FECHA DE INTERVENCÓN]]+SEGUIMIENTO_TPM_xlsx[[#This Row],[HORA FIN  INTERVENCIÓN]])</f>
        <v>0</v>
      </c>
      <c r="T756" s="11">
        <f>(SEGUIMIENTO_TPM_xlsx[[#This Row],[FECHA Y HORA FINAL]]-SEGUIMIENTO_TPM_xlsx[[#This Row],[FECHA Y HORA INICIO]])</f>
        <v>-46066</v>
      </c>
    </row>
    <row r="757" spans="1:20" x14ac:dyDescent="0.25">
      <c r="A757">
        <v>765</v>
      </c>
      <c r="B757" t="s">
        <v>317</v>
      </c>
      <c r="C757" s="1">
        <v>0</v>
      </c>
      <c r="D757" s="2">
        <v>46067</v>
      </c>
      <c r="E757" t="s">
        <v>91</v>
      </c>
      <c r="F757" t="s">
        <v>18</v>
      </c>
      <c r="G757" t="s">
        <v>1251</v>
      </c>
      <c r="H757" s="1">
        <v>0</v>
      </c>
      <c r="I757" s="1">
        <v>0.16666666666666666</v>
      </c>
      <c r="J757" s="2">
        <v>46067</v>
      </c>
      <c r="K757" t="s">
        <v>20</v>
      </c>
      <c r="L757" t="s">
        <v>1252</v>
      </c>
      <c r="M757" t="s">
        <v>22</v>
      </c>
      <c r="N757" t="s">
        <v>205</v>
      </c>
      <c r="O757" t="s">
        <v>108</v>
      </c>
      <c r="P757" t="s">
        <v>23</v>
      </c>
      <c r="Q757" s="1">
        <f>SEGUIMIENTO_TPM_xlsx[[#This Row],[HORA FIN  INTERVENCIÓN]]-SEGUIMIENTO_TPM_xlsx[[#This Row],[HORA INICIO INTERVENCIÓN]]</f>
        <v>0.16666666666666666</v>
      </c>
      <c r="R757" s="20">
        <f>(SEGUIMIENTO_TPM_xlsx[[#This Row],[HORA REPORTE]]+SEGUIMIENTO_TPM_xlsx[[#This Row],[FECHA DE REPORTE]])</f>
        <v>46067</v>
      </c>
      <c r="S757" s="20">
        <f>(SEGUIMIENTO_TPM_xlsx[[#This Row],[FECHA DE INTERVENCÓN]]+SEGUIMIENTO_TPM_xlsx[[#This Row],[HORA FIN  INTERVENCIÓN]])</f>
        <v>46067.166666666664</v>
      </c>
      <c r="T757" s="11">
        <f>(SEGUIMIENTO_TPM_xlsx[[#This Row],[FECHA Y HORA FINAL]]-SEGUIMIENTO_TPM_xlsx[[#This Row],[FECHA Y HORA INICIO]])</f>
        <v>0.16666666666424135</v>
      </c>
    </row>
    <row r="758" spans="1:20" x14ac:dyDescent="0.25">
      <c r="A758">
        <v>766</v>
      </c>
      <c r="B758" t="s">
        <v>103</v>
      </c>
      <c r="C758" s="1">
        <v>0.27083333333333331</v>
      </c>
      <c r="D758" s="2">
        <v>46067</v>
      </c>
      <c r="E758" t="s">
        <v>104</v>
      </c>
      <c r="F758" t="s">
        <v>18</v>
      </c>
      <c r="G758" t="s">
        <v>1253</v>
      </c>
      <c r="H758" s="1"/>
      <c r="I758" s="1"/>
      <c r="J758" s="2"/>
      <c r="L758" t="s">
        <v>1254</v>
      </c>
      <c r="P758" t="s">
        <v>33</v>
      </c>
      <c r="Q758" s="1">
        <f>SEGUIMIENTO_TPM_xlsx[[#This Row],[HORA FIN  INTERVENCIÓN]]-SEGUIMIENTO_TPM_xlsx[[#This Row],[HORA INICIO INTERVENCIÓN]]</f>
        <v>0</v>
      </c>
      <c r="R758" s="20">
        <f>(SEGUIMIENTO_TPM_xlsx[[#This Row],[HORA REPORTE]]+SEGUIMIENTO_TPM_xlsx[[#This Row],[FECHA DE REPORTE]])</f>
        <v>46067.270833333336</v>
      </c>
      <c r="S758" s="20">
        <f>(SEGUIMIENTO_TPM_xlsx[[#This Row],[FECHA DE INTERVENCÓN]]+SEGUIMIENTO_TPM_xlsx[[#This Row],[HORA FIN  INTERVENCIÓN]])</f>
        <v>0</v>
      </c>
      <c r="T758" s="11">
        <f>(SEGUIMIENTO_TPM_xlsx[[#This Row],[FECHA Y HORA FINAL]]-SEGUIMIENTO_TPM_xlsx[[#This Row],[FECHA Y HORA INICIO]])</f>
        <v>-46067.270833333336</v>
      </c>
    </row>
    <row r="759" spans="1:20" x14ac:dyDescent="0.25">
      <c r="A759">
        <v>767</v>
      </c>
      <c r="B759" t="s">
        <v>103</v>
      </c>
      <c r="C759" s="1">
        <v>0.26041666666666669</v>
      </c>
      <c r="D759" s="2">
        <v>46067</v>
      </c>
      <c r="E759" t="s">
        <v>147</v>
      </c>
      <c r="F759" t="s">
        <v>18</v>
      </c>
      <c r="G759" t="s">
        <v>1255</v>
      </c>
      <c r="H759" s="1">
        <v>0.27083333333333331</v>
      </c>
      <c r="I759" s="1">
        <v>0.28125</v>
      </c>
      <c r="J759" s="2">
        <v>46067</v>
      </c>
      <c r="K759" t="s">
        <v>25</v>
      </c>
      <c r="L759" t="s">
        <v>1256</v>
      </c>
      <c r="M759" t="s">
        <v>22</v>
      </c>
      <c r="N759" t="s">
        <v>22</v>
      </c>
      <c r="O759" t="s">
        <v>661</v>
      </c>
      <c r="P759" t="s">
        <v>23</v>
      </c>
      <c r="Q759" s="1">
        <f>SEGUIMIENTO_TPM_xlsx[[#This Row],[HORA FIN  INTERVENCIÓN]]-SEGUIMIENTO_TPM_xlsx[[#This Row],[HORA INICIO INTERVENCIÓN]]</f>
        <v>1.0416666666666685E-2</v>
      </c>
      <c r="R759" s="20">
        <f>(SEGUIMIENTO_TPM_xlsx[[#This Row],[HORA REPORTE]]+SEGUIMIENTO_TPM_xlsx[[#This Row],[FECHA DE REPORTE]])</f>
        <v>46067.260416666664</v>
      </c>
      <c r="S759" s="20">
        <f>(SEGUIMIENTO_TPM_xlsx[[#This Row],[FECHA DE INTERVENCÓN]]+SEGUIMIENTO_TPM_xlsx[[#This Row],[HORA FIN  INTERVENCIÓN]])</f>
        <v>46067.28125</v>
      </c>
      <c r="T759" s="11">
        <f>(SEGUIMIENTO_TPM_xlsx[[#This Row],[FECHA Y HORA FINAL]]-SEGUIMIENTO_TPM_xlsx[[#This Row],[FECHA Y HORA INICIO]])</f>
        <v>2.0833333335758653E-2</v>
      </c>
    </row>
    <row r="760" spans="1:20" x14ac:dyDescent="0.25">
      <c r="A760">
        <v>768</v>
      </c>
      <c r="B760" t="s">
        <v>103</v>
      </c>
      <c r="C760" s="1">
        <v>0.31805555555555554</v>
      </c>
      <c r="D760" s="2">
        <v>46067</v>
      </c>
      <c r="E760" t="s">
        <v>104</v>
      </c>
      <c r="F760" t="s">
        <v>650</v>
      </c>
      <c r="G760" t="s">
        <v>1257</v>
      </c>
      <c r="H760" s="1">
        <v>0.34027777777777779</v>
      </c>
      <c r="I760" s="1">
        <v>0.45833333333333331</v>
      </c>
      <c r="J760" s="2">
        <v>46067</v>
      </c>
      <c r="K760" t="s">
        <v>20</v>
      </c>
      <c r="L760" t="s">
        <v>1258</v>
      </c>
      <c r="M760" t="s">
        <v>22</v>
      </c>
      <c r="N760" t="s">
        <v>22</v>
      </c>
      <c r="O760" t="s">
        <v>661</v>
      </c>
      <c r="P760" t="s">
        <v>23</v>
      </c>
      <c r="Q760" s="1">
        <f>SEGUIMIENTO_TPM_xlsx[[#This Row],[HORA FIN  INTERVENCIÓN]]-SEGUIMIENTO_TPM_xlsx[[#This Row],[HORA INICIO INTERVENCIÓN]]</f>
        <v>0.11805555555555552</v>
      </c>
      <c r="R760" s="20">
        <f>(SEGUIMIENTO_TPM_xlsx[[#This Row],[HORA REPORTE]]+SEGUIMIENTO_TPM_xlsx[[#This Row],[FECHA DE REPORTE]])</f>
        <v>46067.318055555559</v>
      </c>
      <c r="S760" s="20">
        <f>(SEGUIMIENTO_TPM_xlsx[[#This Row],[FECHA DE INTERVENCÓN]]+SEGUIMIENTO_TPM_xlsx[[#This Row],[HORA FIN  INTERVENCIÓN]])</f>
        <v>46067.458333333336</v>
      </c>
      <c r="T760" s="11">
        <f>(SEGUIMIENTO_TPM_xlsx[[#This Row],[FECHA Y HORA FINAL]]-SEGUIMIENTO_TPM_xlsx[[#This Row],[FECHA Y HORA INICIO]])</f>
        <v>0.14027777777664596</v>
      </c>
    </row>
    <row r="761" spans="1:20" x14ac:dyDescent="0.25">
      <c r="A761">
        <v>769</v>
      </c>
      <c r="B761" t="s">
        <v>206</v>
      </c>
      <c r="C761" s="1">
        <v>0.2986111111111111</v>
      </c>
      <c r="D761" s="2">
        <v>46067</v>
      </c>
      <c r="E761" t="s">
        <v>116</v>
      </c>
      <c r="F761" t="s">
        <v>18</v>
      </c>
      <c r="G761" t="s">
        <v>1259</v>
      </c>
      <c r="H761" s="1">
        <v>0.3611111111111111</v>
      </c>
      <c r="I761" s="1">
        <v>0.375</v>
      </c>
      <c r="J761" s="2">
        <v>46067</v>
      </c>
      <c r="K761" t="s">
        <v>20</v>
      </c>
      <c r="L761" t="s">
        <v>1260</v>
      </c>
      <c r="M761" t="s">
        <v>22</v>
      </c>
      <c r="N761" t="s">
        <v>22</v>
      </c>
      <c r="O761" t="s">
        <v>661</v>
      </c>
      <c r="P761" t="s">
        <v>23</v>
      </c>
      <c r="Q761" s="1">
        <f>SEGUIMIENTO_TPM_xlsx[[#This Row],[HORA FIN  INTERVENCIÓN]]-SEGUIMIENTO_TPM_xlsx[[#This Row],[HORA INICIO INTERVENCIÓN]]</f>
        <v>1.3888888888888895E-2</v>
      </c>
      <c r="R761" s="20">
        <f>(SEGUIMIENTO_TPM_xlsx[[#This Row],[HORA REPORTE]]+SEGUIMIENTO_TPM_xlsx[[#This Row],[FECHA DE REPORTE]])</f>
        <v>46067.298611111109</v>
      </c>
      <c r="S761" s="20">
        <f>(SEGUIMIENTO_TPM_xlsx[[#This Row],[FECHA DE INTERVENCÓN]]+SEGUIMIENTO_TPM_xlsx[[#This Row],[HORA FIN  INTERVENCIÓN]])</f>
        <v>46067.375</v>
      </c>
      <c r="T761" s="11">
        <f>(SEGUIMIENTO_TPM_xlsx[[#This Row],[FECHA Y HORA FINAL]]-SEGUIMIENTO_TPM_xlsx[[#This Row],[FECHA Y HORA INICIO]])</f>
        <v>7.6388888890505768E-2</v>
      </c>
    </row>
    <row r="762" spans="1:20" x14ac:dyDescent="0.25">
      <c r="A762">
        <v>770</v>
      </c>
      <c r="B762" t="s">
        <v>206</v>
      </c>
      <c r="C762" s="1">
        <v>0.46875</v>
      </c>
      <c r="D762" s="2">
        <v>46067</v>
      </c>
      <c r="E762" t="s">
        <v>782</v>
      </c>
      <c r="F762" t="s">
        <v>18</v>
      </c>
      <c r="G762" t="s">
        <v>1261</v>
      </c>
      <c r="H762" s="1">
        <v>0.47916666666666669</v>
      </c>
      <c r="I762" s="1">
        <v>0.50694444444444442</v>
      </c>
      <c r="J762" s="2">
        <v>46067</v>
      </c>
      <c r="K762" t="s">
        <v>25</v>
      </c>
      <c r="L762" t="s">
        <v>1262</v>
      </c>
      <c r="M762" t="s">
        <v>1263</v>
      </c>
      <c r="N762" t="s">
        <v>22</v>
      </c>
      <c r="O762" t="s">
        <v>661</v>
      </c>
      <c r="P762" t="s">
        <v>23</v>
      </c>
      <c r="Q762" s="1">
        <f>SEGUIMIENTO_TPM_xlsx[[#This Row],[HORA FIN  INTERVENCIÓN]]-SEGUIMIENTO_TPM_xlsx[[#This Row],[HORA INICIO INTERVENCIÓN]]</f>
        <v>2.7777777777777735E-2</v>
      </c>
      <c r="R762" s="20">
        <f>(SEGUIMIENTO_TPM_xlsx[[#This Row],[HORA REPORTE]]+SEGUIMIENTO_TPM_xlsx[[#This Row],[FECHA DE REPORTE]])</f>
        <v>46067.46875</v>
      </c>
      <c r="S762" s="20">
        <f>(SEGUIMIENTO_TPM_xlsx[[#This Row],[FECHA DE INTERVENCÓN]]+SEGUIMIENTO_TPM_xlsx[[#This Row],[HORA FIN  INTERVENCIÓN]])</f>
        <v>46067.506944444445</v>
      </c>
      <c r="T762" s="11">
        <f>(SEGUIMIENTO_TPM_xlsx[[#This Row],[FECHA Y HORA FINAL]]-SEGUIMIENTO_TPM_xlsx[[#This Row],[FECHA Y HORA INICIO]])</f>
        <v>3.8194444445252884E-2</v>
      </c>
    </row>
    <row r="763" spans="1:20" x14ac:dyDescent="0.25">
      <c r="A763">
        <v>771</v>
      </c>
      <c r="B763" t="s">
        <v>103</v>
      </c>
      <c r="C763" s="1">
        <v>0.65277777777777779</v>
      </c>
      <c r="D763" s="2">
        <v>46067</v>
      </c>
      <c r="E763" t="s">
        <v>147</v>
      </c>
      <c r="F763" t="s">
        <v>18</v>
      </c>
      <c r="G763" t="s">
        <v>1264</v>
      </c>
      <c r="H763" s="1">
        <v>0.65972222222222221</v>
      </c>
      <c r="I763" s="1">
        <v>0.67361111111111116</v>
      </c>
      <c r="J763" s="2">
        <v>46067</v>
      </c>
      <c r="K763" t="s">
        <v>20</v>
      </c>
      <c r="L763" t="s">
        <v>1265</v>
      </c>
      <c r="M763" t="s">
        <v>1266</v>
      </c>
      <c r="N763" t="s">
        <v>22</v>
      </c>
      <c r="O763" t="s">
        <v>44</v>
      </c>
      <c r="P763" t="s">
        <v>23</v>
      </c>
      <c r="Q763" s="1">
        <f>SEGUIMIENTO_TPM_xlsx[[#This Row],[HORA FIN  INTERVENCIÓN]]-SEGUIMIENTO_TPM_xlsx[[#This Row],[HORA INICIO INTERVENCIÓN]]</f>
        <v>1.3888888888888951E-2</v>
      </c>
      <c r="R763" s="20">
        <f>(SEGUIMIENTO_TPM_xlsx[[#This Row],[HORA REPORTE]]+SEGUIMIENTO_TPM_xlsx[[#This Row],[FECHA DE REPORTE]])</f>
        <v>46067.652777777781</v>
      </c>
      <c r="S763" s="20">
        <f>(SEGUIMIENTO_TPM_xlsx[[#This Row],[FECHA DE INTERVENCÓN]]+SEGUIMIENTO_TPM_xlsx[[#This Row],[HORA FIN  INTERVENCIÓN]])</f>
        <v>46067.673611111109</v>
      </c>
      <c r="T763" s="11">
        <f>(SEGUIMIENTO_TPM_xlsx[[#This Row],[FECHA Y HORA FINAL]]-SEGUIMIENTO_TPM_xlsx[[#This Row],[FECHA Y HORA INICIO]])</f>
        <v>2.0833333328482695E-2</v>
      </c>
    </row>
    <row r="764" spans="1:20" x14ac:dyDescent="0.25">
      <c r="A764">
        <v>772</v>
      </c>
      <c r="B764" t="s">
        <v>113</v>
      </c>
      <c r="C764" s="1">
        <v>0.82638888888888884</v>
      </c>
      <c r="D764" s="2">
        <v>46067</v>
      </c>
      <c r="E764" t="s">
        <v>147</v>
      </c>
      <c r="F764" t="s">
        <v>18</v>
      </c>
      <c r="G764" t="s">
        <v>1267</v>
      </c>
      <c r="H764" s="1">
        <v>0.82638888888888884</v>
      </c>
      <c r="I764" s="1">
        <v>0.83680555555555558</v>
      </c>
      <c r="J764" s="2">
        <v>46067</v>
      </c>
      <c r="K764" t="s">
        <v>25</v>
      </c>
      <c r="L764" t="s">
        <v>1268</v>
      </c>
      <c r="M764" t="s">
        <v>22</v>
      </c>
      <c r="N764" t="s">
        <v>22</v>
      </c>
      <c r="O764" t="s">
        <v>44</v>
      </c>
      <c r="P764" t="s">
        <v>23</v>
      </c>
      <c r="Q764" s="1">
        <f>SEGUIMIENTO_TPM_xlsx[[#This Row],[HORA FIN  INTERVENCIÓN]]-SEGUIMIENTO_TPM_xlsx[[#This Row],[HORA INICIO INTERVENCIÓN]]</f>
        <v>1.0416666666666741E-2</v>
      </c>
      <c r="R764" s="20">
        <f>(SEGUIMIENTO_TPM_xlsx[[#This Row],[HORA REPORTE]]+SEGUIMIENTO_TPM_xlsx[[#This Row],[FECHA DE REPORTE]])</f>
        <v>46067.826388888891</v>
      </c>
      <c r="S764" s="20">
        <f>(SEGUIMIENTO_TPM_xlsx[[#This Row],[FECHA DE INTERVENCÓN]]+SEGUIMIENTO_TPM_xlsx[[#This Row],[HORA FIN  INTERVENCIÓN]])</f>
        <v>46067.836805555555</v>
      </c>
      <c r="T764" s="11">
        <f>(SEGUIMIENTO_TPM_xlsx[[#This Row],[FECHA Y HORA FINAL]]-SEGUIMIENTO_TPM_xlsx[[#This Row],[FECHA Y HORA INICIO]])</f>
        <v>1.0416666664241347E-2</v>
      </c>
    </row>
    <row r="765" spans="1:20" x14ac:dyDescent="0.25">
      <c r="A765">
        <v>773</v>
      </c>
      <c r="B765" t="s">
        <v>16</v>
      </c>
      <c r="C765" s="1">
        <v>0.83680555555555558</v>
      </c>
      <c r="D765" s="2">
        <v>46067</v>
      </c>
      <c r="E765" t="s">
        <v>185</v>
      </c>
      <c r="F765" t="s">
        <v>18</v>
      </c>
      <c r="G765" t="s">
        <v>1269</v>
      </c>
      <c r="H765" s="1">
        <v>0.84375</v>
      </c>
      <c r="I765" s="1">
        <v>0.85416666666666663</v>
      </c>
      <c r="J765" s="2">
        <v>46067</v>
      </c>
      <c r="K765" t="s">
        <v>25</v>
      </c>
      <c r="L765" t="s">
        <v>1270</v>
      </c>
      <c r="M765" t="s">
        <v>22</v>
      </c>
      <c r="N765" t="s">
        <v>22</v>
      </c>
      <c r="O765" t="s">
        <v>44</v>
      </c>
      <c r="P765" t="s">
        <v>23</v>
      </c>
      <c r="Q765" s="1">
        <f>SEGUIMIENTO_TPM_xlsx[[#This Row],[HORA FIN  INTERVENCIÓN]]-SEGUIMIENTO_TPM_xlsx[[#This Row],[HORA INICIO INTERVENCIÓN]]</f>
        <v>1.041666666666663E-2</v>
      </c>
      <c r="R765" s="20">
        <f>(SEGUIMIENTO_TPM_xlsx[[#This Row],[HORA REPORTE]]+SEGUIMIENTO_TPM_xlsx[[#This Row],[FECHA DE REPORTE]])</f>
        <v>46067.836805555555</v>
      </c>
      <c r="S765" s="20">
        <f>(SEGUIMIENTO_TPM_xlsx[[#This Row],[FECHA DE INTERVENCÓN]]+SEGUIMIENTO_TPM_xlsx[[#This Row],[HORA FIN  INTERVENCIÓN]])</f>
        <v>46067.854166666664</v>
      </c>
      <c r="T765" s="11">
        <f>(SEGUIMIENTO_TPM_xlsx[[#This Row],[FECHA Y HORA FINAL]]-SEGUIMIENTO_TPM_xlsx[[#This Row],[FECHA Y HORA INICIO]])</f>
        <v>1.7361111109494232E-2</v>
      </c>
    </row>
    <row r="766" spans="1:20" x14ac:dyDescent="0.25">
      <c r="A766">
        <v>774</v>
      </c>
      <c r="B766" t="s">
        <v>199</v>
      </c>
      <c r="C766" s="1">
        <v>0.25</v>
      </c>
      <c r="D766" s="2">
        <v>46068</v>
      </c>
      <c r="E766" t="s">
        <v>91</v>
      </c>
      <c r="F766" t="s">
        <v>18</v>
      </c>
      <c r="G766" t="s">
        <v>1271</v>
      </c>
      <c r="H766" s="1">
        <v>0.25</v>
      </c>
      <c r="I766" s="1">
        <v>0.28472222222222221</v>
      </c>
      <c r="J766" s="2">
        <v>46068</v>
      </c>
      <c r="K766" t="s">
        <v>775</v>
      </c>
      <c r="L766" t="s">
        <v>1272</v>
      </c>
      <c r="M766" t="s">
        <v>22</v>
      </c>
      <c r="N766" t="s">
        <v>22</v>
      </c>
      <c r="O766" t="s">
        <v>108</v>
      </c>
      <c r="P766" t="s">
        <v>33</v>
      </c>
      <c r="Q766" s="1">
        <f>SEGUIMIENTO_TPM_xlsx[[#This Row],[HORA FIN  INTERVENCIÓN]]-SEGUIMIENTO_TPM_xlsx[[#This Row],[HORA INICIO INTERVENCIÓN]]</f>
        <v>3.472222222222221E-2</v>
      </c>
      <c r="R766" s="20">
        <f>(SEGUIMIENTO_TPM_xlsx[[#This Row],[HORA REPORTE]]+SEGUIMIENTO_TPM_xlsx[[#This Row],[FECHA DE REPORTE]])</f>
        <v>46068.25</v>
      </c>
      <c r="S766" s="20">
        <f>(SEGUIMIENTO_TPM_xlsx[[#This Row],[FECHA DE INTERVENCÓN]]+SEGUIMIENTO_TPM_xlsx[[#This Row],[HORA FIN  INTERVENCIÓN]])</f>
        <v>46068.284722222219</v>
      </c>
      <c r="T766" s="11">
        <f>(SEGUIMIENTO_TPM_xlsx[[#This Row],[FECHA Y HORA FINAL]]-SEGUIMIENTO_TPM_xlsx[[#This Row],[FECHA Y HORA INICIO]])</f>
        <v>3.4722222218988463E-2</v>
      </c>
    </row>
    <row r="767" spans="1:20" x14ac:dyDescent="0.25">
      <c r="A767">
        <v>775</v>
      </c>
      <c r="B767" t="s">
        <v>113</v>
      </c>
      <c r="C767" s="1">
        <v>0.75694444444444442</v>
      </c>
      <c r="D767" s="2">
        <v>46068</v>
      </c>
      <c r="E767" t="s">
        <v>91</v>
      </c>
      <c r="F767" t="s">
        <v>18</v>
      </c>
      <c r="G767" t="s">
        <v>1273</v>
      </c>
      <c r="H767" s="1">
        <v>0.79166666666666663</v>
      </c>
      <c r="I767" s="1">
        <v>0.84027777777777779</v>
      </c>
      <c r="J767" s="2">
        <v>46068</v>
      </c>
      <c r="K767" t="s">
        <v>20</v>
      </c>
      <c r="L767" t="s">
        <v>1274</v>
      </c>
      <c r="M767" t="s">
        <v>22</v>
      </c>
      <c r="N767" t="s">
        <v>22</v>
      </c>
      <c r="O767" t="s">
        <v>44</v>
      </c>
      <c r="P767" t="s">
        <v>23</v>
      </c>
      <c r="Q767" s="1">
        <f>SEGUIMIENTO_TPM_xlsx[[#This Row],[HORA FIN  INTERVENCIÓN]]-SEGUIMIENTO_TPM_xlsx[[#This Row],[HORA INICIO INTERVENCIÓN]]</f>
        <v>4.861111111111116E-2</v>
      </c>
      <c r="R767" s="20">
        <f>(SEGUIMIENTO_TPM_xlsx[[#This Row],[HORA REPORTE]]+SEGUIMIENTO_TPM_xlsx[[#This Row],[FECHA DE REPORTE]])</f>
        <v>46068.756944444445</v>
      </c>
      <c r="S767" s="20">
        <f>(SEGUIMIENTO_TPM_xlsx[[#This Row],[FECHA DE INTERVENCÓN]]+SEGUIMIENTO_TPM_xlsx[[#This Row],[HORA FIN  INTERVENCIÓN]])</f>
        <v>46068.840277777781</v>
      </c>
      <c r="T767" s="11">
        <f>(SEGUIMIENTO_TPM_xlsx[[#This Row],[FECHA Y HORA FINAL]]-SEGUIMIENTO_TPM_xlsx[[#This Row],[FECHA Y HORA INICIO]])</f>
        <v>8.3333333335758653E-2</v>
      </c>
    </row>
    <row r="768" spans="1:20" x14ac:dyDescent="0.25">
      <c r="A768">
        <v>776</v>
      </c>
      <c r="C768" s="1"/>
      <c r="D768" s="2"/>
      <c r="H768" s="1"/>
      <c r="I768" s="1"/>
      <c r="J768" s="2"/>
      <c r="Q768" s="1">
        <f>SEGUIMIENTO_TPM_xlsx[[#This Row],[HORA FIN  INTERVENCIÓN]]-SEGUIMIENTO_TPM_xlsx[[#This Row],[HORA INICIO INTERVENCIÓN]]</f>
        <v>0</v>
      </c>
      <c r="R768" s="20">
        <f>(SEGUIMIENTO_TPM_xlsx[[#This Row],[HORA REPORTE]]+SEGUIMIENTO_TPM_xlsx[[#This Row],[FECHA DE REPORTE]])</f>
        <v>0</v>
      </c>
      <c r="S768" s="20">
        <f>(SEGUIMIENTO_TPM_xlsx[[#This Row],[FECHA DE INTERVENCÓN]]+SEGUIMIENTO_TPM_xlsx[[#This Row],[HORA FIN  INTERVENCIÓN]])</f>
        <v>0</v>
      </c>
      <c r="T768" s="11">
        <f>(SEGUIMIENTO_TPM_xlsx[[#This Row],[FECHA Y HORA FINAL]]-SEGUIMIENTO_TPM_xlsx[[#This Row],[FECHA Y HORA INICIO]])</f>
        <v>0</v>
      </c>
    </row>
    <row r="769" spans="1:20" x14ac:dyDescent="0.25">
      <c r="A769">
        <v>777</v>
      </c>
      <c r="B769" t="s">
        <v>113</v>
      </c>
      <c r="C769" s="1">
        <v>0.84027777777777779</v>
      </c>
      <c r="D769" s="2">
        <v>46068</v>
      </c>
      <c r="E769" t="s">
        <v>91</v>
      </c>
      <c r="F769" t="s">
        <v>18</v>
      </c>
      <c r="G769" t="s">
        <v>1275</v>
      </c>
      <c r="H769" s="1">
        <v>0.84027777777777779</v>
      </c>
      <c r="I769" s="1">
        <v>0.96875</v>
      </c>
      <c r="J769" s="2">
        <v>46068</v>
      </c>
      <c r="K769" t="s">
        <v>20</v>
      </c>
      <c r="L769" t="s">
        <v>1276</v>
      </c>
      <c r="M769" t="s">
        <v>22</v>
      </c>
      <c r="N769" t="s">
        <v>22</v>
      </c>
      <c r="O769" t="s">
        <v>44</v>
      </c>
      <c r="P769" t="s">
        <v>23</v>
      </c>
      <c r="Q769" s="1">
        <f>SEGUIMIENTO_TPM_xlsx[[#This Row],[HORA FIN  INTERVENCIÓN]]-SEGUIMIENTO_TPM_xlsx[[#This Row],[HORA INICIO INTERVENCIÓN]]</f>
        <v>0.12847222222222221</v>
      </c>
      <c r="R769" s="20">
        <f>(SEGUIMIENTO_TPM_xlsx[[#This Row],[HORA REPORTE]]+SEGUIMIENTO_TPM_xlsx[[#This Row],[FECHA DE REPORTE]])</f>
        <v>46068.840277777781</v>
      </c>
      <c r="S769" s="20">
        <f>(SEGUIMIENTO_TPM_xlsx[[#This Row],[FECHA DE INTERVENCÓN]]+SEGUIMIENTO_TPM_xlsx[[#This Row],[HORA FIN  INTERVENCIÓN]])</f>
        <v>46068.96875</v>
      </c>
      <c r="T769" s="11">
        <f>(SEGUIMIENTO_TPM_xlsx[[#This Row],[FECHA Y HORA FINAL]]-SEGUIMIENTO_TPM_xlsx[[#This Row],[FECHA Y HORA INICIO]])</f>
        <v>0.12847222221898846</v>
      </c>
    </row>
    <row r="770" spans="1:20" x14ac:dyDescent="0.25">
      <c r="A770">
        <v>778</v>
      </c>
      <c r="C770" s="1"/>
      <c r="D770" s="2"/>
      <c r="H770" s="1"/>
      <c r="I770" s="1"/>
      <c r="J770" s="2"/>
      <c r="Q770" s="1">
        <f>SEGUIMIENTO_TPM_xlsx[[#This Row],[HORA FIN  INTERVENCIÓN]]-SEGUIMIENTO_TPM_xlsx[[#This Row],[HORA INICIO INTERVENCIÓN]]</f>
        <v>0</v>
      </c>
      <c r="R770" s="20">
        <f>(SEGUIMIENTO_TPM_xlsx[[#This Row],[HORA REPORTE]]+SEGUIMIENTO_TPM_xlsx[[#This Row],[FECHA DE REPORTE]])</f>
        <v>0</v>
      </c>
      <c r="S770" s="20">
        <f>(SEGUIMIENTO_TPM_xlsx[[#This Row],[FECHA DE INTERVENCÓN]]+SEGUIMIENTO_TPM_xlsx[[#This Row],[HORA FIN  INTERVENCIÓN]])</f>
        <v>0</v>
      </c>
      <c r="T770" s="11">
        <f>(SEGUIMIENTO_TPM_xlsx[[#This Row],[FECHA Y HORA FINAL]]-SEGUIMIENTO_TPM_xlsx[[#This Row],[FECHA Y HORA INICIO]])</f>
        <v>0</v>
      </c>
    </row>
    <row r="771" spans="1:20" x14ac:dyDescent="0.25">
      <c r="A771">
        <v>779</v>
      </c>
      <c r="B771" t="s">
        <v>103</v>
      </c>
      <c r="C771" s="1">
        <v>0.91666666666666663</v>
      </c>
      <c r="D771" s="2">
        <v>46068</v>
      </c>
      <c r="E771" t="s">
        <v>147</v>
      </c>
      <c r="F771" t="s">
        <v>18</v>
      </c>
      <c r="G771" t="s">
        <v>1277</v>
      </c>
      <c r="H771" s="1">
        <v>0.92708333333333337</v>
      </c>
      <c r="I771" s="1">
        <v>0.94097222222222221</v>
      </c>
      <c r="J771" s="2">
        <v>46068</v>
      </c>
      <c r="K771" t="s">
        <v>20</v>
      </c>
      <c r="L771" t="s">
        <v>1278</v>
      </c>
      <c r="M771" t="s">
        <v>22</v>
      </c>
      <c r="N771" t="s">
        <v>22</v>
      </c>
      <c r="O771" t="s">
        <v>44</v>
      </c>
      <c r="P771" t="s">
        <v>23</v>
      </c>
      <c r="Q771" s="1">
        <f>SEGUIMIENTO_TPM_xlsx[[#This Row],[HORA FIN  INTERVENCIÓN]]-SEGUIMIENTO_TPM_xlsx[[#This Row],[HORA INICIO INTERVENCIÓN]]</f>
        <v>1.388888888888884E-2</v>
      </c>
      <c r="R771" s="20">
        <f>(SEGUIMIENTO_TPM_xlsx[[#This Row],[HORA REPORTE]]+SEGUIMIENTO_TPM_xlsx[[#This Row],[FECHA DE REPORTE]])</f>
        <v>46068.916666666664</v>
      </c>
      <c r="S771" s="20">
        <f>(SEGUIMIENTO_TPM_xlsx[[#This Row],[FECHA DE INTERVENCÓN]]+SEGUIMIENTO_TPM_xlsx[[#This Row],[HORA FIN  INTERVENCIÓN]])</f>
        <v>46068.940972222219</v>
      </c>
      <c r="T771" s="11">
        <f>(SEGUIMIENTO_TPM_xlsx[[#This Row],[FECHA Y HORA FINAL]]-SEGUIMIENTO_TPM_xlsx[[#This Row],[FECHA Y HORA INICIO]])</f>
        <v>2.4305555554747116E-2</v>
      </c>
    </row>
    <row r="772" spans="1:20" x14ac:dyDescent="0.25">
      <c r="A772">
        <v>780</v>
      </c>
      <c r="B772" t="s">
        <v>103</v>
      </c>
      <c r="C772" s="1">
        <v>3.472222222222222E-3</v>
      </c>
      <c r="D772" s="2">
        <v>46068</v>
      </c>
      <c r="E772" t="s">
        <v>147</v>
      </c>
      <c r="F772" t="s">
        <v>18</v>
      </c>
      <c r="G772" t="s">
        <v>1279</v>
      </c>
      <c r="H772" s="1">
        <v>2.0833333333333332E-2</v>
      </c>
      <c r="I772" s="1">
        <v>3.125E-2</v>
      </c>
      <c r="J772" s="2">
        <v>46069</v>
      </c>
      <c r="K772" t="s">
        <v>25</v>
      </c>
      <c r="L772" t="s">
        <v>1280</v>
      </c>
      <c r="M772" t="s">
        <v>22</v>
      </c>
      <c r="N772" t="s">
        <v>22</v>
      </c>
      <c r="O772" t="s">
        <v>44</v>
      </c>
      <c r="P772" t="s">
        <v>23</v>
      </c>
      <c r="Q772" s="1">
        <f>SEGUIMIENTO_TPM_xlsx[[#This Row],[HORA FIN  INTERVENCIÓN]]-SEGUIMIENTO_TPM_xlsx[[#This Row],[HORA INICIO INTERVENCIÓN]]</f>
        <v>1.0416666666666668E-2</v>
      </c>
      <c r="R772" s="20">
        <f>(SEGUIMIENTO_TPM_xlsx[[#This Row],[HORA REPORTE]]+SEGUIMIENTO_TPM_xlsx[[#This Row],[FECHA DE REPORTE]])</f>
        <v>46068.003472222219</v>
      </c>
      <c r="S772" s="20">
        <f>(SEGUIMIENTO_TPM_xlsx[[#This Row],[FECHA DE INTERVENCÓN]]+SEGUIMIENTO_TPM_xlsx[[#This Row],[HORA FIN  INTERVENCIÓN]])</f>
        <v>46069.03125</v>
      </c>
      <c r="T772" s="11">
        <f>(SEGUIMIENTO_TPM_xlsx[[#This Row],[FECHA Y HORA FINAL]]-SEGUIMIENTO_TPM_xlsx[[#This Row],[FECHA Y HORA INICIO]])</f>
        <v>1.0277777777810115</v>
      </c>
    </row>
    <row r="773" spans="1:20" x14ac:dyDescent="0.25">
      <c r="A773">
        <v>781</v>
      </c>
      <c r="B773" t="s">
        <v>526</v>
      </c>
      <c r="C773" s="1">
        <v>0.80555555555555558</v>
      </c>
      <c r="D773" s="2">
        <v>46069</v>
      </c>
      <c r="E773" t="s">
        <v>91</v>
      </c>
      <c r="F773" t="s">
        <v>18</v>
      </c>
      <c r="G773" t="s">
        <v>1281</v>
      </c>
      <c r="H773" s="1">
        <v>0.80694444444444446</v>
      </c>
      <c r="I773" s="1">
        <v>0.8125</v>
      </c>
      <c r="J773" s="2">
        <v>46069</v>
      </c>
      <c r="K773" t="s">
        <v>25</v>
      </c>
      <c r="L773" t="s">
        <v>1282</v>
      </c>
      <c r="M773" t="s">
        <v>22</v>
      </c>
      <c r="N773" t="s">
        <v>22</v>
      </c>
      <c r="O773" t="s">
        <v>661</v>
      </c>
      <c r="P773" t="s">
        <v>23</v>
      </c>
      <c r="Q773" s="1">
        <f>SEGUIMIENTO_TPM_xlsx[[#This Row],[HORA FIN  INTERVENCIÓN]]-SEGUIMIENTO_TPM_xlsx[[#This Row],[HORA INICIO INTERVENCIÓN]]</f>
        <v>5.5555555555555358E-3</v>
      </c>
      <c r="R773" s="20">
        <f>(SEGUIMIENTO_TPM_xlsx[[#This Row],[HORA REPORTE]]+SEGUIMIENTO_TPM_xlsx[[#This Row],[FECHA DE REPORTE]])</f>
        <v>46069.805555555555</v>
      </c>
      <c r="S773" s="20">
        <f>(SEGUIMIENTO_TPM_xlsx[[#This Row],[FECHA DE INTERVENCÓN]]+SEGUIMIENTO_TPM_xlsx[[#This Row],[HORA FIN  INTERVENCIÓN]])</f>
        <v>46069.8125</v>
      </c>
      <c r="T773" s="11">
        <f>(SEGUIMIENTO_TPM_xlsx[[#This Row],[FECHA Y HORA FINAL]]-SEGUIMIENTO_TPM_xlsx[[#This Row],[FECHA Y HORA INICIO]])</f>
        <v>6.9444444452528842E-3</v>
      </c>
    </row>
    <row r="774" spans="1:20" x14ac:dyDescent="0.25">
      <c r="A774">
        <v>782</v>
      </c>
      <c r="B774" t="s">
        <v>164</v>
      </c>
      <c r="C774" s="1">
        <v>0.16666666666666666</v>
      </c>
      <c r="D774" s="2">
        <v>46070</v>
      </c>
      <c r="E774" t="s">
        <v>143</v>
      </c>
      <c r="F774" t="s">
        <v>18</v>
      </c>
      <c r="G774" t="s">
        <v>1283</v>
      </c>
      <c r="H774" s="1">
        <v>0.16666666666666666</v>
      </c>
      <c r="I774" s="1">
        <v>0.20833333333333334</v>
      </c>
      <c r="J774" s="2">
        <v>46070</v>
      </c>
      <c r="K774" t="s">
        <v>25</v>
      </c>
      <c r="L774" t="s">
        <v>1284</v>
      </c>
      <c r="M774" t="s">
        <v>22</v>
      </c>
      <c r="N774" t="s">
        <v>205</v>
      </c>
      <c r="O774" t="s">
        <v>44</v>
      </c>
      <c r="P774" t="s">
        <v>23</v>
      </c>
      <c r="Q774" s="1">
        <f>SEGUIMIENTO_TPM_xlsx[[#This Row],[HORA FIN  INTERVENCIÓN]]-SEGUIMIENTO_TPM_xlsx[[#This Row],[HORA INICIO INTERVENCIÓN]]</f>
        <v>4.1666666666666685E-2</v>
      </c>
      <c r="R774" s="20">
        <f>(SEGUIMIENTO_TPM_xlsx[[#This Row],[HORA REPORTE]]+SEGUIMIENTO_TPM_xlsx[[#This Row],[FECHA DE REPORTE]])</f>
        <v>46070.166666666664</v>
      </c>
      <c r="S774" s="20">
        <f>(SEGUIMIENTO_TPM_xlsx[[#This Row],[FECHA DE INTERVENCÓN]]+SEGUIMIENTO_TPM_xlsx[[#This Row],[HORA FIN  INTERVENCIÓN]])</f>
        <v>46070.208333333336</v>
      </c>
      <c r="T774" s="11">
        <f>(SEGUIMIENTO_TPM_xlsx[[#This Row],[FECHA Y HORA FINAL]]-SEGUIMIENTO_TPM_xlsx[[#This Row],[FECHA Y HORA INICIO]])</f>
        <v>4.1666666671517305E-2</v>
      </c>
    </row>
    <row r="775" spans="1:20" x14ac:dyDescent="0.25">
      <c r="A775">
        <v>783</v>
      </c>
      <c r="B775" t="s">
        <v>103</v>
      </c>
      <c r="C775" s="1">
        <v>0.3611111111111111</v>
      </c>
      <c r="D775" s="2">
        <v>46070</v>
      </c>
      <c r="E775" t="s">
        <v>188</v>
      </c>
      <c r="F775" t="s">
        <v>18</v>
      </c>
      <c r="G775" t="s">
        <v>1285</v>
      </c>
      <c r="H775" s="1">
        <v>0.3611111111111111</v>
      </c>
      <c r="I775" s="1">
        <v>0.40277777777777779</v>
      </c>
      <c r="J775" s="2">
        <v>46070</v>
      </c>
      <c r="K775" t="s">
        <v>20</v>
      </c>
      <c r="L775" t="s">
        <v>1286</v>
      </c>
      <c r="M775" t="s">
        <v>22</v>
      </c>
      <c r="N775" t="s">
        <v>22</v>
      </c>
      <c r="P775" t="s">
        <v>23</v>
      </c>
      <c r="Q775" s="1">
        <f>SEGUIMIENTO_TPM_xlsx[[#This Row],[HORA FIN  INTERVENCIÓN]]-SEGUIMIENTO_TPM_xlsx[[#This Row],[HORA INICIO INTERVENCIÓN]]</f>
        <v>4.1666666666666685E-2</v>
      </c>
      <c r="R775" s="20">
        <f>(SEGUIMIENTO_TPM_xlsx[[#This Row],[HORA REPORTE]]+SEGUIMIENTO_TPM_xlsx[[#This Row],[FECHA DE REPORTE]])</f>
        <v>46070.361111111109</v>
      </c>
      <c r="S775" s="20">
        <f>(SEGUIMIENTO_TPM_xlsx[[#This Row],[FECHA DE INTERVENCÓN]]+SEGUIMIENTO_TPM_xlsx[[#This Row],[HORA FIN  INTERVENCIÓN]])</f>
        <v>46070.402777777781</v>
      </c>
      <c r="T775" s="11">
        <f>(SEGUIMIENTO_TPM_xlsx[[#This Row],[FECHA Y HORA FINAL]]-SEGUIMIENTO_TPM_xlsx[[#This Row],[FECHA Y HORA INICIO]])</f>
        <v>4.1666666671517305E-2</v>
      </c>
    </row>
    <row r="776" spans="1:20" x14ac:dyDescent="0.25">
      <c r="A776">
        <v>784</v>
      </c>
      <c r="B776" t="s">
        <v>103</v>
      </c>
      <c r="C776" s="1">
        <v>0.40972222222222221</v>
      </c>
      <c r="D776" s="2">
        <v>46070</v>
      </c>
      <c r="E776" t="s">
        <v>188</v>
      </c>
      <c r="F776" t="s">
        <v>650</v>
      </c>
      <c r="G776" t="s">
        <v>1287</v>
      </c>
      <c r="H776" s="1"/>
      <c r="I776" s="1"/>
      <c r="J776" s="2"/>
      <c r="P776" t="s">
        <v>33</v>
      </c>
      <c r="Q776" s="1">
        <f>SEGUIMIENTO_TPM_xlsx[[#This Row],[HORA FIN  INTERVENCIÓN]]-SEGUIMIENTO_TPM_xlsx[[#This Row],[HORA INICIO INTERVENCIÓN]]</f>
        <v>0</v>
      </c>
      <c r="R776" s="20">
        <f>(SEGUIMIENTO_TPM_xlsx[[#This Row],[HORA REPORTE]]+SEGUIMIENTO_TPM_xlsx[[#This Row],[FECHA DE REPORTE]])</f>
        <v>46070.409722222219</v>
      </c>
      <c r="S776" s="20">
        <f>(SEGUIMIENTO_TPM_xlsx[[#This Row],[FECHA DE INTERVENCÓN]]+SEGUIMIENTO_TPM_xlsx[[#This Row],[HORA FIN  INTERVENCIÓN]])</f>
        <v>0</v>
      </c>
      <c r="T776" s="11">
        <f>(SEGUIMIENTO_TPM_xlsx[[#This Row],[FECHA Y HORA FINAL]]-SEGUIMIENTO_TPM_xlsx[[#This Row],[FECHA Y HORA INICIO]])</f>
        <v>-46070.409722222219</v>
      </c>
    </row>
    <row r="777" spans="1:20" x14ac:dyDescent="0.25">
      <c r="A777">
        <v>785</v>
      </c>
      <c r="B777" t="s">
        <v>93</v>
      </c>
      <c r="C777" s="1">
        <v>0.78680555555555554</v>
      </c>
      <c r="D777" s="2">
        <v>46070</v>
      </c>
      <c r="E777" t="s">
        <v>116</v>
      </c>
      <c r="F777" t="s">
        <v>18</v>
      </c>
      <c r="G777" t="s">
        <v>1288</v>
      </c>
      <c r="H777" s="1">
        <v>0.25694444444444442</v>
      </c>
      <c r="I777" s="1">
        <v>0.27083333333333331</v>
      </c>
      <c r="J777" s="2">
        <v>46071</v>
      </c>
      <c r="K777" t="s">
        <v>20</v>
      </c>
      <c r="L777" t="s">
        <v>1289</v>
      </c>
      <c r="M777" t="s">
        <v>1290</v>
      </c>
      <c r="N777" t="s">
        <v>22</v>
      </c>
      <c r="O777" t="s">
        <v>112</v>
      </c>
      <c r="P777" t="s">
        <v>23</v>
      </c>
      <c r="Q777" s="1">
        <f>SEGUIMIENTO_TPM_xlsx[[#This Row],[HORA FIN  INTERVENCIÓN]]-SEGUIMIENTO_TPM_xlsx[[#This Row],[HORA INICIO INTERVENCIÓN]]</f>
        <v>1.3888888888888895E-2</v>
      </c>
      <c r="R777" s="20">
        <f>(SEGUIMIENTO_TPM_xlsx[[#This Row],[HORA REPORTE]]+SEGUIMIENTO_TPM_xlsx[[#This Row],[FECHA DE REPORTE]])</f>
        <v>46070.786805555559</v>
      </c>
      <c r="S777" s="20">
        <f>(SEGUIMIENTO_TPM_xlsx[[#This Row],[FECHA DE INTERVENCÓN]]+SEGUIMIENTO_TPM_xlsx[[#This Row],[HORA FIN  INTERVENCIÓN]])</f>
        <v>46071.270833333336</v>
      </c>
      <c r="T777" s="11">
        <f>(SEGUIMIENTO_TPM_xlsx[[#This Row],[FECHA Y HORA FINAL]]-SEGUIMIENTO_TPM_xlsx[[#This Row],[FECHA Y HORA INICIO]])</f>
        <v>0.48402777777664596</v>
      </c>
    </row>
    <row r="778" spans="1:20" x14ac:dyDescent="0.25">
      <c r="A778">
        <v>786</v>
      </c>
      <c r="B778" t="s">
        <v>139</v>
      </c>
      <c r="C778" s="1"/>
      <c r="D778" s="2">
        <v>46070</v>
      </c>
      <c r="E778" t="s">
        <v>188</v>
      </c>
      <c r="F778" t="s">
        <v>18</v>
      </c>
      <c r="G778" t="s">
        <v>1291</v>
      </c>
      <c r="H778" s="1"/>
      <c r="I778" s="1"/>
      <c r="J778" s="2"/>
      <c r="P778" t="s">
        <v>33</v>
      </c>
      <c r="Q778" s="1">
        <f>SEGUIMIENTO_TPM_xlsx[[#This Row],[HORA FIN  INTERVENCIÓN]]-SEGUIMIENTO_TPM_xlsx[[#This Row],[HORA INICIO INTERVENCIÓN]]</f>
        <v>0</v>
      </c>
      <c r="R778" s="20">
        <f>(SEGUIMIENTO_TPM_xlsx[[#This Row],[HORA REPORTE]]+SEGUIMIENTO_TPM_xlsx[[#This Row],[FECHA DE REPORTE]])</f>
        <v>46070</v>
      </c>
      <c r="S778" s="20">
        <f>(SEGUIMIENTO_TPM_xlsx[[#This Row],[FECHA DE INTERVENCÓN]]+SEGUIMIENTO_TPM_xlsx[[#This Row],[HORA FIN  INTERVENCIÓN]])</f>
        <v>0</v>
      </c>
      <c r="T778" s="11">
        <f>(SEGUIMIENTO_TPM_xlsx[[#This Row],[FECHA Y HORA FINAL]]-SEGUIMIENTO_TPM_xlsx[[#This Row],[FECHA Y HORA INICIO]])</f>
        <v>-46070</v>
      </c>
    </row>
    <row r="779" spans="1:20" x14ac:dyDescent="0.25">
      <c r="A779">
        <v>787</v>
      </c>
      <c r="B779" t="s">
        <v>317</v>
      </c>
      <c r="C779" s="1">
        <v>0.84722222222222221</v>
      </c>
      <c r="D779" s="2">
        <v>46070</v>
      </c>
      <c r="E779" t="s">
        <v>91</v>
      </c>
      <c r="F779" t="s">
        <v>18</v>
      </c>
      <c r="G779" t="s">
        <v>1292</v>
      </c>
      <c r="H779" s="1">
        <v>0.84722222222222221</v>
      </c>
      <c r="I779" s="1">
        <v>0.89583333333333337</v>
      </c>
      <c r="J779" s="2">
        <v>46070</v>
      </c>
      <c r="K779" t="s">
        <v>20</v>
      </c>
      <c r="L779" t="s">
        <v>1293</v>
      </c>
      <c r="M779" t="s">
        <v>22</v>
      </c>
      <c r="N779" t="s">
        <v>22</v>
      </c>
      <c r="O779" t="s">
        <v>108</v>
      </c>
      <c r="P779" t="s">
        <v>23</v>
      </c>
      <c r="Q779" s="1">
        <f>SEGUIMIENTO_TPM_xlsx[[#This Row],[HORA FIN  INTERVENCIÓN]]-SEGUIMIENTO_TPM_xlsx[[#This Row],[HORA INICIO INTERVENCIÓN]]</f>
        <v>4.861111111111116E-2</v>
      </c>
      <c r="R779" s="20">
        <f>(SEGUIMIENTO_TPM_xlsx[[#This Row],[HORA REPORTE]]+SEGUIMIENTO_TPM_xlsx[[#This Row],[FECHA DE REPORTE]])</f>
        <v>46070.847222222219</v>
      </c>
      <c r="S779" s="20">
        <f>(SEGUIMIENTO_TPM_xlsx[[#This Row],[FECHA DE INTERVENCÓN]]+SEGUIMIENTO_TPM_xlsx[[#This Row],[HORA FIN  INTERVENCIÓN]])</f>
        <v>46070.895833333336</v>
      </c>
      <c r="T779" s="11">
        <f>(SEGUIMIENTO_TPM_xlsx[[#This Row],[FECHA Y HORA FINAL]]-SEGUIMIENTO_TPM_xlsx[[#This Row],[FECHA Y HORA INICIO]])</f>
        <v>4.8611111116770189E-2</v>
      </c>
    </row>
    <row r="780" spans="1:20" x14ac:dyDescent="0.25">
      <c r="A780">
        <v>788</v>
      </c>
      <c r="B780" t="s">
        <v>161</v>
      </c>
      <c r="C780" s="1">
        <v>0.38541666666666669</v>
      </c>
      <c r="D780" s="2">
        <v>46071</v>
      </c>
      <c r="E780" t="s">
        <v>782</v>
      </c>
      <c r="F780" t="s">
        <v>18</v>
      </c>
      <c r="G780" t="s">
        <v>1294</v>
      </c>
      <c r="H780" s="1">
        <v>0.38541666666666669</v>
      </c>
      <c r="I780" s="1">
        <v>0.39583333333333331</v>
      </c>
      <c r="J780" s="2">
        <v>46071</v>
      </c>
      <c r="K780" t="s">
        <v>25</v>
      </c>
      <c r="L780" t="s">
        <v>1295</v>
      </c>
      <c r="M780" t="s">
        <v>22</v>
      </c>
      <c r="N780" t="s">
        <v>22</v>
      </c>
      <c r="O780" t="s">
        <v>112</v>
      </c>
      <c r="P780" t="s">
        <v>23</v>
      </c>
      <c r="Q780" s="1">
        <f>SEGUIMIENTO_TPM_xlsx[[#This Row],[HORA FIN  INTERVENCIÓN]]-SEGUIMIENTO_TPM_xlsx[[#This Row],[HORA INICIO INTERVENCIÓN]]</f>
        <v>1.041666666666663E-2</v>
      </c>
      <c r="R780" s="20">
        <f>(SEGUIMIENTO_TPM_xlsx[[#This Row],[HORA REPORTE]]+SEGUIMIENTO_TPM_xlsx[[#This Row],[FECHA DE REPORTE]])</f>
        <v>46071.385416666664</v>
      </c>
      <c r="S780" s="20">
        <f>(SEGUIMIENTO_TPM_xlsx[[#This Row],[FECHA DE INTERVENCÓN]]+SEGUIMIENTO_TPM_xlsx[[#This Row],[HORA FIN  INTERVENCIÓN]])</f>
        <v>46071.395833333336</v>
      </c>
      <c r="T780" s="11">
        <f>(SEGUIMIENTO_TPM_xlsx[[#This Row],[FECHA Y HORA FINAL]]-SEGUIMIENTO_TPM_xlsx[[#This Row],[FECHA Y HORA INICIO]])</f>
        <v>1.0416666671517305E-2</v>
      </c>
    </row>
    <row r="781" spans="1:20" x14ac:dyDescent="0.25">
      <c r="A781">
        <v>789</v>
      </c>
      <c r="B781" t="s">
        <v>139</v>
      </c>
      <c r="C781" s="1">
        <v>0.96527777777777779</v>
      </c>
      <c r="D781" s="2">
        <v>46071</v>
      </c>
      <c r="E781" t="s">
        <v>188</v>
      </c>
      <c r="F781" t="s">
        <v>18</v>
      </c>
      <c r="G781" t="s">
        <v>1296</v>
      </c>
      <c r="H781" s="1">
        <v>0.96875</v>
      </c>
      <c r="I781" s="1">
        <v>0.99305555555555558</v>
      </c>
      <c r="J781" s="2">
        <v>46071</v>
      </c>
      <c r="K781" t="s">
        <v>25</v>
      </c>
      <c r="L781" t="s">
        <v>1297</v>
      </c>
      <c r="M781" t="s">
        <v>22</v>
      </c>
      <c r="N781" t="s">
        <v>22</v>
      </c>
      <c r="O781" t="s">
        <v>661</v>
      </c>
      <c r="P781" t="s">
        <v>23</v>
      </c>
      <c r="Q781" s="1">
        <f>SEGUIMIENTO_TPM_xlsx[[#This Row],[HORA FIN  INTERVENCIÓN]]-SEGUIMIENTO_TPM_xlsx[[#This Row],[HORA INICIO INTERVENCIÓN]]</f>
        <v>2.430555555555558E-2</v>
      </c>
      <c r="R781" s="20">
        <f>(SEGUIMIENTO_TPM_xlsx[[#This Row],[HORA REPORTE]]+SEGUIMIENTO_TPM_xlsx[[#This Row],[FECHA DE REPORTE]])</f>
        <v>46071.965277777781</v>
      </c>
      <c r="S781" s="20">
        <f>(SEGUIMIENTO_TPM_xlsx[[#This Row],[FECHA DE INTERVENCÓN]]+SEGUIMIENTO_TPM_xlsx[[#This Row],[HORA FIN  INTERVENCIÓN]])</f>
        <v>46071.993055555555</v>
      </c>
      <c r="T781" s="11">
        <f>(SEGUIMIENTO_TPM_xlsx[[#This Row],[FECHA Y HORA FINAL]]-SEGUIMIENTO_TPM_xlsx[[#This Row],[FECHA Y HORA INICIO]])</f>
        <v>2.7777777773735579E-2</v>
      </c>
    </row>
    <row r="782" spans="1:20" x14ac:dyDescent="0.25">
      <c r="A782">
        <v>790</v>
      </c>
      <c r="C782" s="1"/>
      <c r="D782" s="2"/>
      <c r="H782" s="1"/>
      <c r="I782" s="1"/>
      <c r="J782" s="2"/>
      <c r="Q782" s="1">
        <f>SEGUIMIENTO_TPM_xlsx[[#This Row],[HORA FIN  INTERVENCIÓN]]-SEGUIMIENTO_TPM_xlsx[[#This Row],[HORA INICIO INTERVENCIÓN]]</f>
        <v>0</v>
      </c>
      <c r="R782" s="20">
        <f>(SEGUIMIENTO_TPM_xlsx[[#This Row],[HORA REPORTE]]+SEGUIMIENTO_TPM_xlsx[[#This Row],[FECHA DE REPORTE]])</f>
        <v>0</v>
      </c>
      <c r="S782" s="20">
        <f>(SEGUIMIENTO_TPM_xlsx[[#This Row],[FECHA DE INTERVENCÓN]]+SEGUIMIENTO_TPM_xlsx[[#This Row],[HORA FIN  INTERVENCIÓN]])</f>
        <v>0</v>
      </c>
      <c r="T782" s="11">
        <f>(SEGUIMIENTO_TPM_xlsx[[#This Row],[FECHA Y HORA FINAL]]-SEGUIMIENTO_TPM_xlsx[[#This Row],[FECHA Y HORA INICIO]])</f>
        <v>0</v>
      </c>
    </row>
    <row r="783" spans="1:20" x14ac:dyDescent="0.25">
      <c r="A783">
        <v>791</v>
      </c>
      <c r="B783" t="s">
        <v>184</v>
      </c>
      <c r="C783" s="1">
        <v>0.32083333333333336</v>
      </c>
      <c r="D783" s="2">
        <v>46072</v>
      </c>
      <c r="E783" t="s">
        <v>85</v>
      </c>
      <c r="F783" t="s">
        <v>18</v>
      </c>
      <c r="G783" t="s">
        <v>1298</v>
      </c>
      <c r="H783" s="1"/>
      <c r="I783" s="1"/>
      <c r="J783" s="2"/>
      <c r="P783" t="s">
        <v>33</v>
      </c>
      <c r="Q783" s="1">
        <f>SEGUIMIENTO_TPM_xlsx[[#This Row],[HORA FIN  INTERVENCIÓN]]-SEGUIMIENTO_TPM_xlsx[[#This Row],[HORA INICIO INTERVENCIÓN]]</f>
        <v>0</v>
      </c>
      <c r="R783" s="20">
        <f>(SEGUIMIENTO_TPM_xlsx[[#This Row],[HORA REPORTE]]+SEGUIMIENTO_TPM_xlsx[[#This Row],[FECHA DE REPORTE]])</f>
        <v>46072.320833333331</v>
      </c>
      <c r="S783" s="20">
        <f>(SEGUIMIENTO_TPM_xlsx[[#This Row],[FECHA DE INTERVENCÓN]]+SEGUIMIENTO_TPM_xlsx[[#This Row],[HORA FIN  INTERVENCIÓN]])</f>
        <v>0</v>
      </c>
      <c r="T783" s="11">
        <f>(SEGUIMIENTO_TPM_xlsx[[#This Row],[FECHA Y HORA FINAL]]-SEGUIMIENTO_TPM_xlsx[[#This Row],[FECHA Y HORA INICIO]])</f>
        <v>-46072.320833333331</v>
      </c>
    </row>
    <row r="784" spans="1:20" x14ac:dyDescent="0.25">
      <c r="A784">
        <v>792</v>
      </c>
      <c r="B784" t="s">
        <v>113</v>
      </c>
      <c r="C784" s="1">
        <v>0.46527777777777779</v>
      </c>
      <c r="D784" s="2">
        <v>46072</v>
      </c>
      <c r="E784" t="s">
        <v>91</v>
      </c>
      <c r="F784" t="s">
        <v>18</v>
      </c>
      <c r="G784" t="s">
        <v>1299</v>
      </c>
      <c r="H784" s="1">
        <v>0.47222222222222221</v>
      </c>
      <c r="I784" s="1">
        <v>0.51388888888888884</v>
      </c>
      <c r="J784" s="2">
        <v>46072</v>
      </c>
      <c r="K784" t="s">
        <v>25</v>
      </c>
      <c r="L784" t="s">
        <v>1300</v>
      </c>
      <c r="M784" t="s">
        <v>22</v>
      </c>
      <c r="N784" t="s">
        <v>22</v>
      </c>
      <c r="O784" t="s">
        <v>44</v>
      </c>
      <c r="P784" t="s">
        <v>23</v>
      </c>
      <c r="Q784" s="1">
        <f>SEGUIMIENTO_TPM_xlsx[[#This Row],[HORA FIN  INTERVENCIÓN]]-SEGUIMIENTO_TPM_xlsx[[#This Row],[HORA INICIO INTERVENCIÓN]]</f>
        <v>4.166666666666663E-2</v>
      </c>
      <c r="R784" s="20">
        <f>(SEGUIMIENTO_TPM_xlsx[[#This Row],[HORA REPORTE]]+SEGUIMIENTO_TPM_xlsx[[#This Row],[FECHA DE REPORTE]])</f>
        <v>46072.465277777781</v>
      </c>
      <c r="S784" s="20">
        <f>(SEGUIMIENTO_TPM_xlsx[[#This Row],[FECHA DE INTERVENCÓN]]+SEGUIMIENTO_TPM_xlsx[[#This Row],[HORA FIN  INTERVENCIÓN]])</f>
        <v>46072.513888888891</v>
      </c>
      <c r="T784" s="11">
        <f>(SEGUIMIENTO_TPM_xlsx[[#This Row],[FECHA Y HORA FINAL]]-SEGUIMIENTO_TPM_xlsx[[#This Row],[FECHA Y HORA INICIO]])</f>
        <v>4.8611111109494232E-2</v>
      </c>
    </row>
    <row r="785" spans="1:20" x14ac:dyDescent="0.25">
      <c r="A785">
        <v>793</v>
      </c>
      <c r="B785" t="s">
        <v>113</v>
      </c>
      <c r="C785" s="1">
        <v>0.5</v>
      </c>
      <c r="D785" s="2">
        <v>46072</v>
      </c>
      <c r="E785" t="s">
        <v>91</v>
      </c>
      <c r="F785" t="s">
        <v>18</v>
      </c>
      <c r="G785" t="s">
        <v>1301</v>
      </c>
      <c r="H785" s="1">
        <v>0.5</v>
      </c>
      <c r="I785" s="1">
        <v>0.54166666666666663</v>
      </c>
      <c r="J785" s="2">
        <v>46072</v>
      </c>
      <c r="K785" t="s">
        <v>25</v>
      </c>
      <c r="L785" t="s">
        <v>1302</v>
      </c>
      <c r="M785" t="s">
        <v>1303</v>
      </c>
      <c r="N785" t="s">
        <v>22</v>
      </c>
      <c r="O785" t="s">
        <v>44</v>
      </c>
      <c r="P785" t="s">
        <v>23</v>
      </c>
      <c r="Q785" s="1">
        <f>SEGUIMIENTO_TPM_xlsx[[#This Row],[HORA FIN  INTERVENCIÓN]]-SEGUIMIENTO_TPM_xlsx[[#This Row],[HORA INICIO INTERVENCIÓN]]</f>
        <v>4.166666666666663E-2</v>
      </c>
      <c r="R785" s="20">
        <f>(SEGUIMIENTO_TPM_xlsx[[#This Row],[HORA REPORTE]]+SEGUIMIENTO_TPM_xlsx[[#This Row],[FECHA DE REPORTE]])</f>
        <v>46072.5</v>
      </c>
      <c r="S785" s="20">
        <f>(SEGUIMIENTO_TPM_xlsx[[#This Row],[FECHA DE INTERVENCÓN]]+SEGUIMIENTO_TPM_xlsx[[#This Row],[HORA FIN  INTERVENCIÓN]])</f>
        <v>46072.541666666664</v>
      </c>
      <c r="T785" s="11">
        <f>(SEGUIMIENTO_TPM_xlsx[[#This Row],[FECHA Y HORA FINAL]]-SEGUIMIENTO_TPM_xlsx[[#This Row],[FECHA Y HORA INICIO]])</f>
        <v>4.1666666664241347E-2</v>
      </c>
    </row>
    <row r="786" spans="1:20" x14ac:dyDescent="0.25">
      <c r="A786">
        <v>794</v>
      </c>
      <c r="B786" t="s">
        <v>112</v>
      </c>
      <c r="C786" s="1">
        <v>0.39583333333333331</v>
      </c>
      <c r="D786" s="2">
        <v>46072</v>
      </c>
      <c r="E786" t="s">
        <v>17</v>
      </c>
      <c r="F786" t="s">
        <v>18</v>
      </c>
      <c r="G786" t="s">
        <v>1304</v>
      </c>
      <c r="H786" s="1">
        <v>0.8125</v>
      </c>
      <c r="I786" s="1">
        <v>0.83333333333333337</v>
      </c>
      <c r="J786" s="2">
        <v>46072</v>
      </c>
      <c r="K786" t="s">
        <v>25</v>
      </c>
      <c r="L786" t="s">
        <v>1305</v>
      </c>
      <c r="M786" t="s">
        <v>22</v>
      </c>
      <c r="N786" t="s">
        <v>22</v>
      </c>
      <c r="O786" t="s">
        <v>112</v>
      </c>
      <c r="P786" t="s">
        <v>23</v>
      </c>
      <c r="Q786" s="1">
        <f>SEGUIMIENTO_TPM_xlsx[[#This Row],[HORA FIN  INTERVENCIÓN]]-SEGUIMIENTO_TPM_xlsx[[#This Row],[HORA INICIO INTERVENCIÓN]]</f>
        <v>2.083333333333337E-2</v>
      </c>
      <c r="R786" s="20">
        <f>(SEGUIMIENTO_TPM_xlsx[[#This Row],[HORA REPORTE]]+SEGUIMIENTO_TPM_xlsx[[#This Row],[FECHA DE REPORTE]])</f>
        <v>46072.395833333336</v>
      </c>
      <c r="S786" s="20">
        <f>(SEGUIMIENTO_TPM_xlsx[[#This Row],[FECHA DE INTERVENCÓN]]+SEGUIMIENTO_TPM_xlsx[[#This Row],[HORA FIN  INTERVENCIÓN]])</f>
        <v>46072.833333333336</v>
      </c>
      <c r="T786" s="11">
        <f>(SEGUIMIENTO_TPM_xlsx[[#This Row],[FECHA Y HORA FINAL]]-SEGUIMIENTO_TPM_xlsx[[#This Row],[FECHA Y HORA INICIO]])</f>
        <v>0.4375</v>
      </c>
    </row>
    <row r="787" spans="1:20" x14ac:dyDescent="0.25">
      <c r="A787">
        <v>795</v>
      </c>
      <c r="B787" t="s">
        <v>164</v>
      </c>
      <c r="C787" s="1">
        <v>0.82638888888888884</v>
      </c>
      <c r="D787" s="2">
        <v>46072</v>
      </c>
      <c r="E787" t="s">
        <v>143</v>
      </c>
      <c r="F787" t="s">
        <v>18</v>
      </c>
      <c r="G787" t="s">
        <v>1306</v>
      </c>
      <c r="H787" s="1">
        <v>0.82638888888888884</v>
      </c>
      <c r="I787" s="1">
        <v>0.85416666666666663</v>
      </c>
      <c r="J787" s="2">
        <v>46072</v>
      </c>
      <c r="K787" t="s">
        <v>25</v>
      </c>
      <c r="L787" t="s">
        <v>1307</v>
      </c>
      <c r="M787" t="s">
        <v>22</v>
      </c>
      <c r="N787" t="s">
        <v>22</v>
      </c>
      <c r="O787" t="s">
        <v>112</v>
      </c>
      <c r="P787" t="s">
        <v>23</v>
      </c>
      <c r="Q787" s="1">
        <f>SEGUIMIENTO_TPM_xlsx[[#This Row],[HORA FIN  INTERVENCIÓN]]-SEGUIMIENTO_TPM_xlsx[[#This Row],[HORA INICIO INTERVENCIÓN]]</f>
        <v>2.777777777777779E-2</v>
      </c>
      <c r="R787" s="20">
        <f>(SEGUIMIENTO_TPM_xlsx[[#This Row],[HORA REPORTE]]+SEGUIMIENTO_TPM_xlsx[[#This Row],[FECHA DE REPORTE]])</f>
        <v>46072.826388888891</v>
      </c>
      <c r="S787" s="20">
        <f>(SEGUIMIENTO_TPM_xlsx[[#This Row],[FECHA DE INTERVENCÓN]]+SEGUIMIENTO_TPM_xlsx[[#This Row],[HORA FIN  INTERVENCIÓN]])</f>
        <v>46072.854166666664</v>
      </c>
      <c r="T787" s="11">
        <f>(SEGUIMIENTO_TPM_xlsx[[#This Row],[FECHA Y HORA FINAL]]-SEGUIMIENTO_TPM_xlsx[[#This Row],[FECHA Y HORA INICIO]])</f>
        <v>2.7777777773735579E-2</v>
      </c>
    </row>
    <row r="788" spans="1:20" x14ac:dyDescent="0.25">
      <c r="A788">
        <v>796</v>
      </c>
      <c r="B788" t="s">
        <v>113</v>
      </c>
      <c r="C788" s="1">
        <v>0.27777777777777779</v>
      </c>
      <c r="D788" s="2">
        <v>46073</v>
      </c>
      <c r="E788" t="s">
        <v>188</v>
      </c>
      <c r="F788" t="s">
        <v>18</v>
      </c>
      <c r="G788" t="s">
        <v>1308</v>
      </c>
      <c r="H788" s="1">
        <v>0.28472222222222221</v>
      </c>
      <c r="I788" s="1">
        <v>0.43055555555555558</v>
      </c>
      <c r="J788" s="2">
        <v>46073</v>
      </c>
      <c r="K788" t="s">
        <v>25</v>
      </c>
      <c r="L788" t="s">
        <v>1309</v>
      </c>
      <c r="M788" t="s">
        <v>22</v>
      </c>
      <c r="N788" t="s">
        <v>22</v>
      </c>
      <c r="O788" t="s">
        <v>661</v>
      </c>
      <c r="P788" t="s">
        <v>23</v>
      </c>
      <c r="Q788" s="1">
        <f>SEGUIMIENTO_TPM_xlsx[[#This Row],[HORA FIN  INTERVENCIÓN]]-SEGUIMIENTO_TPM_xlsx[[#This Row],[HORA INICIO INTERVENCIÓN]]</f>
        <v>0.14583333333333337</v>
      </c>
      <c r="R788" s="20">
        <f>(SEGUIMIENTO_TPM_xlsx[[#This Row],[HORA REPORTE]]+SEGUIMIENTO_TPM_xlsx[[#This Row],[FECHA DE REPORTE]])</f>
        <v>46073.277777777781</v>
      </c>
      <c r="S788" s="20">
        <f>(SEGUIMIENTO_TPM_xlsx[[#This Row],[FECHA DE INTERVENCÓN]]+SEGUIMIENTO_TPM_xlsx[[#This Row],[HORA FIN  INTERVENCIÓN]])</f>
        <v>46073.430555555555</v>
      </c>
      <c r="T788" s="11">
        <f>(SEGUIMIENTO_TPM_xlsx[[#This Row],[FECHA Y HORA FINAL]]-SEGUIMIENTO_TPM_xlsx[[#This Row],[FECHA Y HORA INICIO]])</f>
        <v>0.15277777777373558</v>
      </c>
    </row>
    <row r="789" spans="1:20" x14ac:dyDescent="0.25">
      <c r="A789">
        <v>797</v>
      </c>
      <c r="C789" s="1"/>
      <c r="D789" s="2"/>
      <c r="H789" s="1"/>
      <c r="I789" s="1"/>
      <c r="J789" s="2"/>
      <c r="Q789" s="1">
        <f>SEGUIMIENTO_TPM_xlsx[[#This Row],[HORA FIN  INTERVENCIÓN]]-SEGUIMIENTO_TPM_xlsx[[#This Row],[HORA INICIO INTERVENCIÓN]]</f>
        <v>0</v>
      </c>
      <c r="R789" s="20">
        <f>(SEGUIMIENTO_TPM_xlsx[[#This Row],[HORA REPORTE]]+SEGUIMIENTO_TPM_xlsx[[#This Row],[FECHA DE REPORTE]])</f>
        <v>0</v>
      </c>
      <c r="S789" s="20">
        <f>(SEGUIMIENTO_TPM_xlsx[[#This Row],[FECHA DE INTERVENCÓN]]+SEGUIMIENTO_TPM_xlsx[[#This Row],[HORA FIN  INTERVENCIÓN]])</f>
        <v>0</v>
      </c>
      <c r="T789" s="11">
        <f>(SEGUIMIENTO_TPM_xlsx[[#This Row],[FECHA Y HORA FINAL]]-SEGUIMIENTO_TPM_xlsx[[#This Row],[FECHA Y HORA INICIO]])</f>
        <v>0</v>
      </c>
    </row>
    <row r="790" spans="1:20" x14ac:dyDescent="0.25">
      <c r="A790">
        <v>798</v>
      </c>
      <c r="B790" t="s">
        <v>103</v>
      </c>
      <c r="C790" s="1">
        <v>0.85416666666666663</v>
      </c>
      <c r="D790" s="2">
        <v>46073</v>
      </c>
      <c r="E790" t="s">
        <v>147</v>
      </c>
      <c r="F790" t="s">
        <v>18</v>
      </c>
      <c r="G790" t="s">
        <v>1310</v>
      </c>
      <c r="H790" s="1"/>
      <c r="I790" s="1"/>
      <c r="J790" s="2">
        <v>46073</v>
      </c>
      <c r="K790" t="s">
        <v>20</v>
      </c>
      <c r="L790" t="s">
        <v>1311</v>
      </c>
      <c r="M790" t="s">
        <v>22</v>
      </c>
      <c r="N790" t="s">
        <v>22</v>
      </c>
      <c r="O790" t="s">
        <v>44</v>
      </c>
      <c r="Q790" s="1">
        <f>SEGUIMIENTO_TPM_xlsx[[#This Row],[HORA FIN  INTERVENCIÓN]]-SEGUIMIENTO_TPM_xlsx[[#This Row],[HORA INICIO INTERVENCIÓN]]</f>
        <v>0</v>
      </c>
      <c r="R790" s="20">
        <f>(SEGUIMIENTO_TPM_xlsx[[#This Row],[HORA REPORTE]]+SEGUIMIENTO_TPM_xlsx[[#This Row],[FECHA DE REPORTE]])</f>
        <v>46073.854166666664</v>
      </c>
      <c r="S790" s="20">
        <f>(SEGUIMIENTO_TPM_xlsx[[#This Row],[FECHA DE INTERVENCÓN]]+SEGUIMIENTO_TPM_xlsx[[#This Row],[HORA FIN  INTERVENCIÓN]])</f>
        <v>46073</v>
      </c>
      <c r="T790" s="11">
        <f>(SEGUIMIENTO_TPM_xlsx[[#This Row],[FECHA Y HORA FINAL]]-SEGUIMIENTO_TPM_xlsx[[#This Row],[FECHA Y HORA INICIO]])</f>
        <v>-0.85416666666424135</v>
      </c>
    </row>
    <row r="791" spans="1:20" x14ac:dyDescent="0.25">
      <c r="A791">
        <v>799</v>
      </c>
      <c r="C791" s="1"/>
      <c r="D791" s="2"/>
      <c r="H791" s="1"/>
      <c r="I791" s="1"/>
      <c r="J791" s="2"/>
      <c r="Q791" s="1">
        <f>SEGUIMIENTO_TPM_xlsx[[#This Row],[HORA FIN  INTERVENCIÓN]]-SEGUIMIENTO_TPM_xlsx[[#This Row],[HORA INICIO INTERVENCIÓN]]</f>
        <v>0</v>
      </c>
      <c r="R791" s="20">
        <f>(SEGUIMIENTO_TPM_xlsx[[#This Row],[HORA REPORTE]]+SEGUIMIENTO_TPM_xlsx[[#This Row],[FECHA DE REPORTE]])</f>
        <v>0</v>
      </c>
      <c r="S791" s="20">
        <f>(SEGUIMIENTO_TPM_xlsx[[#This Row],[FECHA DE INTERVENCÓN]]+SEGUIMIENTO_TPM_xlsx[[#This Row],[HORA FIN  INTERVENCIÓN]])</f>
        <v>0</v>
      </c>
      <c r="T791" s="11">
        <f>(SEGUIMIENTO_TPM_xlsx[[#This Row],[FECHA Y HORA FINAL]]-SEGUIMIENTO_TPM_xlsx[[#This Row],[FECHA Y HORA INICIO]])</f>
        <v>0</v>
      </c>
    </row>
    <row r="792" spans="1:20" x14ac:dyDescent="0.25">
      <c r="A792">
        <v>800</v>
      </c>
      <c r="B792" t="s">
        <v>317</v>
      </c>
      <c r="C792" s="1">
        <v>0.39583333333333331</v>
      </c>
      <c r="D792" s="2">
        <v>46074</v>
      </c>
      <c r="E792" t="s">
        <v>91</v>
      </c>
      <c r="F792" t="s">
        <v>18</v>
      </c>
      <c r="G792" t="s">
        <v>1312</v>
      </c>
      <c r="H792" s="1"/>
      <c r="I792" s="1"/>
      <c r="J792" s="2"/>
      <c r="P792" t="s">
        <v>33</v>
      </c>
      <c r="Q792" s="1">
        <f>SEGUIMIENTO_TPM_xlsx[[#This Row],[HORA FIN  INTERVENCIÓN]]-SEGUIMIENTO_TPM_xlsx[[#This Row],[HORA INICIO INTERVENCIÓN]]</f>
        <v>0</v>
      </c>
      <c r="R792" s="20">
        <f>(SEGUIMIENTO_TPM_xlsx[[#This Row],[HORA REPORTE]]+SEGUIMIENTO_TPM_xlsx[[#This Row],[FECHA DE REPORTE]])</f>
        <v>46074.395833333336</v>
      </c>
      <c r="S792" s="20">
        <f>(SEGUIMIENTO_TPM_xlsx[[#This Row],[FECHA DE INTERVENCÓN]]+SEGUIMIENTO_TPM_xlsx[[#This Row],[HORA FIN  INTERVENCIÓN]])</f>
        <v>0</v>
      </c>
      <c r="T792" s="11">
        <f>(SEGUIMIENTO_TPM_xlsx[[#This Row],[FECHA Y HORA FINAL]]-SEGUIMIENTO_TPM_xlsx[[#This Row],[FECHA Y HORA INICIO]])</f>
        <v>-46074.395833333336</v>
      </c>
    </row>
    <row r="793" spans="1:20" x14ac:dyDescent="0.25">
      <c r="A793">
        <v>801</v>
      </c>
      <c r="C793" s="1"/>
      <c r="D793" s="2"/>
      <c r="H793" s="1"/>
      <c r="I793" s="1"/>
      <c r="J793" s="2"/>
      <c r="Q793" s="1">
        <f>SEGUIMIENTO_TPM_xlsx[[#This Row],[HORA FIN  INTERVENCIÓN]]-SEGUIMIENTO_TPM_xlsx[[#This Row],[HORA INICIO INTERVENCIÓN]]</f>
        <v>0</v>
      </c>
      <c r="R793" s="20">
        <f>(SEGUIMIENTO_TPM_xlsx[[#This Row],[HORA REPORTE]]+SEGUIMIENTO_TPM_xlsx[[#This Row],[FECHA DE REPORTE]])</f>
        <v>0</v>
      </c>
      <c r="S793" s="20">
        <f>(SEGUIMIENTO_TPM_xlsx[[#This Row],[FECHA DE INTERVENCÓN]]+SEGUIMIENTO_TPM_xlsx[[#This Row],[HORA FIN  INTERVENCIÓN]])</f>
        <v>0</v>
      </c>
      <c r="T793" s="11">
        <f>(SEGUIMIENTO_TPM_xlsx[[#This Row],[FECHA Y HORA FINAL]]-SEGUIMIENTO_TPM_xlsx[[#This Row],[FECHA Y HORA INICIO]])</f>
        <v>0</v>
      </c>
    </row>
    <row r="794" spans="1:20" x14ac:dyDescent="0.25">
      <c r="A794">
        <v>802</v>
      </c>
      <c r="C794" s="1"/>
      <c r="D794" s="2"/>
      <c r="H794" s="1"/>
      <c r="I794" s="1"/>
      <c r="J794" s="2"/>
      <c r="Q794" s="1">
        <f>SEGUIMIENTO_TPM_xlsx[[#This Row],[HORA FIN  INTERVENCIÓN]]-SEGUIMIENTO_TPM_xlsx[[#This Row],[HORA INICIO INTERVENCIÓN]]</f>
        <v>0</v>
      </c>
      <c r="R794" s="20">
        <f>(SEGUIMIENTO_TPM_xlsx[[#This Row],[HORA REPORTE]]+SEGUIMIENTO_TPM_xlsx[[#This Row],[FECHA DE REPORTE]])</f>
        <v>0</v>
      </c>
      <c r="S794" s="20">
        <f>(SEGUIMIENTO_TPM_xlsx[[#This Row],[FECHA DE INTERVENCÓN]]+SEGUIMIENTO_TPM_xlsx[[#This Row],[HORA FIN  INTERVENCIÓN]])</f>
        <v>0</v>
      </c>
      <c r="T794" s="11">
        <f>(SEGUIMIENTO_TPM_xlsx[[#This Row],[FECHA Y HORA FINAL]]-SEGUIMIENTO_TPM_xlsx[[#This Row],[FECHA Y HORA INICIO]])</f>
        <v>0</v>
      </c>
    </row>
    <row r="795" spans="1:20" x14ac:dyDescent="0.25">
      <c r="A795">
        <v>803</v>
      </c>
      <c r="C795" s="1"/>
      <c r="D795" s="2"/>
      <c r="H795" s="1"/>
      <c r="I795" s="1"/>
      <c r="J795" s="2"/>
      <c r="Q795" s="1">
        <f>SEGUIMIENTO_TPM_xlsx[[#This Row],[HORA FIN  INTERVENCIÓN]]-SEGUIMIENTO_TPM_xlsx[[#This Row],[HORA INICIO INTERVENCIÓN]]</f>
        <v>0</v>
      </c>
      <c r="R795" s="20">
        <f>(SEGUIMIENTO_TPM_xlsx[[#This Row],[HORA REPORTE]]+SEGUIMIENTO_TPM_xlsx[[#This Row],[FECHA DE REPORTE]])</f>
        <v>0</v>
      </c>
      <c r="S795" s="20">
        <f>(SEGUIMIENTO_TPM_xlsx[[#This Row],[FECHA DE INTERVENCÓN]]+SEGUIMIENTO_TPM_xlsx[[#This Row],[HORA FIN  INTERVENCIÓN]])</f>
        <v>0</v>
      </c>
      <c r="T795" s="11">
        <f>(SEGUIMIENTO_TPM_xlsx[[#This Row],[FECHA Y HORA FINAL]]-SEGUIMIENTO_TPM_xlsx[[#This Row],[FECHA Y HORA INICIO]])</f>
        <v>0</v>
      </c>
    </row>
    <row r="796" spans="1:20" x14ac:dyDescent="0.25">
      <c r="A796">
        <v>804</v>
      </c>
      <c r="C796" s="1"/>
      <c r="D796" s="2"/>
      <c r="H796" s="1"/>
      <c r="I796" s="1"/>
      <c r="J796" s="2"/>
      <c r="Q796" s="1">
        <f>SEGUIMIENTO_TPM_xlsx[[#This Row],[HORA FIN  INTERVENCIÓN]]-SEGUIMIENTO_TPM_xlsx[[#This Row],[HORA INICIO INTERVENCIÓN]]</f>
        <v>0</v>
      </c>
      <c r="R796" s="20">
        <f>(SEGUIMIENTO_TPM_xlsx[[#This Row],[HORA REPORTE]]+SEGUIMIENTO_TPM_xlsx[[#This Row],[FECHA DE REPORTE]])</f>
        <v>0</v>
      </c>
      <c r="S796" s="20">
        <f>(SEGUIMIENTO_TPM_xlsx[[#This Row],[FECHA DE INTERVENCÓN]]+SEGUIMIENTO_TPM_xlsx[[#This Row],[HORA FIN  INTERVENCIÓN]])</f>
        <v>0</v>
      </c>
      <c r="T796" s="11">
        <f>(SEGUIMIENTO_TPM_xlsx[[#This Row],[FECHA Y HORA FINAL]]-SEGUIMIENTO_TPM_xlsx[[#This Row],[FECHA Y HORA INICIO]])</f>
        <v>0</v>
      </c>
    </row>
    <row r="797" spans="1:20" x14ac:dyDescent="0.25">
      <c r="A797">
        <v>805</v>
      </c>
      <c r="C797" s="1"/>
      <c r="D797" s="2"/>
      <c r="H797" s="1"/>
      <c r="I797" s="1"/>
      <c r="J797" s="2"/>
      <c r="Q797" s="1">
        <f>SEGUIMIENTO_TPM_xlsx[[#This Row],[HORA FIN  INTERVENCIÓN]]-SEGUIMIENTO_TPM_xlsx[[#This Row],[HORA INICIO INTERVENCIÓN]]</f>
        <v>0</v>
      </c>
      <c r="R797" s="20">
        <f>(SEGUIMIENTO_TPM_xlsx[[#This Row],[HORA REPORTE]]+SEGUIMIENTO_TPM_xlsx[[#This Row],[FECHA DE REPORTE]])</f>
        <v>0</v>
      </c>
      <c r="S797" s="20">
        <f>(SEGUIMIENTO_TPM_xlsx[[#This Row],[FECHA DE INTERVENCÓN]]+SEGUIMIENTO_TPM_xlsx[[#This Row],[HORA FIN  INTERVENCIÓN]])</f>
        <v>0</v>
      </c>
      <c r="T797" s="11">
        <f>(SEGUIMIENTO_TPM_xlsx[[#This Row],[FECHA Y HORA FINAL]]-SEGUIMIENTO_TPM_xlsx[[#This Row],[FECHA Y HORA INICIO]])</f>
        <v>0</v>
      </c>
    </row>
    <row r="798" spans="1:20" x14ac:dyDescent="0.25">
      <c r="A798">
        <v>806</v>
      </c>
      <c r="C798" s="1"/>
      <c r="D798" s="2"/>
      <c r="H798" s="1"/>
      <c r="I798" s="1"/>
      <c r="J798" s="2"/>
      <c r="Q798" s="1">
        <f>SEGUIMIENTO_TPM_xlsx[[#This Row],[HORA FIN  INTERVENCIÓN]]-SEGUIMIENTO_TPM_xlsx[[#This Row],[HORA INICIO INTERVENCIÓN]]</f>
        <v>0</v>
      </c>
      <c r="R798" s="20">
        <f>(SEGUIMIENTO_TPM_xlsx[[#This Row],[HORA REPORTE]]+SEGUIMIENTO_TPM_xlsx[[#This Row],[FECHA DE REPORTE]])</f>
        <v>0</v>
      </c>
      <c r="S798" s="20">
        <f>(SEGUIMIENTO_TPM_xlsx[[#This Row],[FECHA DE INTERVENCÓN]]+SEGUIMIENTO_TPM_xlsx[[#This Row],[HORA FIN  INTERVENCIÓN]])</f>
        <v>0</v>
      </c>
      <c r="T798" s="11">
        <f>(SEGUIMIENTO_TPM_xlsx[[#This Row],[FECHA Y HORA FINAL]]-SEGUIMIENTO_TPM_xlsx[[#This Row],[FECHA Y HORA INICIO]])</f>
        <v>0</v>
      </c>
    </row>
    <row r="799" spans="1:20" x14ac:dyDescent="0.25">
      <c r="A799">
        <v>807</v>
      </c>
      <c r="C799" s="1"/>
      <c r="D799" s="2"/>
      <c r="H799" s="1"/>
      <c r="I799" s="1"/>
      <c r="J799" s="2"/>
      <c r="Q799" s="1">
        <f>SEGUIMIENTO_TPM_xlsx[[#This Row],[HORA FIN  INTERVENCIÓN]]-SEGUIMIENTO_TPM_xlsx[[#This Row],[HORA INICIO INTERVENCIÓN]]</f>
        <v>0</v>
      </c>
      <c r="R799" s="20">
        <f>(SEGUIMIENTO_TPM_xlsx[[#This Row],[HORA REPORTE]]+SEGUIMIENTO_TPM_xlsx[[#This Row],[FECHA DE REPORTE]])</f>
        <v>0</v>
      </c>
      <c r="S799" s="20">
        <f>(SEGUIMIENTO_TPM_xlsx[[#This Row],[FECHA DE INTERVENCÓN]]+SEGUIMIENTO_TPM_xlsx[[#This Row],[HORA FIN  INTERVENCIÓN]])</f>
        <v>0</v>
      </c>
      <c r="T799" s="11">
        <f>(SEGUIMIENTO_TPM_xlsx[[#This Row],[FECHA Y HORA FINAL]]-SEGUIMIENTO_TPM_xlsx[[#This Row],[FECHA Y HORA INICIO]])</f>
        <v>0</v>
      </c>
    </row>
    <row r="800" spans="1:20" x14ac:dyDescent="0.25">
      <c r="A800">
        <v>808</v>
      </c>
      <c r="C800" s="1"/>
      <c r="D800" s="2"/>
      <c r="H800" s="1"/>
      <c r="I800" s="1"/>
      <c r="J800" s="2"/>
      <c r="Q800" s="1">
        <f>SEGUIMIENTO_TPM_xlsx[[#This Row],[HORA FIN  INTERVENCIÓN]]-SEGUIMIENTO_TPM_xlsx[[#This Row],[HORA INICIO INTERVENCIÓN]]</f>
        <v>0</v>
      </c>
      <c r="R800" s="20">
        <f>(SEGUIMIENTO_TPM_xlsx[[#This Row],[HORA REPORTE]]+SEGUIMIENTO_TPM_xlsx[[#This Row],[FECHA DE REPORTE]])</f>
        <v>0</v>
      </c>
      <c r="S800" s="20">
        <f>(SEGUIMIENTO_TPM_xlsx[[#This Row],[FECHA DE INTERVENCÓN]]+SEGUIMIENTO_TPM_xlsx[[#This Row],[HORA FIN  INTERVENCIÓN]])</f>
        <v>0</v>
      </c>
      <c r="T800" s="11">
        <f>(SEGUIMIENTO_TPM_xlsx[[#This Row],[FECHA Y HORA FINAL]]-SEGUIMIENTO_TPM_xlsx[[#This Row],[FECHA Y HORA INICIO]])</f>
        <v>0</v>
      </c>
    </row>
    <row r="801" spans="1:20" x14ac:dyDescent="0.25">
      <c r="A801">
        <v>809</v>
      </c>
      <c r="C801" s="1"/>
      <c r="D801" s="2"/>
      <c r="H801" s="1"/>
      <c r="I801" s="1"/>
      <c r="J801" s="2"/>
      <c r="Q801" s="1">
        <f>SEGUIMIENTO_TPM_xlsx[[#This Row],[HORA FIN  INTERVENCIÓN]]-SEGUIMIENTO_TPM_xlsx[[#This Row],[HORA INICIO INTERVENCIÓN]]</f>
        <v>0</v>
      </c>
      <c r="R801" s="20">
        <f>(SEGUIMIENTO_TPM_xlsx[[#This Row],[HORA REPORTE]]+SEGUIMIENTO_TPM_xlsx[[#This Row],[FECHA DE REPORTE]])</f>
        <v>0</v>
      </c>
      <c r="S801" s="20">
        <f>(SEGUIMIENTO_TPM_xlsx[[#This Row],[FECHA DE INTERVENCÓN]]+SEGUIMIENTO_TPM_xlsx[[#This Row],[HORA FIN  INTERVENCIÓN]])</f>
        <v>0</v>
      </c>
      <c r="T801" s="11">
        <f>(SEGUIMIENTO_TPM_xlsx[[#This Row],[FECHA Y HORA FINAL]]-SEGUIMIENTO_TPM_xlsx[[#This Row],[FECHA Y HORA INICIO]])</f>
        <v>0</v>
      </c>
    </row>
    <row r="802" spans="1:20" x14ac:dyDescent="0.25">
      <c r="A802">
        <v>810</v>
      </c>
      <c r="C802" s="1"/>
      <c r="D802" s="2"/>
      <c r="H802" s="1"/>
      <c r="I802" s="1"/>
      <c r="J802" s="2"/>
      <c r="Q802" s="1">
        <f>SEGUIMIENTO_TPM_xlsx[[#This Row],[HORA FIN  INTERVENCIÓN]]-SEGUIMIENTO_TPM_xlsx[[#This Row],[HORA INICIO INTERVENCIÓN]]</f>
        <v>0</v>
      </c>
      <c r="R802" s="20">
        <f>(SEGUIMIENTO_TPM_xlsx[[#This Row],[HORA REPORTE]]+SEGUIMIENTO_TPM_xlsx[[#This Row],[FECHA DE REPORTE]])</f>
        <v>0</v>
      </c>
      <c r="S802" s="20">
        <f>(SEGUIMIENTO_TPM_xlsx[[#This Row],[FECHA DE INTERVENCÓN]]+SEGUIMIENTO_TPM_xlsx[[#This Row],[HORA FIN  INTERVENCIÓN]])</f>
        <v>0</v>
      </c>
      <c r="T802" s="11">
        <f>(SEGUIMIENTO_TPM_xlsx[[#This Row],[FECHA Y HORA FINAL]]-SEGUIMIENTO_TPM_xlsx[[#This Row],[FECHA Y HORA INICIO]])</f>
        <v>0</v>
      </c>
    </row>
    <row r="803" spans="1:20" x14ac:dyDescent="0.25">
      <c r="A803">
        <v>811</v>
      </c>
      <c r="C803" s="1"/>
      <c r="D803" s="2"/>
      <c r="H803" s="1"/>
      <c r="I803" s="1"/>
      <c r="J803" s="2"/>
      <c r="Q803" s="1">
        <f>SEGUIMIENTO_TPM_xlsx[[#This Row],[HORA FIN  INTERVENCIÓN]]-SEGUIMIENTO_TPM_xlsx[[#This Row],[HORA INICIO INTERVENCIÓN]]</f>
        <v>0</v>
      </c>
      <c r="R803" s="20">
        <f>(SEGUIMIENTO_TPM_xlsx[[#This Row],[HORA REPORTE]]+SEGUIMIENTO_TPM_xlsx[[#This Row],[FECHA DE REPORTE]])</f>
        <v>0</v>
      </c>
      <c r="S803" s="20">
        <f>(SEGUIMIENTO_TPM_xlsx[[#This Row],[FECHA DE INTERVENCÓN]]+SEGUIMIENTO_TPM_xlsx[[#This Row],[HORA FIN  INTERVENCIÓN]])</f>
        <v>0</v>
      </c>
      <c r="T803" s="11">
        <f>(SEGUIMIENTO_TPM_xlsx[[#This Row],[FECHA Y HORA FINAL]]-SEGUIMIENTO_TPM_xlsx[[#This Row],[FECHA Y HORA INICIO]])</f>
        <v>0</v>
      </c>
    </row>
    <row r="804" spans="1:20" x14ac:dyDescent="0.25">
      <c r="A804">
        <v>812</v>
      </c>
      <c r="C804" s="1"/>
      <c r="D804" s="2"/>
      <c r="H804" s="1"/>
      <c r="I804" s="1"/>
      <c r="J804" s="2"/>
      <c r="Q804" s="1">
        <f>SEGUIMIENTO_TPM_xlsx[[#This Row],[HORA FIN  INTERVENCIÓN]]-SEGUIMIENTO_TPM_xlsx[[#This Row],[HORA INICIO INTERVENCIÓN]]</f>
        <v>0</v>
      </c>
      <c r="R804" s="20">
        <f>(SEGUIMIENTO_TPM_xlsx[[#This Row],[HORA REPORTE]]+SEGUIMIENTO_TPM_xlsx[[#This Row],[FECHA DE REPORTE]])</f>
        <v>0</v>
      </c>
      <c r="S804" s="20">
        <f>(SEGUIMIENTO_TPM_xlsx[[#This Row],[FECHA DE INTERVENCÓN]]+SEGUIMIENTO_TPM_xlsx[[#This Row],[HORA FIN  INTERVENCIÓN]])</f>
        <v>0</v>
      </c>
      <c r="T804" s="11">
        <f>(SEGUIMIENTO_TPM_xlsx[[#This Row],[FECHA Y HORA FINAL]]-SEGUIMIENTO_TPM_xlsx[[#This Row],[FECHA Y HORA INICIO]])</f>
        <v>0</v>
      </c>
    </row>
    <row r="805" spans="1:20" x14ac:dyDescent="0.25">
      <c r="A805">
        <v>813</v>
      </c>
      <c r="C805" s="1"/>
      <c r="D805" s="2"/>
      <c r="H805" s="1"/>
      <c r="I805" s="1"/>
      <c r="J805" s="2"/>
      <c r="Q805" s="1">
        <f>SEGUIMIENTO_TPM_xlsx[[#This Row],[HORA FIN  INTERVENCIÓN]]-SEGUIMIENTO_TPM_xlsx[[#This Row],[HORA INICIO INTERVENCIÓN]]</f>
        <v>0</v>
      </c>
      <c r="R805" s="20">
        <f>(SEGUIMIENTO_TPM_xlsx[[#This Row],[HORA REPORTE]]+SEGUIMIENTO_TPM_xlsx[[#This Row],[FECHA DE REPORTE]])</f>
        <v>0</v>
      </c>
      <c r="S805" s="20">
        <f>(SEGUIMIENTO_TPM_xlsx[[#This Row],[FECHA DE INTERVENCÓN]]+SEGUIMIENTO_TPM_xlsx[[#This Row],[HORA FIN  INTERVENCIÓN]])</f>
        <v>0</v>
      </c>
      <c r="T805" s="11">
        <f>(SEGUIMIENTO_TPM_xlsx[[#This Row],[FECHA Y HORA FINAL]]-SEGUIMIENTO_TPM_xlsx[[#This Row],[FECHA Y HORA INICIO]])</f>
        <v>0</v>
      </c>
    </row>
    <row r="806" spans="1:20" x14ac:dyDescent="0.25">
      <c r="A806">
        <v>814</v>
      </c>
      <c r="C806" s="1"/>
      <c r="D806" s="2"/>
      <c r="H806" s="1"/>
      <c r="I806" s="1"/>
      <c r="J806" s="2"/>
      <c r="Q806" s="1">
        <f>SEGUIMIENTO_TPM_xlsx[[#This Row],[HORA FIN  INTERVENCIÓN]]-SEGUIMIENTO_TPM_xlsx[[#This Row],[HORA INICIO INTERVENCIÓN]]</f>
        <v>0</v>
      </c>
      <c r="R806" s="20">
        <f>(SEGUIMIENTO_TPM_xlsx[[#This Row],[HORA REPORTE]]+SEGUIMIENTO_TPM_xlsx[[#This Row],[FECHA DE REPORTE]])</f>
        <v>0</v>
      </c>
      <c r="S806" s="20">
        <f>(SEGUIMIENTO_TPM_xlsx[[#This Row],[FECHA DE INTERVENCÓN]]+SEGUIMIENTO_TPM_xlsx[[#This Row],[HORA FIN  INTERVENCIÓN]])</f>
        <v>0</v>
      </c>
      <c r="T806" s="11">
        <f>(SEGUIMIENTO_TPM_xlsx[[#This Row],[FECHA Y HORA FINAL]]-SEGUIMIENTO_TPM_xlsx[[#This Row],[FECHA Y HORA INICIO]])</f>
        <v>0</v>
      </c>
    </row>
    <row r="807" spans="1:20" x14ac:dyDescent="0.25">
      <c r="A807">
        <v>815</v>
      </c>
      <c r="C807" s="1"/>
      <c r="D807" s="2"/>
      <c r="H807" s="1"/>
      <c r="I807" s="1"/>
      <c r="J807" s="2"/>
      <c r="Q807" s="1">
        <f>SEGUIMIENTO_TPM_xlsx[[#This Row],[HORA FIN  INTERVENCIÓN]]-SEGUIMIENTO_TPM_xlsx[[#This Row],[HORA INICIO INTERVENCIÓN]]</f>
        <v>0</v>
      </c>
      <c r="R807" s="20">
        <f>(SEGUIMIENTO_TPM_xlsx[[#This Row],[HORA REPORTE]]+SEGUIMIENTO_TPM_xlsx[[#This Row],[FECHA DE REPORTE]])</f>
        <v>0</v>
      </c>
      <c r="S807" s="20">
        <f>(SEGUIMIENTO_TPM_xlsx[[#This Row],[FECHA DE INTERVENCÓN]]+SEGUIMIENTO_TPM_xlsx[[#This Row],[HORA FIN  INTERVENCIÓN]])</f>
        <v>0</v>
      </c>
      <c r="T807" s="11">
        <f>(SEGUIMIENTO_TPM_xlsx[[#This Row],[FECHA Y HORA FINAL]]-SEGUIMIENTO_TPM_xlsx[[#This Row],[FECHA Y HORA INICIO]])</f>
        <v>0</v>
      </c>
    </row>
    <row r="808" spans="1:20" x14ac:dyDescent="0.25">
      <c r="A808">
        <v>816</v>
      </c>
      <c r="C808" s="1"/>
      <c r="D808" s="2"/>
      <c r="H808" s="1"/>
      <c r="I808" s="1"/>
      <c r="J808" s="2"/>
      <c r="Q808" s="1">
        <f>SEGUIMIENTO_TPM_xlsx[[#This Row],[HORA FIN  INTERVENCIÓN]]-SEGUIMIENTO_TPM_xlsx[[#This Row],[HORA INICIO INTERVENCIÓN]]</f>
        <v>0</v>
      </c>
      <c r="R808" s="20">
        <f>(SEGUIMIENTO_TPM_xlsx[[#This Row],[HORA REPORTE]]+SEGUIMIENTO_TPM_xlsx[[#This Row],[FECHA DE REPORTE]])</f>
        <v>0</v>
      </c>
      <c r="S808" s="20">
        <f>(SEGUIMIENTO_TPM_xlsx[[#This Row],[FECHA DE INTERVENCÓN]]+SEGUIMIENTO_TPM_xlsx[[#This Row],[HORA FIN  INTERVENCIÓN]])</f>
        <v>0</v>
      </c>
      <c r="T808" s="11">
        <f>(SEGUIMIENTO_TPM_xlsx[[#This Row],[FECHA Y HORA FINAL]]-SEGUIMIENTO_TPM_xlsx[[#This Row],[FECHA Y HORA INICIO]])</f>
        <v>0</v>
      </c>
    </row>
    <row r="809" spans="1:20" x14ac:dyDescent="0.25">
      <c r="A809">
        <v>817</v>
      </c>
      <c r="C809" s="1"/>
      <c r="D809" s="2"/>
      <c r="H809" s="1"/>
      <c r="I809" s="1"/>
      <c r="J809" s="2"/>
      <c r="Q809" s="1">
        <f>SEGUIMIENTO_TPM_xlsx[[#This Row],[HORA FIN  INTERVENCIÓN]]-SEGUIMIENTO_TPM_xlsx[[#This Row],[HORA INICIO INTERVENCIÓN]]</f>
        <v>0</v>
      </c>
      <c r="R809" s="20">
        <f>(SEGUIMIENTO_TPM_xlsx[[#This Row],[HORA REPORTE]]+SEGUIMIENTO_TPM_xlsx[[#This Row],[FECHA DE REPORTE]])</f>
        <v>0</v>
      </c>
      <c r="S809" s="20">
        <f>(SEGUIMIENTO_TPM_xlsx[[#This Row],[FECHA DE INTERVENCÓN]]+SEGUIMIENTO_TPM_xlsx[[#This Row],[HORA FIN  INTERVENCIÓN]])</f>
        <v>0</v>
      </c>
      <c r="T809" s="11">
        <f>(SEGUIMIENTO_TPM_xlsx[[#This Row],[FECHA Y HORA FINAL]]-SEGUIMIENTO_TPM_xlsx[[#This Row],[FECHA Y HORA INICIO]])</f>
        <v>0</v>
      </c>
    </row>
    <row r="810" spans="1:20" x14ac:dyDescent="0.25">
      <c r="A810">
        <v>818</v>
      </c>
      <c r="C810" s="1"/>
      <c r="D810" s="2"/>
      <c r="H810" s="1"/>
      <c r="I810" s="1"/>
      <c r="J810" s="2"/>
      <c r="Q810" s="1">
        <f>SEGUIMIENTO_TPM_xlsx[[#This Row],[HORA FIN  INTERVENCIÓN]]-SEGUIMIENTO_TPM_xlsx[[#This Row],[HORA INICIO INTERVENCIÓN]]</f>
        <v>0</v>
      </c>
      <c r="R810" s="20">
        <f>(SEGUIMIENTO_TPM_xlsx[[#This Row],[HORA REPORTE]]+SEGUIMIENTO_TPM_xlsx[[#This Row],[FECHA DE REPORTE]])</f>
        <v>0</v>
      </c>
      <c r="S810" s="20">
        <f>(SEGUIMIENTO_TPM_xlsx[[#This Row],[FECHA DE INTERVENCÓN]]+SEGUIMIENTO_TPM_xlsx[[#This Row],[HORA FIN  INTERVENCIÓN]])</f>
        <v>0</v>
      </c>
      <c r="T810" s="11">
        <f>(SEGUIMIENTO_TPM_xlsx[[#This Row],[FECHA Y HORA FINAL]]-SEGUIMIENTO_TPM_xlsx[[#This Row],[FECHA Y HORA INICIO]])</f>
        <v>0</v>
      </c>
    </row>
    <row r="811" spans="1:20" x14ac:dyDescent="0.25">
      <c r="A811">
        <v>819</v>
      </c>
      <c r="C811" s="1"/>
      <c r="D811" s="2"/>
      <c r="H811" s="1"/>
      <c r="I811" s="1"/>
      <c r="J811" s="2"/>
      <c r="Q811" s="1">
        <f>SEGUIMIENTO_TPM_xlsx[[#This Row],[HORA FIN  INTERVENCIÓN]]-SEGUIMIENTO_TPM_xlsx[[#This Row],[HORA INICIO INTERVENCIÓN]]</f>
        <v>0</v>
      </c>
      <c r="R811" s="20">
        <f>(SEGUIMIENTO_TPM_xlsx[[#This Row],[HORA REPORTE]]+SEGUIMIENTO_TPM_xlsx[[#This Row],[FECHA DE REPORTE]])</f>
        <v>0</v>
      </c>
      <c r="S811" s="20">
        <f>(SEGUIMIENTO_TPM_xlsx[[#This Row],[FECHA DE INTERVENCÓN]]+SEGUIMIENTO_TPM_xlsx[[#This Row],[HORA FIN  INTERVENCIÓN]])</f>
        <v>0</v>
      </c>
      <c r="T811" s="11">
        <f>(SEGUIMIENTO_TPM_xlsx[[#This Row],[FECHA Y HORA FINAL]]-SEGUIMIENTO_TPM_xlsx[[#This Row],[FECHA Y HORA INICIO]])</f>
        <v>0</v>
      </c>
    </row>
    <row r="812" spans="1:20" x14ac:dyDescent="0.25">
      <c r="A812">
        <v>820</v>
      </c>
      <c r="C812" s="1"/>
      <c r="D812" s="2"/>
      <c r="H812" s="1"/>
      <c r="I812" s="1"/>
      <c r="J812" s="2"/>
      <c r="Q812" s="1">
        <f>SEGUIMIENTO_TPM_xlsx[[#This Row],[HORA FIN  INTERVENCIÓN]]-SEGUIMIENTO_TPM_xlsx[[#This Row],[HORA INICIO INTERVENCIÓN]]</f>
        <v>0</v>
      </c>
      <c r="R812" s="20">
        <f>(SEGUIMIENTO_TPM_xlsx[[#This Row],[HORA REPORTE]]+SEGUIMIENTO_TPM_xlsx[[#This Row],[FECHA DE REPORTE]])</f>
        <v>0</v>
      </c>
      <c r="S812" s="20">
        <f>(SEGUIMIENTO_TPM_xlsx[[#This Row],[FECHA DE INTERVENCÓN]]+SEGUIMIENTO_TPM_xlsx[[#This Row],[HORA FIN  INTERVENCIÓN]])</f>
        <v>0</v>
      </c>
      <c r="T812" s="11">
        <f>(SEGUIMIENTO_TPM_xlsx[[#This Row],[FECHA Y HORA FINAL]]-SEGUIMIENTO_TPM_xlsx[[#This Row],[FECHA Y HORA INICIO]])</f>
        <v>0</v>
      </c>
    </row>
    <row r="813" spans="1:20" x14ac:dyDescent="0.25">
      <c r="A813">
        <v>821</v>
      </c>
      <c r="C813" s="1"/>
      <c r="D813" s="2"/>
      <c r="H813" s="1"/>
      <c r="I813" s="1"/>
      <c r="J813" s="2"/>
      <c r="Q813" s="1">
        <f>SEGUIMIENTO_TPM_xlsx[[#This Row],[HORA FIN  INTERVENCIÓN]]-SEGUIMIENTO_TPM_xlsx[[#This Row],[HORA INICIO INTERVENCIÓN]]</f>
        <v>0</v>
      </c>
      <c r="R813" s="20">
        <f>(SEGUIMIENTO_TPM_xlsx[[#This Row],[HORA REPORTE]]+SEGUIMIENTO_TPM_xlsx[[#This Row],[FECHA DE REPORTE]])</f>
        <v>0</v>
      </c>
      <c r="S813" s="20">
        <f>(SEGUIMIENTO_TPM_xlsx[[#This Row],[FECHA DE INTERVENCÓN]]+SEGUIMIENTO_TPM_xlsx[[#This Row],[HORA FIN  INTERVENCIÓN]])</f>
        <v>0</v>
      </c>
      <c r="T813" s="11">
        <f>(SEGUIMIENTO_TPM_xlsx[[#This Row],[FECHA Y HORA FINAL]]-SEGUIMIENTO_TPM_xlsx[[#This Row],[FECHA Y HORA INICIO]])</f>
        <v>0</v>
      </c>
    </row>
    <row r="814" spans="1:20" x14ac:dyDescent="0.25">
      <c r="A814">
        <v>822</v>
      </c>
      <c r="C814" s="1"/>
      <c r="D814" s="2"/>
      <c r="H814" s="1"/>
      <c r="I814" s="1"/>
      <c r="J814" s="2"/>
      <c r="Q814" s="1">
        <f>SEGUIMIENTO_TPM_xlsx[[#This Row],[HORA FIN  INTERVENCIÓN]]-SEGUIMIENTO_TPM_xlsx[[#This Row],[HORA INICIO INTERVENCIÓN]]</f>
        <v>0</v>
      </c>
      <c r="R814" s="20">
        <f>(SEGUIMIENTO_TPM_xlsx[[#This Row],[HORA REPORTE]]+SEGUIMIENTO_TPM_xlsx[[#This Row],[FECHA DE REPORTE]])</f>
        <v>0</v>
      </c>
      <c r="S814" s="20">
        <f>(SEGUIMIENTO_TPM_xlsx[[#This Row],[FECHA DE INTERVENCÓN]]+SEGUIMIENTO_TPM_xlsx[[#This Row],[HORA FIN  INTERVENCIÓN]])</f>
        <v>0</v>
      </c>
      <c r="T814" s="11">
        <f>(SEGUIMIENTO_TPM_xlsx[[#This Row],[FECHA Y HORA FINAL]]-SEGUIMIENTO_TPM_xlsx[[#This Row],[FECHA Y HORA INICIO]])</f>
        <v>0</v>
      </c>
    </row>
    <row r="815" spans="1:20" x14ac:dyDescent="0.25">
      <c r="A815">
        <v>823</v>
      </c>
      <c r="C815" s="1"/>
      <c r="D815" s="2"/>
      <c r="H815" s="1"/>
      <c r="I815" s="1"/>
      <c r="J815" s="2"/>
      <c r="Q815" s="1">
        <f>SEGUIMIENTO_TPM_xlsx[[#This Row],[HORA FIN  INTERVENCIÓN]]-SEGUIMIENTO_TPM_xlsx[[#This Row],[HORA INICIO INTERVENCIÓN]]</f>
        <v>0</v>
      </c>
      <c r="R815" s="20">
        <f>(SEGUIMIENTO_TPM_xlsx[[#This Row],[HORA REPORTE]]+SEGUIMIENTO_TPM_xlsx[[#This Row],[FECHA DE REPORTE]])</f>
        <v>0</v>
      </c>
      <c r="S815" s="20">
        <f>(SEGUIMIENTO_TPM_xlsx[[#This Row],[FECHA DE INTERVENCÓN]]+SEGUIMIENTO_TPM_xlsx[[#This Row],[HORA FIN  INTERVENCIÓN]])</f>
        <v>0</v>
      </c>
      <c r="T815" s="11">
        <f>(SEGUIMIENTO_TPM_xlsx[[#This Row],[FECHA Y HORA FINAL]]-SEGUIMIENTO_TPM_xlsx[[#This Row],[FECHA Y HORA INICIO]])</f>
        <v>0</v>
      </c>
    </row>
    <row r="816" spans="1:20" x14ac:dyDescent="0.25">
      <c r="A816">
        <v>824</v>
      </c>
      <c r="C816" s="1"/>
      <c r="D816" s="2"/>
      <c r="H816" s="1"/>
      <c r="I816" s="1"/>
      <c r="J816" s="2"/>
      <c r="Q816" s="1">
        <f>SEGUIMIENTO_TPM_xlsx[[#This Row],[HORA FIN  INTERVENCIÓN]]-SEGUIMIENTO_TPM_xlsx[[#This Row],[HORA INICIO INTERVENCIÓN]]</f>
        <v>0</v>
      </c>
      <c r="R816" s="20">
        <f>(SEGUIMIENTO_TPM_xlsx[[#This Row],[HORA REPORTE]]+SEGUIMIENTO_TPM_xlsx[[#This Row],[FECHA DE REPORTE]])</f>
        <v>0</v>
      </c>
      <c r="S816" s="20">
        <f>(SEGUIMIENTO_TPM_xlsx[[#This Row],[FECHA DE INTERVENCÓN]]+SEGUIMIENTO_TPM_xlsx[[#This Row],[HORA FIN  INTERVENCIÓN]])</f>
        <v>0</v>
      </c>
      <c r="T816" s="11">
        <f>(SEGUIMIENTO_TPM_xlsx[[#This Row],[FECHA Y HORA FINAL]]-SEGUIMIENTO_TPM_xlsx[[#This Row],[FECHA Y HORA INICIO]])</f>
        <v>0</v>
      </c>
    </row>
    <row r="817" spans="1:20" x14ac:dyDescent="0.25">
      <c r="A817">
        <v>825</v>
      </c>
      <c r="C817" s="1"/>
      <c r="D817" s="2"/>
      <c r="H817" s="1"/>
      <c r="I817" s="1"/>
      <c r="J817" s="2"/>
      <c r="Q817" s="1">
        <f>SEGUIMIENTO_TPM_xlsx[[#This Row],[HORA FIN  INTERVENCIÓN]]-SEGUIMIENTO_TPM_xlsx[[#This Row],[HORA INICIO INTERVENCIÓN]]</f>
        <v>0</v>
      </c>
      <c r="R817" s="20">
        <f>(SEGUIMIENTO_TPM_xlsx[[#This Row],[HORA REPORTE]]+SEGUIMIENTO_TPM_xlsx[[#This Row],[FECHA DE REPORTE]])</f>
        <v>0</v>
      </c>
      <c r="S817" s="20">
        <f>(SEGUIMIENTO_TPM_xlsx[[#This Row],[FECHA DE INTERVENCÓN]]+SEGUIMIENTO_TPM_xlsx[[#This Row],[HORA FIN  INTERVENCIÓN]])</f>
        <v>0</v>
      </c>
      <c r="T817" s="11">
        <f>(SEGUIMIENTO_TPM_xlsx[[#This Row],[FECHA Y HORA FINAL]]-SEGUIMIENTO_TPM_xlsx[[#This Row],[FECHA Y HORA INICIO]])</f>
        <v>0</v>
      </c>
    </row>
    <row r="818" spans="1:20" x14ac:dyDescent="0.25">
      <c r="A818">
        <v>826</v>
      </c>
      <c r="C818" s="1"/>
      <c r="D818" s="2"/>
      <c r="H818" s="1"/>
      <c r="I818" s="1"/>
      <c r="J818" s="2"/>
      <c r="Q818" s="1">
        <f>SEGUIMIENTO_TPM_xlsx[[#This Row],[HORA FIN  INTERVENCIÓN]]-SEGUIMIENTO_TPM_xlsx[[#This Row],[HORA INICIO INTERVENCIÓN]]</f>
        <v>0</v>
      </c>
      <c r="R818" s="20">
        <f>(SEGUIMIENTO_TPM_xlsx[[#This Row],[HORA REPORTE]]+SEGUIMIENTO_TPM_xlsx[[#This Row],[FECHA DE REPORTE]])</f>
        <v>0</v>
      </c>
      <c r="S818" s="20">
        <f>(SEGUIMIENTO_TPM_xlsx[[#This Row],[FECHA DE INTERVENCÓN]]+SEGUIMIENTO_TPM_xlsx[[#This Row],[HORA FIN  INTERVENCIÓN]])</f>
        <v>0</v>
      </c>
      <c r="T818" s="11">
        <f>(SEGUIMIENTO_TPM_xlsx[[#This Row],[FECHA Y HORA FINAL]]-SEGUIMIENTO_TPM_xlsx[[#This Row],[FECHA Y HORA INICIO]])</f>
        <v>0</v>
      </c>
    </row>
    <row r="819" spans="1:20" x14ac:dyDescent="0.25">
      <c r="A819">
        <v>827</v>
      </c>
      <c r="C819" s="1"/>
      <c r="D819" s="2"/>
      <c r="H819" s="1"/>
      <c r="I819" s="1"/>
      <c r="J819" s="2"/>
      <c r="Q819" s="1">
        <f>SEGUIMIENTO_TPM_xlsx[[#This Row],[HORA FIN  INTERVENCIÓN]]-SEGUIMIENTO_TPM_xlsx[[#This Row],[HORA INICIO INTERVENCIÓN]]</f>
        <v>0</v>
      </c>
      <c r="R819" s="20">
        <f>(SEGUIMIENTO_TPM_xlsx[[#This Row],[HORA REPORTE]]+SEGUIMIENTO_TPM_xlsx[[#This Row],[FECHA DE REPORTE]])</f>
        <v>0</v>
      </c>
      <c r="S819" s="20">
        <f>(SEGUIMIENTO_TPM_xlsx[[#This Row],[FECHA DE INTERVENCÓN]]+SEGUIMIENTO_TPM_xlsx[[#This Row],[HORA FIN  INTERVENCIÓN]])</f>
        <v>0</v>
      </c>
      <c r="T819" s="11">
        <f>(SEGUIMIENTO_TPM_xlsx[[#This Row],[FECHA Y HORA FINAL]]-SEGUIMIENTO_TPM_xlsx[[#This Row],[FECHA Y HORA INICIO]])</f>
        <v>0</v>
      </c>
    </row>
    <row r="820" spans="1:20" x14ac:dyDescent="0.25">
      <c r="A820">
        <v>828</v>
      </c>
      <c r="C820" s="1"/>
      <c r="D820" s="2"/>
      <c r="H820" s="1"/>
      <c r="I820" s="1"/>
      <c r="J820" s="2"/>
      <c r="Q820" s="1">
        <f>SEGUIMIENTO_TPM_xlsx[[#This Row],[HORA FIN  INTERVENCIÓN]]-SEGUIMIENTO_TPM_xlsx[[#This Row],[HORA INICIO INTERVENCIÓN]]</f>
        <v>0</v>
      </c>
      <c r="R820" s="20">
        <f>(SEGUIMIENTO_TPM_xlsx[[#This Row],[HORA REPORTE]]+SEGUIMIENTO_TPM_xlsx[[#This Row],[FECHA DE REPORTE]])</f>
        <v>0</v>
      </c>
      <c r="S820" s="20">
        <f>(SEGUIMIENTO_TPM_xlsx[[#This Row],[FECHA DE INTERVENCÓN]]+SEGUIMIENTO_TPM_xlsx[[#This Row],[HORA FIN  INTERVENCIÓN]])</f>
        <v>0</v>
      </c>
      <c r="T820" s="11">
        <f>(SEGUIMIENTO_TPM_xlsx[[#This Row],[FECHA Y HORA FINAL]]-SEGUIMIENTO_TPM_xlsx[[#This Row],[FECHA Y HORA INICIO]])</f>
        <v>0</v>
      </c>
    </row>
    <row r="821" spans="1:20" x14ac:dyDescent="0.25">
      <c r="A821">
        <v>829</v>
      </c>
      <c r="C821" s="1"/>
      <c r="D821" s="2"/>
      <c r="H821" s="1"/>
      <c r="I821" s="1"/>
      <c r="J821" s="2"/>
      <c r="Q821" s="1">
        <f>SEGUIMIENTO_TPM_xlsx[[#This Row],[HORA FIN  INTERVENCIÓN]]-SEGUIMIENTO_TPM_xlsx[[#This Row],[HORA INICIO INTERVENCIÓN]]</f>
        <v>0</v>
      </c>
      <c r="R821" s="20">
        <f>(SEGUIMIENTO_TPM_xlsx[[#This Row],[HORA REPORTE]]+SEGUIMIENTO_TPM_xlsx[[#This Row],[FECHA DE REPORTE]])</f>
        <v>0</v>
      </c>
      <c r="S821" s="20">
        <f>(SEGUIMIENTO_TPM_xlsx[[#This Row],[FECHA DE INTERVENCÓN]]+SEGUIMIENTO_TPM_xlsx[[#This Row],[HORA FIN  INTERVENCIÓN]])</f>
        <v>0</v>
      </c>
      <c r="T821" s="11">
        <f>(SEGUIMIENTO_TPM_xlsx[[#This Row],[FECHA Y HORA FINAL]]-SEGUIMIENTO_TPM_xlsx[[#This Row],[FECHA Y HORA INICIO]])</f>
        <v>0</v>
      </c>
    </row>
    <row r="822" spans="1:20" x14ac:dyDescent="0.25">
      <c r="A822">
        <v>830</v>
      </c>
      <c r="C822" s="1"/>
      <c r="D822" s="2"/>
      <c r="H822" s="1"/>
      <c r="I822" s="1"/>
      <c r="J822" s="2"/>
      <c r="Q822" s="1">
        <f>SEGUIMIENTO_TPM_xlsx[[#This Row],[HORA FIN  INTERVENCIÓN]]-SEGUIMIENTO_TPM_xlsx[[#This Row],[HORA INICIO INTERVENCIÓN]]</f>
        <v>0</v>
      </c>
      <c r="R822" s="20">
        <f>(SEGUIMIENTO_TPM_xlsx[[#This Row],[HORA REPORTE]]+SEGUIMIENTO_TPM_xlsx[[#This Row],[FECHA DE REPORTE]])</f>
        <v>0</v>
      </c>
      <c r="S822" s="20">
        <f>(SEGUIMIENTO_TPM_xlsx[[#This Row],[FECHA DE INTERVENCÓN]]+SEGUIMIENTO_TPM_xlsx[[#This Row],[HORA FIN  INTERVENCIÓN]])</f>
        <v>0</v>
      </c>
      <c r="T822" s="11">
        <f>(SEGUIMIENTO_TPM_xlsx[[#This Row],[FECHA Y HORA FINAL]]-SEGUIMIENTO_TPM_xlsx[[#This Row],[FECHA Y HORA INICIO]])</f>
        <v>0</v>
      </c>
    </row>
    <row r="823" spans="1:20" x14ac:dyDescent="0.25">
      <c r="A823">
        <v>831</v>
      </c>
      <c r="C823" s="1"/>
      <c r="D823" s="2"/>
      <c r="H823" s="1"/>
      <c r="I823" s="1"/>
      <c r="J823" s="2"/>
      <c r="Q823" s="1">
        <f>SEGUIMIENTO_TPM_xlsx[[#This Row],[HORA FIN  INTERVENCIÓN]]-SEGUIMIENTO_TPM_xlsx[[#This Row],[HORA INICIO INTERVENCIÓN]]</f>
        <v>0</v>
      </c>
      <c r="R823" s="20">
        <f>(SEGUIMIENTO_TPM_xlsx[[#This Row],[HORA REPORTE]]+SEGUIMIENTO_TPM_xlsx[[#This Row],[FECHA DE REPORTE]])</f>
        <v>0</v>
      </c>
      <c r="S823" s="20">
        <f>(SEGUIMIENTO_TPM_xlsx[[#This Row],[FECHA DE INTERVENCÓN]]+SEGUIMIENTO_TPM_xlsx[[#This Row],[HORA FIN  INTERVENCIÓN]])</f>
        <v>0</v>
      </c>
      <c r="T823" s="11">
        <f>(SEGUIMIENTO_TPM_xlsx[[#This Row],[FECHA Y HORA FINAL]]-SEGUIMIENTO_TPM_xlsx[[#This Row],[FECHA Y HORA INICIO]])</f>
        <v>0</v>
      </c>
    </row>
    <row r="824" spans="1:20" x14ac:dyDescent="0.25">
      <c r="A824">
        <v>832</v>
      </c>
      <c r="C824" s="1"/>
      <c r="D824" s="2"/>
      <c r="H824" s="1"/>
      <c r="I824" s="1"/>
      <c r="J824" s="2"/>
      <c r="Q824" s="1">
        <f>SEGUIMIENTO_TPM_xlsx[[#This Row],[HORA FIN  INTERVENCIÓN]]-SEGUIMIENTO_TPM_xlsx[[#This Row],[HORA INICIO INTERVENCIÓN]]</f>
        <v>0</v>
      </c>
      <c r="R824" s="20">
        <f>(SEGUIMIENTO_TPM_xlsx[[#This Row],[HORA REPORTE]]+SEGUIMIENTO_TPM_xlsx[[#This Row],[FECHA DE REPORTE]])</f>
        <v>0</v>
      </c>
      <c r="S824" s="20">
        <f>(SEGUIMIENTO_TPM_xlsx[[#This Row],[FECHA DE INTERVENCÓN]]+SEGUIMIENTO_TPM_xlsx[[#This Row],[HORA FIN  INTERVENCIÓN]])</f>
        <v>0</v>
      </c>
      <c r="T824" s="11">
        <f>(SEGUIMIENTO_TPM_xlsx[[#This Row],[FECHA Y HORA FINAL]]-SEGUIMIENTO_TPM_xlsx[[#This Row],[FECHA Y HORA INICIO]])</f>
        <v>0</v>
      </c>
    </row>
    <row r="825" spans="1:20" x14ac:dyDescent="0.25">
      <c r="A825">
        <v>833</v>
      </c>
      <c r="C825" s="1"/>
      <c r="D825" s="2"/>
      <c r="H825" s="1"/>
      <c r="I825" s="1"/>
      <c r="J825" s="2"/>
      <c r="Q825" s="1">
        <f>SEGUIMIENTO_TPM_xlsx[[#This Row],[HORA FIN  INTERVENCIÓN]]-SEGUIMIENTO_TPM_xlsx[[#This Row],[HORA INICIO INTERVENCIÓN]]</f>
        <v>0</v>
      </c>
      <c r="R825" s="20">
        <f>(SEGUIMIENTO_TPM_xlsx[[#This Row],[HORA REPORTE]]+SEGUIMIENTO_TPM_xlsx[[#This Row],[FECHA DE REPORTE]])</f>
        <v>0</v>
      </c>
      <c r="S825" s="20">
        <f>(SEGUIMIENTO_TPM_xlsx[[#This Row],[FECHA DE INTERVENCÓN]]+SEGUIMIENTO_TPM_xlsx[[#This Row],[HORA FIN  INTERVENCIÓN]])</f>
        <v>0</v>
      </c>
      <c r="T825" s="11">
        <f>(SEGUIMIENTO_TPM_xlsx[[#This Row],[FECHA Y HORA FINAL]]-SEGUIMIENTO_TPM_xlsx[[#This Row],[FECHA Y HORA INICIO]])</f>
        <v>0</v>
      </c>
    </row>
    <row r="826" spans="1:20" x14ac:dyDescent="0.25">
      <c r="A826">
        <v>834</v>
      </c>
      <c r="C826" s="1"/>
      <c r="D826" s="2"/>
      <c r="H826" s="1"/>
      <c r="I826" s="1"/>
      <c r="J826" s="2"/>
      <c r="Q826" s="1">
        <f>SEGUIMIENTO_TPM_xlsx[[#This Row],[HORA FIN  INTERVENCIÓN]]-SEGUIMIENTO_TPM_xlsx[[#This Row],[HORA INICIO INTERVENCIÓN]]</f>
        <v>0</v>
      </c>
      <c r="R826" s="20">
        <f>(SEGUIMIENTO_TPM_xlsx[[#This Row],[HORA REPORTE]]+SEGUIMIENTO_TPM_xlsx[[#This Row],[FECHA DE REPORTE]])</f>
        <v>0</v>
      </c>
      <c r="S826" s="20">
        <f>(SEGUIMIENTO_TPM_xlsx[[#This Row],[FECHA DE INTERVENCÓN]]+SEGUIMIENTO_TPM_xlsx[[#This Row],[HORA FIN  INTERVENCIÓN]])</f>
        <v>0</v>
      </c>
      <c r="T826" s="11">
        <f>(SEGUIMIENTO_TPM_xlsx[[#This Row],[FECHA Y HORA FINAL]]-SEGUIMIENTO_TPM_xlsx[[#This Row],[FECHA Y HORA INICIO]])</f>
        <v>0</v>
      </c>
    </row>
    <row r="827" spans="1:20" x14ac:dyDescent="0.25">
      <c r="A827">
        <v>835</v>
      </c>
      <c r="C827" s="1"/>
      <c r="D827" s="2"/>
      <c r="H827" s="1"/>
      <c r="I827" s="1"/>
      <c r="J827" s="2"/>
      <c r="Q827" s="1">
        <f>SEGUIMIENTO_TPM_xlsx[[#This Row],[HORA FIN  INTERVENCIÓN]]-SEGUIMIENTO_TPM_xlsx[[#This Row],[HORA INICIO INTERVENCIÓN]]</f>
        <v>0</v>
      </c>
      <c r="R827" s="20">
        <f>(SEGUIMIENTO_TPM_xlsx[[#This Row],[HORA REPORTE]]+SEGUIMIENTO_TPM_xlsx[[#This Row],[FECHA DE REPORTE]])</f>
        <v>0</v>
      </c>
      <c r="S827" s="20">
        <f>(SEGUIMIENTO_TPM_xlsx[[#This Row],[FECHA DE INTERVENCÓN]]+SEGUIMIENTO_TPM_xlsx[[#This Row],[HORA FIN  INTERVENCIÓN]])</f>
        <v>0</v>
      </c>
      <c r="T827" s="11">
        <f>(SEGUIMIENTO_TPM_xlsx[[#This Row],[FECHA Y HORA FINAL]]-SEGUIMIENTO_TPM_xlsx[[#This Row],[FECHA Y HORA INICIO]])</f>
        <v>0</v>
      </c>
    </row>
    <row r="828" spans="1:20" x14ac:dyDescent="0.25">
      <c r="A828">
        <v>836</v>
      </c>
      <c r="C828" s="1"/>
      <c r="D828" s="2"/>
      <c r="H828" s="1"/>
      <c r="I828" s="1"/>
      <c r="J828" s="2"/>
      <c r="Q828" s="1">
        <f>SEGUIMIENTO_TPM_xlsx[[#This Row],[HORA FIN  INTERVENCIÓN]]-SEGUIMIENTO_TPM_xlsx[[#This Row],[HORA INICIO INTERVENCIÓN]]</f>
        <v>0</v>
      </c>
      <c r="R828" s="20">
        <f>(SEGUIMIENTO_TPM_xlsx[[#This Row],[HORA REPORTE]]+SEGUIMIENTO_TPM_xlsx[[#This Row],[FECHA DE REPORTE]])</f>
        <v>0</v>
      </c>
      <c r="S828" s="20">
        <f>(SEGUIMIENTO_TPM_xlsx[[#This Row],[FECHA DE INTERVENCÓN]]+SEGUIMIENTO_TPM_xlsx[[#This Row],[HORA FIN  INTERVENCIÓN]])</f>
        <v>0</v>
      </c>
      <c r="T828" s="11">
        <f>(SEGUIMIENTO_TPM_xlsx[[#This Row],[FECHA Y HORA FINAL]]-SEGUIMIENTO_TPM_xlsx[[#This Row],[FECHA Y HORA INICIO]])</f>
        <v>0</v>
      </c>
    </row>
    <row r="829" spans="1:20" x14ac:dyDescent="0.25">
      <c r="A829">
        <v>837</v>
      </c>
      <c r="C829" s="1"/>
      <c r="D829" s="2"/>
      <c r="H829" s="1"/>
      <c r="I829" s="1"/>
      <c r="J829" s="2"/>
      <c r="Q829" s="1">
        <f>SEGUIMIENTO_TPM_xlsx[[#This Row],[HORA FIN  INTERVENCIÓN]]-SEGUIMIENTO_TPM_xlsx[[#This Row],[HORA INICIO INTERVENCIÓN]]</f>
        <v>0</v>
      </c>
      <c r="R829" s="20">
        <f>(SEGUIMIENTO_TPM_xlsx[[#This Row],[HORA REPORTE]]+SEGUIMIENTO_TPM_xlsx[[#This Row],[FECHA DE REPORTE]])</f>
        <v>0</v>
      </c>
      <c r="S829" s="20">
        <f>(SEGUIMIENTO_TPM_xlsx[[#This Row],[FECHA DE INTERVENCÓN]]+SEGUIMIENTO_TPM_xlsx[[#This Row],[HORA FIN  INTERVENCIÓN]])</f>
        <v>0</v>
      </c>
      <c r="T829" s="11">
        <f>(SEGUIMIENTO_TPM_xlsx[[#This Row],[FECHA Y HORA FINAL]]-SEGUIMIENTO_TPM_xlsx[[#This Row],[FECHA Y HORA INICIO]])</f>
        <v>0</v>
      </c>
    </row>
    <row r="830" spans="1:20" x14ac:dyDescent="0.25">
      <c r="A830">
        <v>838</v>
      </c>
      <c r="C830" s="1"/>
      <c r="D830" s="2"/>
      <c r="H830" s="1"/>
      <c r="I830" s="1"/>
      <c r="J830" s="2"/>
      <c r="Q830" s="1">
        <f>SEGUIMIENTO_TPM_xlsx[[#This Row],[HORA FIN  INTERVENCIÓN]]-SEGUIMIENTO_TPM_xlsx[[#This Row],[HORA INICIO INTERVENCIÓN]]</f>
        <v>0</v>
      </c>
      <c r="R830" s="20">
        <f>(SEGUIMIENTO_TPM_xlsx[[#This Row],[HORA REPORTE]]+SEGUIMIENTO_TPM_xlsx[[#This Row],[FECHA DE REPORTE]])</f>
        <v>0</v>
      </c>
      <c r="S830" s="20">
        <f>(SEGUIMIENTO_TPM_xlsx[[#This Row],[FECHA DE INTERVENCÓN]]+SEGUIMIENTO_TPM_xlsx[[#This Row],[HORA FIN  INTERVENCIÓN]])</f>
        <v>0</v>
      </c>
      <c r="T830" s="11">
        <f>(SEGUIMIENTO_TPM_xlsx[[#This Row],[FECHA Y HORA FINAL]]-SEGUIMIENTO_TPM_xlsx[[#This Row],[FECHA Y HORA INICIO]])</f>
        <v>0</v>
      </c>
    </row>
    <row r="831" spans="1:20" x14ac:dyDescent="0.25">
      <c r="A831">
        <v>839</v>
      </c>
      <c r="C831" s="1"/>
      <c r="D831" s="2"/>
      <c r="H831" s="1"/>
      <c r="I831" s="1"/>
      <c r="J831" s="2"/>
      <c r="Q831" s="1">
        <f>SEGUIMIENTO_TPM_xlsx[[#This Row],[HORA FIN  INTERVENCIÓN]]-SEGUIMIENTO_TPM_xlsx[[#This Row],[HORA INICIO INTERVENCIÓN]]</f>
        <v>0</v>
      </c>
      <c r="R831" s="20">
        <f>(SEGUIMIENTO_TPM_xlsx[[#This Row],[HORA REPORTE]]+SEGUIMIENTO_TPM_xlsx[[#This Row],[FECHA DE REPORTE]])</f>
        <v>0</v>
      </c>
      <c r="S831" s="20">
        <f>(SEGUIMIENTO_TPM_xlsx[[#This Row],[FECHA DE INTERVENCÓN]]+SEGUIMIENTO_TPM_xlsx[[#This Row],[HORA FIN  INTERVENCIÓN]])</f>
        <v>0</v>
      </c>
      <c r="T831" s="11">
        <f>(SEGUIMIENTO_TPM_xlsx[[#This Row],[FECHA Y HORA FINAL]]-SEGUIMIENTO_TPM_xlsx[[#This Row],[FECHA Y HORA INICIO]])</f>
        <v>0</v>
      </c>
    </row>
    <row r="832" spans="1:20" x14ac:dyDescent="0.25">
      <c r="A832">
        <v>840</v>
      </c>
      <c r="C832" s="1"/>
      <c r="D832" s="2"/>
      <c r="H832" s="1"/>
      <c r="I832" s="1"/>
      <c r="J832" s="2"/>
      <c r="Q832" s="1">
        <f>SEGUIMIENTO_TPM_xlsx[[#This Row],[HORA FIN  INTERVENCIÓN]]-SEGUIMIENTO_TPM_xlsx[[#This Row],[HORA INICIO INTERVENCIÓN]]</f>
        <v>0</v>
      </c>
      <c r="R832" s="20">
        <f>(SEGUIMIENTO_TPM_xlsx[[#This Row],[HORA REPORTE]]+SEGUIMIENTO_TPM_xlsx[[#This Row],[FECHA DE REPORTE]])</f>
        <v>0</v>
      </c>
      <c r="S832" s="20">
        <f>(SEGUIMIENTO_TPM_xlsx[[#This Row],[FECHA DE INTERVENCÓN]]+SEGUIMIENTO_TPM_xlsx[[#This Row],[HORA FIN  INTERVENCIÓN]])</f>
        <v>0</v>
      </c>
      <c r="T832" s="11">
        <f>(SEGUIMIENTO_TPM_xlsx[[#This Row],[FECHA Y HORA FINAL]]-SEGUIMIENTO_TPM_xlsx[[#This Row],[FECHA Y HORA INICIO]])</f>
        <v>0</v>
      </c>
    </row>
    <row r="833" spans="1:20" x14ac:dyDescent="0.25">
      <c r="A833">
        <v>841</v>
      </c>
      <c r="C833" s="1"/>
      <c r="D833" s="2"/>
      <c r="H833" s="1"/>
      <c r="I833" s="1"/>
      <c r="J833" s="2"/>
      <c r="Q833" s="1">
        <f>SEGUIMIENTO_TPM_xlsx[[#This Row],[HORA FIN  INTERVENCIÓN]]-SEGUIMIENTO_TPM_xlsx[[#This Row],[HORA INICIO INTERVENCIÓN]]</f>
        <v>0</v>
      </c>
      <c r="R833" s="20">
        <f>(SEGUIMIENTO_TPM_xlsx[[#This Row],[HORA REPORTE]]+SEGUIMIENTO_TPM_xlsx[[#This Row],[FECHA DE REPORTE]])</f>
        <v>0</v>
      </c>
      <c r="S833" s="20">
        <f>(SEGUIMIENTO_TPM_xlsx[[#This Row],[FECHA DE INTERVENCÓN]]+SEGUIMIENTO_TPM_xlsx[[#This Row],[HORA FIN  INTERVENCIÓN]])</f>
        <v>0</v>
      </c>
      <c r="T833" s="11">
        <f>(SEGUIMIENTO_TPM_xlsx[[#This Row],[FECHA Y HORA FINAL]]-SEGUIMIENTO_TPM_xlsx[[#This Row],[FECHA Y HORA INICIO]])</f>
        <v>0</v>
      </c>
    </row>
    <row r="834" spans="1:20" x14ac:dyDescent="0.25">
      <c r="A834">
        <v>842</v>
      </c>
      <c r="C834" s="1"/>
      <c r="D834" s="2"/>
      <c r="H834" s="1"/>
      <c r="I834" s="1"/>
      <c r="J834" s="2"/>
      <c r="Q834" s="1">
        <f>SEGUIMIENTO_TPM_xlsx[[#This Row],[HORA FIN  INTERVENCIÓN]]-SEGUIMIENTO_TPM_xlsx[[#This Row],[HORA INICIO INTERVENCIÓN]]</f>
        <v>0</v>
      </c>
      <c r="R834" s="20">
        <f>(SEGUIMIENTO_TPM_xlsx[[#This Row],[HORA REPORTE]]+SEGUIMIENTO_TPM_xlsx[[#This Row],[FECHA DE REPORTE]])</f>
        <v>0</v>
      </c>
      <c r="S834" s="20">
        <f>(SEGUIMIENTO_TPM_xlsx[[#This Row],[FECHA DE INTERVENCÓN]]+SEGUIMIENTO_TPM_xlsx[[#This Row],[HORA FIN  INTERVENCIÓN]])</f>
        <v>0</v>
      </c>
      <c r="T834" s="11">
        <f>(SEGUIMIENTO_TPM_xlsx[[#This Row],[FECHA Y HORA FINAL]]-SEGUIMIENTO_TPM_xlsx[[#This Row],[FECHA Y HORA INICIO]])</f>
        <v>0</v>
      </c>
    </row>
    <row r="835" spans="1:20" x14ac:dyDescent="0.25">
      <c r="A835">
        <v>843</v>
      </c>
      <c r="C835" s="1"/>
      <c r="D835" s="2"/>
      <c r="H835" s="1"/>
      <c r="I835" s="1"/>
      <c r="J835" s="2"/>
      <c r="Q835" s="1">
        <f>SEGUIMIENTO_TPM_xlsx[[#This Row],[HORA FIN  INTERVENCIÓN]]-SEGUIMIENTO_TPM_xlsx[[#This Row],[HORA INICIO INTERVENCIÓN]]</f>
        <v>0</v>
      </c>
      <c r="R835" s="20">
        <f>(SEGUIMIENTO_TPM_xlsx[[#This Row],[HORA REPORTE]]+SEGUIMIENTO_TPM_xlsx[[#This Row],[FECHA DE REPORTE]])</f>
        <v>0</v>
      </c>
      <c r="S835" s="20">
        <f>(SEGUIMIENTO_TPM_xlsx[[#This Row],[FECHA DE INTERVENCÓN]]+SEGUIMIENTO_TPM_xlsx[[#This Row],[HORA FIN  INTERVENCIÓN]])</f>
        <v>0</v>
      </c>
      <c r="T835" s="11">
        <f>(SEGUIMIENTO_TPM_xlsx[[#This Row],[FECHA Y HORA FINAL]]-SEGUIMIENTO_TPM_xlsx[[#This Row],[FECHA Y HORA INICIO]])</f>
        <v>0</v>
      </c>
    </row>
    <row r="836" spans="1:20" x14ac:dyDescent="0.25">
      <c r="A836">
        <v>844</v>
      </c>
      <c r="C836" s="1"/>
      <c r="D836" s="2"/>
      <c r="H836" s="1"/>
      <c r="I836" s="1"/>
      <c r="J836" s="2"/>
      <c r="Q836" s="1">
        <f>SEGUIMIENTO_TPM_xlsx[[#This Row],[HORA FIN  INTERVENCIÓN]]-SEGUIMIENTO_TPM_xlsx[[#This Row],[HORA INICIO INTERVENCIÓN]]</f>
        <v>0</v>
      </c>
      <c r="R836" s="20">
        <f>(SEGUIMIENTO_TPM_xlsx[[#This Row],[HORA REPORTE]]+SEGUIMIENTO_TPM_xlsx[[#This Row],[FECHA DE REPORTE]])</f>
        <v>0</v>
      </c>
      <c r="S836" s="20">
        <f>(SEGUIMIENTO_TPM_xlsx[[#This Row],[FECHA DE INTERVENCÓN]]+SEGUIMIENTO_TPM_xlsx[[#This Row],[HORA FIN  INTERVENCIÓN]])</f>
        <v>0</v>
      </c>
      <c r="T836" s="11">
        <f>(SEGUIMIENTO_TPM_xlsx[[#This Row],[FECHA Y HORA FINAL]]-SEGUIMIENTO_TPM_xlsx[[#This Row],[FECHA Y HORA INICIO]])</f>
        <v>0</v>
      </c>
    </row>
    <row r="837" spans="1:20" x14ac:dyDescent="0.25">
      <c r="A837">
        <v>845</v>
      </c>
      <c r="C837" s="1"/>
      <c r="D837" s="2"/>
      <c r="H837" s="1"/>
      <c r="I837" s="1"/>
      <c r="J837" s="2"/>
      <c r="Q837" s="1">
        <f>SEGUIMIENTO_TPM_xlsx[[#This Row],[HORA FIN  INTERVENCIÓN]]-SEGUIMIENTO_TPM_xlsx[[#This Row],[HORA INICIO INTERVENCIÓN]]</f>
        <v>0</v>
      </c>
      <c r="R837" s="20">
        <f>(SEGUIMIENTO_TPM_xlsx[[#This Row],[HORA REPORTE]]+SEGUIMIENTO_TPM_xlsx[[#This Row],[FECHA DE REPORTE]])</f>
        <v>0</v>
      </c>
      <c r="S837" s="20">
        <f>(SEGUIMIENTO_TPM_xlsx[[#This Row],[FECHA DE INTERVENCÓN]]+SEGUIMIENTO_TPM_xlsx[[#This Row],[HORA FIN  INTERVENCIÓN]])</f>
        <v>0</v>
      </c>
      <c r="T837" s="11">
        <f>(SEGUIMIENTO_TPM_xlsx[[#This Row],[FECHA Y HORA FINAL]]-SEGUIMIENTO_TPM_xlsx[[#This Row],[FECHA Y HORA INICIO]])</f>
        <v>0</v>
      </c>
    </row>
    <row r="838" spans="1:20" x14ac:dyDescent="0.25">
      <c r="A838">
        <v>846</v>
      </c>
      <c r="C838" s="1"/>
      <c r="D838" s="2"/>
      <c r="H838" s="1"/>
      <c r="I838" s="1"/>
      <c r="J838" s="2"/>
      <c r="Q838" s="1">
        <f>SEGUIMIENTO_TPM_xlsx[[#This Row],[HORA FIN  INTERVENCIÓN]]-SEGUIMIENTO_TPM_xlsx[[#This Row],[HORA INICIO INTERVENCIÓN]]</f>
        <v>0</v>
      </c>
      <c r="R838" s="20">
        <f>(SEGUIMIENTO_TPM_xlsx[[#This Row],[HORA REPORTE]]+SEGUIMIENTO_TPM_xlsx[[#This Row],[FECHA DE REPORTE]])</f>
        <v>0</v>
      </c>
      <c r="S838" s="20">
        <f>(SEGUIMIENTO_TPM_xlsx[[#This Row],[FECHA DE INTERVENCÓN]]+SEGUIMIENTO_TPM_xlsx[[#This Row],[HORA FIN  INTERVENCIÓN]])</f>
        <v>0</v>
      </c>
      <c r="T838" s="11">
        <f>(SEGUIMIENTO_TPM_xlsx[[#This Row],[FECHA Y HORA FINAL]]-SEGUIMIENTO_TPM_xlsx[[#This Row],[FECHA Y HORA INICIO]])</f>
        <v>0</v>
      </c>
    </row>
    <row r="839" spans="1:20" x14ac:dyDescent="0.25">
      <c r="A839">
        <v>847</v>
      </c>
      <c r="C839" s="1"/>
      <c r="D839" s="2"/>
      <c r="H839" s="1"/>
      <c r="I839" s="1"/>
      <c r="J839" s="2"/>
      <c r="Q839" s="1">
        <f>SEGUIMIENTO_TPM_xlsx[[#This Row],[HORA FIN  INTERVENCIÓN]]-SEGUIMIENTO_TPM_xlsx[[#This Row],[HORA INICIO INTERVENCIÓN]]</f>
        <v>0</v>
      </c>
      <c r="R839" s="20">
        <f>(SEGUIMIENTO_TPM_xlsx[[#This Row],[HORA REPORTE]]+SEGUIMIENTO_TPM_xlsx[[#This Row],[FECHA DE REPORTE]])</f>
        <v>0</v>
      </c>
      <c r="S839" s="20">
        <f>(SEGUIMIENTO_TPM_xlsx[[#This Row],[FECHA DE INTERVENCÓN]]+SEGUIMIENTO_TPM_xlsx[[#This Row],[HORA FIN  INTERVENCIÓN]])</f>
        <v>0</v>
      </c>
      <c r="T839" s="11">
        <f>(SEGUIMIENTO_TPM_xlsx[[#This Row],[FECHA Y HORA FINAL]]-SEGUIMIENTO_TPM_xlsx[[#This Row],[FECHA Y HORA INICIO]])</f>
        <v>0</v>
      </c>
    </row>
    <row r="840" spans="1:20" x14ac:dyDescent="0.25">
      <c r="A840">
        <v>848</v>
      </c>
      <c r="C840" s="1"/>
      <c r="D840" s="2"/>
      <c r="H840" s="1"/>
      <c r="I840" s="1"/>
      <c r="J840" s="2"/>
      <c r="Q840" s="1">
        <f>SEGUIMIENTO_TPM_xlsx[[#This Row],[HORA FIN  INTERVENCIÓN]]-SEGUIMIENTO_TPM_xlsx[[#This Row],[HORA INICIO INTERVENCIÓN]]</f>
        <v>0</v>
      </c>
      <c r="R840" s="20">
        <f>(SEGUIMIENTO_TPM_xlsx[[#This Row],[HORA REPORTE]]+SEGUIMIENTO_TPM_xlsx[[#This Row],[FECHA DE REPORTE]])</f>
        <v>0</v>
      </c>
      <c r="S840" s="20">
        <f>(SEGUIMIENTO_TPM_xlsx[[#This Row],[FECHA DE INTERVENCÓN]]+SEGUIMIENTO_TPM_xlsx[[#This Row],[HORA FIN  INTERVENCIÓN]])</f>
        <v>0</v>
      </c>
      <c r="T840" s="11">
        <f>(SEGUIMIENTO_TPM_xlsx[[#This Row],[FECHA Y HORA FINAL]]-SEGUIMIENTO_TPM_xlsx[[#This Row],[FECHA Y HORA INICIO]])</f>
        <v>0</v>
      </c>
    </row>
    <row r="841" spans="1:20" x14ac:dyDescent="0.25">
      <c r="A841">
        <v>849</v>
      </c>
      <c r="C841" s="1"/>
      <c r="D841" s="2"/>
      <c r="H841" s="1"/>
      <c r="I841" s="1"/>
      <c r="J841" s="2"/>
      <c r="Q841" s="1">
        <f>SEGUIMIENTO_TPM_xlsx[[#This Row],[HORA FIN  INTERVENCIÓN]]-SEGUIMIENTO_TPM_xlsx[[#This Row],[HORA INICIO INTERVENCIÓN]]</f>
        <v>0</v>
      </c>
      <c r="R841" s="20">
        <f>(SEGUIMIENTO_TPM_xlsx[[#This Row],[HORA REPORTE]]+SEGUIMIENTO_TPM_xlsx[[#This Row],[FECHA DE REPORTE]])</f>
        <v>0</v>
      </c>
      <c r="S841" s="20">
        <f>(SEGUIMIENTO_TPM_xlsx[[#This Row],[FECHA DE INTERVENCÓN]]+SEGUIMIENTO_TPM_xlsx[[#This Row],[HORA FIN  INTERVENCIÓN]])</f>
        <v>0</v>
      </c>
      <c r="T841" s="11">
        <f>(SEGUIMIENTO_TPM_xlsx[[#This Row],[FECHA Y HORA FINAL]]-SEGUIMIENTO_TPM_xlsx[[#This Row],[FECHA Y HORA INICIO]])</f>
        <v>0</v>
      </c>
    </row>
    <row r="842" spans="1:20" x14ac:dyDescent="0.25">
      <c r="A842">
        <v>850</v>
      </c>
      <c r="C842" s="1"/>
      <c r="D842" s="2"/>
      <c r="H842" s="1"/>
      <c r="I842" s="1"/>
      <c r="J842" s="2"/>
      <c r="Q842" s="1">
        <f>SEGUIMIENTO_TPM_xlsx[[#This Row],[HORA FIN  INTERVENCIÓN]]-SEGUIMIENTO_TPM_xlsx[[#This Row],[HORA INICIO INTERVENCIÓN]]</f>
        <v>0</v>
      </c>
      <c r="R842" s="20">
        <f>(SEGUIMIENTO_TPM_xlsx[[#This Row],[HORA REPORTE]]+SEGUIMIENTO_TPM_xlsx[[#This Row],[FECHA DE REPORTE]])</f>
        <v>0</v>
      </c>
      <c r="S842" s="20">
        <f>(SEGUIMIENTO_TPM_xlsx[[#This Row],[FECHA DE INTERVENCÓN]]+SEGUIMIENTO_TPM_xlsx[[#This Row],[HORA FIN  INTERVENCIÓN]])</f>
        <v>0</v>
      </c>
      <c r="T842" s="11">
        <f>(SEGUIMIENTO_TPM_xlsx[[#This Row],[FECHA Y HORA FINAL]]-SEGUIMIENTO_TPM_xlsx[[#This Row],[FECHA Y HORA INICIO]])</f>
        <v>0</v>
      </c>
    </row>
    <row r="843" spans="1:20" x14ac:dyDescent="0.25">
      <c r="A843">
        <v>851</v>
      </c>
      <c r="C843" s="1"/>
      <c r="D843" s="2"/>
      <c r="H843" s="1"/>
      <c r="I843" s="1"/>
      <c r="J843" s="2"/>
      <c r="Q843" s="1">
        <f>SEGUIMIENTO_TPM_xlsx[[#This Row],[HORA FIN  INTERVENCIÓN]]-SEGUIMIENTO_TPM_xlsx[[#This Row],[HORA INICIO INTERVENCIÓN]]</f>
        <v>0</v>
      </c>
      <c r="R843" s="20">
        <f>(SEGUIMIENTO_TPM_xlsx[[#This Row],[HORA REPORTE]]+SEGUIMIENTO_TPM_xlsx[[#This Row],[FECHA DE REPORTE]])</f>
        <v>0</v>
      </c>
      <c r="S843" s="20">
        <f>(SEGUIMIENTO_TPM_xlsx[[#This Row],[FECHA DE INTERVENCÓN]]+SEGUIMIENTO_TPM_xlsx[[#This Row],[HORA FIN  INTERVENCIÓN]])</f>
        <v>0</v>
      </c>
      <c r="T843" s="11">
        <f>(SEGUIMIENTO_TPM_xlsx[[#This Row],[FECHA Y HORA FINAL]]-SEGUIMIENTO_TPM_xlsx[[#This Row],[FECHA Y HORA INICIO]])</f>
        <v>0</v>
      </c>
    </row>
    <row r="844" spans="1:20" x14ac:dyDescent="0.25">
      <c r="A844">
        <v>852</v>
      </c>
      <c r="C844" s="1"/>
      <c r="D844" s="2"/>
      <c r="H844" s="1"/>
      <c r="I844" s="1"/>
      <c r="J844" s="2"/>
      <c r="Q844" s="1">
        <f>SEGUIMIENTO_TPM_xlsx[[#This Row],[HORA FIN  INTERVENCIÓN]]-SEGUIMIENTO_TPM_xlsx[[#This Row],[HORA INICIO INTERVENCIÓN]]</f>
        <v>0</v>
      </c>
      <c r="R844" s="20">
        <f>(SEGUIMIENTO_TPM_xlsx[[#This Row],[HORA REPORTE]]+SEGUIMIENTO_TPM_xlsx[[#This Row],[FECHA DE REPORTE]])</f>
        <v>0</v>
      </c>
      <c r="S844" s="20">
        <f>(SEGUIMIENTO_TPM_xlsx[[#This Row],[FECHA DE INTERVENCÓN]]+SEGUIMIENTO_TPM_xlsx[[#This Row],[HORA FIN  INTERVENCIÓN]])</f>
        <v>0</v>
      </c>
      <c r="T844" s="11">
        <f>(SEGUIMIENTO_TPM_xlsx[[#This Row],[FECHA Y HORA FINAL]]-SEGUIMIENTO_TPM_xlsx[[#This Row],[FECHA Y HORA INICIO]])</f>
        <v>0</v>
      </c>
    </row>
    <row r="845" spans="1:20" x14ac:dyDescent="0.25">
      <c r="A845">
        <v>853</v>
      </c>
      <c r="C845" s="1"/>
      <c r="D845" s="2"/>
      <c r="H845" s="1"/>
      <c r="I845" s="1"/>
      <c r="J845" s="2"/>
      <c r="Q845" s="1">
        <f>SEGUIMIENTO_TPM_xlsx[[#This Row],[HORA FIN  INTERVENCIÓN]]-SEGUIMIENTO_TPM_xlsx[[#This Row],[HORA INICIO INTERVENCIÓN]]</f>
        <v>0</v>
      </c>
      <c r="R845" s="20">
        <f>(SEGUIMIENTO_TPM_xlsx[[#This Row],[HORA REPORTE]]+SEGUIMIENTO_TPM_xlsx[[#This Row],[FECHA DE REPORTE]])</f>
        <v>0</v>
      </c>
      <c r="S845" s="20">
        <f>(SEGUIMIENTO_TPM_xlsx[[#This Row],[FECHA DE INTERVENCÓN]]+SEGUIMIENTO_TPM_xlsx[[#This Row],[HORA FIN  INTERVENCIÓN]])</f>
        <v>0</v>
      </c>
      <c r="T845" s="11">
        <f>(SEGUIMIENTO_TPM_xlsx[[#This Row],[FECHA Y HORA FINAL]]-SEGUIMIENTO_TPM_xlsx[[#This Row],[FECHA Y HORA INICIO]])</f>
        <v>0</v>
      </c>
    </row>
    <row r="846" spans="1:20" x14ac:dyDescent="0.25">
      <c r="A846">
        <v>854</v>
      </c>
      <c r="C846" s="1"/>
      <c r="D846" s="2"/>
      <c r="H846" s="1"/>
      <c r="I846" s="1"/>
      <c r="J846" s="2"/>
      <c r="Q846" s="1">
        <f>SEGUIMIENTO_TPM_xlsx[[#This Row],[HORA FIN  INTERVENCIÓN]]-SEGUIMIENTO_TPM_xlsx[[#This Row],[HORA INICIO INTERVENCIÓN]]</f>
        <v>0</v>
      </c>
      <c r="R846" s="20">
        <f>(SEGUIMIENTO_TPM_xlsx[[#This Row],[HORA REPORTE]]+SEGUIMIENTO_TPM_xlsx[[#This Row],[FECHA DE REPORTE]])</f>
        <v>0</v>
      </c>
      <c r="S846" s="20">
        <f>(SEGUIMIENTO_TPM_xlsx[[#This Row],[FECHA DE INTERVENCÓN]]+SEGUIMIENTO_TPM_xlsx[[#This Row],[HORA FIN  INTERVENCIÓN]])</f>
        <v>0</v>
      </c>
      <c r="T846" s="11">
        <f>(SEGUIMIENTO_TPM_xlsx[[#This Row],[FECHA Y HORA FINAL]]-SEGUIMIENTO_TPM_xlsx[[#This Row],[FECHA Y HORA INICIO]])</f>
        <v>0</v>
      </c>
    </row>
    <row r="847" spans="1:20" x14ac:dyDescent="0.25">
      <c r="A847">
        <v>855</v>
      </c>
      <c r="C847" s="1"/>
      <c r="D847" s="2"/>
      <c r="H847" s="1"/>
      <c r="I847" s="1"/>
      <c r="J847" s="2"/>
      <c r="Q847" s="1">
        <f>SEGUIMIENTO_TPM_xlsx[[#This Row],[HORA FIN  INTERVENCIÓN]]-SEGUIMIENTO_TPM_xlsx[[#This Row],[HORA INICIO INTERVENCIÓN]]</f>
        <v>0</v>
      </c>
      <c r="R847" s="20">
        <f>(SEGUIMIENTO_TPM_xlsx[[#This Row],[HORA REPORTE]]+SEGUIMIENTO_TPM_xlsx[[#This Row],[FECHA DE REPORTE]])</f>
        <v>0</v>
      </c>
      <c r="S847" s="20">
        <f>(SEGUIMIENTO_TPM_xlsx[[#This Row],[FECHA DE INTERVENCÓN]]+SEGUIMIENTO_TPM_xlsx[[#This Row],[HORA FIN  INTERVENCIÓN]])</f>
        <v>0</v>
      </c>
      <c r="T847" s="11">
        <f>(SEGUIMIENTO_TPM_xlsx[[#This Row],[FECHA Y HORA FINAL]]-SEGUIMIENTO_TPM_xlsx[[#This Row],[FECHA Y HORA INICIO]])</f>
        <v>0</v>
      </c>
    </row>
    <row r="848" spans="1:20" x14ac:dyDescent="0.25">
      <c r="A848">
        <v>856</v>
      </c>
      <c r="C848" s="1"/>
      <c r="D848" s="2"/>
      <c r="H848" s="1"/>
      <c r="I848" s="1"/>
      <c r="J848" s="2"/>
      <c r="Q848" s="1">
        <f>SEGUIMIENTO_TPM_xlsx[[#This Row],[HORA FIN  INTERVENCIÓN]]-SEGUIMIENTO_TPM_xlsx[[#This Row],[HORA INICIO INTERVENCIÓN]]</f>
        <v>0</v>
      </c>
      <c r="R848" s="20">
        <f>(SEGUIMIENTO_TPM_xlsx[[#This Row],[HORA REPORTE]]+SEGUIMIENTO_TPM_xlsx[[#This Row],[FECHA DE REPORTE]])</f>
        <v>0</v>
      </c>
      <c r="S848" s="20">
        <f>(SEGUIMIENTO_TPM_xlsx[[#This Row],[FECHA DE INTERVENCÓN]]+SEGUIMIENTO_TPM_xlsx[[#This Row],[HORA FIN  INTERVENCIÓN]])</f>
        <v>0</v>
      </c>
      <c r="T848" s="11">
        <f>(SEGUIMIENTO_TPM_xlsx[[#This Row],[FECHA Y HORA FINAL]]-SEGUIMIENTO_TPM_xlsx[[#This Row],[FECHA Y HORA INICIO]])</f>
        <v>0</v>
      </c>
    </row>
    <row r="849" spans="1:20" x14ac:dyDescent="0.25">
      <c r="A849">
        <v>857</v>
      </c>
      <c r="C849" s="1"/>
      <c r="D849" s="2"/>
      <c r="H849" s="1"/>
      <c r="I849" s="1"/>
      <c r="J849" s="2"/>
      <c r="Q849" s="1">
        <f>SEGUIMIENTO_TPM_xlsx[[#This Row],[HORA FIN  INTERVENCIÓN]]-SEGUIMIENTO_TPM_xlsx[[#This Row],[HORA INICIO INTERVENCIÓN]]</f>
        <v>0</v>
      </c>
      <c r="R849" s="20">
        <f>(SEGUIMIENTO_TPM_xlsx[[#This Row],[HORA REPORTE]]+SEGUIMIENTO_TPM_xlsx[[#This Row],[FECHA DE REPORTE]])</f>
        <v>0</v>
      </c>
      <c r="S849" s="20">
        <f>(SEGUIMIENTO_TPM_xlsx[[#This Row],[FECHA DE INTERVENCÓN]]+SEGUIMIENTO_TPM_xlsx[[#This Row],[HORA FIN  INTERVENCIÓN]])</f>
        <v>0</v>
      </c>
      <c r="T849" s="11">
        <f>(SEGUIMIENTO_TPM_xlsx[[#This Row],[FECHA Y HORA FINAL]]-SEGUIMIENTO_TPM_xlsx[[#This Row],[FECHA Y HORA INICIO]])</f>
        <v>0</v>
      </c>
    </row>
    <row r="850" spans="1:20" x14ac:dyDescent="0.25">
      <c r="A850">
        <v>858</v>
      </c>
      <c r="C850" s="1"/>
      <c r="D850" s="2"/>
      <c r="H850" s="1"/>
      <c r="I850" s="1"/>
      <c r="J850" s="2"/>
      <c r="Q850" s="1">
        <f>SEGUIMIENTO_TPM_xlsx[[#This Row],[HORA FIN  INTERVENCIÓN]]-SEGUIMIENTO_TPM_xlsx[[#This Row],[HORA INICIO INTERVENCIÓN]]</f>
        <v>0</v>
      </c>
      <c r="R850" s="20">
        <f>(SEGUIMIENTO_TPM_xlsx[[#This Row],[HORA REPORTE]]+SEGUIMIENTO_TPM_xlsx[[#This Row],[FECHA DE REPORTE]])</f>
        <v>0</v>
      </c>
      <c r="S850" s="20">
        <f>(SEGUIMIENTO_TPM_xlsx[[#This Row],[FECHA DE INTERVENCÓN]]+SEGUIMIENTO_TPM_xlsx[[#This Row],[HORA FIN  INTERVENCIÓN]])</f>
        <v>0</v>
      </c>
      <c r="T850" s="11">
        <f>(SEGUIMIENTO_TPM_xlsx[[#This Row],[FECHA Y HORA FINAL]]-SEGUIMIENTO_TPM_xlsx[[#This Row],[FECHA Y HORA INICIO]])</f>
        <v>0</v>
      </c>
    </row>
    <row r="851" spans="1:20" x14ac:dyDescent="0.25">
      <c r="A851">
        <v>859</v>
      </c>
      <c r="C851" s="1"/>
      <c r="D851" s="2"/>
      <c r="H851" s="1"/>
      <c r="I851" s="1"/>
      <c r="J851" s="2"/>
      <c r="Q851" s="1">
        <f>SEGUIMIENTO_TPM_xlsx[[#This Row],[HORA FIN  INTERVENCIÓN]]-SEGUIMIENTO_TPM_xlsx[[#This Row],[HORA INICIO INTERVENCIÓN]]</f>
        <v>0</v>
      </c>
      <c r="R851" s="20">
        <f>(SEGUIMIENTO_TPM_xlsx[[#This Row],[HORA REPORTE]]+SEGUIMIENTO_TPM_xlsx[[#This Row],[FECHA DE REPORTE]])</f>
        <v>0</v>
      </c>
      <c r="S851" s="20">
        <f>(SEGUIMIENTO_TPM_xlsx[[#This Row],[FECHA DE INTERVENCÓN]]+SEGUIMIENTO_TPM_xlsx[[#This Row],[HORA FIN  INTERVENCIÓN]])</f>
        <v>0</v>
      </c>
      <c r="T851" s="11">
        <f>(SEGUIMIENTO_TPM_xlsx[[#This Row],[FECHA Y HORA FINAL]]-SEGUIMIENTO_TPM_xlsx[[#This Row],[FECHA Y HORA INICIO]])</f>
        <v>0</v>
      </c>
    </row>
    <row r="852" spans="1:20" x14ac:dyDescent="0.25">
      <c r="A852">
        <v>860</v>
      </c>
      <c r="C852" s="1"/>
      <c r="D852" s="2"/>
      <c r="H852" s="1"/>
      <c r="I852" s="1"/>
      <c r="J852" s="2"/>
      <c r="Q852" s="1">
        <f>SEGUIMIENTO_TPM_xlsx[[#This Row],[HORA FIN  INTERVENCIÓN]]-SEGUIMIENTO_TPM_xlsx[[#This Row],[HORA INICIO INTERVENCIÓN]]</f>
        <v>0</v>
      </c>
      <c r="R852" s="20">
        <f>(SEGUIMIENTO_TPM_xlsx[[#This Row],[HORA REPORTE]]+SEGUIMIENTO_TPM_xlsx[[#This Row],[FECHA DE REPORTE]])</f>
        <v>0</v>
      </c>
      <c r="S852" s="20">
        <f>(SEGUIMIENTO_TPM_xlsx[[#This Row],[FECHA DE INTERVENCÓN]]+SEGUIMIENTO_TPM_xlsx[[#This Row],[HORA FIN  INTERVENCIÓN]])</f>
        <v>0</v>
      </c>
      <c r="T852" s="11">
        <f>(SEGUIMIENTO_TPM_xlsx[[#This Row],[FECHA Y HORA FINAL]]-SEGUIMIENTO_TPM_xlsx[[#This Row],[FECHA Y HORA INICIO]])</f>
        <v>0</v>
      </c>
    </row>
    <row r="853" spans="1:20" x14ac:dyDescent="0.25">
      <c r="A853">
        <v>861</v>
      </c>
      <c r="C853" s="1"/>
      <c r="D853" s="2"/>
      <c r="H853" s="1"/>
      <c r="I853" s="1"/>
      <c r="J853" s="2"/>
      <c r="Q853" s="1">
        <f>SEGUIMIENTO_TPM_xlsx[[#This Row],[HORA FIN  INTERVENCIÓN]]-SEGUIMIENTO_TPM_xlsx[[#This Row],[HORA INICIO INTERVENCIÓN]]</f>
        <v>0</v>
      </c>
      <c r="R853" s="20">
        <f>(SEGUIMIENTO_TPM_xlsx[[#This Row],[HORA REPORTE]]+SEGUIMIENTO_TPM_xlsx[[#This Row],[FECHA DE REPORTE]])</f>
        <v>0</v>
      </c>
      <c r="S853" s="20">
        <f>(SEGUIMIENTO_TPM_xlsx[[#This Row],[FECHA DE INTERVENCÓN]]+SEGUIMIENTO_TPM_xlsx[[#This Row],[HORA FIN  INTERVENCIÓN]])</f>
        <v>0</v>
      </c>
      <c r="T853" s="11">
        <f>(SEGUIMIENTO_TPM_xlsx[[#This Row],[FECHA Y HORA FINAL]]-SEGUIMIENTO_TPM_xlsx[[#This Row],[FECHA Y HORA INICIO]])</f>
        <v>0</v>
      </c>
    </row>
    <row r="854" spans="1:20" x14ac:dyDescent="0.25">
      <c r="A854">
        <v>862</v>
      </c>
      <c r="C854" s="1"/>
      <c r="D854" s="2"/>
      <c r="H854" s="1"/>
      <c r="I854" s="1"/>
      <c r="J854" s="2"/>
      <c r="Q854" s="1">
        <f>SEGUIMIENTO_TPM_xlsx[[#This Row],[HORA FIN  INTERVENCIÓN]]-SEGUIMIENTO_TPM_xlsx[[#This Row],[HORA INICIO INTERVENCIÓN]]</f>
        <v>0</v>
      </c>
      <c r="R854" s="20">
        <f>(SEGUIMIENTO_TPM_xlsx[[#This Row],[HORA REPORTE]]+SEGUIMIENTO_TPM_xlsx[[#This Row],[FECHA DE REPORTE]])</f>
        <v>0</v>
      </c>
      <c r="S854" s="20">
        <f>(SEGUIMIENTO_TPM_xlsx[[#This Row],[FECHA DE INTERVENCÓN]]+SEGUIMIENTO_TPM_xlsx[[#This Row],[HORA FIN  INTERVENCIÓN]])</f>
        <v>0</v>
      </c>
      <c r="T854" s="11">
        <f>(SEGUIMIENTO_TPM_xlsx[[#This Row],[FECHA Y HORA FINAL]]-SEGUIMIENTO_TPM_xlsx[[#This Row],[FECHA Y HORA INICIO]])</f>
        <v>0</v>
      </c>
    </row>
    <row r="855" spans="1:20" x14ac:dyDescent="0.25">
      <c r="A855">
        <v>863</v>
      </c>
      <c r="C855" s="1"/>
      <c r="D855" s="2"/>
      <c r="H855" s="1"/>
      <c r="I855" s="1"/>
      <c r="J855" s="2"/>
      <c r="Q855" s="1">
        <f>SEGUIMIENTO_TPM_xlsx[[#This Row],[HORA FIN  INTERVENCIÓN]]-SEGUIMIENTO_TPM_xlsx[[#This Row],[HORA INICIO INTERVENCIÓN]]</f>
        <v>0</v>
      </c>
      <c r="R855" s="20">
        <f>(SEGUIMIENTO_TPM_xlsx[[#This Row],[HORA REPORTE]]+SEGUIMIENTO_TPM_xlsx[[#This Row],[FECHA DE REPORTE]])</f>
        <v>0</v>
      </c>
      <c r="S855" s="20">
        <f>(SEGUIMIENTO_TPM_xlsx[[#This Row],[FECHA DE INTERVENCÓN]]+SEGUIMIENTO_TPM_xlsx[[#This Row],[HORA FIN  INTERVENCIÓN]])</f>
        <v>0</v>
      </c>
      <c r="T855" s="11">
        <f>(SEGUIMIENTO_TPM_xlsx[[#This Row],[FECHA Y HORA FINAL]]-SEGUIMIENTO_TPM_xlsx[[#This Row],[FECHA Y HORA INICIO]])</f>
        <v>0</v>
      </c>
    </row>
    <row r="856" spans="1:20" x14ac:dyDescent="0.25">
      <c r="A856">
        <v>864</v>
      </c>
      <c r="C856" s="1"/>
      <c r="D856" s="2"/>
      <c r="H856" s="1"/>
      <c r="I856" s="1"/>
      <c r="J856" s="2"/>
      <c r="Q856" s="1">
        <f>SEGUIMIENTO_TPM_xlsx[[#This Row],[HORA FIN  INTERVENCIÓN]]-SEGUIMIENTO_TPM_xlsx[[#This Row],[HORA INICIO INTERVENCIÓN]]</f>
        <v>0</v>
      </c>
      <c r="R856" s="20">
        <f>(SEGUIMIENTO_TPM_xlsx[[#This Row],[HORA REPORTE]]+SEGUIMIENTO_TPM_xlsx[[#This Row],[FECHA DE REPORTE]])</f>
        <v>0</v>
      </c>
      <c r="S856" s="20">
        <f>(SEGUIMIENTO_TPM_xlsx[[#This Row],[FECHA DE INTERVENCÓN]]+SEGUIMIENTO_TPM_xlsx[[#This Row],[HORA FIN  INTERVENCIÓN]])</f>
        <v>0</v>
      </c>
      <c r="T856" s="11">
        <f>(SEGUIMIENTO_TPM_xlsx[[#This Row],[FECHA Y HORA FINAL]]-SEGUIMIENTO_TPM_xlsx[[#This Row],[FECHA Y HORA INICIO]])</f>
        <v>0</v>
      </c>
    </row>
    <row r="857" spans="1:20" x14ac:dyDescent="0.25">
      <c r="A857">
        <v>865</v>
      </c>
      <c r="C857" s="1"/>
      <c r="D857" s="2"/>
      <c r="H857" s="1"/>
      <c r="I857" s="1"/>
      <c r="J857" s="2"/>
      <c r="Q857" s="1">
        <f>SEGUIMIENTO_TPM_xlsx[[#This Row],[HORA FIN  INTERVENCIÓN]]-SEGUIMIENTO_TPM_xlsx[[#This Row],[HORA INICIO INTERVENCIÓN]]</f>
        <v>0</v>
      </c>
      <c r="R857" s="20">
        <f>(SEGUIMIENTO_TPM_xlsx[[#This Row],[HORA REPORTE]]+SEGUIMIENTO_TPM_xlsx[[#This Row],[FECHA DE REPORTE]])</f>
        <v>0</v>
      </c>
      <c r="S857" s="20">
        <f>(SEGUIMIENTO_TPM_xlsx[[#This Row],[FECHA DE INTERVENCÓN]]+SEGUIMIENTO_TPM_xlsx[[#This Row],[HORA FIN  INTERVENCIÓN]])</f>
        <v>0</v>
      </c>
      <c r="T857" s="11">
        <f>(SEGUIMIENTO_TPM_xlsx[[#This Row],[FECHA Y HORA FINAL]]-SEGUIMIENTO_TPM_xlsx[[#This Row],[FECHA Y HORA INICIO]])</f>
        <v>0</v>
      </c>
    </row>
    <row r="858" spans="1:20" x14ac:dyDescent="0.25">
      <c r="A858">
        <v>866</v>
      </c>
      <c r="C858" s="1"/>
      <c r="D858" s="2"/>
      <c r="H858" s="1"/>
      <c r="I858" s="1"/>
      <c r="J858" s="2"/>
      <c r="Q858" s="1">
        <f>SEGUIMIENTO_TPM_xlsx[[#This Row],[HORA FIN  INTERVENCIÓN]]-SEGUIMIENTO_TPM_xlsx[[#This Row],[HORA INICIO INTERVENCIÓN]]</f>
        <v>0</v>
      </c>
      <c r="R858" s="20">
        <f>(SEGUIMIENTO_TPM_xlsx[[#This Row],[HORA REPORTE]]+SEGUIMIENTO_TPM_xlsx[[#This Row],[FECHA DE REPORTE]])</f>
        <v>0</v>
      </c>
      <c r="S858" s="20">
        <f>(SEGUIMIENTO_TPM_xlsx[[#This Row],[FECHA DE INTERVENCÓN]]+SEGUIMIENTO_TPM_xlsx[[#This Row],[HORA FIN  INTERVENCIÓN]])</f>
        <v>0</v>
      </c>
      <c r="T858" s="11">
        <f>(SEGUIMIENTO_TPM_xlsx[[#This Row],[FECHA Y HORA FINAL]]-SEGUIMIENTO_TPM_xlsx[[#This Row],[FECHA Y HORA INICIO]])</f>
        <v>0</v>
      </c>
    </row>
    <row r="859" spans="1:20" x14ac:dyDescent="0.25">
      <c r="A859">
        <v>867</v>
      </c>
      <c r="C859" s="1"/>
      <c r="D859" s="2"/>
      <c r="H859" s="1"/>
      <c r="I859" s="1"/>
      <c r="J859" s="2"/>
      <c r="Q859" s="1">
        <f>SEGUIMIENTO_TPM_xlsx[[#This Row],[HORA FIN  INTERVENCIÓN]]-SEGUIMIENTO_TPM_xlsx[[#This Row],[HORA INICIO INTERVENCIÓN]]</f>
        <v>0</v>
      </c>
      <c r="R859" s="20">
        <f>(SEGUIMIENTO_TPM_xlsx[[#This Row],[HORA REPORTE]]+SEGUIMIENTO_TPM_xlsx[[#This Row],[FECHA DE REPORTE]])</f>
        <v>0</v>
      </c>
      <c r="S859" s="20">
        <f>(SEGUIMIENTO_TPM_xlsx[[#This Row],[FECHA DE INTERVENCÓN]]+SEGUIMIENTO_TPM_xlsx[[#This Row],[HORA FIN  INTERVENCIÓN]])</f>
        <v>0</v>
      </c>
      <c r="T859" s="11">
        <f>(SEGUIMIENTO_TPM_xlsx[[#This Row],[FECHA Y HORA FINAL]]-SEGUIMIENTO_TPM_xlsx[[#This Row],[FECHA Y HORA INICIO]])</f>
        <v>0</v>
      </c>
    </row>
    <row r="860" spans="1:20" x14ac:dyDescent="0.25">
      <c r="A860">
        <v>868</v>
      </c>
      <c r="C860" s="1"/>
      <c r="D860" s="2"/>
      <c r="H860" s="1"/>
      <c r="I860" s="1"/>
      <c r="J860" s="2"/>
      <c r="Q860" s="1">
        <f>SEGUIMIENTO_TPM_xlsx[[#This Row],[HORA FIN  INTERVENCIÓN]]-SEGUIMIENTO_TPM_xlsx[[#This Row],[HORA INICIO INTERVENCIÓN]]</f>
        <v>0</v>
      </c>
      <c r="R860" s="20">
        <f>(SEGUIMIENTO_TPM_xlsx[[#This Row],[HORA REPORTE]]+SEGUIMIENTO_TPM_xlsx[[#This Row],[FECHA DE REPORTE]])</f>
        <v>0</v>
      </c>
      <c r="S860" s="20">
        <f>(SEGUIMIENTO_TPM_xlsx[[#This Row],[FECHA DE INTERVENCÓN]]+SEGUIMIENTO_TPM_xlsx[[#This Row],[HORA FIN  INTERVENCIÓN]])</f>
        <v>0</v>
      </c>
      <c r="T860" s="11">
        <f>(SEGUIMIENTO_TPM_xlsx[[#This Row],[FECHA Y HORA FINAL]]-SEGUIMIENTO_TPM_xlsx[[#This Row],[FECHA Y HORA INICIO]])</f>
        <v>0</v>
      </c>
    </row>
    <row r="861" spans="1:20" x14ac:dyDescent="0.25">
      <c r="A861">
        <v>869</v>
      </c>
      <c r="C861" s="1"/>
      <c r="D861" s="2"/>
      <c r="H861" s="1"/>
      <c r="I861" s="1"/>
      <c r="J861" s="2"/>
      <c r="Q861" s="1">
        <f>SEGUIMIENTO_TPM_xlsx[[#This Row],[HORA FIN  INTERVENCIÓN]]-SEGUIMIENTO_TPM_xlsx[[#This Row],[HORA INICIO INTERVENCIÓN]]</f>
        <v>0</v>
      </c>
      <c r="R861" s="20">
        <f>(SEGUIMIENTO_TPM_xlsx[[#This Row],[HORA REPORTE]]+SEGUIMIENTO_TPM_xlsx[[#This Row],[FECHA DE REPORTE]])</f>
        <v>0</v>
      </c>
      <c r="S861" s="20">
        <f>(SEGUIMIENTO_TPM_xlsx[[#This Row],[FECHA DE INTERVENCÓN]]+SEGUIMIENTO_TPM_xlsx[[#This Row],[HORA FIN  INTERVENCIÓN]])</f>
        <v>0</v>
      </c>
      <c r="T861" s="11">
        <f>(SEGUIMIENTO_TPM_xlsx[[#This Row],[FECHA Y HORA FINAL]]-SEGUIMIENTO_TPM_xlsx[[#This Row],[FECHA Y HORA INICIO]])</f>
        <v>0</v>
      </c>
    </row>
    <row r="862" spans="1:20" x14ac:dyDescent="0.25">
      <c r="A862">
        <v>870</v>
      </c>
      <c r="C862" s="1"/>
      <c r="D862" s="2"/>
      <c r="H862" s="1"/>
      <c r="I862" s="1"/>
      <c r="J862" s="2"/>
      <c r="Q862" s="1">
        <f>SEGUIMIENTO_TPM_xlsx[[#This Row],[HORA FIN  INTERVENCIÓN]]-SEGUIMIENTO_TPM_xlsx[[#This Row],[HORA INICIO INTERVENCIÓN]]</f>
        <v>0</v>
      </c>
      <c r="R862" s="20">
        <f>(SEGUIMIENTO_TPM_xlsx[[#This Row],[HORA REPORTE]]+SEGUIMIENTO_TPM_xlsx[[#This Row],[FECHA DE REPORTE]])</f>
        <v>0</v>
      </c>
      <c r="S862" s="20">
        <f>(SEGUIMIENTO_TPM_xlsx[[#This Row],[FECHA DE INTERVENCÓN]]+SEGUIMIENTO_TPM_xlsx[[#This Row],[HORA FIN  INTERVENCIÓN]])</f>
        <v>0</v>
      </c>
      <c r="T862" s="11">
        <f>(SEGUIMIENTO_TPM_xlsx[[#This Row],[FECHA Y HORA FINAL]]-SEGUIMIENTO_TPM_xlsx[[#This Row],[FECHA Y HORA INICIO]])</f>
        <v>0</v>
      </c>
    </row>
    <row r="863" spans="1:20" x14ac:dyDescent="0.25">
      <c r="A863">
        <v>871</v>
      </c>
      <c r="C863" s="1"/>
      <c r="D863" s="2"/>
      <c r="H863" s="1"/>
      <c r="I863" s="1"/>
      <c r="J863" s="2"/>
      <c r="Q863" s="1">
        <f>SEGUIMIENTO_TPM_xlsx[[#This Row],[HORA FIN  INTERVENCIÓN]]-SEGUIMIENTO_TPM_xlsx[[#This Row],[HORA INICIO INTERVENCIÓN]]</f>
        <v>0</v>
      </c>
      <c r="R863" s="20">
        <f>(SEGUIMIENTO_TPM_xlsx[[#This Row],[HORA REPORTE]]+SEGUIMIENTO_TPM_xlsx[[#This Row],[FECHA DE REPORTE]])</f>
        <v>0</v>
      </c>
      <c r="S863" s="20">
        <f>(SEGUIMIENTO_TPM_xlsx[[#This Row],[FECHA DE INTERVENCÓN]]+SEGUIMIENTO_TPM_xlsx[[#This Row],[HORA FIN  INTERVENCIÓN]])</f>
        <v>0</v>
      </c>
      <c r="T863" s="11">
        <f>(SEGUIMIENTO_TPM_xlsx[[#This Row],[FECHA Y HORA FINAL]]-SEGUIMIENTO_TPM_xlsx[[#This Row],[FECHA Y HORA INICIO]])</f>
        <v>0</v>
      </c>
    </row>
    <row r="864" spans="1:20" x14ac:dyDescent="0.25">
      <c r="A864">
        <v>872</v>
      </c>
      <c r="C864" s="1"/>
      <c r="D864" s="2"/>
      <c r="H864" s="1"/>
      <c r="I864" s="1"/>
      <c r="J864" s="2"/>
      <c r="Q864" s="1">
        <f>SEGUIMIENTO_TPM_xlsx[[#This Row],[HORA FIN  INTERVENCIÓN]]-SEGUIMIENTO_TPM_xlsx[[#This Row],[HORA INICIO INTERVENCIÓN]]</f>
        <v>0</v>
      </c>
      <c r="R864" s="20">
        <f>(SEGUIMIENTO_TPM_xlsx[[#This Row],[HORA REPORTE]]+SEGUIMIENTO_TPM_xlsx[[#This Row],[FECHA DE REPORTE]])</f>
        <v>0</v>
      </c>
      <c r="S864" s="20">
        <f>(SEGUIMIENTO_TPM_xlsx[[#This Row],[FECHA DE INTERVENCÓN]]+SEGUIMIENTO_TPM_xlsx[[#This Row],[HORA FIN  INTERVENCIÓN]])</f>
        <v>0</v>
      </c>
      <c r="T864" s="11">
        <f>(SEGUIMIENTO_TPM_xlsx[[#This Row],[FECHA Y HORA FINAL]]-SEGUIMIENTO_TPM_xlsx[[#This Row],[FECHA Y HORA INICIO]])</f>
        <v>0</v>
      </c>
    </row>
    <row r="865" spans="1:20" x14ac:dyDescent="0.25">
      <c r="A865">
        <v>873</v>
      </c>
      <c r="C865" s="1"/>
      <c r="D865" s="2"/>
      <c r="H865" s="1"/>
      <c r="I865" s="1"/>
      <c r="J865" s="2"/>
      <c r="Q865" s="1">
        <f>SEGUIMIENTO_TPM_xlsx[[#This Row],[HORA FIN  INTERVENCIÓN]]-SEGUIMIENTO_TPM_xlsx[[#This Row],[HORA INICIO INTERVENCIÓN]]</f>
        <v>0</v>
      </c>
      <c r="R865" s="20">
        <f>(SEGUIMIENTO_TPM_xlsx[[#This Row],[HORA REPORTE]]+SEGUIMIENTO_TPM_xlsx[[#This Row],[FECHA DE REPORTE]])</f>
        <v>0</v>
      </c>
      <c r="S865" s="20">
        <f>(SEGUIMIENTO_TPM_xlsx[[#This Row],[FECHA DE INTERVENCÓN]]+SEGUIMIENTO_TPM_xlsx[[#This Row],[HORA FIN  INTERVENCIÓN]])</f>
        <v>0</v>
      </c>
      <c r="T865" s="11">
        <f>(SEGUIMIENTO_TPM_xlsx[[#This Row],[FECHA Y HORA FINAL]]-SEGUIMIENTO_TPM_xlsx[[#This Row],[FECHA Y HORA INICIO]])</f>
        <v>0</v>
      </c>
    </row>
    <row r="866" spans="1:20" x14ac:dyDescent="0.25">
      <c r="A866">
        <v>874</v>
      </c>
      <c r="C866" s="1"/>
      <c r="D866" s="2"/>
      <c r="H866" s="1"/>
      <c r="I866" s="1"/>
      <c r="J866" s="2"/>
      <c r="Q866" s="1">
        <f>SEGUIMIENTO_TPM_xlsx[[#This Row],[HORA FIN  INTERVENCIÓN]]-SEGUIMIENTO_TPM_xlsx[[#This Row],[HORA INICIO INTERVENCIÓN]]</f>
        <v>0</v>
      </c>
      <c r="R866" s="20">
        <f>(SEGUIMIENTO_TPM_xlsx[[#This Row],[HORA REPORTE]]+SEGUIMIENTO_TPM_xlsx[[#This Row],[FECHA DE REPORTE]])</f>
        <v>0</v>
      </c>
      <c r="S866" s="20">
        <f>(SEGUIMIENTO_TPM_xlsx[[#This Row],[FECHA DE INTERVENCÓN]]+SEGUIMIENTO_TPM_xlsx[[#This Row],[HORA FIN  INTERVENCIÓN]])</f>
        <v>0</v>
      </c>
      <c r="T866" s="11">
        <f>(SEGUIMIENTO_TPM_xlsx[[#This Row],[FECHA Y HORA FINAL]]-SEGUIMIENTO_TPM_xlsx[[#This Row],[FECHA Y HORA INICIO]])</f>
        <v>0</v>
      </c>
    </row>
    <row r="867" spans="1:20" x14ac:dyDescent="0.25">
      <c r="A867">
        <v>875</v>
      </c>
      <c r="C867" s="1"/>
      <c r="D867" s="2"/>
      <c r="H867" s="1"/>
      <c r="I867" s="1"/>
      <c r="J867" s="2"/>
      <c r="Q867" s="1">
        <f>SEGUIMIENTO_TPM_xlsx[[#This Row],[HORA FIN  INTERVENCIÓN]]-SEGUIMIENTO_TPM_xlsx[[#This Row],[HORA INICIO INTERVENCIÓN]]</f>
        <v>0</v>
      </c>
      <c r="R867" s="20">
        <f>(SEGUIMIENTO_TPM_xlsx[[#This Row],[HORA REPORTE]]+SEGUIMIENTO_TPM_xlsx[[#This Row],[FECHA DE REPORTE]])</f>
        <v>0</v>
      </c>
      <c r="S867" s="20">
        <f>(SEGUIMIENTO_TPM_xlsx[[#This Row],[FECHA DE INTERVENCÓN]]+SEGUIMIENTO_TPM_xlsx[[#This Row],[HORA FIN  INTERVENCIÓN]])</f>
        <v>0</v>
      </c>
      <c r="T867" s="11">
        <f>(SEGUIMIENTO_TPM_xlsx[[#This Row],[FECHA Y HORA FINAL]]-SEGUIMIENTO_TPM_xlsx[[#This Row],[FECHA Y HORA INICIO]])</f>
        <v>0</v>
      </c>
    </row>
    <row r="868" spans="1:20" x14ac:dyDescent="0.25">
      <c r="A868">
        <v>876</v>
      </c>
      <c r="C868" s="1"/>
      <c r="D868" s="2"/>
      <c r="H868" s="1"/>
      <c r="I868" s="1"/>
      <c r="J868" s="2"/>
      <c r="Q868" s="1">
        <f>SEGUIMIENTO_TPM_xlsx[[#This Row],[HORA FIN  INTERVENCIÓN]]-SEGUIMIENTO_TPM_xlsx[[#This Row],[HORA INICIO INTERVENCIÓN]]</f>
        <v>0</v>
      </c>
      <c r="R868" s="20">
        <f>(SEGUIMIENTO_TPM_xlsx[[#This Row],[HORA REPORTE]]+SEGUIMIENTO_TPM_xlsx[[#This Row],[FECHA DE REPORTE]])</f>
        <v>0</v>
      </c>
      <c r="S868" s="20">
        <f>(SEGUIMIENTO_TPM_xlsx[[#This Row],[FECHA DE INTERVENCÓN]]+SEGUIMIENTO_TPM_xlsx[[#This Row],[HORA FIN  INTERVENCIÓN]])</f>
        <v>0</v>
      </c>
      <c r="T868" s="11">
        <f>(SEGUIMIENTO_TPM_xlsx[[#This Row],[FECHA Y HORA FINAL]]-SEGUIMIENTO_TPM_xlsx[[#This Row],[FECHA Y HORA INICIO]])</f>
        <v>0</v>
      </c>
    </row>
    <row r="869" spans="1:20" x14ac:dyDescent="0.25">
      <c r="A869">
        <v>877</v>
      </c>
      <c r="C869" s="1"/>
      <c r="D869" s="2"/>
      <c r="H869" s="1"/>
      <c r="I869" s="1"/>
      <c r="J869" s="2"/>
      <c r="Q869" s="1">
        <f>SEGUIMIENTO_TPM_xlsx[[#This Row],[HORA FIN  INTERVENCIÓN]]-SEGUIMIENTO_TPM_xlsx[[#This Row],[HORA INICIO INTERVENCIÓN]]</f>
        <v>0</v>
      </c>
      <c r="R869" s="20">
        <f>(SEGUIMIENTO_TPM_xlsx[[#This Row],[HORA REPORTE]]+SEGUIMIENTO_TPM_xlsx[[#This Row],[FECHA DE REPORTE]])</f>
        <v>0</v>
      </c>
      <c r="S869" s="20">
        <f>(SEGUIMIENTO_TPM_xlsx[[#This Row],[FECHA DE INTERVENCÓN]]+SEGUIMIENTO_TPM_xlsx[[#This Row],[HORA FIN  INTERVENCIÓN]])</f>
        <v>0</v>
      </c>
      <c r="T869" s="11">
        <f>(SEGUIMIENTO_TPM_xlsx[[#This Row],[FECHA Y HORA FINAL]]-SEGUIMIENTO_TPM_xlsx[[#This Row],[FECHA Y HORA INICIO]])</f>
        <v>0</v>
      </c>
    </row>
    <row r="870" spans="1:20" x14ac:dyDescent="0.25">
      <c r="A870">
        <v>878</v>
      </c>
      <c r="C870" s="1"/>
      <c r="D870" s="2"/>
      <c r="H870" s="1"/>
      <c r="I870" s="1"/>
      <c r="J870" s="2"/>
      <c r="Q870" s="1">
        <f>SEGUIMIENTO_TPM_xlsx[[#This Row],[HORA FIN  INTERVENCIÓN]]-SEGUIMIENTO_TPM_xlsx[[#This Row],[HORA INICIO INTERVENCIÓN]]</f>
        <v>0</v>
      </c>
      <c r="R870" s="20">
        <f>(SEGUIMIENTO_TPM_xlsx[[#This Row],[HORA REPORTE]]+SEGUIMIENTO_TPM_xlsx[[#This Row],[FECHA DE REPORTE]])</f>
        <v>0</v>
      </c>
      <c r="S870" s="20">
        <f>(SEGUIMIENTO_TPM_xlsx[[#This Row],[FECHA DE INTERVENCÓN]]+SEGUIMIENTO_TPM_xlsx[[#This Row],[HORA FIN  INTERVENCIÓN]])</f>
        <v>0</v>
      </c>
      <c r="T870" s="11">
        <f>(SEGUIMIENTO_TPM_xlsx[[#This Row],[FECHA Y HORA FINAL]]-SEGUIMIENTO_TPM_xlsx[[#This Row],[FECHA Y HORA INICIO]])</f>
        <v>0</v>
      </c>
    </row>
    <row r="871" spans="1:20" x14ac:dyDescent="0.25">
      <c r="A871">
        <v>879</v>
      </c>
      <c r="C871" s="1"/>
      <c r="D871" s="2"/>
      <c r="H871" s="1"/>
      <c r="I871" s="1"/>
      <c r="J871" s="2"/>
      <c r="Q871" s="1">
        <f>SEGUIMIENTO_TPM_xlsx[[#This Row],[HORA FIN  INTERVENCIÓN]]-SEGUIMIENTO_TPM_xlsx[[#This Row],[HORA INICIO INTERVENCIÓN]]</f>
        <v>0</v>
      </c>
      <c r="R871" s="20">
        <f>(SEGUIMIENTO_TPM_xlsx[[#This Row],[HORA REPORTE]]+SEGUIMIENTO_TPM_xlsx[[#This Row],[FECHA DE REPORTE]])</f>
        <v>0</v>
      </c>
      <c r="S871" s="20">
        <f>(SEGUIMIENTO_TPM_xlsx[[#This Row],[FECHA DE INTERVENCÓN]]+SEGUIMIENTO_TPM_xlsx[[#This Row],[HORA FIN  INTERVENCIÓN]])</f>
        <v>0</v>
      </c>
      <c r="T871" s="11">
        <f>(SEGUIMIENTO_TPM_xlsx[[#This Row],[FECHA Y HORA FINAL]]-SEGUIMIENTO_TPM_xlsx[[#This Row],[FECHA Y HORA INICIO]])</f>
        <v>0</v>
      </c>
    </row>
    <row r="872" spans="1:20" x14ac:dyDescent="0.25">
      <c r="A872">
        <v>880</v>
      </c>
      <c r="C872" s="1"/>
      <c r="D872" s="2"/>
      <c r="H872" s="1"/>
      <c r="I872" s="1"/>
      <c r="J872" s="2"/>
      <c r="Q872" s="1">
        <f>SEGUIMIENTO_TPM_xlsx[[#This Row],[HORA FIN  INTERVENCIÓN]]-SEGUIMIENTO_TPM_xlsx[[#This Row],[HORA INICIO INTERVENCIÓN]]</f>
        <v>0</v>
      </c>
      <c r="R872" s="20">
        <f>(SEGUIMIENTO_TPM_xlsx[[#This Row],[HORA REPORTE]]+SEGUIMIENTO_TPM_xlsx[[#This Row],[FECHA DE REPORTE]])</f>
        <v>0</v>
      </c>
      <c r="S872" s="20">
        <f>(SEGUIMIENTO_TPM_xlsx[[#This Row],[FECHA DE INTERVENCÓN]]+SEGUIMIENTO_TPM_xlsx[[#This Row],[HORA FIN  INTERVENCIÓN]])</f>
        <v>0</v>
      </c>
      <c r="T872" s="11">
        <f>(SEGUIMIENTO_TPM_xlsx[[#This Row],[FECHA Y HORA FINAL]]-SEGUIMIENTO_TPM_xlsx[[#This Row],[FECHA Y HORA INICIO]])</f>
        <v>0</v>
      </c>
    </row>
    <row r="873" spans="1:20" x14ac:dyDescent="0.25">
      <c r="A873">
        <v>881</v>
      </c>
      <c r="C873" s="1"/>
      <c r="D873" s="2"/>
      <c r="H873" s="1"/>
      <c r="I873" s="1"/>
      <c r="J873" s="2"/>
      <c r="Q873" s="1">
        <f>SEGUIMIENTO_TPM_xlsx[[#This Row],[HORA FIN  INTERVENCIÓN]]-SEGUIMIENTO_TPM_xlsx[[#This Row],[HORA INICIO INTERVENCIÓN]]</f>
        <v>0</v>
      </c>
      <c r="R873" s="20">
        <f>(SEGUIMIENTO_TPM_xlsx[[#This Row],[HORA REPORTE]]+SEGUIMIENTO_TPM_xlsx[[#This Row],[FECHA DE REPORTE]])</f>
        <v>0</v>
      </c>
      <c r="S873" s="20">
        <f>(SEGUIMIENTO_TPM_xlsx[[#This Row],[FECHA DE INTERVENCÓN]]+SEGUIMIENTO_TPM_xlsx[[#This Row],[HORA FIN  INTERVENCIÓN]])</f>
        <v>0</v>
      </c>
      <c r="T873" s="11">
        <f>(SEGUIMIENTO_TPM_xlsx[[#This Row],[FECHA Y HORA FINAL]]-SEGUIMIENTO_TPM_xlsx[[#This Row],[FECHA Y HORA INICIO]])</f>
        <v>0</v>
      </c>
    </row>
    <row r="874" spans="1:20" x14ac:dyDescent="0.25">
      <c r="A874">
        <v>882</v>
      </c>
      <c r="C874" s="1"/>
      <c r="D874" s="2"/>
      <c r="H874" s="1"/>
      <c r="I874" s="1"/>
      <c r="J874" s="2"/>
      <c r="Q874" s="1">
        <f>SEGUIMIENTO_TPM_xlsx[[#This Row],[HORA FIN  INTERVENCIÓN]]-SEGUIMIENTO_TPM_xlsx[[#This Row],[HORA INICIO INTERVENCIÓN]]</f>
        <v>0</v>
      </c>
      <c r="R874" s="20">
        <f>(SEGUIMIENTO_TPM_xlsx[[#This Row],[HORA REPORTE]]+SEGUIMIENTO_TPM_xlsx[[#This Row],[FECHA DE REPORTE]])</f>
        <v>0</v>
      </c>
      <c r="S874" s="20">
        <f>(SEGUIMIENTO_TPM_xlsx[[#This Row],[FECHA DE INTERVENCÓN]]+SEGUIMIENTO_TPM_xlsx[[#This Row],[HORA FIN  INTERVENCIÓN]])</f>
        <v>0</v>
      </c>
      <c r="T874" s="11">
        <f>(SEGUIMIENTO_TPM_xlsx[[#This Row],[FECHA Y HORA FINAL]]-SEGUIMIENTO_TPM_xlsx[[#This Row],[FECHA Y HORA INICIO]])</f>
        <v>0</v>
      </c>
    </row>
    <row r="875" spans="1:20" x14ac:dyDescent="0.25">
      <c r="A875">
        <v>883</v>
      </c>
      <c r="C875" s="1"/>
      <c r="D875" s="2"/>
      <c r="H875" s="1"/>
      <c r="I875" s="1"/>
      <c r="J875" s="2"/>
      <c r="Q875" s="1">
        <f>SEGUIMIENTO_TPM_xlsx[[#This Row],[HORA FIN  INTERVENCIÓN]]-SEGUIMIENTO_TPM_xlsx[[#This Row],[HORA INICIO INTERVENCIÓN]]</f>
        <v>0</v>
      </c>
      <c r="R875" s="20">
        <f>(SEGUIMIENTO_TPM_xlsx[[#This Row],[HORA REPORTE]]+SEGUIMIENTO_TPM_xlsx[[#This Row],[FECHA DE REPORTE]])</f>
        <v>0</v>
      </c>
      <c r="S875" s="20">
        <f>(SEGUIMIENTO_TPM_xlsx[[#This Row],[FECHA DE INTERVENCÓN]]+SEGUIMIENTO_TPM_xlsx[[#This Row],[HORA FIN  INTERVENCIÓN]])</f>
        <v>0</v>
      </c>
      <c r="T875" s="11">
        <f>(SEGUIMIENTO_TPM_xlsx[[#This Row],[FECHA Y HORA FINAL]]-SEGUIMIENTO_TPM_xlsx[[#This Row],[FECHA Y HORA INICIO]])</f>
        <v>0</v>
      </c>
    </row>
    <row r="876" spans="1:20" x14ac:dyDescent="0.25">
      <c r="A876">
        <v>884</v>
      </c>
      <c r="C876" s="1"/>
      <c r="D876" s="2"/>
      <c r="H876" s="1"/>
      <c r="I876" s="1"/>
      <c r="J876" s="2"/>
      <c r="Q876" s="1">
        <f>SEGUIMIENTO_TPM_xlsx[[#This Row],[HORA FIN  INTERVENCIÓN]]-SEGUIMIENTO_TPM_xlsx[[#This Row],[HORA INICIO INTERVENCIÓN]]</f>
        <v>0</v>
      </c>
      <c r="R876" s="20">
        <f>(SEGUIMIENTO_TPM_xlsx[[#This Row],[HORA REPORTE]]+SEGUIMIENTO_TPM_xlsx[[#This Row],[FECHA DE REPORTE]])</f>
        <v>0</v>
      </c>
      <c r="S876" s="20">
        <f>(SEGUIMIENTO_TPM_xlsx[[#This Row],[FECHA DE INTERVENCÓN]]+SEGUIMIENTO_TPM_xlsx[[#This Row],[HORA FIN  INTERVENCIÓN]])</f>
        <v>0</v>
      </c>
      <c r="T876" s="11">
        <f>(SEGUIMIENTO_TPM_xlsx[[#This Row],[FECHA Y HORA FINAL]]-SEGUIMIENTO_TPM_xlsx[[#This Row],[FECHA Y HORA INICIO]])</f>
        <v>0</v>
      </c>
    </row>
    <row r="877" spans="1:20" x14ac:dyDescent="0.25">
      <c r="A877">
        <v>885</v>
      </c>
      <c r="C877" s="1"/>
      <c r="D877" s="2"/>
      <c r="H877" s="1"/>
      <c r="I877" s="1"/>
      <c r="J877" s="2"/>
      <c r="Q877" s="1">
        <f>SEGUIMIENTO_TPM_xlsx[[#This Row],[HORA FIN  INTERVENCIÓN]]-SEGUIMIENTO_TPM_xlsx[[#This Row],[HORA INICIO INTERVENCIÓN]]</f>
        <v>0</v>
      </c>
      <c r="R877" s="20">
        <f>(SEGUIMIENTO_TPM_xlsx[[#This Row],[HORA REPORTE]]+SEGUIMIENTO_TPM_xlsx[[#This Row],[FECHA DE REPORTE]])</f>
        <v>0</v>
      </c>
      <c r="S877" s="20">
        <f>(SEGUIMIENTO_TPM_xlsx[[#This Row],[FECHA DE INTERVENCÓN]]+SEGUIMIENTO_TPM_xlsx[[#This Row],[HORA FIN  INTERVENCIÓN]])</f>
        <v>0</v>
      </c>
      <c r="T877" s="11">
        <f>(SEGUIMIENTO_TPM_xlsx[[#This Row],[FECHA Y HORA FINAL]]-SEGUIMIENTO_TPM_xlsx[[#This Row],[FECHA Y HORA INICIO]])</f>
        <v>0</v>
      </c>
    </row>
    <row r="878" spans="1:20" x14ac:dyDescent="0.25">
      <c r="A878">
        <v>886</v>
      </c>
      <c r="C878" s="1"/>
      <c r="D878" s="2"/>
      <c r="H878" s="1"/>
      <c r="I878" s="1"/>
      <c r="J878" s="2"/>
      <c r="Q878" s="1">
        <f>SEGUIMIENTO_TPM_xlsx[[#This Row],[HORA FIN  INTERVENCIÓN]]-SEGUIMIENTO_TPM_xlsx[[#This Row],[HORA INICIO INTERVENCIÓN]]</f>
        <v>0</v>
      </c>
      <c r="R878" s="20">
        <f>(SEGUIMIENTO_TPM_xlsx[[#This Row],[HORA REPORTE]]+SEGUIMIENTO_TPM_xlsx[[#This Row],[FECHA DE REPORTE]])</f>
        <v>0</v>
      </c>
      <c r="S878" s="20">
        <f>(SEGUIMIENTO_TPM_xlsx[[#This Row],[FECHA DE INTERVENCÓN]]+SEGUIMIENTO_TPM_xlsx[[#This Row],[HORA FIN  INTERVENCIÓN]])</f>
        <v>0</v>
      </c>
      <c r="T878" s="11">
        <f>(SEGUIMIENTO_TPM_xlsx[[#This Row],[FECHA Y HORA FINAL]]-SEGUIMIENTO_TPM_xlsx[[#This Row],[FECHA Y HORA INICIO]])</f>
        <v>0</v>
      </c>
    </row>
    <row r="879" spans="1:20" x14ac:dyDescent="0.25">
      <c r="A879">
        <v>887</v>
      </c>
      <c r="C879" s="1"/>
      <c r="D879" s="2"/>
      <c r="H879" s="1"/>
      <c r="I879" s="1"/>
      <c r="J879" s="2"/>
      <c r="Q879" s="1">
        <f>SEGUIMIENTO_TPM_xlsx[[#This Row],[HORA FIN  INTERVENCIÓN]]-SEGUIMIENTO_TPM_xlsx[[#This Row],[HORA INICIO INTERVENCIÓN]]</f>
        <v>0</v>
      </c>
      <c r="R879" s="20">
        <f>(SEGUIMIENTO_TPM_xlsx[[#This Row],[HORA REPORTE]]+SEGUIMIENTO_TPM_xlsx[[#This Row],[FECHA DE REPORTE]])</f>
        <v>0</v>
      </c>
      <c r="S879" s="20">
        <f>(SEGUIMIENTO_TPM_xlsx[[#This Row],[FECHA DE INTERVENCÓN]]+SEGUIMIENTO_TPM_xlsx[[#This Row],[HORA FIN  INTERVENCIÓN]])</f>
        <v>0</v>
      </c>
      <c r="T879" s="11">
        <f>(SEGUIMIENTO_TPM_xlsx[[#This Row],[FECHA Y HORA FINAL]]-SEGUIMIENTO_TPM_xlsx[[#This Row],[FECHA Y HORA INICIO]])</f>
        <v>0</v>
      </c>
    </row>
    <row r="880" spans="1:20" x14ac:dyDescent="0.25">
      <c r="A880">
        <v>888</v>
      </c>
      <c r="C880" s="1"/>
      <c r="D880" s="2"/>
      <c r="H880" s="1"/>
      <c r="I880" s="1"/>
      <c r="J880" s="2"/>
      <c r="Q880" s="1">
        <f>SEGUIMIENTO_TPM_xlsx[[#This Row],[HORA FIN  INTERVENCIÓN]]-SEGUIMIENTO_TPM_xlsx[[#This Row],[HORA INICIO INTERVENCIÓN]]</f>
        <v>0</v>
      </c>
      <c r="R880" s="20">
        <f>(SEGUIMIENTO_TPM_xlsx[[#This Row],[HORA REPORTE]]+SEGUIMIENTO_TPM_xlsx[[#This Row],[FECHA DE REPORTE]])</f>
        <v>0</v>
      </c>
      <c r="S880" s="20">
        <f>(SEGUIMIENTO_TPM_xlsx[[#This Row],[FECHA DE INTERVENCÓN]]+SEGUIMIENTO_TPM_xlsx[[#This Row],[HORA FIN  INTERVENCIÓN]])</f>
        <v>0</v>
      </c>
      <c r="T880" s="11">
        <f>(SEGUIMIENTO_TPM_xlsx[[#This Row],[FECHA Y HORA FINAL]]-SEGUIMIENTO_TPM_xlsx[[#This Row],[FECHA Y HORA INICIO]])</f>
        <v>0</v>
      </c>
    </row>
    <row r="881" spans="1:20" x14ac:dyDescent="0.25">
      <c r="A881">
        <v>889</v>
      </c>
      <c r="C881" s="1"/>
      <c r="D881" s="2"/>
      <c r="H881" s="1"/>
      <c r="I881" s="1"/>
      <c r="J881" s="2"/>
      <c r="Q881" s="1">
        <f>SEGUIMIENTO_TPM_xlsx[[#This Row],[HORA FIN  INTERVENCIÓN]]-SEGUIMIENTO_TPM_xlsx[[#This Row],[HORA INICIO INTERVENCIÓN]]</f>
        <v>0</v>
      </c>
      <c r="R881" s="20">
        <f>(SEGUIMIENTO_TPM_xlsx[[#This Row],[HORA REPORTE]]+SEGUIMIENTO_TPM_xlsx[[#This Row],[FECHA DE REPORTE]])</f>
        <v>0</v>
      </c>
      <c r="S881" s="20">
        <f>(SEGUIMIENTO_TPM_xlsx[[#This Row],[FECHA DE INTERVENCÓN]]+SEGUIMIENTO_TPM_xlsx[[#This Row],[HORA FIN  INTERVENCIÓN]])</f>
        <v>0</v>
      </c>
      <c r="T881" s="11">
        <f>(SEGUIMIENTO_TPM_xlsx[[#This Row],[FECHA Y HORA FINAL]]-SEGUIMIENTO_TPM_xlsx[[#This Row],[FECHA Y HORA INICIO]])</f>
        <v>0</v>
      </c>
    </row>
    <row r="882" spans="1:20" x14ac:dyDescent="0.25">
      <c r="A882">
        <v>890</v>
      </c>
      <c r="C882" s="1"/>
      <c r="D882" s="2"/>
      <c r="H882" s="1"/>
      <c r="I882" s="1"/>
      <c r="J882" s="2"/>
      <c r="Q882" s="1">
        <f>SEGUIMIENTO_TPM_xlsx[[#This Row],[HORA FIN  INTERVENCIÓN]]-SEGUIMIENTO_TPM_xlsx[[#This Row],[HORA INICIO INTERVENCIÓN]]</f>
        <v>0</v>
      </c>
      <c r="R882" s="20">
        <f>(SEGUIMIENTO_TPM_xlsx[[#This Row],[HORA REPORTE]]+SEGUIMIENTO_TPM_xlsx[[#This Row],[FECHA DE REPORTE]])</f>
        <v>0</v>
      </c>
      <c r="S882" s="20">
        <f>(SEGUIMIENTO_TPM_xlsx[[#This Row],[FECHA DE INTERVENCÓN]]+SEGUIMIENTO_TPM_xlsx[[#This Row],[HORA FIN  INTERVENCIÓN]])</f>
        <v>0</v>
      </c>
      <c r="T882" s="11">
        <f>(SEGUIMIENTO_TPM_xlsx[[#This Row],[FECHA Y HORA FINAL]]-SEGUIMIENTO_TPM_xlsx[[#This Row],[FECHA Y HORA INICIO]])</f>
        <v>0</v>
      </c>
    </row>
    <row r="883" spans="1:20" x14ac:dyDescent="0.25">
      <c r="A883">
        <v>891</v>
      </c>
      <c r="C883" s="1"/>
      <c r="D883" s="2"/>
      <c r="H883" s="1"/>
      <c r="I883" s="1"/>
      <c r="J883" s="2"/>
      <c r="Q883" s="1">
        <f>SEGUIMIENTO_TPM_xlsx[[#This Row],[HORA FIN  INTERVENCIÓN]]-SEGUIMIENTO_TPM_xlsx[[#This Row],[HORA INICIO INTERVENCIÓN]]</f>
        <v>0</v>
      </c>
      <c r="R883" s="20">
        <f>(SEGUIMIENTO_TPM_xlsx[[#This Row],[HORA REPORTE]]+SEGUIMIENTO_TPM_xlsx[[#This Row],[FECHA DE REPORTE]])</f>
        <v>0</v>
      </c>
      <c r="S883" s="20">
        <f>(SEGUIMIENTO_TPM_xlsx[[#This Row],[FECHA DE INTERVENCÓN]]+SEGUIMIENTO_TPM_xlsx[[#This Row],[HORA FIN  INTERVENCIÓN]])</f>
        <v>0</v>
      </c>
      <c r="T883" s="11">
        <f>(SEGUIMIENTO_TPM_xlsx[[#This Row],[FECHA Y HORA FINAL]]-SEGUIMIENTO_TPM_xlsx[[#This Row],[FECHA Y HORA INICIO]])</f>
        <v>0</v>
      </c>
    </row>
    <row r="884" spans="1:20" x14ac:dyDescent="0.25">
      <c r="A884">
        <v>892</v>
      </c>
      <c r="C884" s="1"/>
      <c r="D884" s="2"/>
      <c r="H884" s="1"/>
      <c r="I884" s="1"/>
      <c r="J884" s="2"/>
      <c r="Q884" s="1">
        <f>SEGUIMIENTO_TPM_xlsx[[#This Row],[HORA FIN  INTERVENCIÓN]]-SEGUIMIENTO_TPM_xlsx[[#This Row],[HORA INICIO INTERVENCIÓN]]</f>
        <v>0</v>
      </c>
      <c r="R884" s="20">
        <f>(SEGUIMIENTO_TPM_xlsx[[#This Row],[HORA REPORTE]]+SEGUIMIENTO_TPM_xlsx[[#This Row],[FECHA DE REPORTE]])</f>
        <v>0</v>
      </c>
      <c r="S884" s="20">
        <f>(SEGUIMIENTO_TPM_xlsx[[#This Row],[FECHA DE INTERVENCÓN]]+SEGUIMIENTO_TPM_xlsx[[#This Row],[HORA FIN  INTERVENCIÓN]])</f>
        <v>0</v>
      </c>
      <c r="T884" s="11">
        <f>(SEGUIMIENTO_TPM_xlsx[[#This Row],[FECHA Y HORA FINAL]]-SEGUIMIENTO_TPM_xlsx[[#This Row],[FECHA Y HORA INICIO]])</f>
        <v>0</v>
      </c>
    </row>
    <row r="885" spans="1:20" x14ac:dyDescent="0.25">
      <c r="A885">
        <v>893</v>
      </c>
      <c r="C885" s="1"/>
      <c r="D885" s="2"/>
      <c r="H885" s="1"/>
      <c r="I885" s="1"/>
      <c r="J885" s="2"/>
      <c r="Q885" s="1">
        <f>SEGUIMIENTO_TPM_xlsx[[#This Row],[HORA FIN  INTERVENCIÓN]]-SEGUIMIENTO_TPM_xlsx[[#This Row],[HORA INICIO INTERVENCIÓN]]</f>
        <v>0</v>
      </c>
      <c r="R885" s="20">
        <f>(SEGUIMIENTO_TPM_xlsx[[#This Row],[HORA REPORTE]]+SEGUIMIENTO_TPM_xlsx[[#This Row],[FECHA DE REPORTE]])</f>
        <v>0</v>
      </c>
      <c r="S885" s="20">
        <f>(SEGUIMIENTO_TPM_xlsx[[#This Row],[FECHA DE INTERVENCÓN]]+SEGUIMIENTO_TPM_xlsx[[#This Row],[HORA FIN  INTERVENCIÓN]])</f>
        <v>0</v>
      </c>
      <c r="T885" s="11">
        <f>(SEGUIMIENTO_TPM_xlsx[[#This Row],[FECHA Y HORA FINAL]]-SEGUIMIENTO_TPM_xlsx[[#This Row],[FECHA Y HORA INICIO]])</f>
        <v>0</v>
      </c>
    </row>
    <row r="886" spans="1:20" x14ac:dyDescent="0.25">
      <c r="A886">
        <v>894</v>
      </c>
      <c r="C886" s="1"/>
      <c r="D886" s="2"/>
      <c r="H886" s="1"/>
      <c r="I886" s="1"/>
      <c r="J886" s="2"/>
      <c r="Q886" s="1">
        <f>SEGUIMIENTO_TPM_xlsx[[#This Row],[HORA FIN  INTERVENCIÓN]]-SEGUIMIENTO_TPM_xlsx[[#This Row],[HORA INICIO INTERVENCIÓN]]</f>
        <v>0</v>
      </c>
      <c r="R886" s="20">
        <f>(SEGUIMIENTO_TPM_xlsx[[#This Row],[HORA REPORTE]]+SEGUIMIENTO_TPM_xlsx[[#This Row],[FECHA DE REPORTE]])</f>
        <v>0</v>
      </c>
      <c r="S886" s="20">
        <f>(SEGUIMIENTO_TPM_xlsx[[#This Row],[FECHA DE INTERVENCÓN]]+SEGUIMIENTO_TPM_xlsx[[#This Row],[HORA FIN  INTERVENCIÓN]])</f>
        <v>0</v>
      </c>
      <c r="T886" s="11">
        <f>(SEGUIMIENTO_TPM_xlsx[[#This Row],[FECHA Y HORA FINAL]]-SEGUIMIENTO_TPM_xlsx[[#This Row],[FECHA Y HORA INICIO]])</f>
        <v>0</v>
      </c>
    </row>
    <row r="887" spans="1:20" x14ac:dyDescent="0.25">
      <c r="A887">
        <v>895</v>
      </c>
      <c r="C887" s="1"/>
      <c r="D887" s="2"/>
      <c r="H887" s="1"/>
      <c r="I887" s="1"/>
      <c r="J887" s="2"/>
      <c r="Q887" s="1">
        <f>SEGUIMIENTO_TPM_xlsx[[#This Row],[HORA FIN  INTERVENCIÓN]]-SEGUIMIENTO_TPM_xlsx[[#This Row],[HORA INICIO INTERVENCIÓN]]</f>
        <v>0</v>
      </c>
      <c r="R887" s="20">
        <f>(SEGUIMIENTO_TPM_xlsx[[#This Row],[HORA REPORTE]]+SEGUIMIENTO_TPM_xlsx[[#This Row],[FECHA DE REPORTE]])</f>
        <v>0</v>
      </c>
      <c r="S887" s="20">
        <f>(SEGUIMIENTO_TPM_xlsx[[#This Row],[FECHA DE INTERVENCÓN]]+SEGUIMIENTO_TPM_xlsx[[#This Row],[HORA FIN  INTERVENCIÓN]])</f>
        <v>0</v>
      </c>
      <c r="T887" s="11">
        <f>(SEGUIMIENTO_TPM_xlsx[[#This Row],[FECHA Y HORA FINAL]]-SEGUIMIENTO_TPM_xlsx[[#This Row],[FECHA Y HORA INICIO]])</f>
        <v>0</v>
      </c>
    </row>
    <row r="888" spans="1:20" x14ac:dyDescent="0.25">
      <c r="A888">
        <v>896</v>
      </c>
      <c r="C888" s="1"/>
      <c r="D888" s="2"/>
      <c r="H888" s="1"/>
      <c r="I888" s="1"/>
      <c r="J888" s="2"/>
      <c r="Q888" s="1">
        <f>SEGUIMIENTO_TPM_xlsx[[#This Row],[HORA FIN  INTERVENCIÓN]]-SEGUIMIENTO_TPM_xlsx[[#This Row],[HORA INICIO INTERVENCIÓN]]</f>
        <v>0</v>
      </c>
      <c r="R888" s="20">
        <f>(SEGUIMIENTO_TPM_xlsx[[#This Row],[HORA REPORTE]]+SEGUIMIENTO_TPM_xlsx[[#This Row],[FECHA DE REPORTE]])</f>
        <v>0</v>
      </c>
      <c r="S888" s="20">
        <f>(SEGUIMIENTO_TPM_xlsx[[#This Row],[FECHA DE INTERVENCÓN]]+SEGUIMIENTO_TPM_xlsx[[#This Row],[HORA FIN  INTERVENCIÓN]])</f>
        <v>0</v>
      </c>
      <c r="T888" s="11">
        <f>(SEGUIMIENTO_TPM_xlsx[[#This Row],[FECHA Y HORA FINAL]]-SEGUIMIENTO_TPM_xlsx[[#This Row],[FECHA Y HORA INICIO]])</f>
        <v>0</v>
      </c>
    </row>
    <row r="889" spans="1:20" x14ac:dyDescent="0.25">
      <c r="A889">
        <v>897</v>
      </c>
      <c r="C889" s="1"/>
      <c r="D889" s="2"/>
      <c r="H889" s="1"/>
      <c r="I889" s="1"/>
      <c r="J889" s="2"/>
      <c r="Q889" s="1">
        <f>SEGUIMIENTO_TPM_xlsx[[#This Row],[HORA FIN  INTERVENCIÓN]]-SEGUIMIENTO_TPM_xlsx[[#This Row],[HORA INICIO INTERVENCIÓN]]</f>
        <v>0</v>
      </c>
      <c r="R889" s="20">
        <f>(SEGUIMIENTO_TPM_xlsx[[#This Row],[HORA REPORTE]]+SEGUIMIENTO_TPM_xlsx[[#This Row],[FECHA DE REPORTE]])</f>
        <v>0</v>
      </c>
      <c r="S889" s="20">
        <f>(SEGUIMIENTO_TPM_xlsx[[#This Row],[FECHA DE INTERVENCÓN]]+SEGUIMIENTO_TPM_xlsx[[#This Row],[HORA FIN  INTERVENCIÓN]])</f>
        <v>0</v>
      </c>
      <c r="T889" s="11">
        <f>(SEGUIMIENTO_TPM_xlsx[[#This Row],[FECHA Y HORA FINAL]]-SEGUIMIENTO_TPM_xlsx[[#This Row],[FECHA Y HORA INICIO]])</f>
        <v>0</v>
      </c>
    </row>
    <row r="890" spans="1:20" x14ac:dyDescent="0.25">
      <c r="A890">
        <v>898</v>
      </c>
      <c r="C890" s="1"/>
      <c r="D890" s="2"/>
      <c r="H890" s="1"/>
      <c r="I890" s="1"/>
      <c r="J890" s="2"/>
      <c r="Q890" s="1">
        <f>SEGUIMIENTO_TPM_xlsx[[#This Row],[HORA FIN  INTERVENCIÓN]]-SEGUIMIENTO_TPM_xlsx[[#This Row],[HORA INICIO INTERVENCIÓN]]</f>
        <v>0</v>
      </c>
      <c r="R890" s="20">
        <f>(SEGUIMIENTO_TPM_xlsx[[#This Row],[HORA REPORTE]]+SEGUIMIENTO_TPM_xlsx[[#This Row],[FECHA DE REPORTE]])</f>
        <v>0</v>
      </c>
      <c r="S890" s="20">
        <f>(SEGUIMIENTO_TPM_xlsx[[#This Row],[FECHA DE INTERVENCÓN]]+SEGUIMIENTO_TPM_xlsx[[#This Row],[HORA FIN  INTERVENCIÓN]])</f>
        <v>0</v>
      </c>
      <c r="T890" s="11">
        <f>(SEGUIMIENTO_TPM_xlsx[[#This Row],[FECHA Y HORA FINAL]]-SEGUIMIENTO_TPM_xlsx[[#This Row],[FECHA Y HORA INICIO]])</f>
        <v>0</v>
      </c>
    </row>
    <row r="891" spans="1:20" x14ac:dyDescent="0.25">
      <c r="A891">
        <v>899</v>
      </c>
      <c r="C891" s="1"/>
      <c r="D891" s="2"/>
      <c r="H891" s="1"/>
      <c r="I891" s="1"/>
      <c r="J891" s="2"/>
      <c r="Q891" s="1">
        <f>SEGUIMIENTO_TPM_xlsx[[#This Row],[HORA FIN  INTERVENCIÓN]]-SEGUIMIENTO_TPM_xlsx[[#This Row],[HORA INICIO INTERVENCIÓN]]</f>
        <v>0</v>
      </c>
      <c r="R891" s="20">
        <f>(SEGUIMIENTO_TPM_xlsx[[#This Row],[HORA REPORTE]]+SEGUIMIENTO_TPM_xlsx[[#This Row],[FECHA DE REPORTE]])</f>
        <v>0</v>
      </c>
      <c r="S891" s="20">
        <f>(SEGUIMIENTO_TPM_xlsx[[#This Row],[FECHA DE INTERVENCÓN]]+SEGUIMIENTO_TPM_xlsx[[#This Row],[HORA FIN  INTERVENCIÓN]])</f>
        <v>0</v>
      </c>
      <c r="T891" s="11">
        <f>(SEGUIMIENTO_TPM_xlsx[[#This Row],[FECHA Y HORA FINAL]]-SEGUIMIENTO_TPM_xlsx[[#This Row],[FECHA Y HORA INICIO]])</f>
        <v>0</v>
      </c>
    </row>
    <row r="892" spans="1:20" x14ac:dyDescent="0.25">
      <c r="A892">
        <v>900</v>
      </c>
      <c r="C892" s="1"/>
      <c r="D892" s="2"/>
      <c r="H892" s="1"/>
      <c r="I892" s="1"/>
      <c r="J892" s="2"/>
      <c r="P892" t="s">
        <v>23</v>
      </c>
      <c r="Q892" s="1">
        <f>SEGUIMIENTO_TPM_xlsx[[#This Row],[HORA FIN  INTERVENCIÓN]]-SEGUIMIENTO_TPM_xlsx[[#This Row],[HORA INICIO INTERVENCIÓN]]</f>
        <v>0</v>
      </c>
      <c r="R892" s="20">
        <f>(SEGUIMIENTO_TPM_xlsx[[#This Row],[HORA REPORTE]]+SEGUIMIENTO_TPM_xlsx[[#This Row],[FECHA DE REPORTE]])</f>
        <v>0</v>
      </c>
      <c r="S892" s="20">
        <f>(SEGUIMIENTO_TPM_xlsx[[#This Row],[FECHA DE INTERVENCÓN]]+SEGUIMIENTO_TPM_xlsx[[#This Row],[HORA FIN  INTERVENCIÓN]])</f>
        <v>0</v>
      </c>
      <c r="T892" s="11">
        <f>(SEGUIMIENTO_TPM_xlsx[[#This Row],[FECHA Y HORA FINAL]]-SEGUIMIENTO_TPM_xlsx[[#This Row],[FECHA Y HORA INICIO]])</f>
        <v>0</v>
      </c>
    </row>
    <row r="893" spans="1:20" x14ac:dyDescent="0.25">
      <c r="A893">
        <v>901</v>
      </c>
      <c r="B893" t="s">
        <v>385</v>
      </c>
      <c r="C893" s="1">
        <v>0.61458333333333337</v>
      </c>
      <c r="D893" s="2">
        <v>46078</v>
      </c>
      <c r="E893" t="s">
        <v>109</v>
      </c>
      <c r="F893" t="s">
        <v>18</v>
      </c>
      <c r="G893" t="s">
        <v>1343</v>
      </c>
      <c r="H893" s="1">
        <v>0.61458333333333337</v>
      </c>
      <c r="I893" s="1">
        <v>0.74305555555555558</v>
      </c>
      <c r="J893" s="2">
        <v>46078</v>
      </c>
      <c r="K893" t="s">
        <v>775</v>
      </c>
      <c r="L893" t="s">
        <v>1344</v>
      </c>
      <c r="M893" t="s">
        <v>1345</v>
      </c>
      <c r="N893" t="s">
        <v>22</v>
      </c>
      <c r="O893" t="s">
        <v>108</v>
      </c>
      <c r="P893" t="s">
        <v>23</v>
      </c>
      <c r="Q893" s="1">
        <f>SEGUIMIENTO_TPM_xlsx[[#This Row],[HORA FIN  INTERVENCIÓN]]-SEGUIMIENTO_TPM_xlsx[[#This Row],[HORA INICIO INTERVENCIÓN]]</f>
        <v>0.12847222222222221</v>
      </c>
      <c r="R893" s="20">
        <f>(SEGUIMIENTO_TPM_xlsx[[#This Row],[HORA REPORTE]]+SEGUIMIENTO_TPM_xlsx[[#This Row],[FECHA DE REPORTE]])</f>
        <v>46078.614583333336</v>
      </c>
      <c r="S893" s="20">
        <f>(SEGUIMIENTO_TPM_xlsx[[#This Row],[FECHA DE INTERVENCÓN]]+SEGUIMIENTO_TPM_xlsx[[#This Row],[HORA FIN  INTERVENCIÓN]])</f>
        <v>46078.743055555555</v>
      </c>
      <c r="T893" s="11">
        <f>(SEGUIMIENTO_TPM_xlsx[[#This Row],[FECHA Y HORA FINAL]]-SEGUIMIENTO_TPM_xlsx[[#This Row],[FECHA Y HORA INICIO]])</f>
        <v>0.12847222221898846</v>
      </c>
    </row>
    <row r="894" spans="1:20" x14ac:dyDescent="0.25">
      <c r="A894">
        <v>902</v>
      </c>
      <c r="C894" s="1"/>
      <c r="D894" s="2"/>
      <c r="H894" s="1"/>
      <c r="I894" s="1"/>
      <c r="J894" s="2"/>
      <c r="Q894" s="1">
        <f>SEGUIMIENTO_TPM_xlsx[[#This Row],[HORA FIN  INTERVENCIÓN]]-SEGUIMIENTO_TPM_xlsx[[#This Row],[HORA INICIO INTERVENCIÓN]]</f>
        <v>0</v>
      </c>
      <c r="R894" s="20">
        <f>(SEGUIMIENTO_TPM_xlsx[[#This Row],[HORA REPORTE]]+SEGUIMIENTO_TPM_xlsx[[#This Row],[FECHA DE REPORTE]])</f>
        <v>0</v>
      </c>
      <c r="S894" s="20">
        <f>(SEGUIMIENTO_TPM_xlsx[[#This Row],[FECHA DE INTERVENCÓN]]+SEGUIMIENTO_TPM_xlsx[[#This Row],[HORA FIN  INTERVENCIÓN]])</f>
        <v>0</v>
      </c>
      <c r="T894" s="11">
        <f>(SEGUIMIENTO_TPM_xlsx[[#This Row],[FECHA Y HORA FINAL]]-SEGUIMIENTO_TPM_xlsx[[#This Row],[FECHA Y HORA INICIO]])</f>
        <v>0</v>
      </c>
    </row>
    <row r="895" spans="1:20" x14ac:dyDescent="0.25">
      <c r="A895">
        <v>903</v>
      </c>
      <c r="C895" s="1">
        <v>0.4861111111111111</v>
      </c>
      <c r="D895" s="2">
        <v>46076</v>
      </c>
      <c r="E895" t="s">
        <v>104</v>
      </c>
      <c r="F895" t="s">
        <v>18</v>
      </c>
      <c r="G895" t="s">
        <v>1346</v>
      </c>
      <c r="H895" s="1"/>
      <c r="I895" s="1"/>
      <c r="J895" s="2"/>
      <c r="P895" t="s">
        <v>33</v>
      </c>
      <c r="Q895" s="1">
        <f>SEGUIMIENTO_TPM_xlsx[[#This Row],[HORA FIN  INTERVENCIÓN]]-SEGUIMIENTO_TPM_xlsx[[#This Row],[HORA INICIO INTERVENCIÓN]]</f>
        <v>0</v>
      </c>
      <c r="R895" s="20">
        <f>(SEGUIMIENTO_TPM_xlsx[[#This Row],[HORA REPORTE]]+SEGUIMIENTO_TPM_xlsx[[#This Row],[FECHA DE REPORTE]])</f>
        <v>46076.486111111109</v>
      </c>
      <c r="S895" s="20">
        <f>(SEGUIMIENTO_TPM_xlsx[[#This Row],[FECHA DE INTERVENCÓN]]+SEGUIMIENTO_TPM_xlsx[[#This Row],[HORA FIN  INTERVENCIÓN]])</f>
        <v>0</v>
      </c>
      <c r="T895" s="11">
        <f>(SEGUIMIENTO_TPM_xlsx[[#This Row],[FECHA Y HORA FINAL]]-SEGUIMIENTO_TPM_xlsx[[#This Row],[FECHA Y HORA INICIO]])</f>
        <v>-46076.486111111109</v>
      </c>
    </row>
    <row r="896" spans="1:20" x14ac:dyDescent="0.25">
      <c r="A896">
        <v>904</v>
      </c>
      <c r="B896" t="s">
        <v>113</v>
      </c>
      <c r="C896" s="1">
        <v>0.625</v>
      </c>
      <c r="D896" s="2">
        <v>46076</v>
      </c>
      <c r="E896" t="s">
        <v>91</v>
      </c>
      <c r="F896" t="s">
        <v>18</v>
      </c>
      <c r="G896" t="s">
        <v>1347</v>
      </c>
      <c r="H896" s="1">
        <v>0.625</v>
      </c>
      <c r="I896" s="1">
        <v>0.63541666666666663</v>
      </c>
      <c r="J896" s="2">
        <v>46076</v>
      </c>
      <c r="K896" t="s">
        <v>25</v>
      </c>
      <c r="L896" t="s">
        <v>1348</v>
      </c>
      <c r="M896" t="s">
        <v>22</v>
      </c>
      <c r="N896" t="s">
        <v>1349</v>
      </c>
      <c r="O896" t="s">
        <v>44</v>
      </c>
      <c r="P896" t="s">
        <v>23</v>
      </c>
      <c r="Q896" s="1">
        <f>SEGUIMIENTO_TPM_xlsx[[#This Row],[HORA FIN  INTERVENCIÓN]]-SEGUIMIENTO_TPM_xlsx[[#This Row],[HORA INICIO INTERVENCIÓN]]</f>
        <v>1.041666666666663E-2</v>
      </c>
      <c r="R896" s="20">
        <f>(SEGUIMIENTO_TPM_xlsx[[#This Row],[HORA REPORTE]]+SEGUIMIENTO_TPM_xlsx[[#This Row],[FECHA DE REPORTE]])</f>
        <v>46076.625</v>
      </c>
      <c r="S896" s="20">
        <f>(SEGUIMIENTO_TPM_xlsx[[#This Row],[FECHA DE INTERVENCÓN]]+SEGUIMIENTO_TPM_xlsx[[#This Row],[HORA FIN  INTERVENCIÓN]])</f>
        <v>46076.635416666664</v>
      </c>
      <c r="T896" s="11">
        <f>(SEGUIMIENTO_TPM_xlsx[[#This Row],[FECHA Y HORA FINAL]]-SEGUIMIENTO_TPM_xlsx[[#This Row],[FECHA Y HORA INICIO]])</f>
        <v>1.0416666664241347E-2</v>
      </c>
    </row>
    <row r="897" spans="1:20" x14ac:dyDescent="0.25">
      <c r="A897">
        <v>905</v>
      </c>
      <c r="C897" s="1"/>
      <c r="D897" s="2"/>
      <c r="H897" s="1"/>
      <c r="I897" s="1"/>
      <c r="J897" s="2"/>
      <c r="Q897" s="1">
        <f>SEGUIMIENTO_TPM_xlsx[[#This Row],[HORA FIN  INTERVENCIÓN]]-SEGUIMIENTO_TPM_xlsx[[#This Row],[HORA INICIO INTERVENCIÓN]]</f>
        <v>0</v>
      </c>
      <c r="R897" s="20">
        <f>(SEGUIMIENTO_TPM_xlsx[[#This Row],[HORA REPORTE]]+SEGUIMIENTO_TPM_xlsx[[#This Row],[FECHA DE REPORTE]])</f>
        <v>0</v>
      </c>
      <c r="S897" s="20">
        <f>(SEGUIMIENTO_TPM_xlsx[[#This Row],[FECHA DE INTERVENCÓN]]+SEGUIMIENTO_TPM_xlsx[[#This Row],[HORA FIN  INTERVENCIÓN]])</f>
        <v>0</v>
      </c>
      <c r="T897" s="11">
        <f>(SEGUIMIENTO_TPM_xlsx[[#This Row],[FECHA Y HORA FINAL]]-SEGUIMIENTO_TPM_xlsx[[#This Row],[FECHA Y HORA INICIO]])</f>
        <v>0</v>
      </c>
    </row>
    <row r="898" spans="1:20" x14ac:dyDescent="0.25">
      <c r="A898">
        <v>906</v>
      </c>
      <c r="B898" t="s">
        <v>199</v>
      </c>
      <c r="C898" s="1">
        <v>0.25694444444444442</v>
      </c>
      <c r="D898" s="2">
        <v>46077</v>
      </c>
      <c r="E898" t="s">
        <v>91</v>
      </c>
      <c r="F898" t="s">
        <v>18</v>
      </c>
      <c r="G898" t="s">
        <v>1350</v>
      </c>
      <c r="H898" s="1"/>
      <c r="I898" s="1"/>
      <c r="J898" s="2"/>
      <c r="P898" t="s">
        <v>33</v>
      </c>
      <c r="Q898" s="1">
        <f>SEGUIMIENTO_TPM_xlsx[[#This Row],[HORA FIN  INTERVENCIÓN]]-SEGUIMIENTO_TPM_xlsx[[#This Row],[HORA INICIO INTERVENCIÓN]]</f>
        <v>0</v>
      </c>
      <c r="R898" s="20">
        <f>(SEGUIMIENTO_TPM_xlsx[[#This Row],[HORA REPORTE]]+SEGUIMIENTO_TPM_xlsx[[#This Row],[FECHA DE REPORTE]])</f>
        <v>46077.256944444445</v>
      </c>
      <c r="S898" s="20">
        <f>(SEGUIMIENTO_TPM_xlsx[[#This Row],[FECHA DE INTERVENCÓN]]+SEGUIMIENTO_TPM_xlsx[[#This Row],[HORA FIN  INTERVENCIÓN]])</f>
        <v>0</v>
      </c>
      <c r="T898" s="11">
        <f>(SEGUIMIENTO_TPM_xlsx[[#This Row],[FECHA Y HORA FINAL]]-SEGUIMIENTO_TPM_xlsx[[#This Row],[FECHA Y HORA INICIO]])</f>
        <v>-46077.256944444445</v>
      </c>
    </row>
    <row r="899" spans="1:20" x14ac:dyDescent="0.25">
      <c r="A899">
        <v>907</v>
      </c>
      <c r="B899" t="s">
        <v>199</v>
      </c>
      <c r="C899" s="1">
        <v>0.25694444444444442</v>
      </c>
      <c r="D899" s="2">
        <v>46077</v>
      </c>
      <c r="E899" t="s">
        <v>91</v>
      </c>
      <c r="F899" t="s">
        <v>18</v>
      </c>
      <c r="G899" t="s">
        <v>1351</v>
      </c>
      <c r="H899" s="1"/>
      <c r="I899" s="1"/>
      <c r="J899" s="2"/>
      <c r="P899" t="s">
        <v>33</v>
      </c>
      <c r="Q899" s="1">
        <f>SEGUIMIENTO_TPM_xlsx[[#This Row],[HORA FIN  INTERVENCIÓN]]-SEGUIMIENTO_TPM_xlsx[[#This Row],[HORA INICIO INTERVENCIÓN]]</f>
        <v>0</v>
      </c>
      <c r="R899" s="20">
        <f>(SEGUIMIENTO_TPM_xlsx[[#This Row],[HORA REPORTE]]+SEGUIMIENTO_TPM_xlsx[[#This Row],[FECHA DE REPORTE]])</f>
        <v>46077.256944444445</v>
      </c>
      <c r="S899" s="20">
        <f>(SEGUIMIENTO_TPM_xlsx[[#This Row],[FECHA DE INTERVENCÓN]]+SEGUIMIENTO_TPM_xlsx[[#This Row],[HORA FIN  INTERVENCIÓN]])</f>
        <v>0</v>
      </c>
      <c r="T899" s="11">
        <f>(SEGUIMIENTO_TPM_xlsx[[#This Row],[FECHA Y HORA FINAL]]-SEGUIMIENTO_TPM_xlsx[[#This Row],[FECHA Y HORA INICIO]])</f>
        <v>-46077.256944444445</v>
      </c>
    </row>
    <row r="900" spans="1:20" x14ac:dyDescent="0.25">
      <c r="A900">
        <v>908</v>
      </c>
      <c r="C900" s="1"/>
      <c r="D900" s="2"/>
      <c r="H900" s="1"/>
      <c r="I900" s="1"/>
      <c r="J900" s="2"/>
      <c r="Q900" s="1">
        <f>SEGUIMIENTO_TPM_xlsx[[#This Row],[HORA FIN  INTERVENCIÓN]]-SEGUIMIENTO_TPM_xlsx[[#This Row],[HORA INICIO INTERVENCIÓN]]</f>
        <v>0</v>
      </c>
      <c r="R900" s="20">
        <f>(SEGUIMIENTO_TPM_xlsx[[#This Row],[HORA REPORTE]]+SEGUIMIENTO_TPM_xlsx[[#This Row],[FECHA DE REPORTE]])</f>
        <v>0</v>
      </c>
      <c r="S900" s="20">
        <f>(SEGUIMIENTO_TPM_xlsx[[#This Row],[FECHA DE INTERVENCÓN]]+SEGUIMIENTO_TPM_xlsx[[#This Row],[HORA FIN  INTERVENCIÓN]])</f>
        <v>0</v>
      </c>
      <c r="T900" s="11">
        <f>(SEGUIMIENTO_TPM_xlsx[[#This Row],[FECHA Y HORA FINAL]]-SEGUIMIENTO_TPM_xlsx[[#This Row],[FECHA Y HORA INICIO]])</f>
        <v>0</v>
      </c>
    </row>
    <row r="901" spans="1:20" x14ac:dyDescent="0.25">
      <c r="A901">
        <v>909</v>
      </c>
      <c r="B901" t="s">
        <v>1352</v>
      </c>
      <c r="C901" s="1"/>
      <c r="D901" s="2">
        <v>46077</v>
      </c>
      <c r="E901" t="s">
        <v>143</v>
      </c>
      <c r="F901" t="s">
        <v>18</v>
      </c>
      <c r="G901" t="s">
        <v>1353</v>
      </c>
      <c r="H901" s="1">
        <v>0.25</v>
      </c>
      <c r="I901" s="1">
        <v>0.35625000000000001</v>
      </c>
      <c r="J901" s="2"/>
      <c r="K901" t="s">
        <v>25</v>
      </c>
      <c r="P901" t="s">
        <v>33</v>
      </c>
      <c r="Q901" s="1">
        <f>SEGUIMIENTO_TPM_xlsx[[#This Row],[HORA FIN  INTERVENCIÓN]]-SEGUIMIENTO_TPM_xlsx[[#This Row],[HORA INICIO INTERVENCIÓN]]</f>
        <v>0.10625000000000001</v>
      </c>
      <c r="R901" s="20">
        <f>(SEGUIMIENTO_TPM_xlsx[[#This Row],[HORA REPORTE]]+SEGUIMIENTO_TPM_xlsx[[#This Row],[FECHA DE REPORTE]])</f>
        <v>46077</v>
      </c>
      <c r="S901" s="20">
        <f>(SEGUIMIENTO_TPM_xlsx[[#This Row],[FECHA DE INTERVENCÓN]]+SEGUIMIENTO_TPM_xlsx[[#This Row],[HORA FIN  INTERVENCIÓN]])</f>
        <v>0.35625000000000001</v>
      </c>
      <c r="T901" s="11">
        <f>(SEGUIMIENTO_TPM_xlsx[[#This Row],[FECHA Y HORA FINAL]]-SEGUIMIENTO_TPM_xlsx[[#This Row],[FECHA Y HORA INICIO]])</f>
        <v>-46076.643750000003</v>
      </c>
    </row>
    <row r="902" spans="1:20" x14ac:dyDescent="0.25">
      <c r="A902">
        <v>910</v>
      </c>
      <c r="B902" t="s">
        <v>526</v>
      </c>
      <c r="C902" s="1">
        <v>0.35416666666666669</v>
      </c>
      <c r="D902" s="2">
        <v>46077</v>
      </c>
      <c r="E902" t="s">
        <v>188</v>
      </c>
      <c r="F902" t="s">
        <v>18</v>
      </c>
      <c r="G902" t="s">
        <v>1354</v>
      </c>
      <c r="H902" s="1"/>
      <c r="I902" s="1"/>
      <c r="J902" s="2"/>
      <c r="P902" t="s">
        <v>33</v>
      </c>
      <c r="Q902" s="1">
        <f>SEGUIMIENTO_TPM_xlsx[[#This Row],[HORA FIN  INTERVENCIÓN]]-SEGUIMIENTO_TPM_xlsx[[#This Row],[HORA INICIO INTERVENCIÓN]]</f>
        <v>0</v>
      </c>
      <c r="R902" s="20">
        <f>(SEGUIMIENTO_TPM_xlsx[[#This Row],[HORA REPORTE]]+SEGUIMIENTO_TPM_xlsx[[#This Row],[FECHA DE REPORTE]])</f>
        <v>46077.354166666664</v>
      </c>
      <c r="S902" s="20">
        <f>(SEGUIMIENTO_TPM_xlsx[[#This Row],[FECHA DE INTERVENCÓN]]+SEGUIMIENTO_TPM_xlsx[[#This Row],[HORA FIN  INTERVENCIÓN]])</f>
        <v>0</v>
      </c>
      <c r="T902" s="11">
        <f>(SEGUIMIENTO_TPM_xlsx[[#This Row],[FECHA Y HORA FINAL]]-SEGUIMIENTO_TPM_xlsx[[#This Row],[FECHA Y HORA INICIO]])</f>
        <v>-46077.354166666664</v>
      </c>
    </row>
    <row r="903" spans="1:20" x14ac:dyDescent="0.25">
      <c r="A903">
        <v>911</v>
      </c>
      <c r="B903" t="s">
        <v>93</v>
      </c>
      <c r="C903" s="1">
        <v>0.35416666666666669</v>
      </c>
      <c r="D903" s="2">
        <v>46077</v>
      </c>
      <c r="E903" t="s">
        <v>185</v>
      </c>
      <c r="F903" t="s">
        <v>18</v>
      </c>
      <c r="G903" t="s">
        <v>1355</v>
      </c>
      <c r="H903" s="1">
        <v>0.33333333333333331</v>
      </c>
      <c r="I903" s="1">
        <v>0.5</v>
      </c>
      <c r="J903" s="2">
        <v>46078</v>
      </c>
      <c r="K903" t="s">
        <v>25</v>
      </c>
      <c r="L903" t="s">
        <v>1356</v>
      </c>
      <c r="M903" t="s">
        <v>22</v>
      </c>
      <c r="N903" t="s">
        <v>158</v>
      </c>
      <c r="O903" t="s">
        <v>661</v>
      </c>
      <c r="P903" t="s">
        <v>23</v>
      </c>
      <c r="Q903" s="1">
        <f>SEGUIMIENTO_TPM_xlsx[[#This Row],[HORA FIN  INTERVENCIÓN]]-SEGUIMIENTO_TPM_xlsx[[#This Row],[HORA INICIO INTERVENCIÓN]]</f>
        <v>0.16666666666666669</v>
      </c>
      <c r="R903" s="20">
        <f>(SEGUIMIENTO_TPM_xlsx[[#This Row],[HORA REPORTE]]+SEGUIMIENTO_TPM_xlsx[[#This Row],[FECHA DE REPORTE]])</f>
        <v>46077.354166666664</v>
      </c>
      <c r="S903" s="20">
        <f>(SEGUIMIENTO_TPM_xlsx[[#This Row],[FECHA DE INTERVENCÓN]]+SEGUIMIENTO_TPM_xlsx[[#This Row],[HORA FIN  INTERVENCIÓN]])</f>
        <v>46078.5</v>
      </c>
      <c r="T903" s="11">
        <f>(SEGUIMIENTO_TPM_xlsx[[#This Row],[FECHA Y HORA FINAL]]-SEGUIMIENTO_TPM_xlsx[[#This Row],[FECHA Y HORA INICIO]])</f>
        <v>1.1458333333357587</v>
      </c>
    </row>
    <row r="904" spans="1:20" x14ac:dyDescent="0.25">
      <c r="A904">
        <v>912</v>
      </c>
      <c r="B904" t="s">
        <v>199</v>
      </c>
      <c r="C904" s="1">
        <v>0.43402777777777779</v>
      </c>
      <c r="D904" s="2">
        <v>46077</v>
      </c>
      <c r="E904" t="s">
        <v>91</v>
      </c>
      <c r="F904" t="s">
        <v>18</v>
      </c>
      <c r="G904" t="s">
        <v>1357</v>
      </c>
      <c r="H904" s="1"/>
      <c r="I904" s="1"/>
      <c r="J904" s="2"/>
      <c r="P904" t="s">
        <v>33</v>
      </c>
      <c r="Q904" s="1">
        <f>SEGUIMIENTO_TPM_xlsx[[#This Row],[HORA FIN  INTERVENCIÓN]]-SEGUIMIENTO_TPM_xlsx[[#This Row],[HORA INICIO INTERVENCIÓN]]</f>
        <v>0</v>
      </c>
      <c r="R904" s="20">
        <f>(SEGUIMIENTO_TPM_xlsx[[#This Row],[HORA REPORTE]]+SEGUIMIENTO_TPM_xlsx[[#This Row],[FECHA DE REPORTE]])</f>
        <v>46077.434027777781</v>
      </c>
      <c r="S904" s="20">
        <f>(SEGUIMIENTO_TPM_xlsx[[#This Row],[FECHA DE INTERVENCÓN]]+SEGUIMIENTO_TPM_xlsx[[#This Row],[HORA FIN  INTERVENCIÓN]])</f>
        <v>0</v>
      </c>
      <c r="T904" s="11">
        <f>(SEGUIMIENTO_TPM_xlsx[[#This Row],[FECHA Y HORA FINAL]]-SEGUIMIENTO_TPM_xlsx[[#This Row],[FECHA Y HORA INICIO]])</f>
        <v>-46077.434027777781</v>
      </c>
    </row>
    <row r="905" spans="1:20" x14ac:dyDescent="0.25">
      <c r="A905">
        <v>913</v>
      </c>
      <c r="B905" t="s">
        <v>1358</v>
      </c>
      <c r="C905" s="1">
        <v>0.85763888888888884</v>
      </c>
      <c r="D905" s="2">
        <v>46077</v>
      </c>
      <c r="E905" t="s">
        <v>154</v>
      </c>
      <c r="F905" t="s">
        <v>18</v>
      </c>
      <c r="G905" t="s">
        <v>1359</v>
      </c>
      <c r="H905" s="1">
        <v>0.88888888888888884</v>
      </c>
      <c r="I905" s="1">
        <v>0.90277777777777779</v>
      </c>
      <c r="J905" s="2">
        <v>46077</v>
      </c>
      <c r="K905" t="s">
        <v>20</v>
      </c>
      <c r="L905" t="s">
        <v>1360</v>
      </c>
      <c r="M905" t="s">
        <v>1361</v>
      </c>
      <c r="N905" t="s">
        <v>22</v>
      </c>
      <c r="O905" t="s">
        <v>44</v>
      </c>
      <c r="P905" t="s">
        <v>23</v>
      </c>
      <c r="Q905" s="1">
        <f>SEGUIMIENTO_TPM_xlsx[[#This Row],[HORA FIN  INTERVENCIÓN]]-SEGUIMIENTO_TPM_xlsx[[#This Row],[HORA INICIO INTERVENCIÓN]]</f>
        <v>1.3888888888888951E-2</v>
      </c>
      <c r="R905" s="20">
        <f>(SEGUIMIENTO_TPM_xlsx[[#This Row],[HORA REPORTE]]+SEGUIMIENTO_TPM_xlsx[[#This Row],[FECHA DE REPORTE]])</f>
        <v>46077.857638888891</v>
      </c>
      <c r="S905" s="20">
        <f>(SEGUIMIENTO_TPM_xlsx[[#This Row],[FECHA DE INTERVENCÓN]]+SEGUIMIENTO_TPM_xlsx[[#This Row],[HORA FIN  INTERVENCIÓN]])</f>
        <v>46077.902777777781</v>
      </c>
      <c r="T905" s="11">
        <f>(SEGUIMIENTO_TPM_xlsx[[#This Row],[FECHA Y HORA FINAL]]-SEGUIMIENTO_TPM_xlsx[[#This Row],[FECHA Y HORA INICIO]])</f>
        <v>4.5138888890505768E-2</v>
      </c>
    </row>
    <row r="906" spans="1:20" x14ac:dyDescent="0.25">
      <c r="A906">
        <v>914</v>
      </c>
      <c r="C906" s="1"/>
      <c r="D906" s="2"/>
      <c r="H906" s="1"/>
      <c r="I906" s="1"/>
      <c r="J906" s="2"/>
      <c r="Q906" s="1">
        <f>SEGUIMIENTO_TPM_xlsx[[#This Row],[HORA FIN  INTERVENCIÓN]]-SEGUIMIENTO_TPM_xlsx[[#This Row],[HORA INICIO INTERVENCIÓN]]</f>
        <v>0</v>
      </c>
      <c r="R906" s="20">
        <f>(SEGUIMIENTO_TPM_xlsx[[#This Row],[HORA REPORTE]]+SEGUIMIENTO_TPM_xlsx[[#This Row],[FECHA DE REPORTE]])</f>
        <v>0</v>
      </c>
      <c r="S906" s="20">
        <f>(SEGUIMIENTO_TPM_xlsx[[#This Row],[FECHA DE INTERVENCÓN]]+SEGUIMIENTO_TPM_xlsx[[#This Row],[HORA FIN  INTERVENCIÓN]])</f>
        <v>0</v>
      </c>
      <c r="T906" s="11">
        <f>(SEGUIMIENTO_TPM_xlsx[[#This Row],[FECHA Y HORA FINAL]]-SEGUIMIENTO_TPM_xlsx[[#This Row],[FECHA Y HORA INICIO]])</f>
        <v>0</v>
      </c>
    </row>
    <row r="907" spans="1:20" x14ac:dyDescent="0.25">
      <c r="A907">
        <v>915</v>
      </c>
      <c r="B907" t="s">
        <v>113</v>
      </c>
      <c r="C907" s="1">
        <v>0.91666666666666663</v>
      </c>
      <c r="D907" s="2">
        <v>46077</v>
      </c>
      <c r="F907" t="s">
        <v>18</v>
      </c>
      <c r="G907" t="s">
        <v>1362</v>
      </c>
      <c r="H907" s="1">
        <v>0.91666666666666663</v>
      </c>
      <c r="I907" s="1">
        <v>0.93055555555555558</v>
      </c>
      <c r="J907" s="2">
        <v>46077</v>
      </c>
      <c r="K907" t="s">
        <v>48</v>
      </c>
      <c r="L907" t="s">
        <v>1363</v>
      </c>
      <c r="M907" t="s">
        <v>22</v>
      </c>
      <c r="N907" t="s">
        <v>22</v>
      </c>
      <c r="O907" t="s">
        <v>112</v>
      </c>
      <c r="P907" t="s">
        <v>23</v>
      </c>
      <c r="Q907" s="1">
        <f>SEGUIMIENTO_TPM_xlsx[[#This Row],[HORA FIN  INTERVENCIÓN]]-SEGUIMIENTO_TPM_xlsx[[#This Row],[HORA INICIO INTERVENCIÓN]]</f>
        <v>1.3888888888888951E-2</v>
      </c>
      <c r="R907" s="20">
        <f>(SEGUIMIENTO_TPM_xlsx[[#This Row],[HORA REPORTE]]+SEGUIMIENTO_TPM_xlsx[[#This Row],[FECHA DE REPORTE]])</f>
        <v>46077.916666666664</v>
      </c>
      <c r="S907" s="20">
        <f>(SEGUIMIENTO_TPM_xlsx[[#This Row],[FECHA DE INTERVENCÓN]]+SEGUIMIENTO_TPM_xlsx[[#This Row],[HORA FIN  INTERVENCIÓN]])</f>
        <v>46077.930555555555</v>
      </c>
      <c r="T907" s="11">
        <f>(SEGUIMIENTO_TPM_xlsx[[#This Row],[FECHA Y HORA FINAL]]-SEGUIMIENTO_TPM_xlsx[[#This Row],[FECHA Y HORA INICIO]])</f>
        <v>1.3888888890505768E-2</v>
      </c>
    </row>
    <row r="908" spans="1:20" x14ac:dyDescent="0.25">
      <c r="A908">
        <v>916</v>
      </c>
      <c r="B908" t="s">
        <v>103</v>
      </c>
      <c r="C908" s="1">
        <v>6.9444444444444441E-3</v>
      </c>
      <c r="D908" s="2">
        <v>46078</v>
      </c>
      <c r="E908" t="s">
        <v>147</v>
      </c>
      <c r="F908" t="s">
        <v>18</v>
      </c>
      <c r="G908" t="s">
        <v>1364</v>
      </c>
      <c r="H908" s="1">
        <v>2.7777777777777776E-2</v>
      </c>
      <c r="I908" s="1">
        <v>4.1666666666666664E-2</v>
      </c>
      <c r="J908" s="2">
        <v>46079</v>
      </c>
      <c r="K908" t="s">
        <v>20</v>
      </c>
      <c r="L908" t="s">
        <v>1365</v>
      </c>
      <c r="M908" t="s">
        <v>22</v>
      </c>
      <c r="N908" t="s">
        <v>22</v>
      </c>
      <c r="O908" t="s">
        <v>112</v>
      </c>
      <c r="P908" t="s">
        <v>23</v>
      </c>
      <c r="Q908" s="1">
        <f>SEGUIMIENTO_TPM_xlsx[[#This Row],[HORA FIN  INTERVENCIÓN]]-SEGUIMIENTO_TPM_xlsx[[#This Row],[HORA INICIO INTERVENCIÓN]]</f>
        <v>1.3888888888888888E-2</v>
      </c>
      <c r="R908" s="20">
        <f>(SEGUIMIENTO_TPM_xlsx[[#This Row],[HORA REPORTE]]+SEGUIMIENTO_TPM_xlsx[[#This Row],[FECHA DE REPORTE]])</f>
        <v>46078.006944444445</v>
      </c>
      <c r="S908" s="20">
        <f>(SEGUIMIENTO_TPM_xlsx[[#This Row],[FECHA DE INTERVENCÓN]]+SEGUIMIENTO_TPM_xlsx[[#This Row],[HORA FIN  INTERVENCIÓN]])</f>
        <v>46079.041666666664</v>
      </c>
      <c r="T908" s="11">
        <f>(SEGUIMIENTO_TPM_xlsx[[#This Row],[FECHA Y HORA FINAL]]-SEGUIMIENTO_TPM_xlsx[[#This Row],[FECHA Y HORA INICIO]])</f>
        <v>1.0347222222189885</v>
      </c>
    </row>
    <row r="909" spans="1:20" x14ac:dyDescent="0.25">
      <c r="A909">
        <v>917</v>
      </c>
      <c r="B909" t="s">
        <v>103</v>
      </c>
      <c r="C909" s="1">
        <v>0.18055555555555555</v>
      </c>
      <c r="D909" s="2">
        <v>46078</v>
      </c>
      <c r="E909" t="s">
        <v>147</v>
      </c>
      <c r="F909" t="s">
        <v>1366</v>
      </c>
      <c r="G909" t="s">
        <v>1367</v>
      </c>
      <c r="H909" s="1"/>
      <c r="I909" s="1"/>
      <c r="J909" s="2"/>
      <c r="P909" t="s">
        <v>33</v>
      </c>
      <c r="Q909" s="1">
        <f>SEGUIMIENTO_TPM_xlsx[[#This Row],[HORA FIN  INTERVENCIÓN]]-SEGUIMIENTO_TPM_xlsx[[#This Row],[HORA INICIO INTERVENCIÓN]]</f>
        <v>0</v>
      </c>
      <c r="R909" s="20">
        <f>(SEGUIMIENTO_TPM_xlsx[[#This Row],[HORA REPORTE]]+SEGUIMIENTO_TPM_xlsx[[#This Row],[FECHA DE REPORTE]])</f>
        <v>46078.180555555555</v>
      </c>
      <c r="S909" s="20">
        <f>(SEGUIMIENTO_TPM_xlsx[[#This Row],[FECHA DE INTERVENCÓN]]+SEGUIMIENTO_TPM_xlsx[[#This Row],[HORA FIN  INTERVENCIÓN]])</f>
        <v>0</v>
      </c>
      <c r="T909" s="11">
        <f>(SEGUIMIENTO_TPM_xlsx[[#This Row],[FECHA Y HORA FINAL]]-SEGUIMIENTO_TPM_xlsx[[#This Row],[FECHA Y HORA INICIO]])</f>
        <v>-46078.180555555555</v>
      </c>
    </row>
    <row r="910" spans="1:20" x14ac:dyDescent="0.25">
      <c r="A910">
        <v>918</v>
      </c>
      <c r="B910" t="s">
        <v>103</v>
      </c>
      <c r="C910" s="1">
        <v>0.18402777777777779</v>
      </c>
      <c r="D910" s="2">
        <v>46078</v>
      </c>
      <c r="E910" t="s">
        <v>188</v>
      </c>
      <c r="F910" t="s">
        <v>18</v>
      </c>
      <c r="G910" t="s">
        <v>1368</v>
      </c>
      <c r="H910" s="1"/>
      <c r="I910" s="1"/>
      <c r="J910" s="2">
        <v>46091</v>
      </c>
      <c r="K910" t="s">
        <v>25</v>
      </c>
      <c r="L910" t="s">
        <v>1600</v>
      </c>
      <c r="M910" t="s">
        <v>1601</v>
      </c>
      <c r="N910" t="s">
        <v>205</v>
      </c>
      <c r="O910" t="s">
        <v>59</v>
      </c>
      <c r="P910" t="s">
        <v>23</v>
      </c>
      <c r="Q910" s="1">
        <f>SEGUIMIENTO_TPM_xlsx[[#This Row],[HORA FIN  INTERVENCIÓN]]-SEGUIMIENTO_TPM_xlsx[[#This Row],[HORA INICIO INTERVENCIÓN]]</f>
        <v>0</v>
      </c>
      <c r="R910" s="20">
        <f>(SEGUIMIENTO_TPM_xlsx[[#This Row],[HORA REPORTE]]+SEGUIMIENTO_TPM_xlsx[[#This Row],[FECHA DE REPORTE]])</f>
        <v>46078.184027777781</v>
      </c>
      <c r="S910" s="20">
        <f>(SEGUIMIENTO_TPM_xlsx[[#This Row],[FECHA DE INTERVENCÓN]]+SEGUIMIENTO_TPM_xlsx[[#This Row],[HORA FIN  INTERVENCIÓN]])</f>
        <v>46091</v>
      </c>
      <c r="T910" s="11">
        <f>(SEGUIMIENTO_TPM_xlsx[[#This Row],[FECHA Y HORA FINAL]]-SEGUIMIENTO_TPM_xlsx[[#This Row],[FECHA Y HORA INICIO]])</f>
        <v>12.815972222218988</v>
      </c>
    </row>
    <row r="911" spans="1:20" x14ac:dyDescent="0.25">
      <c r="A911">
        <v>919</v>
      </c>
      <c r="B911" t="s">
        <v>317</v>
      </c>
      <c r="C911" s="1">
        <v>0.2638888888888889</v>
      </c>
      <c r="D911" s="2">
        <v>46078</v>
      </c>
      <c r="E911" t="s">
        <v>307</v>
      </c>
      <c r="F911" t="s">
        <v>18</v>
      </c>
      <c r="G911" t="s">
        <v>1369</v>
      </c>
      <c r="H911" s="1">
        <v>0.2673611111111111</v>
      </c>
      <c r="I911" s="1">
        <v>0.375</v>
      </c>
      <c r="J911" s="2">
        <v>46078</v>
      </c>
      <c r="K911" t="s">
        <v>20</v>
      </c>
      <c r="L911" t="s">
        <v>1370</v>
      </c>
      <c r="M911" t="s">
        <v>22</v>
      </c>
      <c r="N911" t="s">
        <v>22</v>
      </c>
      <c r="O911" t="s">
        <v>661</v>
      </c>
      <c r="P911" t="s">
        <v>23</v>
      </c>
      <c r="Q911" s="1">
        <f>SEGUIMIENTO_TPM_xlsx[[#This Row],[HORA FIN  INTERVENCIÓN]]-SEGUIMIENTO_TPM_xlsx[[#This Row],[HORA INICIO INTERVENCIÓN]]</f>
        <v>0.1076388888888889</v>
      </c>
      <c r="R911" s="20">
        <f>(SEGUIMIENTO_TPM_xlsx[[#This Row],[HORA REPORTE]]+SEGUIMIENTO_TPM_xlsx[[#This Row],[FECHA DE REPORTE]])</f>
        <v>46078.263888888891</v>
      </c>
      <c r="S911" s="20">
        <f>(SEGUIMIENTO_TPM_xlsx[[#This Row],[FECHA DE INTERVENCÓN]]+SEGUIMIENTO_TPM_xlsx[[#This Row],[HORA FIN  INTERVENCIÓN]])</f>
        <v>46078.375</v>
      </c>
      <c r="T911" s="11">
        <f>(SEGUIMIENTO_TPM_xlsx[[#This Row],[FECHA Y HORA FINAL]]-SEGUIMIENTO_TPM_xlsx[[#This Row],[FECHA Y HORA INICIO]])</f>
        <v>0.11111111110949423</v>
      </c>
    </row>
    <row r="912" spans="1:20" x14ac:dyDescent="0.25">
      <c r="A912" s="15">
        <v>920</v>
      </c>
      <c r="B912" s="15"/>
      <c r="C912" s="16"/>
      <c r="D912" s="17"/>
      <c r="E912" s="15"/>
      <c r="F912" s="15"/>
      <c r="G912" s="15"/>
      <c r="H912" s="16"/>
      <c r="I912" s="16"/>
      <c r="J912" s="17"/>
      <c r="K912" s="15"/>
      <c r="L912" s="18"/>
      <c r="M912" s="15"/>
      <c r="N912" s="15"/>
      <c r="O912" s="15"/>
      <c r="P912" s="15"/>
      <c r="Q912" s="16">
        <f>SEGUIMIENTO_TPM_xlsx[[#This Row],[HORA FIN  INTERVENCIÓN]]-SEGUIMIENTO_TPM_xlsx[[#This Row],[HORA INICIO INTERVENCIÓN]]</f>
        <v>0</v>
      </c>
      <c r="R912" s="21">
        <f>(SEGUIMIENTO_TPM_xlsx[[#This Row],[HORA REPORTE]]+SEGUIMIENTO_TPM_xlsx[[#This Row],[FECHA DE REPORTE]])</f>
        <v>0</v>
      </c>
      <c r="S912" s="21">
        <f>(SEGUIMIENTO_TPM_xlsx[[#This Row],[FECHA DE INTERVENCÓN]]+SEGUIMIENTO_TPM_xlsx[[#This Row],[HORA FIN  INTERVENCIÓN]])</f>
        <v>0</v>
      </c>
      <c r="T912" s="11">
        <f>(SEGUIMIENTO_TPM_xlsx[[#This Row],[FECHA Y HORA FINAL]]-SEGUIMIENTO_TPM_xlsx[[#This Row],[FECHA Y HORA INICIO]])</f>
        <v>0</v>
      </c>
    </row>
    <row r="913" spans="1:20" x14ac:dyDescent="0.25">
      <c r="A913">
        <v>921</v>
      </c>
      <c r="C913" s="1"/>
      <c r="D913" s="2"/>
      <c r="H913" s="1"/>
      <c r="I913" s="1"/>
      <c r="J913" s="2"/>
      <c r="Q913" s="1">
        <f>SEGUIMIENTO_TPM_xlsx[[#This Row],[HORA FIN  INTERVENCIÓN]]-SEGUIMIENTO_TPM_xlsx[[#This Row],[HORA INICIO INTERVENCIÓN]]</f>
        <v>0</v>
      </c>
      <c r="R913" s="20">
        <f>(SEGUIMIENTO_TPM_xlsx[[#This Row],[HORA REPORTE]]+SEGUIMIENTO_TPM_xlsx[[#This Row],[FECHA DE REPORTE]])</f>
        <v>0</v>
      </c>
      <c r="S913" s="20">
        <f>(SEGUIMIENTO_TPM_xlsx[[#This Row],[FECHA DE INTERVENCÓN]]+SEGUIMIENTO_TPM_xlsx[[#This Row],[HORA FIN  INTERVENCIÓN]])</f>
        <v>0</v>
      </c>
      <c r="T913" s="11">
        <f>(SEGUIMIENTO_TPM_xlsx[[#This Row],[FECHA Y HORA FINAL]]-SEGUIMIENTO_TPM_xlsx[[#This Row],[FECHA Y HORA INICIO]])</f>
        <v>0</v>
      </c>
    </row>
    <row r="914" spans="1:20" x14ac:dyDescent="0.25">
      <c r="A914">
        <v>922</v>
      </c>
      <c r="B914" t="s">
        <v>103</v>
      </c>
      <c r="C914" s="1">
        <v>0.33680555555555558</v>
      </c>
      <c r="D914" s="2">
        <v>46079</v>
      </c>
      <c r="E914" t="s">
        <v>147</v>
      </c>
      <c r="F914" t="s">
        <v>18</v>
      </c>
      <c r="G914" t="s">
        <v>1371</v>
      </c>
      <c r="H914" s="1">
        <v>0.34027777777777779</v>
      </c>
      <c r="I914" s="1">
        <v>0.35416666666666669</v>
      </c>
      <c r="J914" s="2">
        <v>46079</v>
      </c>
      <c r="K914" t="s">
        <v>25</v>
      </c>
      <c r="L914" t="s">
        <v>1372</v>
      </c>
      <c r="M914" t="s">
        <v>1373</v>
      </c>
      <c r="N914" t="s">
        <v>22</v>
      </c>
      <c r="O914" t="s">
        <v>661</v>
      </c>
      <c r="P914" t="s">
        <v>23</v>
      </c>
      <c r="Q914" s="1">
        <f>SEGUIMIENTO_TPM_xlsx[[#This Row],[HORA FIN  INTERVENCIÓN]]-SEGUIMIENTO_TPM_xlsx[[#This Row],[HORA INICIO INTERVENCIÓN]]</f>
        <v>1.3888888888888895E-2</v>
      </c>
      <c r="R914" s="20">
        <f>(SEGUIMIENTO_TPM_xlsx[[#This Row],[HORA REPORTE]]+SEGUIMIENTO_TPM_xlsx[[#This Row],[FECHA DE REPORTE]])</f>
        <v>46079.336805555555</v>
      </c>
      <c r="S914" s="20">
        <f>(SEGUIMIENTO_TPM_xlsx[[#This Row],[FECHA DE INTERVENCÓN]]+SEGUIMIENTO_TPM_xlsx[[#This Row],[HORA FIN  INTERVENCIÓN]])</f>
        <v>46079.354166666664</v>
      </c>
      <c r="T914" s="11">
        <f>(SEGUIMIENTO_TPM_xlsx[[#This Row],[FECHA Y HORA FINAL]]-SEGUIMIENTO_TPM_xlsx[[#This Row],[FECHA Y HORA INICIO]])</f>
        <v>1.7361111109494232E-2</v>
      </c>
    </row>
    <row r="915" spans="1:20" x14ac:dyDescent="0.25">
      <c r="A915">
        <v>923</v>
      </c>
      <c r="B915" t="s">
        <v>103</v>
      </c>
      <c r="C915" s="1">
        <v>0.35416666666666669</v>
      </c>
      <c r="D915" s="2">
        <v>46079</v>
      </c>
      <c r="E915" t="s">
        <v>147</v>
      </c>
      <c r="F915" t="s">
        <v>1366</v>
      </c>
      <c r="G915" t="s">
        <v>1374</v>
      </c>
      <c r="H915" s="1">
        <v>0.35416666666666669</v>
      </c>
      <c r="I915" s="1">
        <v>0.36805555555555558</v>
      </c>
      <c r="J915" s="2">
        <v>46079</v>
      </c>
      <c r="K915" t="s">
        <v>20</v>
      </c>
      <c r="L915" t="s">
        <v>1375</v>
      </c>
      <c r="M915" t="s">
        <v>1376</v>
      </c>
      <c r="N915" t="s">
        <v>22</v>
      </c>
      <c r="O915" t="s">
        <v>661</v>
      </c>
      <c r="P915" t="s">
        <v>23</v>
      </c>
      <c r="Q915" s="1">
        <f>SEGUIMIENTO_TPM_xlsx[[#This Row],[HORA FIN  INTERVENCIÓN]]-SEGUIMIENTO_TPM_xlsx[[#This Row],[HORA INICIO INTERVENCIÓN]]</f>
        <v>1.3888888888888895E-2</v>
      </c>
      <c r="R915" s="20">
        <f>(SEGUIMIENTO_TPM_xlsx[[#This Row],[HORA REPORTE]]+SEGUIMIENTO_TPM_xlsx[[#This Row],[FECHA DE REPORTE]])</f>
        <v>46079.354166666664</v>
      </c>
      <c r="S915" s="20">
        <f>(SEGUIMIENTO_TPM_xlsx[[#This Row],[FECHA DE INTERVENCÓN]]+SEGUIMIENTO_TPM_xlsx[[#This Row],[HORA FIN  INTERVENCIÓN]])</f>
        <v>46079.368055555555</v>
      </c>
      <c r="T915" s="11">
        <f>(SEGUIMIENTO_TPM_xlsx[[#This Row],[FECHA Y HORA FINAL]]-SEGUIMIENTO_TPM_xlsx[[#This Row],[FECHA Y HORA INICIO]])</f>
        <v>1.3888888890505768E-2</v>
      </c>
    </row>
    <row r="916" spans="1:20" x14ac:dyDescent="0.25">
      <c r="A916">
        <v>924</v>
      </c>
      <c r="C916" s="1"/>
      <c r="D916" s="2"/>
      <c r="H916" s="1"/>
      <c r="I916" s="1"/>
      <c r="J916" s="2"/>
      <c r="Q916" s="1">
        <f>SEGUIMIENTO_TPM_xlsx[[#This Row],[HORA FIN  INTERVENCIÓN]]-SEGUIMIENTO_TPM_xlsx[[#This Row],[HORA INICIO INTERVENCIÓN]]</f>
        <v>0</v>
      </c>
      <c r="R916" s="20">
        <f>(SEGUIMIENTO_TPM_xlsx[[#This Row],[HORA REPORTE]]+SEGUIMIENTO_TPM_xlsx[[#This Row],[FECHA DE REPORTE]])</f>
        <v>0</v>
      </c>
      <c r="S916" s="20">
        <f>(SEGUIMIENTO_TPM_xlsx[[#This Row],[FECHA DE INTERVENCÓN]]+SEGUIMIENTO_TPM_xlsx[[#This Row],[HORA FIN  INTERVENCIÓN]])</f>
        <v>0</v>
      </c>
      <c r="T916" s="11">
        <f>(SEGUIMIENTO_TPM_xlsx[[#This Row],[FECHA Y HORA FINAL]]-SEGUIMIENTO_TPM_xlsx[[#This Row],[FECHA Y HORA INICIO]])</f>
        <v>0</v>
      </c>
    </row>
    <row r="917" spans="1:20" x14ac:dyDescent="0.25">
      <c r="A917">
        <v>925</v>
      </c>
      <c r="C917" s="1"/>
      <c r="D917" s="2"/>
      <c r="H917" s="1"/>
      <c r="I917" s="1"/>
      <c r="J917" s="2"/>
      <c r="Q917" s="1">
        <f>SEGUIMIENTO_TPM_xlsx[[#This Row],[HORA FIN  INTERVENCIÓN]]-SEGUIMIENTO_TPM_xlsx[[#This Row],[HORA INICIO INTERVENCIÓN]]</f>
        <v>0</v>
      </c>
      <c r="R917" s="20">
        <f>(SEGUIMIENTO_TPM_xlsx[[#This Row],[HORA REPORTE]]+SEGUIMIENTO_TPM_xlsx[[#This Row],[FECHA DE REPORTE]])</f>
        <v>0</v>
      </c>
      <c r="S917" s="20">
        <f>(SEGUIMIENTO_TPM_xlsx[[#This Row],[FECHA DE INTERVENCÓN]]+SEGUIMIENTO_TPM_xlsx[[#This Row],[HORA FIN  INTERVENCIÓN]])</f>
        <v>0</v>
      </c>
      <c r="T917" s="11">
        <f>(SEGUIMIENTO_TPM_xlsx[[#This Row],[FECHA Y HORA FINAL]]-SEGUIMIENTO_TPM_xlsx[[#This Row],[FECHA Y HORA INICIO]])</f>
        <v>0</v>
      </c>
    </row>
    <row r="918" spans="1:20" x14ac:dyDescent="0.25">
      <c r="A918">
        <v>926</v>
      </c>
      <c r="B918" t="s">
        <v>139</v>
      </c>
      <c r="C918" s="1">
        <v>0.79166666666666663</v>
      </c>
      <c r="D918" s="2">
        <v>46079</v>
      </c>
      <c r="E918" t="s">
        <v>104</v>
      </c>
      <c r="F918" t="s">
        <v>18</v>
      </c>
      <c r="G918" t="s">
        <v>1377</v>
      </c>
      <c r="H918" s="1">
        <v>0.79166666666666663</v>
      </c>
      <c r="I918" s="1">
        <v>0.98958333333333337</v>
      </c>
      <c r="J918" s="2">
        <v>46079</v>
      </c>
      <c r="K918" t="s">
        <v>20</v>
      </c>
      <c r="L918" t="s">
        <v>1378</v>
      </c>
      <c r="M918" t="s">
        <v>1379</v>
      </c>
      <c r="N918" t="s">
        <v>22</v>
      </c>
      <c r="O918" t="s">
        <v>44</v>
      </c>
      <c r="P918" t="s">
        <v>23</v>
      </c>
      <c r="Q918" s="1">
        <f>SEGUIMIENTO_TPM_xlsx[[#This Row],[HORA FIN  INTERVENCIÓN]]-SEGUIMIENTO_TPM_xlsx[[#This Row],[HORA INICIO INTERVENCIÓN]]</f>
        <v>0.19791666666666674</v>
      </c>
      <c r="R918" s="20">
        <f>(SEGUIMIENTO_TPM_xlsx[[#This Row],[HORA REPORTE]]+SEGUIMIENTO_TPM_xlsx[[#This Row],[FECHA DE REPORTE]])</f>
        <v>46079.791666666664</v>
      </c>
      <c r="S918" s="20">
        <f>(SEGUIMIENTO_TPM_xlsx[[#This Row],[FECHA DE INTERVENCÓN]]+SEGUIMIENTO_TPM_xlsx[[#This Row],[HORA FIN  INTERVENCIÓN]])</f>
        <v>46079.989583333336</v>
      </c>
      <c r="T918" s="11">
        <f>(SEGUIMIENTO_TPM_xlsx[[#This Row],[FECHA Y HORA FINAL]]-SEGUIMIENTO_TPM_xlsx[[#This Row],[FECHA Y HORA INICIO]])</f>
        <v>0.19791666667151731</v>
      </c>
    </row>
    <row r="919" spans="1:20" x14ac:dyDescent="0.25">
      <c r="A919">
        <v>927</v>
      </c>
      <c r="B919" t="s">
        <v>139</v>
      </c>
      <c r="C919" s="1"/>
      <c r="D919" s="2">
        <v>46079</v>
      </c>
      <c r="E919" t="s">
        <v>147</v>
      </c>
      <c r="F919" t="s">
        <v>18</v>
      </c>
      <c r="G919" t="s">
        <v>1380</v>
      </c>
      <c r="H919" s="1">
        <v>0.81944444444444442</v>
      </c>
      <c r="I919" s="1">
        <v>0.34305555555555556</v>
      </c>
      <c r="J919" s="2">
        <v>46080</v>
      </c>
      <c r="K919" t="s">
        <v>20</v>
      </c>
      <c r="L919" t="s">
        <v>1602</v>
      </c>
      <c r="M919" t="s">
        <v>22</v>
      </c>
      <c r="N919" t="s">
        <v>22</v>
      </c>
      <c r="O919" t="s">
        <v>108</v>
      </c>
      <c r="P919" t="s">
        <v>23</v>
      </c>
      <c r="Q919" s="1">
        <f>SEGUIMIENTO_TPM_xlsx[[#This Row],[HORA FIN  INTERVENCIÓN]]-SEGUIMIENTO_TPM_xlsx[[#This Row],[HORA INICIO INTERVENCIÓN]]</f>
        <v>-0.47638888888888886</v>
      </c>
      <c r="R919" s="20">
        <f>(SEGUIMIENTO_TPM_xlsx[[#This Row],[HORA REPORTE]]+SEGUIMIENTO_TPM_xlsx[[#This Row],[FECHA DE REPORTE]])</f>
        <v>46079</v>
      </c>
      <c r="S919" s="20">
        <f>(SEGUIMIENTO_TPM_xlsx[[#This Row],[FECHA DE INTERVENCÓN]]+SEGUIMIENTO_TPM_xlsx[[#This Row],[HORA FIN  INTERVENCIÓN]])</f>
        <v>46080.343055555553</v>
      </c>
      <c r="T919" s="11">
        <f>(SEGUIMIENTO_TPM_xlsx[[#This Row],[FECHA Y HORA FINAL]]-SEGUIMIENTO_TPM_xlsx[[#This Row],[FECHA Y HORA INICIO]])</f>
        <v>1.3430555555532919</v>
      </c>
    </row>
    <row r="920" spans="1:20" x14ac:dyDescent="0.25">
      <c r="A920">
        <v>928</v>
      </c>
      <c r="B920" t="s">
        <v>206</v>
      </c>
      <c r="C920" s="1">
        <v>0.79722222222222228</v>
      </c>
      <c r="D920" s="2">
        <v>46079</v>
      </c>
      <c r="E920" t="s">
        <v>185</v>
      </c>
      <c r="F920" t="s">
        <v>18</v>
      </c>
      <c r="G920" t="s">
        <v>1381</v>
      </c>
      <c r="H920" s="1">
        <v>0.79722222222222228</v>
      </c>
      <c r="I920" s="1">
        <v>0.53472222222222221</v>
      </c>
      <c r="J920" s="2">
        <v>46080</v>
      </c>
      <c r="K920" t="s">
        <v>20</v>
      </c>
      <c r="L920" t="s">
        <v>1382</v>
      </c>
      <c r="M920" t="s">
        <v>1383</v>
      </c>
      <c r="N920" t="s">
        <v>22</v>
      </c>
      <c r="O920" t="s">
        <v>661</v>
      </c>
      <c r="P920" t="s">
        <v>23</v>
      </c>
      <c r="Q920" s="1">
        <f>SEGUIMIENTO_TPM_xlsx[[#This Row],[HORA FIN  INTERVENCIÓN]]-SEGUIMIENTO_TPM_xlsx[[#This Row],[HORA INICIO INTERVENCIÓN]]</f>
        <v>-0.26250000000000007</v>
      </c>
      <c r="R920" s="20">
        <f>(SEGUIMIENTO_TPM_xlsx[[#This Row],[HORA REPORTE]]+SEGUIMIENTO_TPM_xlsx[[#This Row],[FECHA DE REPORTE]])</f>
        <v>46079.797222222223</v>
      </c>
      <c r="S920" s="20">
        <f>(SEGUIMIENTO_TPM_xlsx[[#This Row],[FECHA DE INTERVENCÓN]]+SEGUIMIENTO_TPM_xlsx[[#This Row],[HORA FIN  INTERVENCIÓN]])</f>
        <v>46080.534722222219</v>
      </c>
      <c r="T920" s="11">
        <f>(SEGUIMIENTO_TPM_xlsx[[#This Row],[FECHA Y HORA FINAL]]-SEGUIMIENTO_TPM_xlsx[[#This Row],[FECHA Y HORA INICIO]])</f>
        <v>0.73749999999563443</v>
      </c>
    </row>
    <row r="921" spans="1:20" x14ac:dyDescent="0.25">
      <c r="A921">
        <v>929</v>
      </c>
      <c r="B921" t="s">
        <v>139</v>
      </c>
      <c r="C921" s="1">
        <v>6.1805555555555558E-2</v>
      </c>
      <c r="D921" s="2">
        <v>46080</v>
      </c>
      <c r="E921" t="s">
        <v>188</v>
      </c>
      <c r="F921" t="s">
        <v>18</v>
      </c>
      <c r="G921" t="s">
        <v>1384</v>
      </c>
      <c r="H921" s="1">
        <v>6.25E-2</v>
      </c>
      <c r="I921" s="1">
        <v>7.6388888888888895E-2</v>
      </c>
      <c r="J921" s="2">
        <v>46080</v>
      </c>
      <c r="K921" t="s">
        <v>20</v>
      </c>
      <c r="L921" t="s">
        <v>1385</v>
      </c>
      <c r="M921" t="s">
        <v>22</v>
      </c>
      <c r="N921" t="s">
        <v>1386</v>
      </c>
      <c r="O921" t="s">
        <v>44</v>
      </c>
      <c r="P921" t="s">
        <v>23</v>
      </c>
      <c r="Q921" s="1">
        <f>SEGUIMIENTO_TPM_xlsx[[#This Row],[HORA FIN  INTERVENCIÓN]]-SEGUIMIENTO_TPM_xlsx[[#This Row],[HORA INICIO INTERVENCIÓN]]</f>
        <v>1.3888888888888895E-2</v>
      </c>
      <c r="R921" s="20">
        <f>(SEGUIMIENTO_TPM_xlsx[[#This Row],[HORA REPORTE]]+SEGUIMIENTO_TPM_xlsx[[#This Row],[FECHA DE REPORTE]])</f>
        <v>46080.061805555553</v>
      </c>
      <c r="S921" s="20">
        <f>(SEGUIMIENTO_TPM_xlsx[[#This Row],[FECHA DE INTERVENCÓN]]+SEGUIMIENTO_TPM_xlsx[[#This Row],[HORA FIN  INTERVENCIÓN]])</f>
        <v>46080.076388888891</v>
      </c>
      <c r="T921" s="11">
        <f>(SEGUIMIENTO_TPM_xlsx[[#This Row],[FECHA Y HORA FINAL]]-SEGUIMIENTO_TPM_xlsx[[#This Row],[FECHA Y HORA INICIO]])</f>
        <v>1.4583333337213844E-2</v>
      </c>
    </row>
    <row r="922" spans="1:20" x14ac:dyDescent="0.25">
      <c r="A922">
        <v>930</v>
      </c>
      <c r="B922" t="s">
        <v>139</v>
      </c>
      <c r="C922" s="1">
        <v>0.81944444444444442</v>
      </c>
      <c r="D922" s="2">
        <v>46079</v>
      </c>
      <c r="E922" t="s">
        <v>147</v>
      </c>
      <c r="F922" t="s">
        <v>18</v>
      </c>
      <c r="G922" t="s">
        <v>1387</v>
      </c>
      <c r="H922" s="1">
        <v>0</v>
      </c>
      <c r="I922" s="1">
        <v>8.3333333333333329E-2</v>
      </c>
      <c r="J922" s="2">
        <v>46080</v>
      </c>
      <c r="K922" t="s">
        <v>20</v>
      </c>
      <c r="L922" t="s">
        <v>1388</v>
      </c>
      <c r="M922" t="s">
        <v>1389</v>
      </c>
      <c r="N922" t="s">
        <v>22</v>
      </c>
      <c r="O922" t="s">
        <v>44</v>
      </c>
      <c r="P922" t="s">
        <v>23</v>
      </c>
      <c r="Q922" s="1">
        <f>SEGUIMIENTO_TPM_xlsx[[#This Row],[HORA FIN  INTERVENCIÓN]]-SEGUIMIENTO_TPM_xlsx[[#This Row],[HORA INICIO INTERVENCIÓN]]</f>
        <v>8.3333333333333329E-2</v>
      </c>
      <c r="R922" s="20">
        <f>(SEGUIMIENTO_TPM_xlsx[[#This Row],[HORA REPORTE]]+SEGUIMIENTO_TPM_xlsx[[#This Row],[FECHA DE REPORTE]])</f>
        <v>46079.819444444445</v>
      </c>
      <c r="S922" s="20">
        <f>(SEGUIMIENTO_TPM_xlsx[[#This Row],[FECHA DE INTERVENCÓN]]+SEGUIMIENTO_TPM_xlsx[[#This Row],[HORA FIN  INTERVENCIÓN]])</f>
        <v>46080.083333333336</v>
      </c>
      <c r="T922" s="11">
        <f>(SEGUIMIENTO_TPM_xlsx[[#This Row],[FECHA Y HORA FINAL]]-SEGUIMIENTO_TPM_xlsx[[#This Row],[FECHA Y HORA INICIO]])</f>
        <v>0.26388888889050577</v>
      </c>
    </row>
    <row r="923" spans="1:20" x14ac:dyDescent="0.25">
      <c r="A923">
        <v>931</v>
      </c>
      <c r="C923" s="1"/>
      <c r="D923" s="2"/>
      <c r="H923" s="1"/>
      <c r="I923" s="1"/>
      <c r="J923" s="2"/>
      <c r="Q923" s="1">
        <f>SEGUIMIENTO_TPM_xlsx[[#This Row],[HORA FIN  INTERVENCIÓN]]-SEGUIMIENTO_TPM_xlsx[[#This Row],[HORA INICIO INTERVENCIÓN]]</f>
        <v>0</v>
      </c>
      <c r="R923" s="20">
        <f>(SEGUIMIENTO_TPM_xlsx[[#This Row],[HORA REPORTE]]+SEGUIMIENTO_TPM_xlsx[[#This Row],[FECHA DE REPORTE]])</f>
        <v>0</v>
      </c>
      <c r="S923" s="20">
        <f>(SEGUIMIENTO_TPM_xlsx[[#This Row],[FECHA DE INTERVENCÓN]]+SEGUIMIENTO_TPM_xlsx[[#This Row],[HORA FIN  INTERVENCIÓN]])</f>
        <v>0</v>
      </c>
      <c r="T923" s="11">
        <f>(SEGUIMIENTO_TPM_xlsx[[#This Row],[FECHA Y HORA FINAL]]-SEGUIMIENTO_TPM_xlsx[[#This Row],[FECHA Y HORA INICIO]])</f>
        <v>0</v>
      </c>
    </row>
    <row r="924" spans="1:20" x14ac:dyDescent="0.25">
      <c r="A924">
        <v>932</v>
      </c>
      <c r="C924" s="1"/>
      <c r="D924" s="2"/>
      <c r="H924" s="1"/>
      <c r="I924" s="1"/>
      <c r="J924" s="2"/>
      <c r="Q924" s="1">
        <f>SEGUIMIENTO_TPM_xlsx[[#This Row],[HORA FIN  INTERVENCIÓN]]-SEGUIMIENTO_TPM_xlsx[[#This Row],[HORA INICIO INTERVENCIÓN]]</f>
        <v>0</v>
      </c>
      <c r="R924" s="20">
        <f>(SEGUIMIENTO_TPM_xlsx[[#This Row],[HORA REPORTE]]+SEGUIMIENTO_TPM_xlsx[[#This Row],[FECHA DE REPORTE]])</f>
        <v>0</v>
      </c>
      <c r="S924" s="20">
        <f>(SEGUIMIENTO_TPM_xlsx[[#This Row],[FECHA DE INTERVENCÓN]]+SEGUIMIENTO_TPM_xlsx[[#This Row],[HORA FIN  INTERVENCIÓN]])</f>
        <v>0</v>
      </c>
      <c r="T924" s="11">
        <f>(SEGUIMIENTO_TPM_xlsx[[#This Row],[FECHA Y HORA FINAL]]-SEGUIMIENTO_TPM_xlsx[[#This Row],[FECHA Y HORA INICIO]])</f>
        <v>0</v>
      </c>
    </row>
    <row r="925" spans="1:20" x14ac:dyDescent="0.25">
      <c r="A925">
        <v>933</v>
      </c>
      <c r="B925" t="s">
        <v>199</v>
      </c>
      <c r="C925" s="1">
        <v>0.30555555555555558</v>
      </c>
      <c r="D925" s="2">
        <v>46080</v>
      </c>
      <c r="E925" t="s">
        <v>147</v>
      </c>
      <c r="F925" t="s">
        <v>18</v>
      </c>
      <c r="G925" t="s">
        <v>1390</v>
      </c>
      <c r="H925" s="1">
        <v>0.31944444444444442</v>
      </c>
      <c r="I925" s="1">
        <v>0.35416666666666669</v>
      </c>
      <c r="J925" s="2">
        <v>46080</v>
      </c>
      <c r="K925" t="s">
        <v>20</v>
      </c>
      <c r="L925" t="s">
        <v>1391</v>
      </c>
      <c r="M925" t="s">
        <v>22</v>
      </c>
      <c r="N925" t="s">
        <v>22</v>
      </c>
      <c r="O925" t="s">
        <v>661</v>
      </c>
      <c r="P925" t="s">
        <v>23</v>
      </c>
      <c r="Q925" s="1">
        <f>SEGUIMIENTO_TPM_xlsx[[#This Row],[HORA FIN  INTERVENCIÓN]]-SEGUIMIENTO_TPM_xlsx[[#This Row],[HORA INICIO INTERVENCIÓN]]</f>
        <v>3.4722222222222265E-2</v>
      </c>
      <c r="R925" s="20">
        <f>(SEGUIMIENTO_TPM_xlsx[[#This Row],[HORA REPORTE]]+SEGUIMIENTO_TPM_xlsx[[#This Row],[FECHA DE REPORTE]])</f>
        <v>46080.305555555555</v>
      </c>
      <c r="S925" s="20">
        <f>(SEGUIMIENTO_TPM_xlsx[[#This Row],[FECHA DE INTERVENCÓN]]+SEGUIMIENTO_TPM_xlsx[[#This Row],[HORA FIN  INTERVENCIÓN]])</f>
        <v>46080.354166666664</v>
      </c>
      <c r="T925" s="11">
        <f>(SEGUIMIENTO_TPM_xlsx[[#This Row],[FECHA Y HORA FINAL]]-SEGUIMIENTO_TPM_xlsx[[#This Row],[FECHA Y HORA INICIO]])</f>
        <v>4.8611111109494232E-2</v>
      </c>
    </row>
    <row r="926" spans="1:20" x14ac:dyDescent="0.25">
      <c r="A926">
        <v>934</v>
      </c>
      <c r="B926" t="s">
        <v>199</v>
      </c>
      <c r="C926" s="1">
        <v>0.59722222222222221</v>
      </c>
      <c r="D926" s="2">
        <v>46080</v>
      </c>
      <c r="E926" t="s">
        <v>104</v>
      </c>
      <c r="F926" t="s">
        <v>18</v>
      </c>
      <c r="G926" t="s">
        <v>1392</v>
      </c>
      <c r="H926" s="1">
        <v>0.59722222222222221</v>
      </c>
      <c r="I926" s="1">
        <v>0.625</v>
      </c>
      <c r="J926" s="2">
        <v>46080</v>
      </c>
      <c r="K926" t="s">
        <v>25</v>
      </c>
      <c r="L926" t="s">
        <v>1393</v>
      </c>
      <c r="M926" t="s">
        <v>22</v>
      </c>
      <c r="N926" t="s">
        <v>22</v>
      </c>
      <c r="O926" t="s">
        <v>112</v>
      </c>
      <c r="P926" t="s">
        <v>23</v>
      </c>
      <c r="Q926" s="1">
        <f>SEGUIMIENTO_TPM_xlsx[[#This Row],[HORA FIN  INTERVENCIÓN]]-SEGUIMIENTO_TPM_xlsx[[#This Row],[HORA INICIO INTERVENCIÓN]]</f>
        <v>2.777777777777779E-2</v>
      </c>
      <c r="R926" s="20">
        <f>(SEGUIMIENTO_TPM_xlsx[[#This Row],[HORA REPORTE]]+SEGUIMIENTO_TPM_xlsx[[#This Row],[FECHA DE REPORTE]])</f>
        <v>46080.597222222219</v>
      </c>
      <c r="S926" s="20">
        <f>(SEGUIMIENTO_TPM_xlsx[[#This Row],[FECHA DE INTERVENCÓN]]+SEGUIMIENTO_TPM_xlsx[[#This Row],[HORA FIN  INTERVENCIÓN]])</f>
        <v>46080.625</v>
      </c>
      <c r="T926" s="11">
        <f>(SEGUIMIENTO_TPM_xlsx[[#This Row],[FECHA Y HORA FINAL]]-SEGUIMIENTO_TPM_xlsx[[#This Row],[FECHA Y HORA INICIO]])</f>
        <v>2.7777777781011537E-2</v>
      </c>
    </row>
    <row r="927" spans="1:20" x14ac:dyDescent="0.25">
      <c r="A927">
        <v>935</v>
      </c>
      <c r="B927" t="s">
        <v>1394</v>
      </c>
      <c r="C927" s="1">
        <v>0.8125</v>
      </c>
      <c r="D927" s="2">
        <v>46080</v>
      </c>
      <c r="E927" t="s">
        <v>215</v>
      </c>
      <c r="F927" t="s">
        <v>18</v>
      </c>
      <c r="G927" t="s">
        <v>163</v>
      </c>
      <c r="H927" s="1">
        <v>0.8125</v>
      </c>
      <c r="I927" s="1">
        <v>0.84722222222222221</v>
      </c>
      <c r="J927" s="2">
        <v>46080</v>
      </c>
      <c r="K927" t="s">
        <v>25</v>
      </c>
      <c r="L927" t="s">
        <v>1395</v>
      </c>
      <c r="M927" t="s">
        <v>22</v>
      </c>
      <c r="N927" t="s">
        <v>22</v>
      </c>
      <c r="O927" t="s">
        <v>112</v>
      </c>
      <c r="P927" t="s">
        <v>23</v>
      </c>
      <c r="Q927" s="1">
        <f>SEGUIMIENTO_TPM_xlsx[[#This Row],[HORA FIN  INTERVENCIÓN]]-SEGUIMIENTO_TPM_xlsx[[#This Row],[HORA INICIO INTERVENCIÓN]]</f>
        <v>3.472222222222221E-2</v>
      </c>
      <c r="R927" s="20">
        <f>(SEGUIMIENTO_TPM_xlsx[[#This Row],[HORA REPORTE]]+SEGUIMIENTO_TPM_xlsx[[#This Row],[FECHA DE REPORTE]])</f>
        <v>46080.8125</v>
      </c>
      <c r="S927" s="20">
        <f>(SEGUIMIENTO_TPM_xlsx[[#This Row],[FECHA DE INTERVENCÓN]]+SEGUIMIENTO_TPM_xlsx[[#This Row],[HORA FIN  INTERVENCIÓN]])</f>
        <v>46080.847222222219</v>
      </c>
      <c r="T927" s="11">
        <f>(SEGUIMIENTO_TPM_xlsx[[#This Row],[FECHA Y HORA FINAL]]-SEGUIMIENTO_TPM_xlsx[[#This Row],[FECHA Y HORA INICIO]])</f>
        <v>3.4722222218988463E-2</v>
      </c>
    </row>
    <row r="928" spans="1:20" x14ac:dyDescent="0.25">
      <c r="A928">
        <v>936</v>
      </c>
      <c r="B928" t="s">
        <v>187</v>
      </c>
      <c r="C928" s="1">
        <v>0.26041666666666669</v>
      </c>
      <c r="D928" s="2">
        <v>46081</v>
      </c>
      <c r="E928" t="s">
        <v>154</v>
      </c>
      <c r="F928" t="s">
        <v>18</v>
      </c>
      <c r="G928" t="s">
        <v>1396</v>
      </c>
      <c r="H928" s="1">
        <v>0.3888888888888889</v>
      </c>
      <c r="I928" s="1">
        <v>0.40277777777777779</v>
      </c>
      <c r="J928" s="2">
        <v>46081</v>
      </c>
      <c r="K928" t="s">
        <v>20</v>
      </c>
      <c r="L928" t="s">
        <v>1397</v>
      </c>
      <c r="M928" t="s">
        <v>22</v>
      </c>
      <c r="N928" t="s">
        <v>22</v>
      </c>
      <c r="O928" t="s">
        <v>661</v>
      </c>
      <c r="P928" t="s">
        <v>23</v>
      </c>
      <c r="Q928" s="1">
        <f>SEGUIMIENTO_TPM_xlsx[[#This Row],[HORA FIN  INTERVENCIÓN]]-SEGUIMIENTO_TPM_xlsx[[#This Row],[HORA INICIO INTERVENCIÓN]]</f>
        <v>1.3888888888888895E-2</v>
      </c>
      <c r="R928" s="20">
        <f>(SEGUIMIENTO_TPM_xlsx[[#This Row],[HORA REPORTE]]+SEGUIMIENTO_TPM_xlsx[[#This Row],[FECHA DE REPORTE]])</f>
        <v>46081.260416666664</v>
      </c>
      <c r="S928" s="20">
        <f>(SEGUIMIENTO_TPM_xlsx[[#This Row],[FECHA DE INTERVENCÓN]]+SEGUIMIENTO_TPM_xlsx[[#This Row],[HORA FIN  INTERVENCIÓN]])</f>
        <v>46081.402777777781</v>
      </c>
      <c r="T928" s="11">
        <f>(SEGUIMIENTO_TPM_xlsx[[#This Row],[FECHA Y HORA FINAL]]-SEGUIMIENTO_TPM_xlsx[[#This Row],[FECHA Y HORA INICIO]])</f>
        <v>0.14236111111677019</v>
      </c>
    </row>
    <row r="929" spans="1:20" x14ac:dyDescent="0.25">
      <c r="A929">
        <v>937</v>
      </c>
      <c r="B929" t="s">
        <v>93</v>
      </c>
      <c r="C929" s="1">
        <v>0.2638888888888889</v>
      </c>
      <c r="D929" s="2">
        <v>46081</v>
      </c>
      <c r="E929" t="s">
        <v>116</v>
      </c>
      <c r="F929" t="s">
        <v>18</v>
      </c>
      <c r="G929" t="s">
        <v>1398</v>
      </c>
      <c r="H929" s="1">
        <v>0.27083333333333331</v>
      </c>
      <c r="I929" s="1">
        <v>0.35902777777777778</v>
      </c>
      <c r="J929" s="2">
        <v>46081</v>
      </c>
      <c r="K929" t="s">
        <v>20</v>
      </c>
      <c r="L929" t="s">
        <v>1399</v>
      </c>
      <c r="M929" t="s">
        <v>1400</v>
      </c>
      <c r="N929" t="s">
        <v>22</v>
      </c>
      <c r="O929" t="s">
        <v>661</v>
      </c>
      <c r="P929" t="s">
        <v>23</v>
      </c>
      <c r="Q929" s="1">
        <f>SEGUIMIENTO_TPM_xlsx[[#This Row],[HORA FIN  INTERVENCIÓN]]-SEGUIMIENTO_TPM_xlsx[[#This Row],[HORA INICIO INTERVENCIÓN]]</f>
        <v>8.8194444444444464E-2</v>
      </c>
      <c r="R929" s="20">
        <f>(SEGUIMIENTO_TPM_xlsx[[#This Row],[HORA REPORTE]]+SEGUIMIENTO_TPM_xlsx[[#This Row],[FECHA DE REPORTE]])</f>
        <v>46081.263888888891</v>
      </c>
      <c r="S929" s="20">
        <f>(SEGUIMIENTO_TPM_xlsx[[#This Row],[FECHA DE INTERVENCÓN]]+SEGUIMIENTO_TPM_xlsx[[#This Row],[HORA FIN  INTERVENCIÓN]])</f>
        <v>46081.359027777777</v>
      </c>
      <c r="T929" s="11">
        <f>(SEGUIMIENTO_TPM_xlsx[[#This Row],[FECHA Y HORA FINAL]]-SEGUIMIENTO_TPM_xlsx[[#This Row],[FECHA Y HORA INICIO]])</f>
        <v>9.5138888886140194E-2</v>
      </c>
    </row>
    <row r="930" spans="1:20" x14ac:dyDescent="0.25">
      <c r="A930">
        <v>938</v>
      </c>
      <c r="B930" t="s">
        <v>187</v>
      </c>
      <c r="C930" s="1">
        <v>0.41666666666666669</v>
      </c>
      <c r="D930" s="2">
        <v>46081</v>
      </c>
      <c r="E930" t="s">
        <v>154</v>
      </c>
      <c r="F930" t="s">
        <v>18</v>
      </c>
      <c r="G930" t="s">
        <v>1401</v>
      </c>
      <c r="H930" s="1">
        <v>0.4236111111111111</v>
      </c>
      <c r="I930" s="1">
        <v>0.4861111111111111</v>
      </c>
      <c r="J930" s="2">
        <v>46081</v>
      </c>
      <c r="K930" t="s">
        <v>20</v>
      </c>
      <c r="L930" t="s">
        <v>1402</v>
      </c>
      <c r="M930" t="s">
        <v>22</v>
      </c>
      <c r="N930" t="s">
        <v>22</v>
      </c>
      <c r="O930" t="s">
        <v>661</v>
      </c>
      <c r="P930" t="s">
        <v>23</v>
      </c>
      <c r="Q930" s="1">
        <f>SEGUIMIENTO_TPM_xlsx[[#This Row],[HORA FIN  INTERVENCIÓN]]-SEGUIMIENTO_TPM_xlsx[[#This Row],[HORA INICIO INTERVENCIÓN]]</f>
        <v>6.25E-2</v>
      </c>
      <c r="R930" s="20">
        <f>(SEGUIMIENTO_TPM_xlsx[[#This Row],[HORA REPORTE]]+SEGUIMIENTO_TPM_xlsx[[#This Row],[FECHA DE REPORTE]])</f>
        <v>46081.416666666664</v>
      </c>
      <c r="S930" s="20">
        <f>(SEGUIMIENTO_TPM_xlsx[[#This Row],[FECHA DE INTERVENCÓN]]+SEGUIMIENTO_TPM_xlsx[[#This Row],[HORA FIN  INTERVENCIÓN]])</f>
        <v>46081.486111111109</v>
      </c>
      <c r="T930" s="11">
        <f>(SEGUIMIENTO_TPM_xlsx[[#This Row],[FECHA Y HORA FINAL]]-SEGUIMIENTO_TPM_xlsx[[#This Row],[FECHA Y HORA INICIO]])</f>
        <v>6.9444444445252884E-2</v>
      </c>
    </row>
    <row r="931" spans="1:20" x14ac:dyDescent="0.25">
      <c r="A931">
        <v>939</v>
      </c>
      <c r="B931" t="s">
        <v>93</v>
      </c>
      <c r="C931" s="1">
        <v>0.44444444444444442</v>
      </c>
      <c r="D931" s="2">
        <v>46081</v>
      </c>
      <c r="E931" t="s">
        <v>116</v>
      </c>
      <c r="F931" t="s">
        <v>18</v>
      </c>
      <c r="G931" t="s">
        <v>1403</v>
      </c>
      <c r="H931" s="1">
        <v>0.4861111111111111</v>
      </c>
      <c r="I931" s="1">
        <v>0.50694444444444442</v>
      </c>
      <c r="J931" s="2">
        <v>46081</v>
      </c>
      <c r="K931" t="s">
        <v>25</v>
      </c>
      <c r="L931" t="s">
        <v>1404</v>
      </c>
      <c r="M931" t="s">
        <v>22</v>
      </c>
      <c r="N931" t="s">
        <v>22</v>
      </c>
      <c r="O931" t="s">
        <v>661</v>
      </c>
      <c r="P931" t="s">
        <v>23</v>
      </c>
      <c r="Q931" s="1">
        <f>SEGUIMIENTO_TPM_xlsx[[#This Row],[HORA FIN  INTERVENCIÓN]]-SEGUIMIENTO_TPM_xlsx[[#This Row],[HORA INICIO INTERVENCIÓN]]</f>
        <v>2.0833333333333315E-2</v>
      </c>
      <c r="R931" s="20">
        <f>(SEGUIMIENTO_TPM_xlsx[[#This Row],[HORA REPORTE]]+SEGUIMIENTO_TPM_xlsx[[#This Row],[FECHA DE REPORTE]])</f>
        <v>46081.444444444445</v>
      </c>
      <c r="S931" s="20">
        <f>(SEGUIMIENTO_TPM_xlsx[[#This Row],[FECHA DE INTERVENCÓN]]+SEGUIMIENTO_TPM_xlsx[[#This Row],[HORA FIN  INTERVENCIÓN]])</f>
        <v>46081.506944444445</v>
      </c>
      <c r="T931" s="11">
        <f>(SEGUIMIENTO_TPM_xlsx[[#This Row],[FECHA Y HORA FINAL]]-SEGUIMIENTO_TPM_xlsx[[#This Row],[FECHA Y HORA INICIO]])</f>
        <v>6.25E-2</v>
      </c>
    </row>
    <row r="932" spans="1:20" x14ac:dyDescent="0.25">
      <c r="A932">
        <v>940</v>
      </c>
      <c r="B932" t="s">
        <v>93</v>
      </c>
      <c r="C932" s="1">
        <v>0.53819444444444442</v>
      </c>
      <c r="D932" s="2">
        <v>46081</v>
      </c>
      <c r="E932" t="s">
        <v>116</v>
      </c>
      <c r="F932" t="s">
        <v>18</v>
      </c>
      <c r="G932" t="s">
        <v>1405</v>
      </c>
      <c r="H932" s="1">
        <v>0.93055555555555558</v>
      </c>
      <c r="I932" s="1">
        <v>0.97222222222222221</v>
      </c>
      <c r="J932" s="2">
        <v>46081</v>
      </c>
      <c r="K932" t="s">
        <v>25</v>
      </c>
      <c r="L932" t="s">
        <v>1406</v>
      </c>
      <c r="M932" t="s">
        <v>22</v>
      </c>
      <c r="N932" t="s">
        <v>22</v>
      </c>
      <c r="O932" t="s">
        <v>44</v>
      </c>
      <c r="P932" t="s">
        <v>23</v>
      </c>
      <c r="Q932" s="1">
        <f>SEGUIMIENTO_TPM_xlsx[[#This Row],[HORA FIN  INTERVENCIÓN]]-SEGUIMIENTO_TPM_xlsx[[#This Row],[HORA INICIO INTERVENCIÓN]]</f>
        <v>4.166666666666663E-2</v>
      </c>
      <c r="R932" s="20">
        <f>(SEGUIMIENTO_TPM_xlsx[[#This Row],[HORA REPORTE]]+SEGUIMIENTO_TPM_xlsx[[#This Row],[FECHA DE REPORTE]])</f>
        <v>46081.538194444445</v>
      </c>
      <c r="S932" s="20">
        <f>(SEGUIMIENTO_TPM_xlsx[[#This Row],[FECHA DE INTERVENCÓN]]+SEGUIMIENTO_TPM_xlsx[[#This Row],[HORA FIN  INTERVENCIÓN]])</f>
        <v>46081.972222222219</v>
      </c>
      <c r="T932" s="11">
        <f>(SEGUIMIENTO_TPM_xlsx[[#This Row],[FECHA Y HORA FINAL]]-SEGUIMIENTO_TPM_xlsx[[#This Row],[FECHA Y HORA INICIO]])</f>
        <v>0.43402777777373558</v>
      </c>
    </row>
    <row r="933" spans="1:20" x14ac:dyDescent="0.25">
      <c r="A933">
        <v>941</v>
      </c>
      <c r="B933" t="s">
        <v>206</v>
      </c>
      <c r="C933" s="1">
        <v>2.0833333333333332E-2</v>
      </c>
      <c r="D933" s="2">
        <v>46081</v>
      </c>
      <c r="E933" t="s">
        <v>185</v>
      </c>
      <c r="F933" t="s">
        <v>18</v>
      </c>
      <c r="G933" t="s">
        <v>379</v>
      </c>
      <c r="H933" s="1">
        <v>2.0833333333333332E-2</v>
      </c>
      <c r="I933" s="1">
        <v>4.8611111111111112E-2</v>
      </c>
      <c r="J933" s="2">
        <v>46081</v>
      </c>
      <c r="K933" t="s">
        <v>25</v>
      </c>
      <c r="L933" t="s">
        <v>1407</v>
      </c>
      <c r="M933" t="s">
        <v>22</v>
      </c>
      <c r="N933" t="s">
        <v>22</v>
      </c>
      <c r="O933" t="s">
        <v>44</v>
      </c>
      <c r="P933" t="s">
        <v>23</v>
      </c>
      <c r="Q933" s="1">
        <f>SEGUIMIENTO_TPM_xlsx[[#This Row],[HORA FIN  INTERVENCIÓN]]-SEGUIMIENTO_TPM_xlsx[[#This Row],[HORA INICIO INTERVENCIÓN]]</f>
        <v>2.777777777777778E-2</v>
      </c>
      <c r="R933" s="20">
        <f>(SEGUIMIENTO_TPM_xlsx[[#This Row],[HORA REPORTE]]+SEGUIMIENTO_TPM_xlsx[[#This Row],[FECHA DE REPORTE]])</f>
        <v>46081.020833333336</v>
      </c>
      <c r="S933" s="20">
        <f>(SEGUIMIENTO_TPM_xlsx[[#This Row],[FECHA DE INTERVENCÓN]]+SEGUIMIENTO_TPM_xlsx[[#This Row],[HORA FIN  INTERVENCIÓN]])</f>
        <v>46081.048611111109</v>
      </c>
      <c r="T933" s="11">
        <f>(SEGUIMIENTO_TPM_xlsx[[#This Row],[FECHA Y HORA FINAL]]-SEGUIMIENTO_TPM_xlsx[[#This Row],[FECHA Y HORA INICIO]])</f>
        <v>2.7777777773735579E-2</v>
      </c>
    </row>
    <row r="934" spans="1:20" x14ac:dyDescent="0.25">
      <c r="A934">
        <v>942</v>
      </c>
      <c r="B934" t="s">
        <v>113</v>
      </c>
      <c r="C934" s="1">
        <v>0.70833333333333337</v>
      </c>
      <c r="D934" s="2">
        <v>46082</v>
      </c>
      <c r="E934" t="s">
        <v>91</v>
      </c>
      <c r="F934" t="s">
        <v>18</v>
      </c>
      <c r="G934" t="s">
        <v>1408</v>
      </c>
      <c r="H934" s="1"/>
      <c r="I934" s="1"/>
      <c r="J934" s="2"/>
      <c r="K934" t="s">
        <v>1409</v>
      </c>
      <c r="L934" t="s">
        <v>1410</v>
      </c>
      <c r="P934" t="s">
        <v>33</v>
      </c>
      <c r="Q934" s="1">
        <f>SEGUIMIENTO_TPM_xlsx[[#This Row],[HORA FIN  INTERVENCIÓN]]-SEGUIMIENTO_TPM_xlsx[[#This Row],[HORA INICIO INTERVENCIÓN]]</f>
        <v>0</v>
      </c>
      <c r="R934" s="20">
        <f>(SEGUIMIENTO_TPM_xlsx[[#This Row],[HORA REPORTE]]+SEGUIMIENTO_TPM_xlsx[[#This Row],[FECHA DE REPORTE]])</f>
        <v>46082.708333333336</v>
      </c>
      <c r="S934" s="20">
        <f>(SEGUIMIENTO_TPM_xlsx[[#This Row],[FECHA DE INTERVENCÓN]]+SEGUIMIENTO_TPM_xlsx[[#This Row],[HORA FIN  INTERVENCIÓN]])</f>
        <v>0</v>
      </c>
      <c r="T934" s="11">
        <f>(SEGUIMIENTO_TPM_xlsx[[#This Row],[FECHA Y HORA FINAL]]-SEGUIMIENTO_TPM_xlsx[[#This Row],[FECHA Y HORA INICIO]])</f>
        <v>-46082.708333333336</v>
      </c>
    </row>
    <row r="935" spans="1:20" x14ac:dyDescent="0.25">
      <c r="A935">
        <v>943</v>
      </c>
      <c r="B935" t="s">
        <v>317</v>
      </c>
      <c r="C935" s="1">
        <v>0.75</v>
      </c>
      <c r="D935" s="2">
        <v>46082</v>
      </c>
      <c r="E935" t="s">
        <v>91</v>
      </c>
      <c r="F935" t="s">
        <v>18</v>
      </c>
      <c r="G935" t="s">
        <v>1411</v>
      </c>
      <c r="H935" s="1">
        <v>0.75694444444444442</v>
      </c>
      <c r="I935" s="1">
        <v>0.78472222222222221</v>
      </c>
      <c r="J935" s="2">
        <v>46082</v>
      </c>
      <c r="K935" t="s">
        <v>20</v>
      </c>
      <c r="L935" t="s">
        <v>1412</v>
      </c>
      <c r="M935" t="s">
        <v>22</v>
      </c>
      <c r="N935" t="s">
        <v>22</v>
      </c>
      <c r="O935" t="s">
        <v>44</v>
      </c>
      <c r="P935" t="s">
        <v>23</v>
      </c>
      <c r="Q935" s="1">
        <f>SEGUIMIENTO_TPM_xlsx[[#This Row],[HORA FIN  INTERVENCIÓN]]-SEGUIMIENTO_TPM_xlsx[[#This Row],[HORA INICIO INTERVENCIÓN]]</f>
        <v>2.777777777777779E-2</v>
      </c>
      <c r="R935" s="20">
        <f>(SEGUIMIENTO_TPM_xlsx[[#This Row],[HORA REPORTE]]+SEGUIMIENTO_TPM_xlsx[[#This Row],[FECHA DE REPORTE]])</f>
        <v>46082.75</v>
      </c>
      <c r="S935" s="20">
        <f>(SEGUIMIENTO_TPM_xlsx[[#This Row],[FECHA DE INTERVENCÓN]]+SEGUIMIENTO_TPM_xlsx[[#This Row],[HORA FIN  INTERVENCIÓN]])</f>
        <v>46082.784722222219</v>
      </c>
      <c r="T935" s="11">
        <f>(SEGUIMIENTO_TPM_xlsx[[#This Row],[FECHA Y HORA FINAL]]-SEGUIMIENTO_TPM_xlsx[[#This Row],[FECHA Y HORA INICIO]])</f>
        <v>3.4722222218988463E-2</v>
      </c>
    </row>
    <row r="936" spans="1:20" x14ac:dyDescent="0.25">
      <c r="A936">
        <v>944</v>
      </c>
      <c r="B936" t="s">
        <v>103</v>
      </c>
      <c r="C936" s="1">
        <v>0.34027777777777779</v>
      </c>
      <c r="D936" s="2">
        <v>46083</v>
      </c>
      <c r="E936" t="s">
        <v>307</v>
      </c>
      <c r="F936" t="s">
        <v>18</v>
      </c>
      <c r="G936" t="s">
        <v>1413</v>
      </c>
      <c r="H936" s="1">
        <v>0.34027777777777779</v>
      </c>
      <c r="I936" s="1">
        <v>0.4513888888888889</v>
      </c>
      <c r="J936" s="2">
        <v>46083</v>
      </c>
      <c r="K936" t="s">
        <v>20</v>
      </c>
      <c r="L936" t="s">
        <v>1414</v>
      </c>
      <c r="M936" t="s">
        <v>22</v>
      </c>
      <c r="N936" t="s">
        <v>22</v>
      </c>
      <c r="O936" t="s">
        <v>108</v>
      </c>
      <c r="P936" t="s">
        <v>23</v>
      </c>
      <c r="Q936" s="1">
        <f>SEGUIMIENTO_TPM_xlsx[[#This Row],[HORA FIN  INTERVENCIÓN]]-SEGUIMIENTO_TPM_xlsx[[#This Row],[HORA INICIO INTERVENCIÓN]]</f>
        <v>0.1111111111111111</v>
      </c>
      <c r="R936" s="20">
        <f>(SEGUIMIENTO_TPM_xlsx[[#This Row],[HORA REPORTE]]+SEGUIMIENTO_TPM_xlsx[[#This Row],[FECHA DE REPORTE]])</f>
        <v>46083.340277777781</v>
      </c>
      <c r="S936" s="20">
        <f>(SEGUIMIENTO_TPM_xlsx[[#This Row],[FECHA DE INTERVENCÓN]]+SEGUIMIENTO_TPM_xlsx[[#This Row],[HORA FIN  INTERVENCIÓN]])</f>
        <v>46083.451388888891</v>
      </c>
      <c r="T936" s="11">
        <f>(SEGUIMIENTO_TPM_xlsx[[#This Row],[FECHA Y HORA FINAL]]-SEGUIMIENTO_TPM_xlsx[[#This Row],[FECHA Y HORA INICIO]])</f>
        <v>0.11111111110949423</v>
      </c>
    </row>
    <row r="937" spans="1:20" x14ac:dyDescent="0.25">
      <c r="A937">
        <v>945</v>
      </c>
      <c r="B937" t="s">
        <v>103</v>
      </c>
      <c r="C937" s="1">
        <v>0.375</v>
      </c>
      <c r="D937" s="2">
        <v>46083</v>
      </c>
      <c r="E937" t="s">
        <v>104</v>
      </c>
      <c r="F937" t="s">
        <v>18</v>
      </c>
      <c r="G937" t="s">
        <v>1415</v>
      </c>
      <c r="H937" s="1">
        <v>0.38194444444444442</v>
      </c>
      <c r="I937" s="1"/>
      <c r="J937" s="2">
        <v>46083</v>
      </c>
      <c r="K937" t="s">
        <v>25</v>
      </c>
      <c r="L937" t="s">
        <v>1416</v>
      </c>
      <c r="M937" t="s">
        <v>1417</v>
      </c>
      <c r="N937" t="s">
        <v>22</v>
      </c>
      <c r="P937" t="s">
        <v>23</v>
      </c>
      <c r="Q937" s="1">
        <f>SEGUIMIENTO_TPM_xlsx[[#This Row],[HORA FIN  INTERVENCIÓN]]-SEGUIMIENTO_TPM_xlsx[[#This Row],[HORA INICIO INTERVENCIÓN]]</f>
        <v>-0.38194444444444442</v>
      </c>
      <c r="R937" s="20">
        <f>(SEGUIMIENTO_TPM_xlsx[[#This Row],[HORA REPORTE]]+SEGUIMIENTO_TPM_xlsx[[#This Row],[FECHA DE REPORTE]])</f>
        <v>46083.375</v>
      </c>
      <c r="S937" s="20">
        <f>(SEGUIMIENTO_TPM_xlsx[[#This Row],[FECHA DE INTERVENCÓN]]+SEGUIMIENTO_TPM_xlsx[[#This Row],[HORA FIN  INTERVENCIÓN]])</f>
        <v>46083</v>
      </c>
      <c r="T937" s="11">
        <f>(SEGUIMIENTO_TPM_xlsx[[#This Row],[FECHA Y HORA FINAL]]-SEGUIMIENTO_TPM_xlsx[[#This Row],[FECHA Y HORA INICIO]])</f>
        <v>-0.375</v>
      </c>
    </row>
    <row r="938" spans="1:20" x14ac:dyDescent="0.25">
      <c r="A938">
        <v>946</v>
      </c>
      <c r="C938" s="1"/>
      <c r="D938" s="2"/>
      <c r="H938" s="1"/>
      <c r="I938" s="1"/>
      <c r="J938" s="2"/>
      <c r="Q938" s="1">
        <f>SEGUIMIENTO_TPM_xlsx[[#This Row],[HORA FIN  INTERVENCIÓN]]-SEGUIMIENTO_TPM_xlsx[[#This Row],[HORA INICIO INTERVENCIÓN]]</f>
        <v>0</v>
      </c>
      <c r="R938" s="20">
        <f>(SEGUIMIENTO_TPM_xlsx[[#This Row],[HORA REPORTE]]+SEGUIMIENTO_TPM_xlsx[[#This Row],[FECHA DE REPORTE]])</f>
        <v>0</v>
      </c>
      <c r="S938" s="20">
        <f>(SEGUIMIENTO_TPM_xlsx[[#This Row],[FECHA DE INTERVENCÓN]]+SEGUIMIENTO_TPM_xlsx[[#This Row],[HORA FIN  INTERVENCIÓN]])</f>
        <v>0</v>
      </c>
      <c r="T938" s="11">
        <f>(SEGUIMIENTO_TPM_xlsx[[#This Row],[FECHA Y HORA FINAL]]-SEGUIMIENTO_TPM_xlsx[[#This Row],[FECHA Y HORA INICIO]])</f>
        <v>0</v>
      </c>
    </row>
    <row r="939" spans="1:20" x14ac:dyDescent="0.25">
      <c r="A939">
        <v>947</v>
      </c>
      <c r="B939" t="s">
        <v>103</v>
      </c>
      <c r="C939" s="1">
        <v>0.35416666666666669</v>
      </c>
      <c r="D939" s="2">
        <v>46083</v>
      </c>
      <c r="E939" t="s">
        <v>104</v>
      </c>
      <c r="F939" t="s">
        <v>18</v>
      </c>
      <c r="G939" t="s">
        <v>1418</v>
      </c>
      <c r="H939" s="1">
        <v>0.3611111111111111</v>
      </c>
      <c r="I939" s="1">
        <v>0.36805555555555558</v>
      </c>
      <c r="J939" s="2">
        <v>46083</v>
      </c>
      <c r="K939" t="s">
        <v>20</v>
      </c>
      <c r="L939" t="s">
        <v>1419</v>
      </c>
      <c r="M939" t="s">
        <v>22</v>
      </c>
      <c r="N939" t="s">
        <v>22</v>
      </c>
      <c r="O939" t="s">
        <v>661</v>
      </c>
      <c r="P939" t="s">
        <v>23</v>
      </c>
      <c r="Q939" s="1">
        <f>SEGUIMIENTO_TPM_xlsx[[#This Row],[HORA FIN  INTERVENCIÓN]]-SEGUIMIENTO_TPM_xlsx[[#This Row],[HORA INICIO INTERVENCIÓN]]</f>
        <v>6.9444444444444753E-3</v>
      </c>
      <c r="R939" s="20">
        <f>(SEGUIMIENTO_TPM_xlsx[[#This Row],[HORA REPORTE]]+SEGUIMIENTO_TPM_xlsx[[#This Row],[FECHA DE REPORTE]])</f>
        <v>46083.354166666664</v>
      </c>
      <c r="S939" s="20">
        <f>(SEGUIMIENTO_TPM_xlsx[[#This Row],[FECHA DE INTERVENCÓN]]+SEGUIMIENTO_TPM_xlsx[[#This Row],[HORA FIN  INTERVENCIÓN]])</f>
        <v>46083.368055555555</v>
      </c>
      <c r="T939" s="11">
        <f>(SEGUIMIENTO_TPM_xlsx[[#This Row],[FECHA Y HORA FINAL]]-SEGUIMIENTO_TPM_xlsx[[#This Row],[FECHA Y HORA INICIO]])</f>
        <v>1.3888888890505768E-2</v>
      </c>
    </row>
    <row r="940" spans="1:20" x14ac:dyDescent="0.25">
      <c r="A940">
        <v>948</v>
      </c>
      <c r="B940" t="s">
        <v>206</v>
      </c>
      <c r="C940" s="1">
        <v>0.44305555555555554</v>
      </c>
      <c r="D940" s="2">
        <v>46083</v>
      </c>
      <c r="E940" t="s">
        <v>185</v>
      </c>
      <c r="F940" t="s">
        <v>18</v>
      </c>
      <c r="G940" t="s">
        <v>1420</v>
      </c>
      <c r="H940" s="1">
        <v>0.75694444444444442</v>
      </c>
      <c r="I940" s="1">
        <v>0.80555555555555558</v>
      </c>
      <c r="J940" s="2">
        <v>46083</v>
      </c>
      <c r="K940" t="s">
        <v>25</v>
      </c>
      <c r="L940" t="s">
        <v>1421</v>
      </c>
      <c r="M940" t="s">
        <v>22</v>
      </c>
      <c r="N940" t="s">
        <v>22</v>
      </c>
      <c r="O940" t="s">
        <v>44</v>
      </c>
      <c r="P940" t="s">
        <v>23</v>
      </c>
      <c r="Q940" s="1">
        <f>SEGUIMIENTO_TPM_xlsx[[#This Row],[HORA FIN  INTERVENCIÓN]]-SEGUIMIENTO_TPM_xlsx[[#This Row],[HORA INICIO INTERVENCIÓN]]</f>
        <v>4.861111111111116E-2</v>
      </c>
      <c r="R940" s="20">
        <f>(SEGUIMIENTO_TPM_xlsx[[#This Row],[HORA REPORTE]]+SEGUIMIENTO_TPM_xlsx[[#This Row],[FECHA DE REPORTE]])</f>
        <v>46083.443055555559</v>
      </c>
      <c r="S940" s="20">
        <f>(SEGUIMIENTO_TPM_xlsx[[#This Row],[FECHA DE INTERVENCÓN]]+SEGUIMIENTO_TPM_xlsx[[#This Row],[HORA FIN  INTERVENCIÓN]])</f>
        <v>46083.805555555555</v>
      </c>
      <c r="T940" s="11">
        <f>(SEGUIMIENTO_TPM_xlsx[[#This Row],[FECHA Y HORA FINAL]]-SEGUIMIENTO_TPM_xlsx[[#This Row],[FECHA Y HORA INICIO]])</f>
        <v>0.36249999999563443</v>
      </c>
    </row>
    <row r="941" spans="1:20" x14ac:dyDescent="0.25">
      <c r="A941">
        <v>949</v>
      </c>
      <c r="B941" t="s">
        <v>139</v>
      </c>
      <c r="C941" s="1"/>
      <c r="D941" s="2">
        <v>46083</v>
      </c>
      <c r="E941" t="s">
        <v>91</v>
      </c>
      <c r="F941" t="s">
        <v>18</v>
      </c>
      <c r="G941" t="s">
        <v>1422</v>
      </c>
      <c r="H941" s="1"/>
      <c r="I941" s="1"/>
      <c r="J941" s="2"/>
      <c r="P941" t="s">
        <v>33</v>
      </c>
      <c r="Q941" s="1">
        <f>SEGUIMIENTO_TPM_xlsx[[#This Row],[HORA FIN  INTERVENCIÓN]]-SEGUIMIENTO_TPM_xlsx[[#This Row],[HORA INICIO INTERVENCIÓN]]</f>
        <v>0</v>
      </c>
      <c r="R941" s="20">
        <f>(SEGUIMIENTO_TPM_xlsx[[#This Row],[HORA REPORTE]]+SEGUIMIENTO_TPM_xlsx[[#This Row],[FECHA DE REPORTE]])</f>
        <v>46083</v>
      </c>
      <c r="S941" s="20">
        <f>(SEGUIMIENTO_TPM_xlsx[[#This Row],[FECHA DE INTERVENCÓN]]+SEGUIMIENTO_TPM_xlsx[[#This Row],[HORA FIN  INTERVENCIÓN]])</f>
        <v>0</v>
      </c>
      <c r="T941" s="11">
        <f>(SEGUIMIENTO_TPM_xlsx[[#This Row],[FECHA Y HORA FINAL]]-SEGUIMIENTO_TPM_xlsx[[#This Row],[FECHA Y HORA INICIO]])</f>
        <v>-46083</v>
      </c>
    </row>
    <row r="942" spans="1:20" x14ac:dyDescent="0.25">
      <c r="A942">
        <v>950</v>
      </c>
      <c r="C942" s="1"/>
      <c r="D942" s="2"/>
      <c r="H942" s="1"/>
      <c r="I942" s="1"/>
      <c r="J942" s="2"/>
      <c r="Q942" s="1">
        <f>SEGUIMIENTO_TPM_xlsx[[#This Row],[HORA FIN  INTERVENCIÓN]]-SEGUIMIENTO_TPM_xlsx[[#This Row],[HORA INICIO INTERVENCIÓN]]</f>
        <v>0</v>
      </c>
      <c r="R942" s="20">
        <f>(SEGUIMIENTO_TPM_xlsx[[#This Row],[HORA REPORTE]]+SEGUIMIENTO_TPM_xlsx[[#This Row],[FECHA DE REPORTE]])</f>
        <v>0</v>
      </c>
      <c r="S942" s="20">
        <f>(SEGUIMIENTO_TPM_xlsx[[#This Row],[FECHA DE INTERVENCÓN]]+SEGUIMIENTO_TPM_xlsx[[#This Row],[HORA FIN  INTERVENCIÓN]])</f>
        <v>0</v>
      </c>
      <c r="T942" s="11">
        <f>(SEGUIMIENTO_TPM_xlsx[[#This Row],[FECHA Y HORA FINAL]]-SEGUIMIENTO_TPM_xlsx[[#This Row],[FECHA Y HORA INICIO]])</f>
        <v>0</v>
      </c>
    </row>
    <row r="943" spans="1:20" x14ac:dyDescent="0.25">
      <c r="A943">
        <v>951</v>
      </c>
      <c r="B943" t="s">
        <v>385</v>
      </c>
      <c r="C943" s="1">
        <v>0.75</v>
      </c>
      <c r="D943" s="2">
        <v>46083</v>
      </c>
      <c r="E943" t="s">
        <v>116</v>
      </c>
      <c r="F943" t="s">
        <v>18</v>
      </c>
      <c r="G943" t="s">
        <v>208</v>
      </c>
      <c r="H943" s="1">
        <v>0.75</v>
      </c>
      <c r="I943" s="1">
        <v>0.75694444444444442</v>
      </c>
      <c r="J943" s="2">
        <v>46083</v>
      </c>
      <c r="K943" t="s">
        <v>25</v>
      </c>
      <c r="L943" t="s">
        <v>1423</v>
      </c>
      <c r="M943" t="s">
        <v>22</v>
      </c>
      <c r="N943" t="s">
        <v>22</v>
      </c>
      <c r="O943" t="s">
        <v>44</v>
      </c>
      <c r="P943" t="s">
        <v>23</v>
      </c>
      <c r="Q943" s="1">
        <f>SEGUIMIENTO_TPM_xlsx[[#This Row],[HORA FIN  INTERVENCIÓN]]-SEGUIMIENTO_TPM_xlsx[[#This Row],[HORA INICIO INTERVENCIÓN]]</f>
        <v>6.9444444444444198E-3</v>
      </c>
      <c r="R943" s="20">
        <f>(SEGUIMIENTO_TPM_xlsx[[#This Row],[HORA REPORTE]]+SEGUIMIENTO_TPM_xlsx[[#This Row],[FECHA DE REPORTE]])</f>
        <v>46083.75</v>
      </c>
      <c r="S943" s="20">
        <f>(SEGUIMIENTO_TPM_xlsx[[#This Row],[FECHA DE INTERVENCÓN]]+SEGUIMIENTO_TPM_xlsx[[#This Row],[HORA FIN  INTERVENCIÓN]])</f>
        <v>46083.756944444445</v>
      </c>
      <c r="T943" s="11">
        <f>(SEGUIMIENTO_TPM_xlsx[[#This Row],[FECHA Y HORA FINAL]]-SEGUIMIENTO_TPM_xlsx[[#This Row],[FECHA Y HORA INICIO]])</f>
        <v>6.9444444452528842E-3</v>
      </c>
    </row>
    <row r="944" spans="1:20" x14ac:dyDescent="0.25">
      <c r="A944">
        <v>952</v>
      </c>
      <c r="B944" t="s">
        <v>1394</v>
      </c>
      <c r="C944" s="1">
        <v>0.90277777777777779</v>
      </c>
      <c r="D944" s="2">
        <v>46083</v>
      </c>
      <c r="E944" t="s">
        <v>782</v>
      </c>
      <c r="F944" t="s">
        <v>18</v>
      </c>
      <c r="G944" t="s">
        <v>1424</v>
      </c>
      <c r="H944" s="1">
        <v>0.40277777777777779</v>
      </c>
      <c r="I944" s="1">
        <v>0.95833333333333337</v>
      </c>
      <c r="J944" s="2">
        <v>46083</v>
      </c>
      <c r="K944" t="s">
        <v>25</v>
      </c>
      <c r="L944" t="s">
        <v>1425</v>
      </c>
      <c r="M944" t="s">
        <v>22</v>
      </c>
      <c r="N944" t="s">
        <v>22</v>
      </c>
      <c r="O944" t="s">
        <v>44</v>
      </c>
      <c r="P944" t="s">
        <v>23</v>
      </c>
      <c r="Q944" s="1">
        <f>SEGUIMIENTO_TPM_xlsx[[#This Row],[HORA FIN  INTERVENCIÓN]]-SEGUIMIENTO_TPM_xlsx[[#This Row],[HORA INICIO INTERVENCIÓN]]</f>
        <v>0.55555555555555558</v>
      </c>
      <c r="R944" s="20">
        <f>(SEGUIMIENTO_TPM_xlsx[[#This Row],[HORA REPORTE]]+SEGUIMIENTO_TPM_xlsx[[#This Row],[FECHA DE REPORTE]])</f>
        <v>46083.902777777781</v>
      </c>
      <c r="S944" s="20">
        <f>(SEGUIMIENTO_TPM_xlsx[[#This Row],[FECHA DE INTERVENCÓN]]+SEGUIMIENTO_TPM_xlsx[[#This Row],[HORA FIN  INTERVENCIÓN]])</f>
        <v>46083.958333333336</v>
      </c>
      <c r="T944" s="11">
        <f>(SEGUIMIENTO_TPM_xlsx[[#This Row],[FECHA Y HORA FINAL]]-SEGUIMIENTO_TPM_xlsx[[#This Row],[FECHA Y HORA INICIO]])</f>
        <v>5.5555555554747116E-2</v>
      </c>
    </row>
    <row r="945" spans="1:20" x14ac:dyDescent="0.25">
      <c r="A945">
        <v>953</v>
      </c>
      <c r="B945" t="s">
        <v>526</v>
      </c>
      <c r="C945" s="1">
        <v>0.28472222222222221</v>
      </c>
      <c r="D945" s="2">
        <v>46084</v>
      </c>
      <c r="E945" t="s">
        <v>188</v>
      </c>
      <c r="F945" t="s">
        <v>18</v>
      </c>
      <c r="G945" t="s">
        <v>1426</v>
      </c>
      <c r="H945" s="1">
        <v>0.29166666666666669</v>
      </c>
      <c r="I945" s="1">
        <v>0.31944444444444442</v>
      </c>
      <c r="J945" s="2">
        <v>46084</v>
      </c>
      <c r="K945" t="s">
        <v>25</v>
      </c>
      <c r="L945" t="s">
        <v>1427</v>
      </c>
      <c r="M945" t="s">
        <v>22</v>
      </c>
      <c r="N945" t="s">
        <v>22</v>
      </c>
      <c r="O945" t="s">
        <v>661</v>
      </c>
      <c r="P945" t="s">
        <v>23</v>
      </c>
      <c r="Q945" s="1">
        <f>SEGUIMIENTO_TPM_xlsx[[#This Row],[HORA FIN  INTERVENCIÓN]]-SEGUIMIENTO_TPM_xlsx[[#This Row],[HORA INICIO INTERVENCIÓN]]</f>
        <v>2.7777777777777735E-2</v>
      </c>
      <c r="R945" s="20">
        <f>(SEGUIMIENTO_TPM_xlsx[[#This Row],[HORA REPORTE]]+SEGUIMIENTO_TPM_xlsx[[#This Row],[FECHA DE REPORTE]])</f>
        <v>46084.284722222219</v>
      </c>
      <c r="S945" s="20">
        <f>(SEGUIMIENTO_TPM_xlsx[[#This Row],[FECHA DE INTERVENCÓN]]+SEGUIMIENTO_TPM_xlsx[[#This Row],[HORA FIN  INTERVENCIÓN]])</f>
        <v>46084.319444444445</v>
      </c>
      <c r="T945" s="11">
        <f>(SEGUIMIENTO_TPM_xlsx[[#This Row],[FECHA Y HORA FINAL]]-SEGUIMIENTO_TPM_xlsx[[#This Row],[FECHA Y HORA INICIO]])</f>
        <v>3.4722222226264421E-2</v>
      </c>
    </row>
    <row r="946" spans="1:20" x14ac:dyDescent="0.25">
      <c r="A946">
        <v>954</v>
      </c>
      <c r="B946" t="s">
        <v>526</v>
      </c>
      <c r="C946" s="1">
        <v>0.375</v>
      </c>
      <c r="D946" s="2">
        <v>46084</v>
      </c>
      <c r="E946" t="s">
        <v>188</v>
      </c>
      <c r="F946" t="s">
        <v>18</v>
      </c>
      <c r="G946" t="s">
        <v>1428</v>
      </c>
      <c r="H946" s="1">
        <v>0.37847222222222221</v>
      </c>
      <c r="I946" s="1">
        <v>0.39305555555555555</v>
      </c>
      <c r="J946" s="2">
        <v>46084</v>
      </c>
      <c r="K946" t="s">
        <v>20</v>
      </c>
      <c r="L946" t="s">
        <v>1429</v>
      </c>
      <c r="M946" t="s">
        <v>22</v>
      </c>
      <c r="N946" t="s">
        <v>22</v>
      </c>
      <c r="O946" t="s">
        <v>661</v>
      </c>
      <c r="P946" t="s">
        <v>23</v>
      </c>
      <c r="Q946" s="1">
        <f>SEGUIMIENTO_TPM_xlsx[[#This Row],[HORA FIN  INTERVENCIÓN]]-SEGUIMIENTO_TPM_xlsx[[#This Row],[HORA INICIO INTERVENCIÓN]]</f>
        <v>1.4583333333333337E-2</v>
      </c>
      <c r="R946" s="20">
        <f>(SEGUIMIENTO_TPM_xlsx[[#This Row],[HORA REPORTE]]+SEGUIMIENTO_TPM_xlsx[[#This Row],[FECHA DE REPORTE]])</f>
        <v>46084.375</v>
      </c>
      <c r="S946" s="20">
        <f>(SEGUIMIENTO_TPM_xlsx[[#This Row],[FECHA DE INTERVENCÓN]]+SEGUIMIENTO_TPM_xlsx[[#This Row],[HORA FIN  INTERVENCIÓN]])</f>
        <v>46084.393055555556</v>
      </c>
      <c r="T946" s="11">
        <f>(SEGUIMIENTO_TPM_xlsx[[#This Row],[FECHA Y HORA FINAL]]-SEGUIMIENTO_TPM_xlsx[[#This Row],[FECHA Y HORA INICIO]])</f>
        <v>1.8055555556202307E-2</v>
      </c>
    </row>
    <row r="947" spans="1:20" x14ac:dyDescent="0.25">
      <c r="A947">
        <v>955</v>
      </c>
      <c r="B947" t="s">
        <v>385</v>
      </c>
      <c r="C947" s="1">
        <v>0.38194444444444442</v>
      </c>
      <c r="D947" s="2">
        <v>46084</v>
      </c>
      <c r="E947" t="s">
        <v>116</v>
      </c>
      <c r="F947" t="s">
        <v>18</v>
      </c>
      <c r="G947" t="s">
        <v>1430</v>
      </c>
      <c r="H947" s="1">
        <v>0.38541666666666669</v>
      </c>
      <c r="I947" s="1">
        <v>0.40972222222222221</v>
      </c>
      <c r="J947" s="2">
        <v>46084</v>
      </c>
      <c r="K947" t="s">
        <v>25</v>
      </c>
      <c r="L947" t="s">
        <v>1431</v>
      </c>
      <c r="M947" t="s">
        <v>1432</v>
      </c>
      <c r="N947" t="s">
        <v>22</v>
      </c>
      <c r="O947" t="s">
        <v>661</v>
      </c>
      <c r="P947" t="s">
        <v>23</v>
      </c>
      <c r="Q947" s="1">
        <f>SEGUIMIENTO_TPM_xlsx[[#This Row],[HORA FIN  INTERVENCIÓN]]-SEGUIMIENTO_TPM_xlsx[[#This Row],[HORA INICIO INTERVENCIÓN]]</f>
        <v>2.4305555555555525E-2</v>
      </c>
      <c r="R947" s="20">
        <f>(SEGUIMIENTO_TPM_xlsx[[#This Row],[HORA REPORTE]]+SEGUIMIENTO_TPM_xlsx[[#This Row],[FECHA DE REPORTE]])</f>
        <v>46084.381944444445</v>
      </c>
      <c r="S947" s="20">
        <f>(SEGUIMIENTO_TPM_xlsx[[#This Row],[FECHA DE INTERVENCÓN]]+SEGUIMIENTO_TPM_xlsx[[#This Row],[HORA FIN  INTERVENCIÓN]])</f>
        <v>46084.409722222219</v>
      </c>
      <c r="T947" s="11">
        <f>(SEGUIMIENTO_TPM_xlsx[[#This Row],[FECHA Y HORA FINAL]]-SEGUIMIENTO_TPM_xlsx[[#This Row],[FECHA Y HORA INICIO]])</f>
        <v>2.7777777773735579E-2</v>
      </c>
    </row>
    <row r="948" spans="1:20" x14ac:dyDescent="0.25">
      <c r="A948">
        <v>956</v>
      </c>
      <c r="B948" t="s">
        <v>385</v>
      </c>
      <c r="C948" s="1">
        <v>0.25</v>
      </c>
      <c r="D948" s="2">
        <v>46084</v>
      </c>
      <c r="E948" t="s">
        <v>94</v>
      </c>
      <c r="F948" t="s">
        <v>18</v>
      </c>
      <c r="G948" t="s">
        <v>1433</v>
      </c>
      <c r="H948" s="1">
        <v>0.2638888888888889</v>
      </c>
      <c r="I948" s="1">
        <v>0.53472222222222221</v>
      </c>
      <c r="J948" s="2">
        <v>46084</v>
      </c>
      <c r="K948" t="s">
        <v>25</v>
      </c>
      <c r="L948" t="s">
        <v>1434</v>
      </c>
      <c r="M948" t="s">
        <v>22</v>
      </c>
      <c r="N948" t="s">
        <v>22</v>
      </c>
      <c r="O948" t="s">
        <v>661</v>
      </c>
      <c r="P948" t="s">
        <v>23</v>
      </c>
      <c r="Q948" s="1">
        <f>SEGUIMIENTO_TPM_xlsx[[#This Row],[HORA FIN  INTERVENCIÓN]]-SEGUIMIENTO_TPM_xlsx[[#This Row],[HORA INICIO INTERVENCIÓN]]</f>
        <v>0.27083333333333331</v>
      </c>
      <c r="R948" s="20">
        <f>(SEGUIMIENTO_TPM_xlsx[[#This Row],[HORA REPORTE]]+SEGUIMIENTO_TPM_xlsx[[#This Row],[FECHA DE REPORTE]])</f>
        <v>46084.25</v>
      </c>
      <c r="S948" s="20">
        <f>(SEGUIMIENTO_TPM_xlsx[[#This Row],[FECHA DE INTERVENCÓN]]+SEGUIMIENTO_TPM_xlsx[[#This Row],[HORA FIN  INTERVENCIÓN]])</f>
        <v>46084.534722222219</v>
      </c>
      <c r="T948" s="11">
        <f>(SEGUIMIENTO_TPM_xlsx[[#This Row],[FECHA Y HORA FINAL]]-SEGUIMIENTO_TPM_xlsx[[#This Row],[FECHA Y HORA INICIO]])</f>
        <v>0.28472222221898846</v>
      </c>
    </row>
    <row r="949" spans="1:20" x14ac:dyDescent="0.25">
      <c r="A949">
        <v>957</v>
      </c>
      <c r="B949" t="s">
        <v>317</v>
      </c>
      <c r="C949" s="1">
        <v>0.36805555555555558</v>
      </c>
      <c r="D949" s="2">
        <v>46084</v>
      </c>
      <c r="E949" t="s">
        <v>91</v>
      </c>
      <c r="F949" t="s">
        <v>18</v>
      </c>
      <c r="G949" t="s">
        <v>1435</v>
      </c>
      <c r="H949" s="1">
        <v>0.36805555555555558</v>
      </c>
      <c r="I949" s="1">
        <v>0.43402777777777779</v>
      </c>
      <c r="J949" s="2">
        <v>46084</v>
      </c>
      <c r="K949" t="s">
        <v>361</v>
      </c>
      <c r="L949" t="s">
        <v>1436</v>
      </c>
      <c r="M949" t="s">
        <v>22</v>
      </c>
      <c r="N949" t="s">
        <v>22</v>
      </c>
      <c r="O949" t="s">
        <v>915</v>
      </c>
      <c r="P949" t="s">
        <v>23</v>
      </c>
      <c r="Q949" s="1">
        <f>SEGUIMIENTO_TPM_xlsx[[#This Row],[HORA FIN  INTERVENCIÓN]]-SEGUIMIENTO_TPM_xlsx[[#This Row],[HORA INICIO INTERVENCIÓN]]</f>
        <v>6.597222222222221E-2</v>
      </c>
      <c r="R949" s="20">
        <f>(SEGUIMIENTO_TPM_xlsx[[#This Row],[HORA REPORTE]]+SEGUIMIENTO_TPM_xlsx[[#This Row],[FECHA DE REPORTE]])</f>
        <v>46084.368055555555</v>
      </c>
      <c r="S949" s="20">
        <f>(SEGUIMIENTO_TPM_xlsx[[#This Row],[FECHA DE INTERVENCÓN]]+SEGUIMIENTO_TPM_xlsx[[#This Row],[HORA FIN  INTERVENCIÓN]])</f>
        <v>46084.434027777781</v>
      </c>
      <c r="T949" s="11">
        <f>(SEGUIMIENTO_TPM_xlsx[[#This Row],[FECHA Y HORA FINAL]]-SEGUIMIENTO_TPM_xlsx[[#This Row],[FECHA Y HORA INICIO]])</f>
        <v>6.5972222226264421E-2</v>
      </c>
    </row>
    <row r="950" spans="1:20" x14ac:dyDescent="0.25">
      <c r="A950">
        <v>958</v>
      </c>
      <c r="B950" t="s">
        <v>385</v>
      </c>
      <c r="C950" s="1">
        <v>0.375</v>
      </c>
      <c r="D950" s="2">
        <v>46084</v>
      </c>
      <c r="E950" t="s">
        <v>185</v>
      </c>
      <c r="F950" t="s">
        <v>18</v>
      </c>
      <c r="G950" t="s">
        <v>1437</v>
      </c>
      <c r="H950" s="1">
        <v>0.375</v>
      </c>
      <c r="I950" s="1">
        <v>0.5</v>
      </c>
      <c r="J950" s="2">
        <v>46084</v>
      </c>
      <c r="K950" t="s">
        <v>361</v>
      </c>
      <c r="L950" t="s">
        <v>1438</v>
      </c>
      <c r="M950" t="s">
        <v>22</v>
      </c>
      <c r="N950" t="s">
        <v>22</v>
      </c>
      <c r="O950" t="s">
        <v>661</v>
      </c>
      <c r="P950" t="s">
        <v>23</v>
      </c>
      <c r="Q950" s="1">
        <f>SEGUIMIENTO_TPM_xlsx[[#This Row],[HORA FIN  INTERVENCIÓN]]-SEGUIMIENTO_TPM_xlsx[[#This Row],[HORA INICIO INTERVENCIÓN]]</f>
        <v>0.125</v>
      </c>
      <c r="R950" s="20">
        <f>(SEGUIMIENTO_TPM_xlsx[[#This Row],[HORA REPORTE]]+SEGUIMIENTO_TPM_xlsx[[#This Row],[FECHA DE REPORTE]])</f>
        <v>46084.375</v>
      </c>
      <c r="S950" s="20">
        <f>(SEGUIMIENTO_TPM_xlsx[[#This Row],[FECHA DE INTERVENCÓN]]+SEGUIMIENTO_TPM_xlsx[[#This Row],[HORA FIN  INTERVENCIÓN]])</f>
        <v>46084.5</v>
      </c>
      <c r="T950" s="11">
        <f>(SEGUIMIENTO_TPM_xlsx[[#This Row],[FECHA Y HORA FINAL]]-SEGUIMIENTO_TPM_xlsx[[#This Row],[FECHA Y HORA INICIO]])</f>
        <v>0.125</v>
      </c>
    </row>
    <row r="951" spans="1:20" x14ac:dyDescent="0.25">
      <c r="A951">
        <v>959</v>
      </c>
      <c r="B951" t="s">
        <v>385</v>
      </c>
      <c r="C951" s="1">
        <v>0.56458333333333333</v>
      </c>
      <c r="D951" s="2">
        <v>46084</v>
      </c>
      <c r="E951" t="s">
        <v>94</v>
      </c>
      <c r="F951" t="s">
        <v>18</v>
      </c>
      <c r="G951" t="s">
        <v>1439</v>
      </c>
      <c r="H951" s="1">
        <v>0.56944444444444442</v>
      </c>
      <c r="I951" s="1">
        <v>0.58333333333333337</v>
      </c>
      <c r="J951" s="2">
        <v>46084</v>
      </c>
      <c r="K951" t="s">
        <v>25</v>
      </c>
      <c r="L951" t="s">
        <v>1440</v>
      </c>
      <c r="M951" t="s">
        <v>22</v>
      </c>
      <c r="N951" t="s">
        <v>22</v>
      </c>
      <c r="O951" t="s">
        <v>112</v>
      </c>
      <c r="P951" t="s">
        <v>23</v>
      </c>
      <c r="Q951" s="1">
        <f>SEGUIMIENTO_TPM_xlsx[[#This Row],[HORA FIN  INTERVENCIÓN]]-SEGUIMIENTO_TPM_xlsx[[#This Row],[HORA INICIO INTERVENCIÓN]]</f>
        <v>1.3888888888888951E-2</v>
      </c>
      <c r="R951" s="20">
        <f>(SEGUIMIENTO_TPM_xlsx[[#This Row],[HORA REPORTE]]+SEGUIMIENTO_TPM_xlsx[[#This Row],[FECHA DE REPORTE]])</f>
        <v>46084.564583333333</v>
      </c>
      <c r="S951" s="20">
        <f>(SEGUIMIENTO_TPM_xlsx[[#This Row],[FECHA DE INTERVENCÓN]]+SEGUIMIENTO_TPM_xlsx[[#This Row],[HORA FIN  INTERVENCIÓN]])</f>
        <v>46084.583333333336</v>
      </c>
      <c r="T951" s="11">
        <f>(SEGUIMIENTO_TPM_xlsx[[#This Row],[FECHA Y HORA FINAL]]-SEGUIMIENTO_TPM_xlsx[[#This Row],[FECHA Y HORA INICIO]])</f>
        <v>1.8750000002910383E-2</v>
      </c>
    </row>
    <row r="952" spans="1:20" x14ac:dyDescent="0.25">
      <c r="A952">
        <v>960</v>
      </c>
      <c r="B952" t="s">
        <v>317</v>
      </c>
      <c r="C952" s="1">
        <v>0.62638888888888888</v>
      </c>
      <c r="D952" s="2">
        <v>46084</v>
      </c>
      <c r="E952" t="s">
        <v>91</v>
      </c>
      <c r="F952" t="s">
        <v>18</v>
      </c>
      <c r="G952" t="s">
        <v>1441</v>
      </c>
      <c r="H952" s="1">
        <v>0.63888888888888884</v>
      </c>
      <c r="I952" s="1">
        <v>0.66666666666666663</v>
      </c>
      <c r="J952" s="2">
        <v>46084</v>
      </c>
      <c r="K952" t="s">
        <v>25</v>
      </c>
      <c r="L952" t="s">
        <v>1442</v>
      </c>
      <c r="M952" t="s">
        <v>22</v>
      </c>
      <c r="N952" t="s">
        <v>22</v>
      </c>
      <c r="O952" t="s">
        <v>1443</v>
      </c>
      <c r="P952" t="s">
        <v>23</v>
      </c>
      <c r="Q952" s="1">
        <f>SEGUIMIENTO_TPM_xlsx[[#This Row],[HORA FIN  INTERVENCIÓN]]-SEGUIMIENTO_TPM_xlsx[[#This Row],[HORA INICIO INTERVENCIÓN]]</f>
        <v>2.777777777777779E-2</v>
      </c>
      <c r="R952" s="20">
        <f>(SEGUIMIENTO_TPM_xlsx[[#This Row],[HORA REPORTE]]+SEGUIMIENTO_TPM_xlsx[[#This Row],[FECHA DE REPORTE]])</f>
        <v>46084.626388888886</v>
      </c>
      <c r="S952" s="20">
        <f>(SEGUIMIENTO_TPM_xlsx[[#This Row],[FECHA DE INTERVENCÓN]]+SEGUIMIENTO_TPM_xlsx[[#This Row],[HORA FIN  INTERVENCIÓN]])</f>
        <v>46084.666666666664</v>
      </c>
      <c r="T952" s="11">
        <f>(SEGUIMIENTO_TPM_xlsx[[#This Row],[FECHA Y HORA FINAL]]-SEGUIMIENTO_TPM_xlsx[[#This Row],[FECHA Y HORA INICIO]])</f>
        <v>4.0277777778101154E-2</v>
      </c>
    </row>
    <row r="953" spans="1:20" x14ac:dyDescent="0.25">
      <c r="A953">
        <v>961</v>
      </c>
      <c r="B953" t="s">
        <v>103</v>
      </c>
      <c r="C953" s="1">
        <v>0.875</v>
      </c>
      <c r="D953" s="2">
        <v>46084</v>
      </c>
      <c r="E953" t="s">
        <v>104</v>
      </c>
      <c r="F953" t="s">
        <v>18</v>
      </c>
      <c r="G953" t="s">
        <v>1444</v>
      </c>
      <c r="H953" s="1">
        <v>0.875</v>
      </c>
      <c r="I953" s="1">
        <v>0.90972222222222221</v>
      </c>
      <c r="J953" s="2">
        <v>46084</v>
      </c>
      <c r="K953" t="s">
        <v>25</v>
      </c>
      <c r="L953" t="s">
        <v>1445</v>
      </c>
      <c r="M953" t="s">
        <v>22</v>
      </c>
      <c r="N953" t="s">
        <v>22</v>
      </c>
      <c r="O953" t="s">
        <v>108</v>
      </c>
      <c r="P953" t="s">
        <v>23</v>
      </c>
      <c r="Q953" s="1">
        <f>SEGUIMIENTO_TPM_xlsx[[#This Row],[HORA FIN  INTERVENCIÓN]]-SEGUIMIENTO_TPM_xlsx[[#This Row],[HORA INICIO INTERVENCIÓN]]</f>
        <v>3.472222222222221E-2</v>
      </c>
      <c r="R953" s="20">
        <f>(SEGUIMIENTO_TPM_xlsx[[#This Row],[HORA REPORTE]]+SEGUIMIENTO_TPM_xlsx[[#This Row],[FECHA DE REPORTE]])</f>
        <v>46084.875</v>
      </c>
      <c r="S953" s="20">
        <f>(SEGUIMIENTO_TPM_xlsx[[#This Row],[FECHA DE INTERVENCÓN]]+SEGUIMIENTO_TPM_xlsx[[#This Row],[HORA FIN  INTERVENCIÓN]])</f>
        <v>46084.909722222219</v>
      </c>
      <c r="T953" s="11">
        <f>(SEGUIMIENTO_TPM_xlsx[[#This Row],[FECHA Y HORA FINAL]]-SEGUIMIENTO_TPM_xlsx[[#This Row],[FECHA Y HORA INICIO]])</f>
        <v>3.4722222218988463E-2</v>
      </c>
    </row>
    <row r="954" spans="1:20" x14ac:dyDescent="0.25">
      <c r="A954">
        <v>962</v>
      </c>
      <c r="B954" t="s">
        <v>139</v>
      </c>
      <c r="C954" s="1"/>
      <c r="D954" s="2">
        <v>46085</v>
      </c>
      <c r="E954" t="s">
        <v>91</v>
      </c>
      <c r="F954" t="s">
        <v>18</v>
      </c>
      <c r="G954" t="s">
        <v>1446</v>
      </c>
      <c r="H954" s="1"/>
      <c r="I954" s="1"/>
      <c r="J954" s="2"/>
      <c r="P954" t="s">
        <v>33</v>
      </c>
      <c r="Q954" s="1">
        <f>SEGUIMIENTO_TPM_xlsx[[#This Row],[HORA FIN  INTERVENCIÓN]]-SEGUIMIENTO_TPM_xlsx[[#This Row],[HORA INICIO INTERVENCIÓN]]</f>
        <v>0</v>
      </c>
      <c r="R954" s="20">
        <f>(SEGUIMIENTO_TPM_xlsx[[#This Row],[HORA REPORTE]]+SEGUIMIENTO_TPM_xlsx[[#This Row],[FECHA DE REPORTE]])</f>
        <v>46085</v>
      </c>
      <c r="S954" s="20">
        <f>(SEGUIMIENTO_TPM_xlsx[[#This Row],[FECHA DE INTERVENCÓN]]+SEGUIMIENTO_TPM_xlsx[[#This Row],[HORA FIN  INTERVENCIÓN]])</f>
        <v>0</v>
      </c>
      <c r="T954" s="11">
        <f>(SEGUIMIENTO_TPM_xlsx[[#This Row],[FECHA Y HORA FINAL]]-SEGUIMIENTO_TPM_xlsx[[#This Row],[FECHA Y HORA INICIO]])</f>
        <v>-46085</v>
      </c>
    </row>
    <row r="955" spans="1:20" x14ac:dyDescent="0.25">
      <c r="A955">
        <v>963</v>
      </c>
      <c r="B955" t="s">
        <v>199</v>
      </c>
      <c r="C955" s="1">
        <v>0.28125</v>
      </c>
      <c r="D955" s="2">
        <v>46085</v>
      </c>
      <c r="E955" t="s">
        <v>307</v>
      </c>
      <c r="F955" t="s">
        <v>18</v>
      </c>
      <c r="G955" t="s">
        <v>1447</v>
      </c>
      <c r="H955" s="1">
        <v>0.29166666666666669</v>
      </c>
      <c r="I955" s="1">
        <v>0.31944444444444442</v>
      </c>
      <c r="J955" s="2">
        <v>46085</v>
      </c>
      <c r="K955" t="s">
        <v>20</v>
      </c>
      <c r="L955" t="s">
        <v>1448</v>
      </c>
      <c r="M955" t="s">
        <v>1383</v>
      </c>
      <c r="N955" t="s">
        <v>22</v>
      </c>
      <c r="O955" t="s">
        <v>661</v>
      </c>
      <c r="P955" t="s">
        <v>23</v>
      </c>
      <c r="Q955" s="1">
        <f>SEGUIMIENTO_TPM_xlsx[[#This Row],[HORA FIN  INTERVENCIÓN]]-SEGUIMIENTO_TPM_xlsx[[#This Row],[HORA INICIO INTERVENCIÓN]]</f>
        <v>2.7777777777777735E-2</v>
      </c>
      <c r="R955" s="20">
        <f>(SEGUIMIENTO_TPM_xlsx[[#This Row],[HORA REPORTE]]+SEGUIMIENTO_TPM_xlsx[[#This Row],[FECHA DE REPORTE]])</f>
        <v>46085.28125</v>
      </c>
      <c r="S955" s="20">
        <f>(SEGUIMIENTO_TPM_xlsx[[#This Row],[FECHA DE INTERVENCÓN]]+SEGUIMIENTO_TPM_xlsx[[#This Row],[HORA FIN  INTERVENCIÓN]])</f>
        <v>46085.319444444445</v>
      </c>
      <c r="T955" s="11">
        <f>(SEGUIMIENTO_TPM_xlsx[[#This Row],[FECHA Y HORA FINAL]]-SEGUIMIENTO_TPM_xlsx[[#This Row],[FECHA Y HORA INICIO]])</f>
        <v>3.8194444445252884E-2</v>
      </c>
    </row>
    <row r="956" spans="1:20" x14ac:dyDescent="0.25">
      <c r="A956">
        <v>964</v>
      </c>
      <c r="B956" t="s">
        <v>385</v>
      </c>
      <c r="C956" s="1">
        <v>0.32291666666666669</v>
      </c>
      <c r="D956" s="2">
        <v>46085</v>
      </c>
      <c r="E956" t="s">
        <v>185</v>
      </c>
      <c r="F956" t="s">
        <v>18</v>
      </c>
      <c r="G956" t="s">
        <v>1449</v>
      </c>
      <c r="H956" s="1">
        <v>0.32361111111111113</v>
      </c>
      <c r="I956" s="1">
        <v>0.34722222222222221</v>
      </c>
      <c r="J956" s="2">
        <v>46085</v>
      </c>
      <c r="K956" t="s">
        <v>25</v>
      </c>
      <c r="L956" t="s">
        <v>1450</v>
      </c>
      <c r="M956" t="s">
        <v>22</v>
      </c>
      <c r="N956" t="s">
        <v>768</v>
      </c>
      <c r="O956" t="s">
        <v>661</v>
      </c>
      <c r="P956" t="s">
        <v>23</v>
      </c>
      <c r="Q956" s="1">
        <f>SEGUIMIENTO_TPM_xlsx[[#This Row],[HORA FIN  INTERVENCIÓN]]-SEGUIMIENTO_TPM_xlsx[[#This Row],[HORA INICIO INTERVENCIÓN]]</f>
        <v>2.3611111111111083E-2</v>
      </c>
      <c r="R956" s="20">
        <f>(SEGUIMIENTO_TPM_xlsx[[#This Row],[HORA REPORTE]]+SEGUIMIENTO_TPM_xlsx[[#This Row],[FECHA DE REPORTE]])</f>
        <v>46085.322916666664</v>
      </c>
      <c r="S956" s="20">
        <f>(SEGUIMIENTO_TPM_xlsx[[#This Row],[FECHA DE INTERVENCÓN]]+SEGUIMIENTO_TPM_xlsx[[#This Row],[HORA FIN  INTERVENCIÓN]])</f>
        <v>46085.347222222219</v>
      </c>
      <c r="T956" s="11">
        <f>(SEGUIMIENTO_TPM_xlsx[[#This Row],[FECHA Y HORA FINAL]]-SEGUIMIENTO_TPM_xlsx[[#This Row],[FECHA Y HORA INICIO]])</f>
        <v>2.4305555554747116E-2</v>
      </c>
    </row>
    <row r="957" spans="1:20" x14ac:dyDescent="0.25">
      <c r="A957">
        <v>965</v>
      </c>
      <c r="B957" t="s">
        <v>385</v>
      </c>
      <c r="C957" s="1">
        <v>0.53472222222222221</v>
      </c>
      <c r="D957" s="2">
        <v>46085</v>
      </c>
      <c r="E957" t="s">
        <v>1451</v>
      </c>
      <c r="F957" t="s">
        <v>18</v>
      </c>
      <c r="G957" t="s">
        <v>1452</v>
      </c>
      <c r="H957" s="1">
        <v>0.54166666666666663</v>
      </c>
      <c r="I957" s="1">
        <v>0.56597222222222221</v>
      </c>
      <c r="J957" s="2">
        <v>46085</v>
      </c>
      <c r="K957" t="s">
        <v>25</v>
      </c>
      <c r="L957" t="s">
        <v>1453</v>
      </c>
      <c r="M957" t="s">
        <v>22</v>
      </c>
      <c r="N957" t="s">
        <v>22</v>
      </c>
      <c r="O957" t="s">
        <v>661</v>
      </c>
      <c r="P957" t="s">
        <v>23</v>
      </c>
      <c r="Q957" s="1">
        <f>SEGUIMIENTO_TPM_xlsx[[#This Row],[HORA FIN  INTERVENCIÓN]]-SEGUIMIENTO_TPM_xlsx[[#This Row],[HORA INICIO INTERVENCIÓN]]</f>
        <v>2.430555555555558E-2</v>
      </c>
      <c r="R957" s="20">
        <f>(SEGUIMIENTO_TPM_xlsx[[#This Row],[HORA REPORTE]]+SEGUIMIENTO_TPM_xlsx[[#This Row],[FECHA DE REPORTE]])</f>
        <v>46085.534722222219</v>
      </c>
      <c r="S957" s="20">
        <f>(SEGUIMIENTO_TPM_xlsx[[#This Row],[FECHA DE INTERVENCÓN]]+SEGUIMIENTO_TPM_xlsx[[#This Row],[HORA FIN  INTERVENCIÓN]])</f>
        <v>46085.565972222219</v>
      </c>
      <c r="T957" s="11">
        <f>(SEGUIMIENTO_TPM_xlsx[[#This Row],[FECHA Y HORA FINAL]]-SEGUIMIENTO_TPM_xlsx[[#This Row],[FECHA Y HORA INICIO]])</f>
        <v>3.125E-2</v>
      </c>
    </row>
    <row r="958" spans="1:20" x14ac:dyDescent="0.25">
      <c r="A958">
        <v>966</v>
      </c>
      <c r="B958" t="s">
        <v>199</v>
      </c>
      <c r="C958" s="1">
        <v>0.60416666666666663</v>
      </c>
      <c r="D958" s="2">
        <v>46085</v>
      </c>
      <c r="E958" t="s">
        <v>147</v>
      </c>
      <c r="F958" t="s">
        <v>18</v>
      </c>
      <c r="G958" t="s">
        <v>1454</v>
      </c>
      <c r="H958" s="1">
        <v>0.65972222222222221</v>
      </c>
      <c r="I958" s="1">
        <v>0.68055555555555558</v>
      </c>
      <c r="J958" s="2">
        <v>46085</v>
      </c>
      <c r="K958" t="s">
        <v>25</v>
      </c>
      <c r="L958" t="s">
        <v>1455</v>
      </c>
      <c r="M958" t="s">
        <v>22</v>
      </c>
      <c r="N958" t="s">
        <v>22</v>
      </c>
      <c r="O958" t="s">
        <v>44</v>
      </c>
      <c r="P958" t="s">
        <v>23</v>
      </c>
      <c r="Q958" s="1">
        <f>SEGUIMIENTO_TPM_xlsx[[#This Row],[HORA FIN  INTERVENCIÓN]]-SEGUIMIENTO_TPM_xlsx[[#This Row],[HORA INICIO INTERVENCIÓN]]</f>
        <v>2.083333333333337E-2</v>
      </c>
      <c r="R958" s="20">
        <f>(SEGUIMIENTO_TPM_xlsx[[#This Row],[HORA REPORTE]]+SEGUIMIENTO_TPM_xlsx[[#This Row],[FECHA DE REPORTE]])</f>
        <v>46085.604166666664</v>
      </c>
      <c r="S958" s="20">
        <f>(SEGUIMIENTO_TPM_xlsx[[#This Row],[FECHA DE INTERVENCÓN]]+SEGUIMIENTO_TPM_xlsx[[#This Row],[HORA FIN  INTERVENCIÓN]])</f>
        <v>46085.680555555555</v>
      </c>
      <c r="T958" s="11">
        <f>(SEGUIMIENTO_TPM_xlsx[[#This Row],[FECHA Y HORA FINAL]]-SEGUIMIENTO_TPM_xlsx[[#This Row],[FECHA Y HORA INICIO]])</f>
        <v>7.6388888890505768E-2</v>
      </c>
    </row>
    <row r="959" spans="1:20" x14ac:dyDescent="0.25">
      <c r="A959">
        <v>967</v>
      </c>
      <c r="B959" t="s">
        <v>16</v>
      </c>
      <c r="C959" s="1">
        <v>0.25694444444444442</v>
      </c>
      <c r="D959" s="2">
        <v>46086</v>
      </c>
      <c r="E959" t="s">
        <v>116</v>
      </c>
      <c r="F959" t="s">
        <v>18</v>
      </c>
      <c r="G959" t="s">
        <v>1456</v>
      </c>
      <c r="H959" s="1">
        <v>0.25694444444444442</v>
      </c>
      <c r="I959" s="1">
        <v>0.2986111111111111</v>
      </c>
      <c r="J959" s="2">
        <v>46086</v>
      </c>
      <c r="K959" t="s">
        <v>20</v>
      </c>
      <c r="L959" t="s">
        <v>1457</v>
      </c>
      <c r="M959" t="s">
        <v>22</v>
      </c>
      <c r="N959" t="s">
        <v>22</v>
      </c>
      <c r="O959" t="s">
        <v>108</v>
      </c>
      <c r="P959" t="s">
        <v>23</v>
      </c>
      <c r="Q959" s="1">
        <f>SEGUIMIENTO_TPM_xlsx[[#This Row],[HORA FIN  INTERVENCIÓN]]-SEGUIMIENTO_TPM_xlsx[[#This Row],[HORA INICIO INTERVENCIÓN]]</f>
        <v>4.1666666666666685E-2</v>
      </c>
      <c r="R959" s="20">
        <f>(SEGUIMIENTO_TPM_xlsx[[#This Row],[HORA REPORTE]]+SEGUIMIENTO_TPM_xlsx[[#This Row],[FECHA DE REPORTE]])</f>
        <v>46086.256944444445</v>
      </c>
      <c r="S959" s="20">
        <f>(SEGUIMIENTO_TPM_xlsx[[#This Row],[FECHA DE INTERVENCÓN]]+SEGUIMIENTO_TPM_xlsx[[#This Row],[HORA FIN  INTERVENCIÓN]])</f>
        <v>46086.298611111109</v>
      </c>
      <c r="T959" s="11">
        <f>(SEGUIMIENTO_TPM_xlsx[[#This Row],[FECHA Y HORA FINAL]]-SEGUIMIENTO_TPM_xlsx[[#This Row],[FECHA Y HORA INICIO]])</f>
        <v>4.1666666664241347E-2</v>
      </c>
    </row>
    <row r="960" spans="1:20" x14ac:dyDescent="0.25">
      <c r="A960">
        <v>968</v>
      </c>
      <c r="B960" t="s">
        <v>16</v>
      </c>
      <c r="C960" s="1">
        <v>0.3263888888888889</v>
      </c>
      <c r="D960" s="2">
        <v>46086</v>
      </c>
      <c r="E960" t="s">
        <v>116</v>
      </c>
      <c r="F960" t="s">
        <v>18</v>
      </c>
      <c r="G960" t="s">
        <v>1458</v>
      </c>
      <c r="H960" s="1">
        <v>0.3263888888888889</v>
      </c>
      <c r="I960" s="1">
        <v>0.36805555555555558</v>
      </c>
      <c r="J960" s="2">
        <v>46086</v>
      </c>
      <c r="K960" t="s">
        <v>20</v>
      </c>
      <c r="L960" t="s">
        <v>1459</v>
      </c>
      <c r="M960" t="s">
        <v>22</v>
      </c>
      <c r="N960" t="s">
        <v>22</v>
      </c>
      <c r="O960" t="s">
        <v>108</v>
      </c>
      <c r="P960" t="s">
        <v>23</v>
      </c>
      <c r="Q960" s="1">
        <f>SEGUIMIENTO_TPM_xlsx[[#This Row],[HORA FIN  INTERVENCIÓN]]-SEGUIMIENTO_TPM_xlsx[[#This Row],[HORA INICIO INTERVENCIÓN]]</f>
        <v>4.1666666666666685E-2</v>
      </c>
      <c r="R960" s="20">
        <f>(SEGUIMIENTO_TPM_xlsx[[#This Row],[HORA REPORTE]]+SEGUIMIENTO_TPM_xlsx[[#This Row],[FECHA DE REPORTE]])</f>
        <v>46086.326388888891</v>
      </c>
      <c r="S960" s="20">
        <f>(SEGUIMIENTO_TPM_xlsx[[#This Row],[FECHA DE INTERVENCÓN]]+SEGUIMIENTO_TPM_xlsx[[#This Row],[HORA FIN  INTERVENCIÓN]])</f>
        <v>46086.368055555555</v>
      </c>
      <c r="T960" s="11">
        <f>(SEGUIMIENTO_TPM_xlsx[[#This Row],[FECHA Y HORA FINAL]]-SEGUIMIENTO_TPM_xlsx[[#This Row],[FECHA Y HORA INICIO]])</f>
        <v>4.1666666664241347E-2</v>
      </c>
    </row>
    <row r="961" spans="1:20" x14ac:dyDescent="0.25">
      <c r="A961">
        <v>969</v>
      </c>
      <c r="B961" t="s">
        <v>16</v>
      </c>
      <c r="C961" s="1">
        <v>0.5</v>
      </c>
      <c r="D961" s="2">
        <v>46086</v>
      </c>
      <c r="E961" t="s">
        <v>94</v>
      </c>
      <c r="F961" t="s">
        <v>18</v>
      </c>
      <c r="G961" t="s">
        <v>1460</v>
      </c>
      <c r="H961" s="1">
        <v>0.5</v>
      </c>
      <c r="I961" s="1">
        <v>0.52083333333333337</v>
      </c>
      <c r="J961" s="2">
        <v>46086</v>
      </c>
      <c r="K961" t="s">
        <v>20</v>
      </c>
      <c r="L961" t="s">
        <v>1461</v>
      </c>
      <c r="M961" t="s">
        <v>22</v>
      </c>
      <c r="N961" t="s">
        <v>22</v>
      </c>
      <c r="O961" t="s">
        <v>108</v>
      </c>
      <c r="P961" t="s">
        <v>23</v>
      </c>
      <c r="Q961" s="1">
        <f>SEGUIMIENTO_TPM_xlsx[[#This Row],[HORA FIN  INTERVENCIÓN]]-SEGUIMIENTO_TPM_xlsx[[#This Row],[HORA INICIO INTERVENCIÓN]]</f>
        <v>2.083333333333337E-2</v>
      </c>
      <c r="R961" s="20">
        <f>(SEGUIMIENTO_TPM_xlsx[[#This Row],[HORA REPORTE]]+SEGUIMIENTO_TPM_xlsx[[#This Row],[FECHA DE REPORTE]])</f>
        <v>46086.5</v>
      </c>
      <c r="S961" s="20">
        <f>(SEGUIMIENTO_TPM_xlsx[[#This Row],[FECHA DE INTERVENCÓN]]+SEGUIMIENTO_TPM_xlsx[[#This Row],[HORA FIN  INTERVENCIÓN]])</f>
        <v>46086.520833333336</v>
      </c>
      <c r="T961" s="11">
        <f>(SEGUIMIENTO_TPM_xlsx[[#This Row],[FECHA Y HORA FINAL]]-SEGUIMIENTO_TPM_xlsx[[#This Row],[FECHA Y HORA INICIO]])</f>
        <v>2.0833333335758653E-2</v>
      </c>
    </row>
    <row r="962" spans="1:20" x14ac:dyDescent="0.25">
      <c r="A962">
        <v>970</v>
      </c>
      <c r="B962" t="s">
        <v>103</v>
      </c>
      <c r="C962" s="1">
        <v>0.375</v>
      </c>
      <c r="D962" s="2">
        <v>46086</v>
      </c>
      <c r="E962" t="s">
        <v>188</v>
      </c>
      <c r="F962" t="s">
        <v>18</v>
      </c>
      <c r="G962" t="s">
        <v>1462</v>
      </c>
      <c r="H962" s="1">
        <v>0.375</v>
      </c>
      <c r="I962" s="1">
        <v>0.4375</v>
      </c>
      <c r="J962" s="2">
        <v>46086</v>
      </c>
      <c r="K962" t="s">
        <v>25</v>
      </c>
      <c r="L962" t="s">
        <v>1463</v>
      </c>
      <c r="M962" t="s">
        <v>22</v>
      </c>
      <c r="N962" t="s">
        <v>22</v>
      </c>
      <c r="O962" t="s">
        <v>108</v>
      </c>
      <c r="P962" t="s">
        <v>23</v>
      </c>
      <c r="Q962" s="1">
        <f>SEGUIMIENTO_TPM_xlsx[[#This Row],[HORA FIN  INTERVENCIÓN]]-SEGUIMIENTO_TPM_xlsx[[#This Row],[HORA INICIO INTERVENCIÓN]]</f>
        <v>6.25E-2</v>
      </c>
      <c r="R962" s="20">
        <f>(SEGUIMIENTO_TPM_xlsx[[#This Row],[HORA REPORTE]]+SEGUIMIENTO_TPM_xlsx[[#This Row],[FECHA DE REPORTE]])</f>
        <v>46086.375</v>
      </c>
      <c r="S962" s="20">
        <f>(SEGUIMIENTO_TPM_xlsx[[#This Row],[FECHA DE INTERVENCÓN]]+SEGUIMIENTO_TPM_xlsx[[#This Row],[HORA FIN  INTERVENCIÓN]])</f>
        <v>46086.4375</v>
      </c>
      <c r="T962" s="11">
        <f>(SEGUIMIENTO_TPM_xlsx[[#This Row],[FECHA Y HORA FINAL]]-SEGUIMIENTO_TPM_xlsx[[#This Row],[FECHA Y HORA INICIO]])</f>
        <v>6.25E-2</v>
      </c>
    </row>
    <row r="963" spans="1:20" x14ac:dyDescent="0.25">
      <c r="A963">
        <v>971</v>
      </c>
      <c r="B963" t="s">
        <v>1464</v>
      </c>
      <c r="C963" s="1">
        <v>0.95833333333333337</v>
      </c>
      <c r="D963" s="2">
        <v>46086</v>
      </c>
      <c r="E963" t="s">
        <v>116</v>
      </c>
      <c r="F963" t="s">
        <v>18</v>
      </c>
      <c r="G963" t="s">
        <v>1210</v>
      </c>
      <c r="H963" s="1">
        <v>0.95833333333333337</v>
      </c>
      <c r="I963" s="1">
        <v>0.97222222222222221</v>
      </c>
      <c r="J963" s="2">
        <v>46086</v>
      </c>
      <c r="K963" t="s">
        <v>20</v>
      </c>
      <c r="L963" t="s">
        <v>1465</v>
      </c>
      <c r="M963" t="s">
        <v>22</v>
      </c>
      <c r="N963" t="s">
        <v>22</v>
      </c>
      <c r="O963" t="s">
        <v>112</v>
      </c>
      <c r="P963" t="s">
        <v>23</v>
      </c>
      <c r="Q963" s="1">
        <f>SEGUIMIENTO_TPM_xlsx[[#This Row],[HORA FIN  INTERVENCIÓN]]-SEGUIMIENTO_TPM_xlsx[[#This Row],[HORA INICIO INTERVENCIÓN]]</f>
        <v>1.388888888888884E-2</v>
      </c>
      <c r="R963" s="20">
        <f>(SEGUIMIENTO_TPM_xlsx[[#This Row],[HORA REPORTE]]+SEGUIMIENTO_TPM_xlsx[[#This Row],[FECHA DE REPORTE]])</f>
        <v>46086.958333333336</v>
      </c>
      <c r="S963" s="20">
        <f>(SEGUIMIENTO_TPM_xlsx[[#This Row],[FECHA DE INTERVENCÓN]]+SEGUIMIENTO_TPM_xlsx[[#This Row],[HORA FIN  INTERVENCIÓN]])</f>
        <v>46086.972222222219</v>
      </c>
      <c r="T963" s="11">
        <f>(SEGUIMIENTO_TPM_xlsx[[#This Row],[FECHA Y HORA FINAL]]-SEGUIMIENTO_TPM_xlsx[[#This Row],[FECHA Y HORA INICIO]])</f>
        <v>1.3888888883229811E-2</v>
      </c>
    </row>
    <row r="964" spans="1:20" x14ac:dyDescent="0.25">
      <c r="A964">
        <v>972</v>
      </c>
      <c r="B964" t="s">
        <v>103</v>
      </c>
      <c r="C964" s="1">
        <v>0.70138888888888884</v>
      </c>
      <c r="D964" s="2">
        <v>46086</v>
      </c>
      <c r="E964" t="s">
        <v>147</v>
      </c>
      <c r="F964" t="s">
        <v>18</v>
      </c>
      <c r="G964" t="s">
        <v>1466</v>
      </c>
      <c r="H964" s="1">
        <v>0.70833333333333337</v>
      </c>
      <c r="I964" s="1">
        <v>0.76041666666666663</v>
      </c>
      <c r="J964" s="2">
        <v>46086</v>
      </c>
      <c r="K964" t="s">
        <v>775</v>
      </c>
      <c r="L964" t="s">
        <v>1467</v>
      </c>
      <c r="M964" t="s">
        <v>22</v>
      </c>
      <c r="N964" t="s">
        <v>22</v>
      </c>
      <c r="O964" t="s">
        <v>44</v>
      </c>
      <c r="P964" t="s">
        <v>23</v>
      </c>
      <c r="Q964" s="1">
        <f>SEGUIMIENTO_TPM_xlsx[[#This Row],[HORA FIN  INTERVENCIÓN]]-SEGUIMIENTO_TPM_xlsx[[#This Row],[HORA INICIO INTERVENCIÓN]]</f>
        <v>5.2083333333333259E-2</v>
      </c>
      <c r="R964" s="20">
        <f>(SEGUIMIENTO_TPM_xlsx[[#This Row],[HORA REPORTE]]+SEGUIMIENTO_TPM_xlsx[[#This Row],[FECHA DE REPORTE]])</f>
        <v>46086.701388888891</v>
      </c>
      <c r="S964" s="20">
        <f>(SEGUIMIENTO_TPM_xlsx[[#This Row],[FECHA DE INTERVENCÓN]]+SEGUIMIENTO_TPM_xlsx[[#This Row],[HORA FIN  INTERVENCIÓN]])</f>
        <v>46086.760416666664</v>
      </c>
      <c r="T964" s="11">
        <f>(SEGUIMIENTO_TPM_xlsx[[#This Row],[FECHA Y HORA FINAL]]-SEGUIMIENTO_TPM_xlsx[[#This Row],[FECHA Y HORA INICIO]])</f>
        <v>5.9027777773735579E-2</v>
      </c>
    </row>
    <row r="965" spans="1:20" x14ac:dyDescent="0.25">
      <c r="A965">
        <v>973</v>
      </c>
      <c r="B965" t="s">
        <v>206</v>
      </c>
      <c r="C965" s="1">
        <v>0.8125</v>
      </c>
      <c r="D965" s="2">
        <v>46086</v>
      </c>
      <c r="E965" t="s">
        <v>116</v>
      </c>
      <c r="F965" t="s">
        <v>18</v>
      </c>
      <c r="G965" t="s">
        <v>1468</v>
      </c>
      <c r="H965" s="1">
        <v>0.82638888888888884</v>
      </c>
      <c r="I965" s="1">
        <v>0.84722222222222221</v>
      </c>
      <c r="J965" s="2">
        <v>46086</v>
      </c>
      <c r="K965" t="s">
        <v>20</v>
      </c>
      <c r="L965" t="s">
        <v>1469</v>
      </c>
      <c r="M965" t="s">
        <v>22</v>
      </c>
      <c r="N965" t="s">
        <v>22</v>
      </c>
      <c r="O965" t="s">
        <v>44</v>
      </c>
      <c r="P965" t="s">
        <v>23</v>
      </c>
      <c r="Q965" s="1">
        <f>SEGUIMIENTO_TPM_xlsx[[#This Row],[HORA FIN  INTERVENCIÓN]]-SEGUIMIENTO_TPM_xlsx[[#This Row],[HORA INICIO INTERVENCIÓN]]</f>
        <v>2.083333333333337E-2</v>
      </c>
      <c r="R965" s="20">
        <f>(SEGUIMIENTO_TPM_xlsx[[#This Row],[HORA REPORTE]]+SEGUIMIENTO_TPM_xlsx[[#This Row],[FECHA DE REPORTE]])</f>
        <v>46086.8125</v>
      </c>
      <c r="S965" s="20">
        <f>(SEGUIMIENTO_TPM_xlsx[[#This Row],[FECHA DE INTERVENCÓN]]+SEGUIMIENTO_TPM_xlsx[[#This Row],[HORA FIN  INTERVENCIÓN]])</f>
        <v>46086.847222222219</v>
      </c>
      <c r="T965" s="11">
        <f>(SEGUIMIENTO_TPM_xlsx[[#This Row],[FECHA Y HORA FINAL]]-SEGUIMIENTO_TPM_xlsx[[#This Row],[FECHA Y HORA INICIO]])</f>
        <v>3.4722222218988463E-2</v>
      </c>
    </row>
    <row r="966" spans="1:20" x14ac:dyDescent="0.25">
      <c r="A966">
        <v>974</v>
      </c>
      <c r="B966" t="s">
        <v>206</v>
      </c>
      <c r="C966" s="1">
        <v>0.70138888888888884</v>
      </c>
      <c r="D966" s="2">
        <v>46086</v>
      </c>
      <c r="E966" t="s">
        <v>94</v>
      </c>
      <c r="F966" t="s">
        <v>18</v>
      </c>
      <c r="G966" t="s">
        <v>1470</v>
      </c>
      <c r="H966" s="1">
        <v>0.70138888888888884</v>
      </c>
      <c r="I966" s="1">
        <v>0.71875</v>
      </c>
      <c r="J966" s="2">
        <v>46086</v>
      </c>
      <c r="K966" t="s">
        <v>25</v>
      </c>
      <c r="L966" t="s">
        <v>1471</v>
      </c>
      <c r="M966" t="s">
        <v>22</v>
      </c>
      <c r="N966" t="s">
        <v>22</v>
      </c>
      <c r="O966" t="s">
        <v>44</v>
      </c>
      <c r="P966" t="s">
        <v>23</v>
      </c>
      <c r="Q966" s="1">
        <f>SEGUIMIENTO_TPM_xlsx[[#This Row],[HORA FIN  INTERVENCIÓN]]-SEGUIMIENTO_TPM_xlsx[[#This Row],[HORA INICIO INTERVENCIÓN]]</f>
        <v>1.736111111111116E-2</v>
      </c>
      <c r="R966" s="20">
        <f>(SEGUIMIENTO_TPM_xlsx[[#This Row],[HORA REPORTE]]+SEGUIMIENTO_TPM_xlsx[[#This Row],[FECHA DE REPORTE]])</f>
        <v>46086.701388888891</v>
      </c>
      <c r="S966" s="20">
        <f>(SEGUIMIENTO_TPM_xlsx[[#This Row],[FECHA DE INTERVENCÓN]]+SEGUIMIENTO_TPM_xlsx[[#This Row],[HORA FIN  INTERVENCIÓN]])</f>
        <v>46086.71875</v>
      </c>
      <c r="T966" s="11">
        <f>(SEGUIMIENTO_TPM_xlsx[[#This Row],[FECHA Y HORA FINAL]]-SEGUIMIENTO_TPM_xlsx[[#This Row],[FECHA Y HORA INICIO]])</f>
        <v>1.7361111109494232E-2</v>
      </c>
    </row>
    <row r="967" spans="1:20" x14ac:dyDescent="0.25">
      <c r="A967">
        <v>975</v>
      </c>
      <c r="B967" t="s">
        <v>206</v>
      </c>
      <c r="C967" s="1">
        <v>0.64930555555555558</v>
      </c>
      <c r="D967" s="2">
        <v>46086</v>
      </c>
      <c r="E967" t="s">
        <v>116</v>
      </c>
      <c r="F967" t="s">
        <v>18</v>
      </c>
      <c r="G967" t="s">
        <v>1472</v>
      </c>
      <c r="H967" s="1">
        <v>0.64930555555555558</v>
      </c>
      <c r="I967" s="1">
        <v>0.66666666666666663</v>
      </c>
      <c r="J967" s="2">
        <v>46086</v>
      </c>
      <c r="K967" t="s">
        <v>25</v>
      </c>
      <c r="L967" t="s">
        <v>1473</v>
      </c>
      <c r="M967" t="s">
        <v>22</v>
      </c>
      <c r="N967" t="s">
        <v>22</v>
      </c>
      <c r="O967" t="s">
        <v>44</v>
      </c>
      <c r="P967" t="s">
        <v>23</v>
      </c>
      <c r="Q967" s="1">
        <f>SEGUIMIENTO_TPM_xlsx[[#This Row],[HORA FIN  INTERVENCIÓN]]-SEGUIMIENTO_TPM_xlsx[[#This Row],[HORA INICIO INTERVENCIÓN]]</f>
        <v>1.7361111111111049E-2</v>
      </c>
      <c r="R967" s="20">
        <f>(SEGUIMIENTO_TPM_xlsx[[#This Row],[HORA REPORTE]]+SEGUIMIENTO_TPM_xlsx[[#This Row],[FECHA DE REPORTE]])</f>
        <v>46086.649305555555</v>
      </c>
      <c r="S967" s="20">
        <f>(SEGUIMIENTO_TPM_xlsx[[#This Row],[FECHA DE INTERVENCÓN]]+SEGUIMIENTO_TPM_xlsx[[#This Row],[HORA FIN  INTERVENCIÓN]])</f>
        <v>46086.666666666664</v>
      </c>
      <c r="T967" s="11">
        <f>(SEGUIMIENTO_TPM_xlsx[[#This Row],[FECHA Y HORA FINAL]]-SEGUIMIENTO_TPM_xlsx[[#This Row],[FECHA Y HORA INICIO]])</f>
        <v>1.7361111109494232E-2</v>
      </c>
    </row>
    <row r="968" spans="1:20" x14ac:dyDescent="0.25">
      <c r="A968">
        <v>976</v>
      </c>
      <c r="B968" t="s">
        <v>261</v>
      </c>
      <c r="C968" s="1">
        <v>0.96527777777777779</v>
      </c>
      <c r="D968" s="2">
        <v>46086</v>
      </c>
      <c r="E968" t="s">
        <v>91</v>
      </c>
      <c r="F968" t="s">
        <v>18</v>
      </c>
      <c r="G968" t="s">
        <v>1474</v>
      </c>
      <c r="H968" s="1">
        <v>0.98611111111111116</v>
      </c>
      <c r="I968" s="1">
        <v>0</v>
      </c>
      <c r="J968" s="2">
        <v>46087</v>
      </c>
      <c r="K968" t="s">
        <v>25</v>
      </c>
      <c r="L968" t="s">
        <v>1475</v>
      </c>
      <c r="M968" t="s">
        <v>22</v>
      </c>
      <c r="N968" t="s">
        <v>22</v>
      </c>
      <c r="O968" t="s">
        <v>112</v>
      </c>
      <c r="P968" t="s">
        <v>23</v>
      </c>
      <c r="Q968" s="1">
        <f>SEGUIMIENTO_TPM_xlsx[[#This Row],[HORA FIN  INTERVENCIÓN]]-SEGUIMIENTO_TPM_xlsx[[#This Row],[HORA INICIO INTERVENCIÓN]]</f>
        <v>-0.98611111111111116</v>
      </c>
      <c r="R968" s="20">
        <f>(SEGUIMIENTO_TPM_xlsx[[#This Row],[HORA REPORTE]]+SEGUIMIENTO_TPM_xlsx[[#This Row],[FECHA DE REPORTE]])</f>
        <v>46086.965277777781</v>
      </c>
      <c r="S968" s="20">
        <f>(SEGUIMIENTO_TPM_xlsx[[#This Row],[FECHA DE INTERVENCÓN]]+SEGUIMIENTO_TPM_xlsx[[#This Row],[HORA FIN  INTERVENCIÓN]])</f>
        <v>46087</v>
      </c>
      <c r="T968" s="11">
        <f>(SEGUIMIENTO_TPM_xlsx[[#This Row],[FECHA Y HORA FINAL]]-SEGUIMIENTO_TPM_xlsx[[#This Row],[FECHA Y HORA INICIO]])</f>
        <v>3.4722222218988463E-2</v>
      </c>
    </row>
    <row r="969" spans="1:20" x14ac:dyDescent="0.25">
      <c r="A969">
        <v>977</v>
      </c>
      <c r="B969" t="s">
        <v>341</v>
      </c>
      <c r="C969" s="1">
        <v>0.94097222222222221</v>
      </c>
      <c r="D969" s="2">
        <v>46086</v>
      </c>
      <c r="E969" t="s">
        <v>143</v>
      </c>
      <c r="F969" t="s">
        <v>18</v>
      </c>
      <c r="G969" t="s">
        <v>1476</v>
      </c>
      <c r="H969" s="1">
        <v>0.94097222222222221</v>
      </c>
      <c r="I969" s="1">
        <v>0.95138888888888884</v>
      </c>
      <c r="J969" s="2">
        <v>46086</v>
      </c>
      <c r="K969" t="s">
        <v>48</v>
      </c>
      <c r="L969" t="s">
        <v>1477</v>
      </c>
      <c r="M969" t="s">
        <v>22</v>
      </c>
      <c r="N969" t="s">
        <v>22</v>
      </c>
      <c r="O969" t="s">
        <v>112</v>
      </c>
      <c r="P969" t="s">
        <v>23</v>
      </c>
      <c r="Q969" s="1">
        <f>SEGUIMIENTO_TPM_xlsx[[#This Row],[HORA FIN  INTERVENCIÓN]]-SEGUIMIENTO_TPM_xlsx[[#This Row],[HORA INICIO INTERVENCIÓN]]</f>
        <v>1.041666666666663E-2</v>
      </c>
      <c r="R969" s="20">
        <f>(SEGUIMIENTO_TPM_xlsx[[#This Row],[HORA REPORTE]]+SEGUIMIENTO_TPM_xlsx[[#This Row],[FECHA DE REPORTE]])</f>
        <v>46086.940972222219</v>
      </c>
      <c r="S969" s="20">
        <f>(SEGUIMIENTO_TPM_xlsx[[#This Row],[FECHA DE INTERVENCÓN]]+SEGUIMIENTO_TPM_xlsx[[#This Row],[HORA FIN  INTERVENCIÓN]])</f>
        <v>46086.951388888891</v>
      </c>
      <c r="T969" s="11">
        <f>(SEGUIMIENTO_TPM_xlsx[[#This Row],[FECHA Y HORA FINAL]]-SEGUIMIENTO_TPM_xlsx[[#This Row],[FECHA Y HORA INICIO]])</f>
        <v>1.0416666671517305E-2</v>
      </c>
    </row>
    <row r="970" spans="1:20" x14ac:dyDescent="0.25">
      <c r="A970">
        <v>978</v>
      </c>
      <c r="B970" t="s">
        <v>341</v>
      </c>
      <c r="C970" s="1">
        <v>0.91666666666666663</v>
      </c>
      <c r="D970" s="2">
        <v>46086</v>
      </c>
      <c r="E970" t="s">
        <v>143</v>
      </c>
      <c r="F970" t="s">
        <v>18</v>
      </c>
      <c r="G970" t="s">
        <v>1478</v>
      </c>
      <c r="H970" s="1">
        <v>0.91666666666666663</v>
      </c>
      <c r="I970" s="1">
        <v>0.93055555555555558</v>
      </c>
      <c r="J970" s="2">
        <v>46086</v>
      </c>
      <c r="K970" t="s">
        <v>25</v>
      </c>
      <c r="L970" t="s">
        <v>1479</v>
      </c>
      <c r="M970" t="s">
        <v>1480</v>
      </c>
      <c r="N970" t="s">
        <v>22</v>
      </c>
      <c r="O970" t="s">
        <v>112</v>
      </c>
      <c r="P970" t="s">
        <v>23</v>
      </c>
      <c r="Q970" s="1">
        <f>SEGUIMIENTO_TPM_xlsx[[#This Row],[HORA FIN  INTERVENCIÓN]]-SEGUIMIENTO_TPM_xlsx[[#This Row],[HORA INICIO INTERVENCIÓN]]</f>
        <v>1.3888888888888951E-2</v>
      </c>
      <c r="R970" s="20">
        <f>(SEGUIMIENTO_TPM_xlsx[[#This Row],[HORA REPORTE]]+SEGUIMIENTO_TPM_xlsx[[#This Row],[FECHA DE REPORTE]])</f>
        <v>46086.916666666664</v>
      </c>
      <c r="S970" s="20">
        <f>(SEGUIMIENTO_TPM_xlsx[[#This Row],[FECHA DE INTERVENCÓN]]+SEGUIMIENTO_TPM_xlsx[[#This Row],[HORA FIN  INTERVENCIÓN]])</f>
        <v>46086.930555555555</v>
      </c>
      <c r="T970" s="11">
        <f>(SEGUIMIENTO_TPM_xlsx[[#This Row],[FECHA Y HORA FINAL]]-SEGUIMIENTO_TPM_xlsx[[#This Row],[FECHA Y HORA INICIO]])</f>
        <v>1.3888888890505768E-2</v>
      </c>
    </row>
    <row r="971" spans="1:20" x14ac:dyDescent="0.25">
      <c r="A971">
        <v>979</v>
      </c>
      <c r="B971" t="s">
        <v>261</v>
      </c>
      <c r="C971" s="1">
        <v>2.0833333333333332E-2</v>
      </c>
      <c r="D971" s="2">
        <v>46087</v>
      </c>
      <c r="E971" t="s">
        <v>91</v>
      </c>
      <c r="F971" t="s">
        <v>18</v>
      </c>
      <c r="G971" t="s">
        <v>1481</v>
      </c>
      <c r="H971" s="1">
        <v>2.0833333333333332E-2</v>
      </c>
      <c r="I971" s="1">
        <v>2.0833333333333332E-2</v>
      </c>
      <c r="J971" s="2">
        <v>46092</v>
      </c>
      <c r="K971" t="s">
        <v>25</v>
      </c>
      <c r="L971" t="s">
        <v>1482</v>
      </c>
      <c r="M971" t="s">
        <v>22</v>
      </c>
      <c r="N971" t="s">
        <v>22</v>
      </c>
      <c r="O971" t="s">
        <v>112</v>
      </c>
      <c r="P971" t="s">
        <v>23</v>
      </c>
      <c r="Q971" s="1">
        <f>SEGUIMIENTO_TPM_xlsx[[#This Row],[HORA FIN  INTERVENCIÓN]]-SEGUIMIENTO_TPM_xlsx[[#This Row],[HORA INICIO INTERVENCIÓN]]</f>
        <v>0</v>
      </c>
      <c r="R971" s="20">
        <f>(SEGUIMIENTO_TPM_xlsx[[#This Row],[HORA REPORTE]]+SEGUIMIENTO_TPM_xlsx[[#This Row],[FECHA DE REPORTE]])</f>
        <v>46087.020833333336</v>
      </c>
      <c r="S971" s="20">
        <f>(SEGUIMIENTO_TPM_xlsx[[#This Row],[FECHA DE INTERVENCÓN]]+SEGUIMIENTO_TPM_xlsx[[#This Row],[HORA FIN  INTERVENCIÓN]])</f>
        <v>46092.020833333336</v>
      </c>
      <c r="T971" s="11">
        <f>(SEGUIMIENTO_TPM_xlsx[[#This Row],[FECHA Y HORA FINAL]]-SEGUIMIENTO_TPM_xlsx[[#This Row],[FECHA Y HORA INICIO]])</f>
        <v>5</v>
      </c>
    </row>
    <row r="972" spans="1:20" x14ac:dyDescent="0.25">
      <c r="A972">
        <v>980</v>
      </c>
      <c r="B972" t="s">
        <v>385</v>
      </c>
      <c r="C972" s="1">
        <v>0.36805555555555558</v>
      </c>
      <c r="D972" s="2">
        <v>46087</v>
      </c>
      <c r="E972" t="s">
        <v>94</v>
      </c>
      <c r="F972" t="s">
        <v>18</v>
      </c>
      <c r="G972" t="s">
        <v>1483</v>
      </c>
      <c r="H972" s="1">
        <v>0.47916666666666669</v>
      </c>
      <c r="I972" s="1">
        <v>0.49305555555555558</v>
      </c>
      <c r="J972" s="2">
        <v>46087</v>
      </c>
      <c r="K972" t="s">
        <v>25</v>
      </c>
      <c r="L972" t="s">
        <v>1484</v>
      </c>
      <c r="M972" t="s">
        <v>1485</v>
      </c>
      <c r="N972" t="s">
        <v>22</v>
      </c>
      <c r="O972" t="s">
        <v>44</v>
      </c>
      <c r="P972" t="s">
        <v>23</v>
      </c>
      <c r="Q972" s="1">
        <f>SEGUIMIENTO_TPM_xlsx[[#This Row],[HORA FIN  INTERVENCIÓN]]-SEGUIMIENTO_TPM_xlsx[[#This Row],[HORA INICIO INTERVENCIÓN]]</f>
        <v>1.3888888888888895E-2</v>
      </c>
      <c r="R972" s="20">
        <f>(SEGUIMIENTO_TPM_xlsx[[#This Row],[HORA REPORTE]]+SEGUIMIENTO_TPM_xlsx[[#This Row],[FECHA DE REPORTE]])</f>
        <v>46087.368055555555</v>
      </c>
      <c r="S972" s="20">
        <f>(SEGUIMIENTO_TPM_xlsx[[#This Row],[FECHA DE INTERVENCÓN]]+SEGUIMIENTO_TPM_xlsx[[#This Row],[HORA FIN  INTERVENCIÓN]])</f>
        <v>46087.493055555555</v>
      </c>
      <c r="T972" s="11">
        <f>(SEGUIMIENTO_TPM_xlsx[[#This Row],[FECHA Y HORA FINAL]]-SEGUIMIENTO_TPM_xlsx[[#This Row],[FECHA Y HORA INICIO]])</f>
        <v>0.125</v>
      </c>
    </row>
    <row r="973" spans="1:20" x14ac:dyDescent="0.25">
      <c r="A973">
        <v>981</v>
      </c>
      <c r="B973" t="s">
        <v>385</v>
      </c>
      <c r="C973" s="1">
        <v>0.63888888888888884</v>
      </c>
      <c r="D973" s="2">
        <v>46087</v>
      </c>
      <c r="E973" t="s">
        <v>185</v>
      </c>
      <c r="F973" t="s">
        <v>18</v>
      </c>
      <c r="G973" t="s">
        <v>1486</v>
      </c>
      <c r="H973" s="1">
        <v>0.63888888888888884</v>
      </c>
      <c r="I973" s="1">
        <v>0.64583333333333337</v>
      </c>
      <c r="J973" s="2">
        <v>46087</v>
      </c>
      <c r="K973" t="s">
        <v>20</v>
      </c>
      <c r="L973" t="s">
        <v>1487</v>
      </c>
      <c r="M973" t="s">
        <v>22</v>
      </c>
      <c r="N973" t="s">
        <v>22</v>
      </c>
      <c r="O973" t="s">
        <v>44</v>
      </c>
      <c r="P973" t="s">
        <v>23</v>
      </c>
      <c r="Q973" s="1">
        <f>SEGUIMIENTO_TPM_xlsx[[#This Row],[HORA FIN  INTERVENCIÓN]]-SEGUIMIENTO_TPM_xlsx[[#This Row],[HORA INICIO INTERVENCIÓN]]</f>
        <v>6.9444444444445308E-3</v>
      </c>
      <c r="R973" s="20">
        <f>(SEGUIMIENTO_TPM_xlsx[[#This Row],[HORA REPORTE]]+SEGUIMIENTO_TPM_xlsx[[#This Row],[FECHA DE REPORTE]])</f>
        <v>46087.638888888891</v>
      </c>
      <c r="S973" s="20">
        <f>(SEGUIMIENTO_TPM_xlsx[[#This Row],[FECHA DE INTERVENCÓN]]+SEGUIMIENTO_TPM_xlsx[[#This Row],[HORA FIN  INTERVENCIÓN]])</f>
        <v>46087.645833333336</v>
      </c>
      <c r="T973" s="11">
        <f>(SEGUIMIENTO_TPM_xlsx[[#This Row],[FECHA Y HORA FINAL]]-SEGUIMIENTO_TPM_xlsx[[#This Row],[FECHA Y HORA INICIO]])</f>
        <v>6.9444444452528842E-3</v>
      </c>
    </row>
    <row r="974" spans="1:20" x14ac:dyDescent="0.25">
      <c r="A974">
        <v>982</v>
      </c>
      <c r="B974" t="s">
        <v>16</v>
      </c>
      <c r="C974" s="1">
        <v>0.70833333333333337</v>
      </c>
      <c r="D974" s="2">
        <v>46087</v>
      </c>
      <c r="E974" t="s">
        <v>116</v>
      </c>
      <c r="F974" t="s">
        <v>18</v>
      </c>
      <c r="G974" t="s">
        <v>1488</v>
      </c>
      <c r="H974" s="1">
        <v>0.71527777777777779</v>
      </c>
      <c r="I974" s="1">
        <v>0.75</v>
      </c>
      <c r="J974" s="2">
        <v>46087</v>
      </c>
      <c r="K974" t="s">
        <v>20</v>
      </c>
      <c r="L974" t="s">
        <v>1489</v>
      </c>
      <c r="M974" t="s">
        <v>22</v>
      </c>
      <c r="N974" t="s">
        <v>22</v>
      </c>
      <c r="O974" t="s">
        <v>44</v>
      </c>
      <c r="P974" t="s">
        <v>23</v>
      </c>
      <c r="Q974" s="1">
        <f>SEGUIMIENTO_TPM_xlsx[[#This Row],[HORA FIN  INTERVENCIÓN]]-SEGUIMIENTO_TPM_xlsx[[#This Row],[HORA INICIO INTERVENCIÓN]]</f>
        <v>3.472222222222221E-2</v>
      </c>
      <c r="R974" s="20">
        <f>(SEGUIMIENTO_TPM_xlsx[[#This Row],[HORA REPORTE]]+SEGUIMIENTO_TPM_xlsx[[#This Row],[FECHA DE REPORTE]])</f>
        <v>46087.708333333336</v>
      </c>
      <c r="S974" s="20">
        <f>(SEGUIMIENTO_TPM_xlsx[[#This Row],[FECHA DE INTERVENCÓN]]+SEGUIMIENTO_TPM_xlsx[[#This Row],[HORA FIN  INTERVENCIÓN]])</f>
        <v>46087.75</v>
      </c>
      <c r="T974" s="11">
        <f>(SEGUIMIENTO_TPM_xlsx[[#This Row],[FECHA Y HORA FINAL]]-SEGUIMIENTO_TPM_xlsx[[#This Row],[FECHA Y HORA INICIO]])</f>
        <v>4.1666666664241347E-2</v>
      </c>
    </row>
    <row r="975" spans="1:20" x14ac:dyDescent="0.25">
      <c r="A975">
        <v>983</v>
      </c>
      <c r="B975" t="s">
        <v>16</v>
      </c>
      <c r="C975" s="1">
        <v>0.47222222222222221</v>
      </c>
      <c r="D975" s="2">
        <v>46088</v>
      </c>
      <c r="E975" t="s">
        <v>116</v>
      </c>
      <c r="F975" t="s">
        <v>18</v>
      </c>
      <c r="G975" t="s">
        <v>1490</v>
      </c>
      <c r="H975" s="1">
        <v>0.47222222222222221</v>
      </c>
      <c r="I975" s="1">
        <v>0.94444444444444442</v>
      </c>
      <c r="J975" s="2">
        <v>46088</v>
      </c>
      <c r="K975" t="s">
        <v>20</v>
      </c>
      <c r="L975" t="s">
        <v>1491</v>
      </c>
      <c r="M975" t="s">
        <v>1383</v>
      </c>
      <c r="N975" t="s">
        <v>22</v>
      </c>
      <c r="O975" t="s">
        <v>661</v>
      </c>
      <c r="P975" t="s">
        <v>23</v>
      </c>
      <c r="Q975" s="1">
        <f>SEGUIMIENTO_TPM_xlsx[[#This Row],[HORA FIN  INTERVENCIÓN]]-SEGUIMIENTO_TPM_xlsx[[#This Row],[HORA INICIO INTERVENCIÓN]]</f>
        <v>0.47222222222222221</v>
      </c>
      <c r="R975" s="20">
        <f>(SEGUIMIENTO_TPM_xlsx[[#This Row],[HORA REPORTE]]+SEGUIMIENTO_TPM_xlsx[[#This Row],[FECHA DE REPORTE]])</f>
        <v>46088.472222222219</v>
      </c>
      <c r="S975" s="20">
        <f>(SEGUIMIENTO_TPM_xlsx[[#This Row],[FECHA DE INTERVENCÓN]]+SEGUIMIENTO_TPM_xlsx[[#This Row],[HORA FIN  INTERVENCIÓN]])</f>
        <v>46088.944444444445</v>
      </c>
      <c r="T975" s="11">
        <f>(SEGUIMIENTO_TPM_xlsx[[#This Row],[FECHA Y HORA FINAL]]-SEGUIMIENTO_TPM_xlsx[[#This Row],[FECHA Y HORA INICIO]])</f>
        <v>0.47222222222626442</v>
      </c>
    </row>
    <row r="976" spans="1:20" x14ac:dyDescent="0.25">
      <c r="A976">
        <v>984</v>
      </c>
      <c r="B976" t="s">
        <v>385</v>
      </c>
      <c r="C976" s="1">
        <v>0.89583333333333337</v>
      </c>
      <c r="D976" s="2">
        <v>46091</v>
      </c>
      <c r="E976" t="s">
        <v>116</v>
      </c>
      <c r="F976" t="s">
        <v>1366</v>
      </c>
      <c r="G976" t="s">
        <v>1492</v>
      </c>
      <c r="H976" s="1">
        <v>0.89583333333333337</v>
      </c>
      <c r="I976" s="1">
        <v>0.90625</v>
      </c>
      <c r="J976" s="2">
        <v>46091</v>
      </c>
      <c r="K976" t="s">
        <v>25</v>
      </c>
      <c r="L976" t="s">
        <v>1493</v>
      </c>
      <c r="M976" t="s">
        <v>22</v>
      </c>
      <c r="N976" t="s">
        <v>22</v>
      </c>
      <c r="O976" t="s">
        <v>44</v>
      </c>
      <c r="P976" t="s">
        <v>23</v>
      </c>
      <c r="Q976" s="1">
        <f>SEGUIMIENTO_TPM_xlsx[[#This Row],[HORA FIN  INTERVENCIÓN]]-SEGUIMIENTO_TPM_xlsx[[#This Row],[HORA INICIO INTERVENCIÓN]]</f>
        <v>1.041666666666663E-2</v>
      </c>
      <c r="R976" s="20">
        <f>(SEGUIMIENTO_TPM_xlsx[[#This Row],[HORA REPORTE]]+SEGUIMIENTO_TPM_xlsx[[#This Row],[FECHA DE REPORTE]])</f>
        <v>46091.895833333336</v>
      </c>
      <c r="S976" s="20">
        <f>(SEGUIMIENTO_TPM_xlsx[[#This Row],[FECHA DE INTERVENCÓN]]+SEGUIMIENTO_TPM_xlsx[[#This Row],[HORA FIN  INTERVENCIÓN]])</f>
        <v>46091.90625</v>
      </c>
      <c r="T976" s="11">
        <f>(SEGUIMIENTO_TPM_xlsx[[#This Row],[FECHA Y HORA FINAL]]-SEGUIMIENTO_TPM_xlsx[[#This Row],[FECHA Y HORA INICIO]])</f>
        <v>1.0416666664241347E-2</v>
      </c>
    </row>
    <row r="977" spans="1:20" x14ac:dyDescent="0.25">
      <c r="A977">
        <v>985</v>
      </c>
      <c r="B977" t="s">
        <v>385</v>
      </c>
      <c r="C977" s="1">
        <v>0.65277777777777779</v>
      </c>
      <c r="D977" s="2">
        <v>46088</v>
      </c>
      <c r="E977" t="s">
        <v>185</v>
      </c>
      <c r="F977" t="s">
        <v>18</v>
      </c>
      <c r="G977" t="s">
        <v>1494</v>
      </c>
      <c r="H977" s="1">
        <v>0.65277777777777779</v>
      </c>
      <c r="I977" s="1">
        <v>0.70833333333333337</v>
      </c>
      <c r="J977" s="2">
        <v>46088</v>
      </c>
      <c r="K977" t="s">
        <v>25</v>
      </c>
      <c r="L977" t="s">
        <v>1495</v>
      </c>
      <c r="M977" t="s">
        <v>22</v>
      </c>
      <c r="N977" t="s">
        <v>22</v>
      </c>
      <c r="O977" t="s">
        <v>108</v>
      </c>
      <c r="P977" t="s">
        <v>23</v>
      </c>
      <c r="Q977" s="1">
        <f>SEGUIMIENTO_TPM_xlsx[[#This Row],[HORA FIN  INTERVENCIÓN]]-SEGUIMIENTO_TPM_xlsx[[#This Row],[HORA INICIO INTERVENCIÓN]]</f>
        <v>5.555555555555558E-2</v>
      </c>
      <c r="R977" s="20">
        <f>(SEGUIMIENTO_TPM_xlsx[[#This Row],[HORA REPORTE]]+SEGUIMIENTO_TPM_xlsx[[#This Row],[FECHA DE REPORTE]])</f>
        <v>46088.652777777781</v>
      </c>
      <c r="S977" s="20">
        <f>(SEGUIMIENTO_TPM_xlsx[[#This Row],[FECHA DE INTERVENCÓN]]+SEGUIMIENTO_TPM_xlsx[[#This Row],[HORA FIN  INTERVENCIÓN]])</f>
        <v>46088.708333333336</v>
      </c>
      <c r="T977" s="11">
        <f>(SEGUIMIENTO_TPM_xlsx[[#This Row],[FECHA Y HORA FINAL]]-SEGUIMIENTO_TPM_xlsx[[#This Row],[FECHA Y HORA INICIO]])</f>
        <v>5.5555555554747116E-2</v>
      </c>
    </row>
    <row r="978" spans="1:20" x14ac:dyDescent="0.25">
      <c r="A978">
        <v>986</v>
      </c>
      <c r="B978" t="s">
        <v>93</v>
      </c>
      <c r="C978" s="1">
        <v>0.77430555555555558</v>
      </c>
      <c r="D978" s="2">
        <v>46088</v>
      </c>
      <c r="E978" t="s">
        <v>94</v>
      </c>
      <c r="F978" t="s">
        <v>18</v>
      </c>
      <c r="G978" t="s">
        <v>1496</v>
      </c>
      <c r="H978" s="1">
        <v>0.77777777777777779</v>
      </c>
      <c r="I978" s="1">
        <v>0.83333333333333337</v>
      </c>
      <c r="J978" s="2">
        <v>46088</v>
      </c>
      <c r="K978" t="s">
        <v>25</v>
      </c>
      <c r="L978" t="s">
        <v>1497</v>
      </c>
      <c r="M978" t="s">
        <v>1498</v>
      </c>
      <c r="N978" t="s">
        <v>22</v>
      </c>
      <c r="O978" t="s">
        <v>661</v>
      </c>
      <c r="P978" t="s">
        <v>23</v>
      </c>
      <c r="Q978" s="1">
        <f>SEGUIMIENTO_TPM_xlsx[[#This Row],[HORA FIN  INTERVENCIÓN]]-SEGUIMIENTO_TPM_xlsx[[#This Row],[HORA INICIO INTERVENCIÓN]]</f>
        <v>5.555555555555558E-2</v>
      </c>
      <c r="R978" s="20">
        <f>(SEGUIMIENTO_TPM_xlsx[[#This Row],[HORA REPORTE]]+SEGUIMIENTO_TPM_xlsx[[#This Row],[FECHA DE REPORTE]])</f>
        <v>46088.774305555555</v>
      </c>
      <c r="S978" s="20">
        <f>(SEGUIMIENTO_TPM_xlsx[[#This Row],[FECHA DE INTERVENCÓN]]+SEGUIMIENTO_TPM_xlsx[[#This Row],[HORA FIN  INTERVENCIÓN]])</f>
        <v>46088.833333333336</v>
      </c>
      <c r="T978" s="11">
        <f>(SEGUIMIENTO_TPM_xlsx[[#This Row],[FECHA Y HORA FINAL]]-SEGUIMIENTO_TPM_xlsx[[#This Row],[FECHA Y HORA INICIO]])</f>
        <v>5.9027777781011537E-2</v>
      </c>
    </row>
    <row r="979" spans="1:20" x14ac:dyDescent="0.25">
      <c r="A979">
        <v>987</v>
      </c>
      <c r="B979" t="s">
        <v>1515</v>
      </c>
      <c r="C979" s="1">
        <v>0.61388888888888893</v>
      </c>
      <c r="D979" s="2">
        <v>46094</v>
      </c>
      <c r="E979" t="s">
        <v>143</v>
      </c>
      <c r="F979" t="s">
        <v>18</v>
      </c>
      <c r="G979" t="s">
        <v>1576</v>
      </c>
      <c r="H979" s="1">
        <v>0.61458333333333337</v>
      </c>
      <c r="I979" s="1">
        <v>0.63194444444444442</v>
      </c>
      <c r="J979" s="2">
        <v>46094</v>
      </c>
      <c r="K979" t="s">
        <v>25</v>
      </c>
      <c r="L979" t="s">
        <v>1577</v>
      </c>
      <c r="M979" t="s">
        <v>1578</v>
      </c>
      <c r="N979" t="s">
        <v>22</v>
      </c>
      <c r="O979" t="s">
        <v>44</v>
      </c>
      <c r="P979" t="s">
        <v>23</v>
      </c>
      <c r="Q979" s="1">
        <f>SEGUIMIENTO_TPM_xlsx[[#This Row],[HORA FIN  INTERVENCIÓN]]-SEGUIMIENTO_TPM_xlsx[[#This Row],[HORA INICIO INTERVENCIÓN]]</f>
        <v>1.7361111111111049E-2</v>
      </c>
      <c r="R979" s="20">
        <f>(SEGUIMIENTO_TPM_xlsx[[#This Row],[HORA REPORTE]]+SEGUIMIENTO_TPM_xlsx[[#This Row],[FECHA DE REPORTE]])</f>
        <v>46094.613888888889</v>
      </c>
      <c r="S979" s="20">
        <f>(SEGUIMIENTO_TPM_xlsx[[#This Row],[FECHA DE INTERVENCÓN]]+SEGUIMIENTO_TPM_xlsx[[#This Row],[HORA FIN  INTERVENCIÓN]])</f>
        <v>46094.631944444445</v>
      </c>
      <c r="T979" s="11">
        <f>(SEGUIMIENTO_TPM_xlsx[[#This Row],[FECHA Y HORA FINAL]]-SEGUIMIENTO_TPM_xlsx[[#This Row],[FECHA Y HORA INICIO]])</f>
        <v>1.8055555556202307E-2</v>
      </c>
    </row>
    <row r="980" spans="1:20" x14ac:dyDescent="0.25">
      <c r="A980">
        <v>988</v>
      </c>
      <c r="B980" t="s">
        <v>93</v>
      </c>
      <c r="C980" s="1">
        <v>0.27083333333333331</v>
      </c>
      <c r="D980" s="2">
        <v>46090</v>
      </c>
      <c r="E980" t="s">
        <v>116</v>
      </c>
      <c r="F980" t="s">
        <v>18</v>
      </c>
      <c r="G980" t="s">
        <v>1499</v>
      </c>
      <c r="H980" s="1">
        <v>0.27083333333333331</v>
      </c>
      <c r="I980" s="1">
        <v>0.33333333333333331</v>
      </c>
      <c r="J980" s="2">
        <v>46090</v>
      </c>
      <c r="K980" t="s">
        <v>20</v>
      </c>
      <c r="L980" t="s">
        <v>1500</v>
      </c>
      <c r="M980" t="s">
        <v>1501</v>
      </c>
      <c r="N980" t="s">
        <v>22</v>
      </c>
      <c r="O980" t="s">
        <v>44</v>
      </c>
      <c r="P980" t="s">
        <v>23</v>
      </c>
      <c r="Q980" s="1">
        <f>SEGUIMIENTO_TPM_xlsx[[#This Row],[HORA FIN  INTERVENCIÓN]]-SEGUIMIENTO_TPM_xlsx[[#This Row],[HORA INICIO INTERVENCIÓN]]</f>
        <v>6.25E-2</v>
      </c>
      <c r="R980" s="20">
        <f>(SEGUIMIENTO_TPM_xlsx[[#This Row],[HORA REPORTE]]+SEGUIMIENTO_TPM_xlsx[[#This Row],[FECHA DE REPORTE]])</f>
        <v>46090.270833333336</v>
      </c>
      <c r="S980" s="20">
        <f>(SEGUIMIENTO_TPM_xlsx[[#This Row],[FECHA DE INTERVENCÓN]]+SEGUIMIENTO_TPM_xlsx[[#This Row],[HORA FIN  INTERVENCIÓN]])</f>
        <v>46090.333333333336</v>
      </c>
      <c r="T980" s="11">
        <f>(SEGUIMIENTO_TPM_xlsx[[#This Row],[FECHA Y HORA FINAL]]-SEGUIMIENTO_TPM_xlsx[[#This Row],[FECHA Y HORA INICIO]])</f>
        <v>6.25E-2</v>
      </c>
    </row>
    <row r="981" spans="1:20" x14ac:dyDescent="0.25">
      <c r="A981">
        <v>989</v>
      </c>
      <c r="B981" t="s">
        <v>1358</v>
      </c>
      <c r="C981" s="1">
        <v>0.28472222222222221</v>
      </c>
      <c r="D981" s="2">
        <v>46090</v>
      </c>
      <c r="E981" t="s">
        <v>154</v>
      </c>
      <c r="F981" t="s">
        <v>18</v>
      </c>
      <c r="G981" t="s">
        <v>1502</v>
      </c>
      <c r="H981" s="1">
        <v>0.28472222222222221</v>
      </c>
      <c r="I981" s="1">
        <v>0.34375</v>
      </c>
      <c r="J981" s="2">
        <v>46090</v>
      </c>
      <c r="K981" t="s">
        <v>25</v>
      </c>
      <c r="L981" t="s">
        <v>1503</v>
      </c>
      <c r="M981" t="s">
        <v>22</v>
      </c>
      <c r="N981" t="s">
        <v>22</v>
      </c>
      <c r="O981" t="s">
        <v>108</v>
      </c>
      <c r="P981" t="s">
        <v>23</v>
      </c>
      <c r="Q981" s="1">
        <f>SEGUIMIENTO_TPM_xlsx[[#This Row],[HORA FIN  INTERVENCIÓN]]-SEGUIMIENTO_TPM_xlsx[[#This Row],[HORA INICIO INTERVENCIÓN]]</f>
        <v>5.902777777777779E-2</v>
      </c>
      <c r="R981" s="20">
        <f>(SEGUIMIENTO_TPM_xlsx[[#This Row],[HORA REPORTE]]+SEGUIMIENTO_TPM_xlsx[[#This Row],[FECHA DE REPORTE]])</f>
        <v>46090.284722222219</v>
      </c>
      <c r="S981" s="20">
        <f>(SEGUIMIENTO_TPM_xlsx[[#This Row],[FECHA DE INTERVENCÓN]]+SEGUIMIENTO_TPM_xlsx[[#This Row],[HORA FIN  INTERVENCIÓN]])</f>
        <v>46090.34375</v>
      </c>
      <c r="T981" s="11">
        <f>(SEGUIMIENTO_TPM_xlsx[[#This Row],[FECHA Y HORA FINAL]]-SEGUIMIENTO_TPM_xlsx[[#This Row],[FECHA Y HORA INICIO]])</f>
        <v>5.9027777781011537E-2</v>
      </c>
    </row>
    <row r="982" spans="1:20" x14ac:dyDescent="0.25">
      <c r="A982">
        <v>990</v>
      </c>
      <c r="B982" t="s">
        <v>93</v>
      </c>
      <c r="C982" s="1">
        <v>0.54166666666666663</v>
      </c>
      <c r="D982" s="2">
        <v>46090</v>
      </c>
      <c r="E982" t="s">
        <v>94</v>
      </c>
      <c r="F982" t="s">
        <v>18</v>
      </c>
      <c r="G982" t="s">
        <v>1504</v>
      </c>
      <c r="H982" s="1">
        <v>0.54166666666666663</v>
      </c>
      <c r="I982" s="1">
        <v>0.56597222222222221</v>
      </c>
      <c r="J982" s="2">
        <v>46090</v>
      </c>
      <c r="K982" t="s">
        <v>25</v>
      </c>
      <c r="L982" t="s">
        <v>1505</v>
      </c>
      <c r="M982" t="s">
        <v>1506</v>
      </c>
      <c r="N982" t="s">
        <v>22</v>
      </c>
      <c r="O982" t="s">
        <v>108</v>
      </c>
      <c r="P982" t="s">
        <v>23</v>
      </c>
      <c r="Q982" s="1">
        <f>SEGUIMIENTO_TPM_xlsx[[#This Row],[HORA FIN  INTERVENCIÓN]]-SEGUIMIENTO_TPM_xlsx[[#This Row],[HORA INICIO INTERVENCIÓN]]</f>
        <v>2.430555555555558E-2</v>
      </c>
      <c r="R982" s="20">
        <f>(SEGUIMIENTO_TPM_xlsx[[#This Row],[HORA REPORTE]]+SEGUIMIENTO_TPM_xlsx[[#This Row],[FECHA DE REPORTE]])</f>
        <v>46090.541666666664</v>
      </c>
      <c r="S982" s="20">
        <f>(SEGUIMIENTO_TPM_xlsx[[#This Row],[FECHA DE INTERVENCÓN]]+SEGUIMIENTO_TPM_xlsx[[#This Row],[HORA FIN  INTERVENCIÓN]])</f>
        <v>46090.565972222219</v>
      </c>
      <c r="T982" s="11">
        <f>(SEGUIMIENTO_TPM_xlsx[[#This Row],[FECHA Y HORA FINAL]]-SEGUIMIENTO_TPM_xlsx[[#This Row],[FECHA Y HORA INICIO]])</f>
        <v>2.4305555554747116E-2</v>
      </c>
    </row>
    <row r="983" spans="1:20" x14ac:dyDescent="0.25">
      <c r="A983">
        <v>991</v>
      </c>
      <c r="B983" t="s">
        <v>317</v>
      </c>
      <c r="C983" s="1">
        <v>0.6333333333333333</v>
      </c>
      <c r="D983" s="2">
        <v>46090</v>
      </c>
      <c r="E983" t="s">
        <v>104</v>
      </c>
      <c r="F983" t="s">
        <v>18</v>
      </c>
      <c r="G983" t="s">
        <v>1507</v>
      </c>
      <c r="H983" s="1">
        <v>0.63541666666666663</v>
      </c>
      <c r="I983" s="1">
        <v>0.66666666666666663</v>
      </c>
      <c r="J983" s="2">
        <v>46090</v>
      </c>
      <c r="K983" t="s">
        <v>25</v>
      </c>
      <c r="L983" t="s">
        <v>1508</v>
      </c>
      <c r="M983" t="s">
        <v>22</v>
      </c>
      <c r="N983" t="s">
        <v>22</v>
      </c>
      <c r="O983" t="s">
        <v>44</v>
      </c>
      <c r="P983" t="s">
        <v>23</v>
      </c>
      <c r="Q983" s="1">
        <f>SEGUIMIENTO_TPM_xlsx[[#This Row],[HORA FIN  INTERVENCIÓN]]-SEGUIMIENTO_TPM_xlsx[[#This Row],[HORA INICIO INTERVENCIÓN]]</f>
        <v>3.125E-2</v>
      </c>
      <c r="R983" s="20">
        <f>(SEGUIMIENTO_TPM_xlsx[[#This Row],[HORA REPORTE]]+SEGUIMIENTO_TPM_xlsx[[#This Row],[FECHA DE REPORTE]])</f>
        <v>46090.633333333331</v>
      </c>
      <c r="S983" s="20">
        <f>(SEGUIMIENTO_TPM_xlsx[[#This Row],[FECHA DE INTERVENCÓN]]+SEGUIMIENTO_TPM_xlsx[[#This Row],[HORA FIN  INTERVENCIÓN]])</f>
        <v>46090.666666666664</v>
      </c>
      <c r="T983" s="11">
        <f>(SEGUIMIENTO_TPM_xlsx[[#This Row],[FECHA Y HORA FINAL]]-SEGUIMIENTO_TPM_xlsx[[#This Row],[FECHA Y HORA INICIO]])</f>
        <v>3.3333333332848269E-2</v>
      </c>
    </row>
    <row r="984" spans="1:20" x14ac:dyDescent="0.25">
      <c r="A984">
        <v>992</v>
      </c>
      <c r="B984" t="s">
        <v>199</v>
      </c>
      <c r="C984" s="1">
        <v>0.27777777777777779</v>
      </c>
      <c r="D984" s="2">
        <v>46091</v>
      </c>
      <c r="E984" t="s">
        <v>307</v>
      </c>
      <c r="F984" t="s">
        <v>18</v>
      </c>
      <c r="G984" t="s">
        <v>1509</v>
      </c>
      <c r="H984" s="1">
        <v>0.28472222222222221</v>
      </c>
      <c r="I984" s="1">
        <v>0.2986111111111111</v>
      </c>
      <c r="J984" s="2">
        <v>46091</v>
      </c>
      <c r="K984" t="s">
        <v>20</v>
      </c>
      <c r="L984" t="s">
        <v>1594</v>
      </c>
      <c r="M984" t="s">
        <v>22</v>
      </c>
      <c r="N984" t="s">
        <v>22</v>
      </c>
      <c r="O984" t="s">
        <v>661</v>
      </c>
      <c r="P984" t="s">
        <v>23</v>
      </c>
      <c r="Q984" s="1">
        <f>SEGUIMIENTO_TPM_xlsx[[#This Row],[HORA FIN  INTERVENCIÓN]]-SEGUIMIENTO_TPM_xlsx[[#This Row],[HORA INICIO INTERVENCIÓN]]</f>
        <v>1.3888888888888895E-2</v>
      </c>
      <c r="R984" s="20">
        <f>(SEGUIMIENTO_TPM_xlsx[[#This Row],[HORA REPORTE]]+SEGUIMIENTO_TPM_xlsx[[#This Row],[FECHA DE REPORTE]])</f>
        <v>46091.277777777781</v>
      </c>
      <c r="S984" s="20">
        <f>(SEGUIMIENTO_TPM_xlsx[[#This Row],[FECHA DE INTERVENCÓN]]+SEGUIMIENTO_TPM_xlsx[[#This Row],[HORA FIN  INTERVENCIÓN]])</f>
        <v>46091.298611111109</v>
      </c>
      <c r="T984" s="11">
        <f>(SEGUIMIENTO_TPM_xlsx[[#This Row],[FECHA Y HORA FINAL]]-SEGUIMIENTO_TPM_xlsx[[#This Row],[FECHA Y HORA INICIO]])</f>
        <v>2.0833333328482695E-2</v>
      </c>
    </row>
    <row r="985" spans="1:20" x14ac:dyDescent="0.25">
      <c r="A985">
        <v>993</v>
      </c>
      <c r="C985" s="1"/>
      <c r="D985" s="2"/>
      <c r="H985" s="1"/>
      <c r="I985" s="1"/>
      <c r="J985" s="2"/>
      <c r="Q985" s="1">
        <f>SEGUIMIENTO_TPM_xlsx[[#This Row],[HORA FIN  INTERVENCIÓN]]-SEGUIMIENTO_TPM_xlsx[[#This Row],[HORA INICIO INTERVENCIÓN]]</f>
        <v>0</v>
      </c>
      <c r="R985" s="20">
        <f>(SEGUIMIENTO_TPM_xlsx[[#This Row],[HORA REPORTE]]+SEGUIMIENTO_TPM_xlsx[[#This Row],[FECHA DE REPORTE]])</f>
        <v>0</v>
      </c>
      <c r="S985" s="20">
        <f>(SEGUIMIENTO_TPM_xlsx[[#This Row],[FECHA DE INTERVENCÓN]]+SEGUIMIENTO_TPM_xlsx[[#This Row],[HORA FIN  INTERVENCIÓN]])</f>
        <v>0</v>
      </c>
      <c r="T985" s="11">
        <f>(SEGUIMIENTO_TPM_xlsx[[#This Row],[FECHA Y HORA FINAL]]-SEGUIMIENTO_TPM_xlsx[[#This Row],[FECHA Y HORA INICIO]])</f>
        <v>0</v>
      </c>
    </row>
    <row r="986" spans="1:20" x14ac:dyDescent="0.25">
      <c r="A986">
        <v>994</v>
      </c>
      <c r="C986" s="1"/>
      <c r="D986" s="2"/>
      <c r="H986" s="1"/>
      <c r="I986" s="1"/>
      <c r="J986" s="2"/>
      <c r="Q986" s="1">
        <f>SEGUIMIENTO_TPM_xlsx[[#This Row],[HORA FIN  INTERVENCIÓN]]-SEGUIMIENTO_TPM_xlsx[[#This Row],[HORA INICIO INTERVENCIÓN]]</f>
        <v>0</v>
      </c>
      <c r="R986" s="20">
        <f>(SEGUIMIENTO_TPM_xlsx[[#This Row],[HORA REPORTE]]+SEGUIMIENTO_TPM_xlsx[[#This Row],[FECHA DE REPORTE]])</f>
        <v>0</v>
      </c>
      <c r="S986" s="20">
        <f>(SEGUIMIENTO_TPM_xlsx[[#This Row],[FECHA DE INTERVENCÓN]]+SEGUIMIENTO_TPM_xlsx[[#This Row],[HORA FIN  INTERVENCIÓN]])</f>
        <v>0</v>
      </c>
      <c r="T986" s="11">
        <f>(SEGUIMIENTO_TPM_xlsx[[#This Row],[FECHA Y HORA FINAL]]-SEGUIMIENTO_TPM_xlsx[[#This Row],[FECHA Y HORA INICIO]])</f>
        <v>0</v>
      </c>
    </row>
    <row r="987" spans="1:20" x14ac:dyDescent="0.25">
      <c r="A987">
        <v>995</v>
      </c>
      <c r="B987" t="s">
        <v>526</v>
      </c>
      <c r="C987" s="1">
        <v>0.84027777777777779</v>
      </c>
      <c r="D987" s="2">
        <v>46091</v>
      </c>
      <c r="E987" t="s">
        <v>188</v>
      </c>
      <c r="F987" t="s">
        <v>18</v>
      </c>
      <c r="G987" t="s">
        <v>1510</v>
      </c>
      <c r="H987" s="1">
        <v>0.84375</v>
      </c>
      <c r="I987" s="1">
        <v>0.85416666666666663</v>
      </c>
      <c r="J987" s="2">
        <v>46091</v>
      </c>
      <c r="K987" t="s">
        <v>25</v>
      </c>
      <c r="L987" t="s">
        <v>1511</v>
      </c>
      <c r="M987" t="s">
        <v>22</v>
      </c>
      <c r="N987" t="s">
        <v>22</v>
      </c>
      <c r="O987" t="s">
        <v>44</v>
      </c>
      <c r="P987" t="s">
        <v>23</v>
      </c>
      <c r="Q987" s="1">
        <f>SEGUIMIENTO_TPM_xlsx[[#This Row],[HORA FIN  INTERVENCIÓN]]-SEGUIMIENTO_TPM_xlsx[[#This Row],[HORA INICIO INTERVENCIÓN]]</f>
        <v>1.041666666666663E-2</v>
      </c>
      <c r="R987" s="20">
        <f>(SEGUIMIENTO_TPM_xlsx[[#This Row],[HORA REPORTE]]+SEGUIMIENTO_TPM_xlsx[[#This Row],[FECHA DE REPORTE]])</f>
        <v>46091.840277777781</v>
      </c>
      <c r="S987" s="20">
        <f>(SEGUIMIENTO_TPM_xlsx[[#This Row],[FECHA DE INTERVENCÓN]]+SEGUIMIENTO_TPM_xlsx[[#This Row],[HORA FIN  INTERVENCIÓN]])</f>
        <v>46091.854166666664</v>
      </c>
      <c r="T987" s="11">
        <f>(SEGUIMIENTO_TPM_xlsx[[#This Row],[FECHA Y HORA FINAL]]-SEGUIMIENTO_TPM_xlsx[[#This Row],[FECHA Y HORA INICIO]])</f>
        <v>1.3888888883229811E-2</v>
      </c>
    </row>
    <row r="988" spans="1:20" x14ac:dyDescent="0.25">
      <c r="A988">
        <v>996</v>
      </c>
      <c r="B988" t="s">
        <v>385</v>
      </c>
      <c r="C988" s="1">
        <v>0.84027777777777779</v>
      </c>
      <c r="D988" s="2">
        <v>46091</v>
      </c>
      <c r="E988" t="s">
        <v>94</v>
      </c>
      <c r="F988" t="s">
        <v>18</v>
      </c>
      <c r="G988" t="s">
        <v>1512</v>
      </c>
      <c r="H988" s="1">
        <v>0.85416666666666663</v>
      </c>
      <c r="I988" s="1">
        <v>0.89583333333333337</v>
      </c>
      <c r="J988" s="2">
        <v>46091</v>
      </c>
      <c r="K988" t="s">
        <v>25</v>
      </c>
      <c r="L988" t="s">
        <v>1513</v>
      </c>
      <c r="M988" t="s">
        <v>1514</v>
      </c>
      <c r="N988" t="s">
        <v>22</v>
      </c>
      <c r="O988" t="s">
        <v>44</v>
      </c>
      <c r="P988" t="s">
        <v>23</v>
      </c>
      <c r="Q988" s="1">
        <f>SEGUIMIENTO_TPM_xlsx[[#This Row],[HORA FIN  INTERVENCIÓN]]-SEGUIMIENTO_TPM_xlsx[[#This Row],[HORA INICIO INTERVENCIÓN]]</f>
        <v>4.1666666666666741E-2</v>
      </c>
      <c r="R988" s="20">
        <f>(SEGUIMIENTO_TPM_xlsx[[#This Row],[HORA REPORTE]]+SEGUIMIENTO_TPM_xlsx[[#This Row],[FECHA DE REPORTE]])</f>
        <v>46091.840277777781</v>
      </c>
      <c r="S988" s="20">
        <f>(SEGUIMIENTO_TPM_xlsx[[#This Row],[FECHA DE INTERVENCÓN]]+SEGUIMIENTO_TPM_xlsx[[#This Row],[HORA FIN  INTERVENCIÓN]])</f>
        <v>46091.895833333336</v>
      </c>
      <c r="T988" s="11">
        <f>(SEGUIMIENTO_TPM_xlsx[[#This Row],[FECHA Y HORA FINAL]]-SEGUIMIENTO_TPM_xlsx[[#This Row],[FECHA Y HORA INICIO]])</f>
        <v>5.5555555554747116E-2</v>
      </c>
    </row>
    <row r="989" spans="1:20" x14ac:dyDescent="0.25">
      <c r="A989">
        <v>997</v>
      </c>
      <c r="B989" t="s">
        <v>206</v>
      </c>
      <c r="C989" s="1">
        <v>0</v>
      </c>
      <c r="D989" s="2">
        <v>46092</v>
      </c>
      <c r="E989" t="s">
        <v>116</v>
      </c>
      <c r="F989" t="s">
        <v>18</v>
      </c>
      <c r="G989" t="s">
        <v>1603</v>
      </c>
      <c r="H989" s="1"/>
      <c r="I989" s="1"/>
      <c r="J989" s="2"/>
      <c r="Q989" s="1">
        <f>SEGUIMIENTO_TPM_xlsx[[#This Row],[HORA FIN  INTERVENCIÓN]]-SEGUIMIENTO_TPM_xlsx[[#This Row],[HORA INICIO INTERVENCIÓN]]</f>
        <v>0</v>
      </c>
      <c r="R989" s="20">
        <f>(SEGUIMIENTO_TPM_xlsx[[#This Row],[HORA REPORTE]]+SEGUIMIENTO_TPM_xlsx[[#This Row],[FECHA DE REPORTE]])</f>
        <v>46092</v>
      </c>
      <c r="S989" s="20">
        <f>(SEGUIMIENTO_TPM_xlsx[[#This Row],[FECHA DE INTERVENCÓN]]+SEGUIMIENTO_TPM_xlsx[[#This Row],[HORA FIN  INTERVENCIÓN]])</f>
        <v>0</v>
      </c>
      <c r="T989" s="11">
        <f>(SEGUIMIENTO_TPM_xlsx[[#This Row],[FECHA Y HORA FINAL]]-SEGUIMIENTO_TPM_xlsx[[#This Row],[FECHA Y HORA INICIO]])</f>
        <v>-46092</v>
      </c>
    </row>
    <row r="990" spans="1:20" x14ac:dyDescent="0.25">
      <c r="A990">
        <v>998</v>
      </c>
      <c r="B990" t="s">
        <v>1515</v>
      </c>
      <c r="C990" s="1">
        <v>0.20833333333333334</v>
      </c>
      <c r="D990" s="2">
        <v>46092</v>
      </c>
      <c r="E990" t="s">
        <v>143</v>
      </c>
      <c r="F990" t="s">
        <v>18</v>
      </c>
      <c r="G990" t="s">
        <v>1516</v>
      </c>
      <c r="H990" s="1">
        <v>0.20833333333333334</v>
      </c>
      <c r="I990" s="1">
        <v>0.21527777777777779</v>
      </c>
      <c r="J990" s="2">
        <v>46092</v>
      </c>
      <c r="K990" t="s">
        <v>25</v>
      </c>
      <c r="L990" t="s">
        <v>1517</v>
      </c>
      <c r="M990" t="s">
        <v>22</v>
      </c>
      <c r="N990" t="s">
        <v>1518</v>
      </c>
      <c r="O990" t="s">
        <v>44</v>
      </c>
      <c r="P990" t="s">
        <v>23</v>
      </c>
      <c r="Q990" s="1">
        <f>SEGUIMIENTO_TPM_xlsx[[#This Row],[HORA FIN  INTERVENCIÓN]]-SEGUIMIENTO_TPM_xlsx[[#This Row],[HORA INICIO INTERVENCIÓN]]</f>
        <v>6.9444444444444475E-3</v>
      </c>
      <c r="R990" s="20">
        <f>(SEGUIMIENTO_TPM_xlsx[[#This Row],[HORA REPORTE]]+SEGUIMIENTO_TPM_xlsx[[#This Row],[FECHA DE REPORTE]])</f>
        <v>46092.208333333336</v>
      </c>
      <c r="S990" s="20">
        <f>(SEGUIMIENTO_TPM_xlsx[[#This Row],[FECHA DE INTERVENCÓN]]+SEGUIMIENTO_TPM_xlsx[[#This Row],[HORA FIN  INTERVENCIÓN]])</f>
        <v>46092.215277777781</v>
      </c>
      <c r="T990" s="11">
        <f>(SEGUIMIENTO_TPM_xlsx[[#This Row],[FECHA Y HORA FINAL]]-SEGUIMIENTO_TPM_xlsx[[#This Row],[FECHA Y HORA INICIO]])</f>
        <v>6.9444444452528842E-3</v>
      </c>
    </row>
    <row r="991" spans="1:20" x14ac:dyDescent="0.25">
      <c r="A991">
        <v>999</v>
      </c>
      <c r="B991" t="s">
        <v>341</v>
      </c>
      <c r="C991" s="1">
        <v>0.31944444444444442</v>
      </c>
      <c r="D991" s="2">
        <v>46092</v>
      </c>
      <c r="E991" t="s">
        <v>143</v>
      </c>
      <c r="F991" t="s">
        <v>18</v>
      </c>
      <c r="G991" t="s">
        <v>1519</v>
      </c>
      <c r="H991" s="1">
        <v>0.31944444444444442</v>
      </c>
      <c r="I991" s="1">
        <v>0.33333333333333331</v>
      </c>
      <c r="J991" s="2">
        <v>46092</v>
      </c>
      <c r="K991" t="s">
        <v>25</v>
      </c>
      <c r="L991" t="s">
        <v>1520</v>
      </c>
      <c r="M991" t="s">
        <v>22</v>
      </c>
      <c r="N991" t="s">
        <v>22</v>
      </c>
      <c r="O991" t="s">
        <v>112</v>
      </c>
      <c r="P991" t="s">
        <v>23</v>
      </c>
      <c r="Q991" s="1">
        <f>SEGUIMIENTO_TPM_xlsx[[#This Row],[HORA FIN  INTERVENCIÓN]]-SEGUIMIENTO_TPM_xlsx[[#This Row],[HORA INICIO INTERVENCIÓN]]</f>
        <v>1.3888888888888895E-2</v>
      </c>
      <c r="R991" s="20">
        <f>(SEGUIMIENTO_TPM_xlsx[[#This Row],[HORA REPORTE]]+SEGUIMIENTO_TPM_xlsx[[#This Row],[FECHA DE REPORTE]])</f>
        <v>46092.319444444445</v>
      </c>
      <c r="S991" s="20">
        <f>(SEGUIMIENTO_TPM_xlsx[[#This Row],[FECHA DE INTERVENCÓN]]+SEGUIMIENTO_TPM_xlsx[[#This Row],[HORA FIN  INTERVENCIÓN]])</f>
        <v>46092.333333333336</v>
      </c>
      <c r="T991" s="11">
        <f>(SEGUIMIENTO_TPM_xlsx[[#This Row],[FECHA Y HORA FINAL]]-SEGUIMIENTO_TPM_xlsx[[#This Row],[FECHA Y HORA INICIO]])</f>
        <v>1.3888888890505768E-2</v>
      </c>
    </row>
    <row r="992" spans="1:20" x14ac:dyDescent="0.25">
      <c r="A992">
        <v>1000</v>
      </c>
      <c r="B992" t="s">
        <v>256</v>
      </c>
      <c r="C992" s="1">
        <v>0.375</v>
      </c>
      <c r="D992" s="2">
        <v>46092</v>
      </c>
      <c r="E992" t="s">
        <v>162</v>
      </c>
      <c r="F992" t="s">
        <v>18</v>
      </c>
      <c r="G992" t="s">
        <v>1521</v>
      </c>
      <c r="H992" s="1">
        <v>0.375</v>
      </c>
      <c r="I992" s="1">
        <v>0.3888888888888889</v>
      </c>
      <c r="J992" s="2">
        <v>46092</v>
      </c>
      <c r="K992" t="s">
        <v>25</v>
      </c>
      <c r="L992" t="s">
        <v>1522</v>
      </c>
      <c r="M992" t="s">
        <v>22</v>
      </c>
      <c r="N992" t="s">
        <v>22</v>
      </c>
      <c r="O992" t="s">
        <v>112</v>
      </c>
      <c r="P992" t="s">
        <v>23</v>
      </c>
      <c r="Q992" s="1">
        <f>SEGUIMIENTO_TPM_xlsx[[#This Row],[HORA FIN  INTERVENCIÓN]]-SEGUIMIENTO_TPM_xlsx[[#This Row],[HORA INICIO INTERVENCIÓN]]</f>
        <v>1.3888888888888895E-2</v>
      </c>
      <c r="R992" s="20">
        <f>(SEGUIMIENTO_TPM_xlsx[[#This Row],[HORA REPORTE]]+SEGUIMIENTO_TPM_xlsx[[#This Row],[FECHA DE REPORTE]])</f>
        <v>46092.375</v>
      </c>
      <c r="S992" s="20">
        <f>(SEGUIMIENTO_TPM_xlsx[[#This Row],[FECHA DE INTERVENCÓN]]+SEGUIMIENTO_TPM_xlsx[[#This Row],[HORA FIN  INTERVENCIÓN]])</f>
        <v>46092.388888888891</v>
      </c>
      <c r="T992" s="11">
        <f>(SEGUIMIENTO_TPM_xlsx[[#This Row],[FECHA Y HORA FINAL]]-SEGUIMIENTO_TPM_xlsx[[#This Row],[FECHA Y HORA INICIO]])</f>
        <v>1.3888888890505768E-2</v>
      </c>
    </row>
    <row r="993" spans="1:20" x14ac:dyDescent="0.25">
      <c r="A993">
        <v>1001</v>
      </c>
      <c r="B993" t="s">
        <v>44</v>
      </c>
      <c r="C993" s="1">
        <v>0.4861111111111111</v>
      </c>
      <c r="D993" s="2">
        <v>46090</v>
      </c>
      <c r="E993" t="s">
        <v>162</v>
      </c>
      <c r="F993" t="s">
        <v>18</v>
      </c>
      <c r="G993" t="s">
        <v>1523</v>
      </c>
      <c r="H993" s="1"/>
      <c r="I993" s="1"/>
      <c r="J993" s="2"/>
      <c r="P993" t="s">
        <v>33</v>
      </c>
      <c r="Q993" s="1">
        <f>SEGUIMIENTO_TPM_xlsx[[#This Row],[HORA FIN  INTERVENCIÓN]]-SEGUIMIENTO_TPM_xlsx[[#This Row],[HORA INICIO INTERVENCIÓN]]</f>
        <v>0</v>
      </c>
      <c r="R993" s="20">
        <f>(SEGUIMIENTO_TPM_xlsx[[#This Row],[HORA REPORTE]]+SEGUIMIENTO_TPM_xlsx[[#This Row],[FECHA DE REPORTE]])</f>
        <v>46090.486111111109</v>
      </c>
      <c r="S993" s="20">
        <f>(SEGUIMIENTO_TPM_xlsx[[#This Row],[FECHA DE INTERVENCÓN]]+SEGUIMIENTO_TPM_xlsx[[#This Row],[HORA FIN  INTERVENCIÓN]])</f>
        <v>0</v>
      </c>
      <c r="T993" s="11">
        <f>(SEGUIMIENTO_TPM_xlsx[[#This Row],[FECHA Y HORA FINAL]]-SEGUIMIENTO_TPM_xlsx[[#This Row],[FECHA Y HORA INICIO]])</f>
        <v>-46090.486111111109</v>
      </c>
    </row>
    <row r="994" spans="1:20" x14ac:dyDescent="0.25">
      <c r="A994">
        <v>1002</v>
      </c>
      <c r="B994" t="s">
        <v>44</v>
      </c>
      <c r="C994" s="1">
        <v>0.5</v>
      </c>
      <c r="D994" s="2">
        <v>46090</v>
      </c>
      <c r="E994" t="s">
        <v>782</v>
      </c>
      <c r="F994" t="s">
        <v>18</v>
      </c>
      <c r="G994" t="s">
        <v>1524</v>
      </c>
      <c r="H994" s="1"/>
      <c r="I994" s="1"/>
      <c r="J994" s="2"/>
      <c r="P994" t="s">
        <v>33</v>
      </c>
      <c r="Q994" s="1">
        <f>SEGUIMIENTO_TPM_xlsx[[#This Row],[HORA FIN  INTERVENCIÓN]]-SEGUIMIENTO_TPM_xlsx[[#This Row],[HORA INICIO INTERVENCIÓN]]</f>
        <v>0</v>
      </c>
      <c r="R994" s="20">
        <f>(SEGUIMIENTO_TPM_xlsx[[#This Row],[HORA REPORTE]]+SEGUIMIENTO_TPM_xlsx[[#This Row],[FECHA DE REPORTE]])</f>
        <v>46090.5</v>
      </c>
      <c r="S994" s="20">
        <f>(SEGUIMIENTO_TPM_xlsx[[#This Row],[FECHA DE INTERVENCÓN]]+SEGUIMIENTO_TPM_xlsx[[#This Row],[HORA FIN  INTERVENCIÓN]])</f>
        <v>0</v>
      </c>
      <c r="T994" s="11">
        <f>(SEGUIMIENTO_TPM_xlsx[[#This Row],[FECHA Y HORA FINAL]]-SEGUIMIENTO_TPM_xlsx[[#This Row],[FECHA Y HORA INICIO]])</f>
        <v>-46090.5</v>
      </c>
    </row>
    <row r="995" spans="1:20" x14ac:dyDescent="0.25">
      <c r="A995">
        <v>1003</v>
      </c>
      <c r="B995" t="s">
        <v>44</v>
      </c>
      <c r="C995" s="1">
        <v>0.50347222222222221</v>
      </c>
      <c r="D995" s="2">
        <v>46090</v>
      </c>
      <c r="E995" t="s">
        <v>154</v>
      </c>
      <c r="F995" t="s">
        <v>18</v>
      </c>
      <c r="G995" t="s">
        <v>1525</v>
      </c>
      <c r="H995" s="1"/>
      <c r="I995" s="1"/>
      <c r="J995" s="2"/>
      <c r="P995" t="s">
        <v>33</v>
      </c>
      <c r="Q995" s="1">
        <f>SEGUIMIENTO_TPM_xlsx[[#This Row],[HORA FIN  INTERVENCIÓN]]-SEGUIMIENTO_TPM_xlsx[[#This Row],[HORA INICIO INTERVENCIÓN]]</f>
        <v>0</v>
      </c>
      <c r="R995" s="20">
        <f>(SEGUIMIENTO_TPM_xlsx[[#This Row],[HORA REPORTE]]+SEGUIMIENTO_TPM_xlsx[[#This Row],[FECHA DE REPORTE]])</f>
        <v>46090.503472222219</v>
      </c>
      <c r="S995" s="20">
        <f>(SEGUIMIENTO_TPM_xlsx[[#This Row],[FECHA DE INTERVENCÓN]]+SEGUIMIENTO_TPM_xlsx[[#This Row],[HORA FIN  INTERVENCIÓN]])</f>
        <v>0</v>
      </c>
      <c r="T995" s="11">
        <f>(SEGUIMIENTO_TPM_xlsx[[#This Row],[FECHA Y HORA FINAL]]-SEGUIMIENTO_TPM_xlsx[[#This Row],[FECHA Y HORA INICIO]])</f>
        <v>-46090.503472222219</v>
      </c>
    </row>
    <row r="996" spans="1:20" x14ac:dyDescent="0.25">
      <c r="A996">
        <v>1004</v>
      </c>
      <c r="C996" s="1"/>
      <c r="D996" s="2"/>
      <c r="H996" s="1"/>
      <c r="I996" s="1"/>
      <c r="J996" s="2"/>
      <c r="Q996" s="1">
        <f>SEGUIMIENTO_TPM_xlsx[[#This Row],[HORA FIN  INTERVENCIÓN]]-SEGUIMIENTO_TPM_xlsx[[#This Row],[HORA INICIO INTERVENCIÓN]]</f>
        <v>0</v>
      </c>
      <c r="R996" s="20">
        <f>(SEGUIMIENTO_TPM_xlsx[[#This Row],[HORA REPORTE]]+SEGUIMIENTO_TPM_xlsx[[#This Row],[FECHA DE REPORTE]])</f>
        <v>0</v>
      </c>
      <c r="S996" s="20">
        <f>(SEGUIMIENTO_TPM_xlsx[[#This Row],[FECHA DE INTERVENCÓN]]+SEGUIMIENTO_TPM_xlsx[[#This Row],[HORA FIN  INTERVENCIÓN]])</f>
        <v>0</v>
      </c>
      <c r="T996" s="11">
        <f>(SEGUIMIENTO_TPM_xlsx[[#This Row],[FECHA Y HORA FINAL]]-SEGUIMIENTO_TPM_xlsx[[#This Row],[FECHA Y HORA INICIO]])</f>
        <v>0</v>
      </c>
    </row>
    <row r="997" spans="1:20" x14ac:dyDescent="0.25">
      <c r="A997">
        <v>1005</v>
      </c>
      <c r="B997" t="s">
        <v>103</v>
      </c>
      <c r="C997" s="1">
        <v>0.30902777777777779</v>
      </c>
      <c r="D997" s="2">
        <v>46092</v>
      </c>
      <c r="E997" t="s">
        <v>307</v>
      </c>
      <c r="F997" t="s">
        <v>18</v>
      </c>
      <c r="G997" t="s">
        <v>1526</v>
      </c>
      <c r="H997" s="1">
        <v>0.30902777777777779</v>
      </c>
      <c r="I997" s="1">
        <v>0.31944444444444442</v>
      </c>
      <c r="J997" s="2">
        <v>46092</v>
      </c>
      <c r="K997" t="s">
        <v>25</v>
      </c>
      <c r="L997" t="s">
        <v>1527</v>
      </c>
      <c r="M997" t="s">
        <v>22</v>
      </c>
      <c r="N997" t="s">
        <v>22</v>
      </c>
      <c r="O997" t="s">
        <v>112</v>
      </c>
      <c r="P997" t="s">
        <v>23</v>
      </c>
      <c r="Q997" s="1">
        <f>SEGUIMIENTO_TPM_xlsx[[#This Row],[HORA FIN  INTERVENCIÓN]]-SEGUIMIENTO_TPM_xlsx[[#This Row],[HORA INICIO INTERVENCIÓN]]</f>
        <v>1.041666666666663E-2</v>
      </c>
      <c r="R997" s="20">
        <f>(SEGUIMIENTO_TPM_xlsx[[#This Row],[HORA REPORTE]]+SEGUIMIENTO_TPM_xlsx[[#This Row],[FECHA DE REPORTE]])</f>
        <v>46092.309027777781</v>
      </c>
      <c r="S997" s="20">
        <f>(SEGUIMIENTO_TPM_xlsx[[#This Row],[FECHA DE INTERVENCÓN]]+SEGUIMIENTO_TPM_xlsx[[#This Row],[HORA FIN  INTERVENCIÓN]])</f>
        <v>46092.319444444445</v>
      </c>
      <c r="T997" s="11">
        <f>(SEGUIMIENTO_TPM_xlsx[[#This Row],[FECHA Y HORA FINAL]]-SEGUIMIENTO_TPM_xlsx[[#This Row],[FECHA Y HORA INICIO]])</f>
        <v>1.0416666664241347E-2</v>
      </c>
    </row>
    <row r="998" spans="1:20" x14ac:dyDescent="0.25">
      <c r="A998">
        <v>1006</v>
      </c>
      <c r="B998" t="s">
        <v>176</v>
      </c>
      <c r="C998" s="1">
        <v>0.44444444444444442</v>
      </c>
      <c r="D998" s="2">
        <v>46092</v>
      </c>
      <c r="E998" t="s">
        <v>116</v>
      </c>
      <c r="F998" t="s">
        <v>18</v>
      </c>
      <c r="G998" t="s">
        <v>1528</v>
      </c>
      <c r="H998" s="1">
        <v>0.44444444444444442</v>
      </c>
      <c r="I998" s="1">
        <v>0.46527777777777779</v>
      </c>
      <c r="J998" s="2">
        <v>46092</v>
      </c>
      <c r="K998" t="s">
        <v>20</v>
      </c>
      <c r="L998" t="s">
        <v>1529</v>
      </c>
      <c r="M998" t="s">
        <v>22</v>
      </c>
      <c r="N998" t="s">
        <v>22</v>
      </c>
      <c r="O998" t="s">
        <v>112</v>
      </c>
      <c r="P998" t="s">
        <v>23</v>
      </c>
      <c r="Q998" s="1">
        <f>SEGUIMIENTO_TPM_xlsx[[#This Row],[HORA FIN  INTERVENCIÓN]]-SEGUIMIENTO_TPM_xlsx[[#This Row],[HORA INICIO INTERVENCIÓN]]</f>
        <v>2.083333333333337E-2</v>
      </c>
      <c r="R998" s="20">
        <f>(SEGUIMIENTO_TPM_xlsx[[#This Row],[HORA REPORTE]]+SEGUIMIENTO_TPM_xlsx[[#This Row],[FECHA DE REPORTE]])</f>
        <v>46092.444444444445</v>
      </c>
      <c r="S998" s="20">
        <f>(SEGUIMIENTO_TPM_xlsx[[#This Row],[FECHA DE INTERVENCÓN]]+SEGUIMIENTO_TPM_xlsx[[#This Row],[HORA FIN  INTERVENCIÓN]])</f>
        <v>46092.465277777781</v>
      </c>
      <c r="T998" s="11">
        <f>(SEGUIMIENTO_TPM_xlsx[[#This Row],[FECHA Y HORA FINAL]]-SEGUIMIENTO_TPM_xlsx[[#This Row],[FECHA Y HORA INICIO]])</f>
        <v>2.0833333335758653E-2</v>
      </c>
    </row>
    <row r="999" spans="1:20" x14ac:dyDescent="0.25">
      <c r="A999">
        <v>1007</v>
      </c>
      <c r="B999" t="s">
        <v>103</v>
      </c>
      <c r="C999" s="1">
        <v>0.59375</v>
      </c>
      <c r="D999" s="2">
        <v>46092</v>
      </c>
      <c r="E999" t="s">
        <v>307</v>
      </c>
      <c r="F999" t="s">
        <v>18</v>
      </c>
      <c r="G999" t="s">
        <v>1530</v>
      </c>
      <c r="H999" s="1">
        <v>0.59375</v>
      </c>
      <c r="I999" s="1">
        <v>0.60416666666666663</v>
      </c>
      <c r="J999" s="2">
        <v>46092</v>
      </c>
      <c r="K999" t="s">
        <v>20</v>
      </c>
      <c r="L999" t="s">
        <v>1531</v>
      </c>
      <c r="M999" t="s">
        <v>22</v>
      </c>
      <c r="N999" t="s">
        <v>22</v>
      </c>
      <c r="O999" t="s">
        <v>108</v>
      </c>
      <c r="P999" t="s">
        <v>23</v>
      </c>
      <c r="Q999" s="1">
        <f>SEGUIMIENTO_TPM_xlsx[[#This Row],[HORA FIN  INTERVENCIÓN]]-SEGUIMIENTO_TPM_xlsx[[#This Row],[HORA INICIO INTERVENCIÓN]]</f>
        <v>1.041666666666663E-2</v>
      </c>
      <c r="R999" s="20">
        <f>(SEGUIMIENTO_TPM_xlsx[[#This Row],[HORA REPORTE]]+SEGUIMIENTO_TPM_xlsx[[#This Row],[FECHA DE REPORTE]])</f>
        <v>46092.59375</v>
      </c>
      <c r="S999" s="20">
        <f>(SEGUIMIENTO_TPM_xlsx[[#This Row],[FECHA DE INTERVENCÓN]]+SEGUIMIENTO_TPM_xlsx[[#This Row],[HORA FIN  INTERVENCIÓN]])</f>
        <v>46092.604166666664</v>
      </c>
      <c r="T999" s="11">
        <f>(SEGUIMIENTO_TPM_xlsx[[#This Row],[FECHA Y HORA FINAL]]-SEGUIMIENTO_TPM_xlsx[[#This Row],[FECHA Y HORA INICIO]])</f>
        <v>1.0416666664241347E-2</v>
      </c>
    </row>
    <row r="1000" spans="1:20" x14ac:dyDescent="0.25">
      <c r="A1000">
        <v>1008</v>
      </c>
      <c r="C1000" s="1"/>
      <c r="D1000" s="2"/>
      <c r="H1000" s="1"/>
      <c r="I1000" s="1"/>
      <c r="J1000" s="2"/>
      <c r="Q1000" s="1">
        <f>SEGUIMIENTO_TPM_xlsx[[#This Row],[HORA FIN  INTERVENCIÓN]]-SEGUIMIENTO_TPM_xlsx[[#This Row],[HORA INICIO INTERVENCIÓN]]</f>
        <v>0</v>
      </c>
      <c r="R1000" s="20">
        <f>(SEGUIMIENTO_TPM_xlsx[[#This Row],[HORA REPORTE]]+SEGUIMIENTO_TPM_xlsx[[#This Row],[FECHA DE REPORTE]])</f>
        <v>0</v>
      </c>
      <c r="S1000" s="20">
        <f>(SEGUIMIENTO_TPM_xlsx[[#This Row],[FECHA DE INTERVENCÓN]]+SEGUIMIENTO_TPM_xlsx[[#This Row],[HORA FIN  INTERVENCIÓN]])</f>
        <v>0</v>
      </c>
      <c r="T1000" s="11">
        <f>(SEGUIMIENTO_TPM_xlsx[[#This Row],[FECHA Y HORA FINAL]]-SEGUIMIENTO_TPM_xlsx[[#This Row],[FECHA Y HORA INICIO]])</f>
        <v>0</v>
      </c>
    </row>
    <row r="1001" spans="1:20" x14ac:dyDescent="0.25">
      <c r="A1001">
        <v>1009</v>
      </c>
      <c r="B1001" t="s">
        <v>199</v>
      </c>
      <c r="C1001" s="1">
        <v>0.78125</v>
      </c>
      <c r="D1001" s="2">
        <v>46092</v>
      </c>
      <c r="E1001" t="s">
        <v>307</v>
      </c>
      <c r="F1001" t="s">
        <v>18</v>
      </c>
      <c r="G1001" t="s">
        <v>1532</v>
      </c>
      <c r="H1001" s="1">
        <v>0.78125</v>
      </c>
      <c r="I1001" s="1">
        <v>0.85069444444444442</v>
      </c>
      <c r="J1001" s="2">
        <v>46092</v>
      </c>
      <c r="K1001" t="s">
        <v>20</v>
      </c>
      <c r="L1001" t="s">
        <v>1533</v>
      </c>
      <c r="M1001" t="s">
        <v>1389</v>
      </c>
      <c r="N1001" t="s">
        <v>22</v>
      </c>
      <c r="O1001" t="s">
        <v>108</v>
      </c>
      <c r="P1001" t="s">
        <v>23</v>
      </c>
      <c r="Q1001" s="1">
        <f>SEGUIMIENTO_TPM_xlsx[[#This Row],[HORA FIN  INTERVENCIÓN]]-SEGUIMIENTO_TPM_xlsx[[#This Row],[HORA INICIO INTERVENCIÓN]]</f>
        <v>6.944444444444442E-2</v>
      </c>
      <c r="R1001" s="20">
        <f>(SEGUIMIENTO_TPM_xlsx[[#This Row],[HORA REPORTE]]+SEGUIMIENTO_TPM_xlsx[[#This Row],[FECHA DE REPORTE]])</f>
        <v>46092.78125</v>
      </c>
      <c r="S1001" s="20">
        <f>(SEGUIMIENTO_TPM_xlsx[[#This Row],[FECHA DE INTERVENCÓN]]+SEGUIMIENTO_TPM_xlsx[[#This Row],[HORA FIN  INTERVENCIÓN]])</f>
        <v>46092.850694444445</v>
      </c>
      <c r="T1001" s="11">
        <f>(SEGUIMIENTO_TPM_xlsx[[#This Row],[FECHA Y HORA FINAL]]-SEGUIMIENTO_TPM_xlsx[[#This Row],[FECHA Y HORA INICIO]])</f>
        <v>6.9444444445252884E-2</v>
      </c>
    </row>
    <row r="1002" spans="1:20" x14ac:dyDescent="0.25">
      <c r="A1002">
        <v>1010</v>
      </c>
      <c r="B1002" t="s">
        <v>187</v>
      </c>
      <c r="C1002" s="1">
        <v>0.18402777777777779</v>
      </c>
      <c r="D1002" s="2">
        <v>46093</v>
      </c>
      <c r="E1002" t="s">
        <v>91</v>
      </c>
      <c r="F1002" t="s">
        <v>18</v>
      </c>
      <c r="G1002" t="s">
        <v>1543</v>
      </c>
      <c r="H1002" s="1">
        <v>0.19097222222222221</v>
      </c>
      <c r="I1002" s="1">
        <v>0.22222222222222221</v>
      </c>
      <c r="J1002" s="2">
        <v>46093</v>
      </c>
      <c r="K1002" t="s">
        <v>20</v>
      </c>
      <c r="L1002" t="s">
        <v>1544</v>
      </c>
      <c r="M1002" t="s">
        <v>1545</v>
      </c>
      <c r="N1002" t="s">
        <v>22</v>
      </c>
      <c r="O1002" t="s">
        <v>661</v>
      </c>
      <c r="P1002" t="s">
        <v>23</v>
      </c>
      <c r="Q1002" s="1">
        <f>SEGUIMIENTO_TPM_xlsx[[#This Row],[HORA FIN  INTERVENCIÓN]]-SEGUIMIENTO_TPM_xlsx[[#This Row],[HORA INICIO INTERVENCIÓN]]</f>
        <v>3.125E-2</v>
      </c>
      <c r="R1002" s="20">
        <f>(SEGUIMIENTO_TPM_xlsx[[#This Row],[HORA REPORTE]]+SEGUIMIENTO_TPM_xlsx[[#This Row],[FECHA DE REPORTE]])</f>
        <v>46093.184027777781</v>
      </c>
      <c r="S1002" s="20">
        <f>(SEGUIMIENTO_TPM_xlsx[[#This Row],[FECHA DE INTERVENCÓN]]+SEGUIMIENTO_TPM_xlsx[[#This Row],[HORA FIN  INTERVENCIÓN]])</f>
        <v>46093.222222222219</v>
      </c>
      <c r="T1002" s="11">
        <f>(SEGUIMIENTO_TPM_xlsx[[#This Row],[FECHA Y HORA FINAL]]-SEGUIMIENTO_TPM_xlsx[[#This Row],[FECHA Y HORA INICIO]])</f>
        <v>3.8194444437976927E-2</v>
      </c>
    </row>
    <row r="1003" spans="1:20" x14ac:dyDescent="0.25">
      <c r="A1003">
        <v>1011</v>
      </c>
      <c r="B1003" t="s">
        <v>93</v>
      </c>
      <c r="C1003" s="1">
        <v>0.34375</v>
      </c>
      <c r="D1003" s="2">
        <v>46093</v>
      </c>
      <c r="E1003" t="s">
        <v>116</v>
      </c>
      <c r="F1003" t="s">
        <v>18</v>
      </c>
      <c r="G1003" t="s">
        <v>1546</v>
      </c>
      <c r="H1003" s="1">
        <v>0.36805555555555558</v>
      </c>
      <c r="I1003" s="1">
        <v>0.40625</v>
      </c>
      <c r="J1003" s="2">
        <v>46093</v>
      </c>
      <c r="K1003" t="s">
        <v>20</v>
      </c>
      <c r="L1003" t="s">
        <v>1547</v>
      </c>
      <c r="M1003" t="s">
        <v>1389</v>
      </c>
      <c r="N1003" t="s">
        <v>22</v>
      </c>
      <c r="O1003" t="s">
        <v>112</v>
      </c>
      <c r="P1003" t="s">
        <v>23</v>
      </c>
      <c r="Q1003" s="1">
        <f>SEGUIMIENTO_TPM_xlsx[[#This Row],[HORA FIN  INTERVENCIÓN]]-SEGUIMIENTO_TPM_xlsx[[#This Row],[HORA INICIO INTERVENCIÓN]]</f>
        <v>3.819444444444442E-2</v>
      </c>
      <c r="R1003" s="20">
        <f>(SEGUIMIENTO_TPM_xlsx[[#This Row],[HORA REPORTE]]+SEGUIMIENTO_TPM_xlsx[[#This Row],[FECHA DE REPORTE]])</f>
        <v>46093.34375</v>
      </c>
      <c r="S1003" s="20">
        <f>(SEGUIMIENTO_TPM_xlsx[[#This Row],[FECHA DE INTERVENCÓN]]+SEGUIMIENTO_TPM_xlsx[[#This Row],[HORA FIN  INTERVENCIÓN]])</f>
        <v>46093.40625</v>
      </c>
      <c r="T1003" s="11">
        <f>(SEGUIMIENTO_TPM_xlsx[[#This Row],[FECHA Y HORA FINAL]]-SEGUIMIENTO_TPM_xlsx[[#This Row],[FECHA Y HORA INICIO]])</f>
        <v>6.25E-2</v>
      </c>
    </row>
    <row r="1004" spans="1:20" x14ac:dyDescent="0.25">
      <c r="A1004">
        <v>1012</v>
      </c>
      <c r="B1004" t="s">
        <v>132</v>
      </c>
      <c r="C1004" s="1">
        <v>0.26041666666666669</v>
      </c>
      <c r="D1004" s="2">
        <v>46093</v>
      </c>
      <c r="E1004" t="s">
        <v>91</v>
      </c>
      <c r="F1004" t="s">
        <v>18</v>
      </c>
      <c r="G1004" t="s">
        <v>1548</v>
      </c>
      <c r="H1004" s="1">
        <v>0.26041666666666669</v>
      </c>
      <c r="I1004" s="1">
        <v>0.3125</v>
      </c>
      <c r="J1004" s="2">
        <v>46093</v>
      </c>
      <c r="K1004" t="s">
        <v>25</v>
      </c>
      <c r="L1004" t="s">
        <v>1549</v>
      </c>
      <c r="M1004" t="s">
        <v>22</v>
      </c>
      <c r="N1004" t="s">
        <v>22</v>
      </c>
      <c r="O1004" t="s">
        <v>112</v>
      </c>
      <c r="P1004" t="s">
        <v>23</v>
      </c>
      <c r="Q1004" s="1">
        <f>SEGUIMIENTO_TPM_xlsx[[#This Row],[HORA FIN  INTERVENCIÓN]]-SEGUIMIENTO_TPM_xlsx[[#This Row],[HORA INICIO INTERVENCIÓN]]</f>
        <v>5.2083333333333315E-2</v>
      </c>
      <c r="R1004" s="20">
        <f>(SEGUIMIENTO_TPM_xlsx[[#This Row],[HORA REPORTE]]+SEGUIMIENTO_TPM_xlsx[[#This Row],[FECHA DE REPORTE]])</f>
        <v>46093.260416666664</v>
      </c>
      <c r="S1004" s="20">
        <f>(SEGUIMIENTO_TPM_xlsx[[#This Row],[FECHA DE INTERVENCÓN]]+SEGUIMIENTO_TPM_xlsx[[#This Row],[HORA FIN  INTERVENCIÓN]])</f>
        <v>46093.3125</v>
      </c>
      <c r="T1004" s="11">
        <f>(SEGUIMIENTO_TPM_xlsx[[#This Row],[FECHA Y HORA FINAL]]-SEGUIMIENTO_TPM_xlsx[[#This Row],[FECHA Y HORA INICIO]])</f>
        <v>5.2083333335758653E-2</v>
      </c>
    </row>
    <row r="1005" spans="1:20" x14ac:dyDescent="0.25">
      <c r="A1005">
        <v>1013</v>
      </c>
      <c r="B1005" t="s">
        <v>132</v>
      </c>
      <c r="C1005" s="1">
        <v>0.27083333333333331</v>
      </c>
      <c r="D1005" s="2">
        <v>46093</v>
      </c>
      <c r="E1005" t="s">
        <v>91</v>
      </c>
      <c r="F1005" t="s">
        <v>18</v>
      </c>
      <c r="G1005" t="s">
        <v>1550</v>
      </c>
      <c r="H1005" s="1">
        <v>0.3125</v>
      </c>
      <c r="I1005" s="1">
        <v>0.35416666666666669</v>
      </c>
      <c r="J1005" s="2">
        <v>46093</v>
      </c>
      <c r="K1005" t="s">
        <v>20</v>
      </c>
      <c r="L1005" t="s">
        <v>1551</v>
      </c>
      <c r="M1005" t="s">
        <v>22</v>
      </c>
      <c r="N1005" t="s">
        <v>22</v>
      </c>
      <c r="O1005" t="s">
        <v>112</v>
      </c>
      <c r="P1005" t="s">
        <v>23</v>
      </c>
      <c r="Q1005" s="1">
        <f>SEGUIMIENTO_TPM_xlsx[[#This Row],[HORA FIN  INTERVENCIÓN]]-SEGUIMIENTO_TPM_xlsx[[#This Row],[HORA INICIO INTERVENCIÓN]]</f>
        <v>4.1666666666666685E-2</v>
      </c>
      <c r="R1005" s="20">
        <f>(SEGUIMIENTO_TPM_xlsx[[#This Row],[HORA REPORTE]]+SEGUIMIENTO_TPM_xlsx[[#This Row],[FECHA DE REPORTE]])</f>
        <v>46093.270833333336</v>
      </c>
      <c r="S1005" s="20">
        <f>(SEGUIMIENTO_TPM_xlsx[[#This Row],[FECHA DE INTERVENCÓN]]+SEGUIMIENTO_TPM_xlsx[[#This Row],[HORA FIN  INTERVENCIÓN]])</f>
        <v>46093.354166666664</v>
      </c>
      <c r="T1005" s="11">
        <f>(SEGUIMIENTO_TPM_xlsx[[#This Row],[FECHA Y HORA FINAL]]-SEGUIMIENTO_TPM_xlsx[[#This Row],[FECHA Y HORA INICIO]])</f>
        <v>8.3333333328482695E-2</v>
      </c>
    </row>
    <row r="1006" spans="1:20" x14ac:dyDescent="0.25">
      <c r="A1006">
        <v>1014</v>
      </c>
      <c r="B1006" t="s">
        <v>341</v>
      </c>
      <c r="C1006" s="1">
        <v>0.6875</v>
      </c>
      <c r="D1006" s="2">
        <v>46093</v>
      </c>
      <c r="E1006" t="s">
        <v>143</v>
      </c>
      <c r="F1006" t="s">
        <v>18</v>
      </c>
      <c r="G1006" t="s">
        <v>1552</v>
      </c>
      <c r="H1006" s="1">
        <v>0.60416666666666663</v>
      </c>
      <c r="I1006" s="1">
        <v>0.875</v>
      </c>
      <c r="J1006" s="2">
        <v>46093</v>
      </c>
      <c r="K1006" t="s">
        <v>25</v>
      </c>
      <c r="L1006" t="s">
        <v>1553</v>
      </c>
      <c r="M1006" t="s">
        <v>22</v>
      </c>
      <c r="N1006" t="s">
        <v>22</v>
      </c>
      <c r="O1006" t="s">
        <v>44</v>
      </c>
      <c r="P1006" t="s">
        <v>23</v>
      </c>
      <c r="Q1006" s="1">
        <f>SEGUIMIENTO_TPM_xlsx[[#This Row],[HORA FIN  INTERVENCIÓN]]-SEGUIMIENTO_TPM_xlsx[[#This Row],[HORA INICIO INTERVENCIÓN]]</f>
        <v>0.27083333333333337</v>
      </c>
      <c r="R1006" s="20">
        <f>(SEGUIMIENTO_TPM_xlsx[[#This Row],[HORA REPORTE]]+SEGUIMIENTO_TPM_xlsx[[#This Row],[FECHA DE REPORTE]])</f>
        <v>46093.6875</v>
      </c>
      <c r="S1006" s="20">
        <f>(SEGUIMIENTO_TPM_xlsx[[#This Row],[FECHA DE INTERVENCÓN]]+SEGUIMIENTO_TPM_xlsx[[#This Row],[HORA FIN  INTERVENCIÓN]])</f>
        <v>46093.875</v>
      </c>
      <c r="T1006" s="11">
        <f>(SEGUIMIENTO_TPM_xlsx[[#This Row],[FECHA Y HORA FINAL]]-SEGUIMIENTO_TPM_xlsx[[#This Row],[FECHA Y HORA INICIO]])</f>
        <v>0.1875</v>
      </c>
    </row>
    <row r="1007" spans="1:20" x14ac:dyDescent="0.25">
      <c r="A1007">
        <v>1015</v>
      </c>
      <c r="B1007" t="s">
        <v>341</v>
      </c>
      <c r="C1007" s="1">
        <v>0.4375</v>
      </c>
      <c r="D1007" s="2">
        <v>46093</v>
      </c>
      <c r="E1007" t="s">
        <v>143</v>
      </c>
      <c r="F1007" t="s">
        <v>18</v>
      </c>
      <c r="G1007" t="s">
        <v>1554</v>
      </c>
      <c r="H1007" s="1">
        <v>0.45833333333333331</v>
      </c>
      <c r="I1007" s="1">
        <v>0.5625</v>
      </c>
      <c r="J1007" s="2">
        <v>46093</v>
      </c>
      <c r="K1007" t="s">
        <v>25</v>
      </c>
      <c r="L1007" t="s">
        <v>1555</v>
      </c>
      <c r="M1007" t="s">
        <v>1556</v>
      </c>
      <c r="N1007" t="s">
        <v>22</v>
      </c>
      <c r="O1007" t="s">
        <v>112</v>
      </c>
      <c r="P1007" t="s">
        <v>23</v>
      </c>
      <c r="Q1007" s="1">
        <f>SEGUIMIENTO_TPM_xlsx[[#This Row],[HORA FIN  INTERVENCIÓN]]-SEGUIMIENTO_TPM_xlsx[[#This Row],[HORA INICIO INTERVENCIÓN]]</f>
        <v>0.10416666666666669</v>
      </c>
      <c r="R1007" s="20">
        <f>(SEGUIMIENTO_TPM_xlsx[[#This Row],[HORA REPORTE]]+SEGUIMIENTO_TPM_xlsx[[#This Row],[FECHA DE REPORTE]])</f>
        <v>46093.4375</v>
      </c>
      <c r="S1007" s="20">
        <f>(SEGUIMIENTO_TPM_xlsx[[#This Row],[FECHA DE INTERVENCÓN]]+SEGUIMIENTO_TPM_xlsx[[#This Row],[HORA FIN  INTERVENCIÓN]])</f>
        <v>46093.5625</v>
      </c>
      <c r="T1007" s="11">
        <f>(SEGUIMIENTO_TPM_xlsx[[#This Row],[FECHA Y HORA FINAL]]-SEGUIMIENTO_TPM_xlsx[[#This Row],[FECHA Y HORA INICIO]])</f>
        <v>0.125</v>
      </c>
    </row>
    <row r="1008" spans="1:20" x14ac:dyDescent="0.25">
      <c r="A1008">
        <v>1016</v>
      </c>
      <c r="B1008" t="s">
        <v>206</v>
      </c>
      <c r="C1008" s="1">
        <v>0.96527777777777779</v>
      </c>
      <c r="D1008" s="2">
        <v>46093</v>
      </c>
      <c r="E1008" t="s">
        <v>116</v>
      </c>
      <c r="F1008" t="s">
        <v>18</v>
      </c>
      <c r="G1008" t="s">
        <v>1557</v>
      </c>
      <c r="H1008" s="1">
        <v>0.1111111111111111</v>
      </c>
      <c r="I1008" s="1">
        <v>0.15277777777777779</v>
      </c>
      <c r="J1008" s="2">
        <v>46094</v>
      </c>
      <c r="K1008" t="s">
        <v>1558</v>
      </c>
      <c r="L1008" t="s">
        <v>1559</v>
      </c>
      <c r="M1008" t="s">
        <v>22</v>
      </c>
      <c r="N1008" t="s">
        <v>22</v>
      </c>
      <c r="O1008" t="s">
        <v>661</v>
      </c>
      <c r="P1008" t="s">
        <v>23</v>
      </c>
      <c r="Q1008" s="1">
        <f>SEGUIMIENTO_TPM_xlsx[[#This Row],[HORA FIN  INTERVENCIÓN]]-SEGUIMIENTO_TPM_xlsx[[#This Row],[HORA INICIO INTERVENCIÓN]]</f>
        <v>4.1666666666666685E-2</v>
      </c>
      <c r="R1008" s="20">
        <f>(SEGUIMIENTO_TPM_xlsx[[#This Row],[HORA REPORTE]]+SEGUIMIENTO_TPM_xlsx[[#This Row],[FECHA DE REPORTE]])</f>
        <v>46093.965277777781</v>
      </c>
      <c r="S1008" s="20">
        <f>(SEGUIMIENTO_TPM_xlsx[[#This Row],[FECHA DE INTERVENCÓN]]+SEGUIMIENTO_TPM_xlsx[[#This Row],[HORA FIN  INTERVENCIÓN]])</f>
        <v>46094.152777777781</v>
      </c>
      <c r="T1008" s="11">
        <f>(SEGUIMIENTO_TPM_xlsx[[#This Row],[FECHA Y HORA FINAL]]-SEGUIMIENTO_TPM_xlsx[[#This Row],[FECHA Y HORA INICIO]])</f>
        <v>0.1875</v>
      </c>
    </row>
    <row r="1009" spans="1:20" x14ac:dyDescent="0.25">
      <c r="A1009">
        <v>1017</v>
      </c>
      <c r="C1009" s="1"/>
      <c r="D1009" s="2"/>
      <c r="H1009" s="1"/>
      <c r="I1009" s="1"/>
      <c r="J1009" s="2"/>
      <c r="Q1009" s="1">
        <f>SEGUIMIENTO_TPM_xlsx[[#This Row],[HORA FIN  INTERVENCIÓN]]-SEGUIMIENTO_TPM_xlsx[[#This Row],[HORA INICIO INTERVENCIÓN]]</f>
        <v>0</v>
      </c>
      <c r="R1009" s="20">
        <f>(SEGUIMIENTO_TPM_xlsx[[#This Row],[HORA REPORTE]]+SEGUIMIENTO_TPM_xlsx[[#This Row],[FECHA DE REPORTE]])</f>
        <v>0</v>
      </c>
      <c r="S1009" s="20">
        <f>(SEGUIMIENTO_TPM_xlsx[[#This Row],[FECHA DE INTERVENCÓN]]+SEGUIMIENTO_TPM_xlsx[[#This Row],[HORA FIN  INTERVENCIÓN]])</f>
        <v>0</v>
      </c>
      <c r="T1009" s="11">
        <f>(SEGUIMIENTO_TPM_xlsx[[#This Row],[FECHA Y HORA FINAL]]-SEGUIMIENTO_TPM_xlsx[[#This Row],[FECHA Y HORA INICIO]])</f>
        <v>0</v>
      </c>
    </row>
    <row r="1010" spans="1:20" x14ac:dyDescent="0.25">
      <c r="A1010">
        <v>1018</v>
      </c>
      <c r="B1010" t="s">
        <v>206</v>
      </c>
      <c r="C1010" s="1">
        <v>0.2986111111111111</v>
      </c>
      <c r="D1010" s="2">
        <v>46097</v>
      </c>
      <c r="E1010" t="s">
        <v>116</v>
      </c>
      <c r="F1010" t="s">
        <v>18</v>
      </c>
      <c r="G1010" t="s">
        <v>2042</v>
      </c>
      <c r="H1010" s="1">
        <v>0.30555555555555558</v>
      </c>
      <c r="I1010" s="1">
        <v>0.32291666666666669</v>
      </c>
      <c r="J1010" s="2">
        <v>46097</v>
      </c>
      <c r="K1010" t="s">
        <v>20</v>
      </c>
      <c r="L1010" t="s">
        <v>2043</v>
      </c>
      <c r="M1010" t="s">
        <v>22</v>
      </c>
      <c r="N1010" t="s">
        <v>22</v>
      </c>
      <c r="O1010" t="s">
        <v>661</v>
      </c>
      <c r="P1010" t="s">
        <v>33</v>
      </c>
      <c r="Q1010" s="1">
        <f>SEGUIMIENTO_TPM_xlsx[[#This Row],[HORA FIN  INTERVENCIÓN]]-SEGUIMIENTO_TPM_xlsx[[#This Row],[HORA INICIO INTERVENCIÓN]]</f>
        <v>1.7361111111111105E-2</v>
      </c>
      <c r="R1010" s="20">
        <f>(SEGUIMIENTO_TPM_xlsx[[#This Row],[HORA REPORTE]]+SEGUIMIENTO_TPM_xlsx[[#This Row],[FECHA DE REPORTE]])</f>
        <v>46097.298611111109</v>
      </c>
      <c r="S1010" s="20">
        <f>(SEGUIMIENTO_TPM_xlsx[[#This Row],[FECHA DE INTERVENCÓN]]+SEGUIMIENTO_TPM_xlsx[[#This Row],[HORA FIN  INTERVENCIÓN]])</f>
        <v>46097.322916666664</v>
      </c>
      <c r="T1010" s="11">
        <f>(SEGUIMIENTO_TPM_xlsx[[#This Row],[FECHA Y HORA FINAL]]-SEGUIMIENTO_TPM_xlsx[[#This Row],[FECHA Y HORA INICIO]])</f>
        <v>2.4305555554747116E-2</v>
      </c>
    </row>
    <row r="1011" spans="1:20" x14ac:dyDescent="0.25">
      <c r="A1011">
        <v>1019</v>
      </c>
      <c r="B1011" t="s">
        <v>1560</v>
      </c>
      <c r="C1011" s="1">
        <v>0.1388888888888889</v>
      </c>
      <c r="D1011" s="2">
        <v>46094</v>
      </c>
      <c r="E1011" t="s">
        <v>91</v>
      </c>
      <c r="F1011" t="s">
        <v>18</v>
      </c>
      <c r="G1011" t="s">
        <v>1561</v>
      </c>
      <c r="H1011" s="1">
        <v>0.1423611111111111</v>
      </c>
      <c r="I1011" s="1">
        <v>0.15277777777777779</v>
      </c>
      <c r="J1011" s="2">
        <v>46094</v>
      </c>
      <c r="K1011" t="s">
        <v>25</v>
      </c>
      <c r="L1011" t="s">
        <v>1562</v>
      </c>
      <c r="M1011" t="s">
        <v>1563</v>
      </c>
      <c r="N1011" t="s">
        <v>22</v>
      </c>
      <c r="O1011" t="s">
        <v>661</v>
      </c>
      <c r="P1011" t="s">
        <v>23</v>
      </c>
      <c r="Q1011" s="1">
        <f>SEGUIMIENTO_TPM_xlsx[[#This Row],[HORA FIN  INTERVENCIÓN]]-SEGUIMIENTO_TPM_xlsx[[#This Row],[HORA INICIO INTERVENCIÓN]]</f>
        <v>1.0416666666666685E-2</v>
      </c>
      <c r="R1011" s="20">
        <f>(SEGUIMIENTO_TPM_xlsx[[#This Row],[HORA REPORTE]]+SEGUIMIENTO_TPM_xlsx[[#This Row],[FECHA DE REPORTE]])</f>
        <v>46094.138888888891</v>
      </c>
      <c r="S1011" s="20">
        <f>(SEGUIMIENTO_TPM_xlsx[[#This Row],[FECHA DE INTERVENCÓN]]+SEGUIMIENTO_TPM_xlsx[[#This Row],[HORA FIN  INTERVENCIÓN]])</f>
        <v>46094.152777777781</v>
      </c>
      <c r="T1011" s="11">
        <f>(SEGUIMIENTO_TPM_xlsx[[#This Row],[FECHA Y HORA FINAL]]-SEGUIMIENTO_TPM_xlsx[[#This Row],[FECHA Y HORA INICIO]])</f>
        <v>1.3888888890505768E-2</v>
      </c>
    </row>
    <row r="1012" spans="1:20" x14ac:dyDescent="0.25">
      <c r="A1012">
        <v>1020</v>
      </c>
      <c r="B1012" t="s">
        <v>103</v>
      </c>
      <c r="C1012" s="1">
        <v>0.1875</v>
      </c>
      <c r="D1012" s="2">
        <v>46094</v>
      </c>
      <c r="E1012" t="s">
        <v>188</v>
      </c>
      <c r="F1012" t="s">
        <v>18</v>
      </c>
      <c r="G1012" t="s">
        <v>1579</v>
      </c>
      <c r="H1012" s="1">
        <v>0.16666666666666666</v>
      </c>
      <c r="I1012" s="1">
        <v>0.30555555555555558</v>
      </c>
      <c r="J1012" s="2">
        <v>46094</v>
      </c>
      <c r="K1012" t="s">
        <v>25</v>
      </c>
      <c r="L1012" t="s">
        <v>1580</v>
      </c>
      <c r="M1012" t="s">
        <v>1581</v>
      </c>
      <c r="N1012" t="s">
        <v>22</v>
      </c>
      <c r="O1012" t="s">
        <v>112</v>
      </c>
      <c r="P1012" t="s">
        <v>23</v>
      </c>
      <c r="Q1012" s="1">
        <f>SEGUIMIENTO_TPM_xlsx[[#This Row],[HORA FIN  INTERVENCIÓN]]-SEGUIMIENTO_TPM_xlsx[[#This Row],[HORA INICIO INTERVENCIÓN]]</f>
        <v>0.13888888888888892</v>
      </c>
      <c r="R1012" s="20">
        <f>(SEGUIMIENTO_TPM_xlsx[[#This Row],[HORA REPORTE]]+SEGUIMIENTO_TPM_xlsx[[#This Row],[FECHA DE REPORTE]])</f>
        <v>46094.1875</v>
      </c>
      <c r="S1012" s="20">
        <f>(SEGUIMIENTO_TPM_xlsx[[#This Row],[FECHA DE INTERVENCÓN]]+SEGUIMIENTO_TPM_xlsx[[#This Row],[HORA FIN  INTERVENCIÓN]])</f>
        <v>46094.305555555555</v>
      </c>
      <c r="T1012" s="11">
        <f>(SEGUIMIENTO_TPM_xlsx[[#This Row],[FECHA Y HORA FINAL]]-SEGUIMIENTO_TPM_xlsx[[#This Row],[FECHA Y HORA INICIO]])</f>
        <v>0.11805555555474712</v>
      </c>
    </row>
    <row r="1013" spans="1:20" x14ac:dyDescent="0.25">
      <c r="A1013">
        <v>1021</v>
      </c>
      <c r="B1013" t="s">
        <v>113</v>
      </c>
      <c r="C1013" s="1">
        <v>0.22222222222222221</v>
      </c>
      <c r="D1013" s="2">
        <v>46094</v>
      </c>
      <c r="E1013" t="s">
        <v>91</v>
      </c>
      <c r="F1013" t="s">
        <v>18</v>
      </c>
      <c r="G1013" t="s">
        <v>1582</v>
      </c>
      <c r="H1013" s="1">
        <v>0.22291666666666668</v>
      </c>
      <c r="I1013" s="1">
        <v>0.2638888888888889</v>
      </c>
      <c r="J1013" s="2">
        <v>46094</v>
      </c>
      <c r="K1013" t="s">
        <v>25</v>
      </c>
      <c r="L1013" t="s">
        <v>1583</v>
      </c>
      <c r="M1013" t="s">
        <v>22</v>
      </c>
      <c r="N1013" t="s">
        <v>22</v>
      </c>
      <c r="O1013" t="s">
        <v>112</v>
      </c>
      <c r="P1013" t="s">
        <v>23</v>
      </c>
      <c r="Q1013" s="1">
        <f>SEGUIMIENTO_TPM_xlsx[[#This Row],[HORA FIN  INTERVENCIÓN]]-SEGUIMIENTO_TPM_xlsx[[#This Row],[HORA INICIO INTERVENCIÓN]]</f>
        <v>4.0972222222222215E-2</v>
      </c>
      <c r="R1013" s="20">
        <f>(SEGUIMIENTO_TPM_xlsx[[#This Row],[HORA REPORTE]]+SEGUIMIENTO_TPM_xlsx[[#This Row],[FECHA DE REPORTE]])</f>
        <v>46094.222222222219</v>
      </c>
      <c r="S1013" s="20">
        <f>(SEGUIMIENTO_TPM_xlsx[[#This Row],[FECHA DE INTERVENCÓN]]+SEGUIMIENTO_TPM_xlsx[[#This Row],[HORA FIN  INTERVENCIÓN]])</f>
        <v>46094.263888888891</v>
      </c>
      <c r="T1013" s="11">
        <f>(SEGUIMIENTO_TPM_xlsx[[#This Row],[FECHA Y HORA FINAL]]-SEGUIMIENTO_TPM_xlsx[[#This Row],[FECHA Y HORA INICIO]])</f>
        <v>4.1666666671517305E-2</v>
      </c>
    </row>
    <row r="1014" spans="1:20" x14ac:dyDescent="0.25">
      <c r="A1014">
        <v>1022</v>
      </c>
      <c r="B1014" t="s">
        <v>176</v>
      </c>
      <c r="C1014" s="1">
        <v>0.55902777777777779</v>
      </c>
      <c r="D1014" s="2">
        <v>46094</v>
      </c>
      <c r="E1014" t="s">
        <v>94</v>
      </c>
      <c r="F1014" t="s">
        <v>650</v>
      </c>
      <c r="G1014" t="s">
        <v>1584</v>
      </c>
      <c r="H1014" s="1">
        <v>0.59375</v>
      </c>
      <c r="I1014" s="1">
        <v>0.60416666666666663</v>
      </c>
      <c r="J1014" s="2">
        <v>46094</v>
      </c>
      <c r="K1014" t="s">
        <v>25</v>
      </c>
      <c r="L1014" t="s">
        <v>1585</v>
      </c>
      <c r="M1014" t="s">
        <v>22</v>
      </c>
      <c r="N1014" t="s">
        <v>22</v>
      </c>
      <c r="O1014" t="s">
        <v>44</v>
      </c>
      <c r="P1014" t="s">
        <v>23</v>
      </c>
      <c r="Q1014" s="1">
        <f>SEGUIMIENTO_TPM_xlsx[[#This Row],[HORA FIN  INTERVENCIÓN]]-SEGUIMIENTO_TPM_xlsx[[#This Row],[HORA INICIO INTERVENCIÓN]]</f>
        <v>1.041666666666663E-2</v>
      </c>
      <c r="R1014" s="20">
        <f>(SEGUIMIENTO_TPM_xlsx[[#This Row],[HORA REPORTE]]+SEGUIMIENTO_TPM_xlsx[[#This Row],[FECHA DE REPORTE]])</f>
        <v>46094.559027777781</v>
      </c>
      <c r="S1014" s="20">
        <f>(SEGUIMIENTO_TPM_xlsx[[#This Row],[FECHA DE INTERVENCÓN]]+SEGUIMIENTO_TPM_xlsx[[#This Row],[HORA FIN  INTERVENCIÓN]])</f>
        <v>46094.604166666664</v>
      </c>
      <c r="T1014" s="11">
        <f>(SEGUIMIENTO_TPM_xlsx[[#This Row],[FECHA Y HORA FINAL]]-SEGUIMIENTO_TPM_xlsx[[#This Row],[FECHA Y HORA INICIO]])</f>
        <v>4.5138888883229811E-2</v>
      </c>
    </row>
    <row r="1015" spans="1:20" x14ac:dyDescent="0.25">
      <c r="A1015">
        <v>1023</v>
      </c>
      <c r="B1015" t="s">
        <v>385</v>
      </c>
      <c r="C1015" s="1">
        <v>0.70833333333333337</v>
      </c>
      <c r="D1015" s="2">
        <v>46094</v>
      </c>
      <c r="E1015" t="s">
        <v>185</v>
      </c>
      <c r="F1015" t="s">
        <v>18</v>
      </c>
      <c r="G1015" t="s">
        <v>1586</v>
      </c>
      <c r="H1015" s="1">
        <v>0.72916666666666663</v>
      </c>
      <c r="I1015" s="1">
        <v>0.8125</v>
      </c>
      <c r="J1015" s="2">
        <v>46094</v>
      </c>
      <c r="K1015" t="s">
        <v>25</v>
      </c>
      <c r="L1015" t="s">
        <v>1587</v>
      </c>
      <c r="M1015" t="s">
        <v>22</v>
      </c>
      <c r="N1015" t="s">
        <v>22</v>
      </c>
      <c r="O1015" t="s">
        <v>44</v>
      </c>
      <c r="P1015" t="s">
        <v>23</v>
      </c>
      <c r="Q1015" s="1">
        <f>SEGUIMIENTO_TPM_xlsx[[#This Row],[HORA FIN  INTERVENCIÓN]]-SEGUIMIENTO_TPM_xlsx[[#This Row],[HORA INICIO INTERVENCIÓN]]</f>
        <v>8.333333333333337E-2</v>
      </c>
      <c r="R1015" s="20">
        <f>(SEGUIMIENTO_TPM_xlsx[[#This Row],[HORA REPORTE]]+SEGUIMIENTO_TPM_xlsx[[#This Row],[FECHA DE REPORTE]])</f>
        <v>46094.708333333336</v>
      </c>
      <c r="S1015" s="20">
        <f>(SEGUIMIENTO_TPM_xlsx[[#This Row],[FECHA DE INTERVENCÓN]]+SEGUIMIENTO_TPM_xlsx[[#This Row],[HORA FIN  INTERVENCIÓN]])</f>
        <v>46094.8125</v>
      </c>
      <c r="T1015" s="11">
        <f>(SEGUIMIENTO_TPM_xlsx[[#This Row],[FECHA Y HORA FINAL]]-SEGUIMIENTO_TPM_xlsx[[#This Row],[FECHA Y HORA INICIO]])</f>
        <v>0.10416666666424135</v>
      </c>
    </row>
    <row r="1016" spans="1:20" x14ac:dyDescent="0.25">
      <c r="A1016">
        <v>1024</v>
      </c>
      <c r="C1016" s="1"/>
      <c r="D1016" s="2"/>
      <c r="H1016" s="1"/>
      <c r="I1016" s="1"/>
      <c r="J1016" s="2"/>
      <c r="Q1016" s="1">
        <f>SEGUIMIENTO_TPM_xlsx[[#This Row],[HORA FIN  INTERVENCIÓN]]-SEGUIMIENTO_TPM_xlsx[[#This Row],[HORA INICIO INTERVENCIÓN]]</f>
        <v>0</v>
      </c>
      <c r="R1016" s="20">
        <f>(SEGUIMIENTO_TPM_xlsx[[#This Row],[HORA REPORTE]]+SEGUIMIENTO_TPM_xlsx[[#This Row],[FECHA DE REPORTE]])</f>
        <v>0</v>
      </c>
      <c r="S1016" s="20">
        <f>(SEGUIMIENTO_TPM_xlsx[[#This Row],[FECHA DE INTERVENCÓN]]+SEGUIMIENTO_TPM_xlsx[[#This Row],[HORA FIN  INTERVENCIÓN]])</f>
        <v>0</v>
      </c>
      <c r="T1016" s="11">
        <f>(SEGUIMIENTO_TPM_xlsx[[#This Row],[FECHA Y HORA FINAL]]-SEGUIMIENTO_TPM_xlsx[[#This Row],[FECHA Y HORA INICIO]])</f>
        <v>0</v>
      </c>
    </row>
    <row r="1017" spans="1:20" x14ac:dyDescent="0.25">
      <c r="A1017">
        <v>1025</v>
      </c>
      <c r="B1017" t="s">
        <v>1705</v>
      </c>
      <c r="C1017" s="1">
        <v>0.56805555555555554</v>
      </c>
      <c r="D1017" s="2">
        <v>46095</v>
      </c>
      <c r="E1017" t="s">
        <v>143</v>
      </c>
      <c r="F1017" t="s">
        <v>18</v>
      </c>
      <c r="G1017" t="s">
        <v>1706</v>
      </c>
      <c r="H1017" s="1"/>
      <c r="I1017" s="1"/>
      <c r="J1017" s="2"/>
      <c r="P1017" t="s">
        <v>33</v>
      </c>
      <c r="Q1017" s="1">
        <f>SEGUIMIENTO_TPM_xlsx[[#This Row],[HORA FIN  INTERVENCIÓN]]-SEGUIMIENTO_TPM_xlsx[[#This Row],[HORA INICIO INTERVENCIÓN]]</f>
        <v>0</v>
      </c>
      <c r="R1017" s="20">
        <f>(SEGUIMIENTO_TPM_xlsx[[#This Row],[HORA REPORTE]]+SEGUIMIENTO_TPM_xlsx[[#This Row],[FECHA DE REPORTE]])</f>
        <v>46095.568055555559</v>
      </c>
      <c r="S1017" s="20">
        <f>(SEGUIMIENTO_TPM_xlsx[[#This Row],[FECHA DE INTERVENCÓN]]+SEGUIMIENTO_TPM_xlsx[[#This Row],[HORA FIN  INTERVENCIÓN]])</f>
        <v>0</v>
      </c>
      <c r="T1017" s="11">
        <f>(SEGUIMIENTO_TPM_xlsx[[#This Row],[FECHA Y HORA FINAL]]-SEGUIMIENTO_TPM_xlsx[[#This Row],[FECHA Y HORA INICIO]])</f>
        <v>-46095.568055555559</v>
      </c>
    </row>
    <row r="1018" spans="1:20" x14ac:dyDescent="0.25">
      <c r="A1018">
        <v>1026</v>
      </c>
      <c r="B1018" t="s">
        <v>385</v>
      </c>
      <c r="C1018" s="1">
        <v>0.90625</v>
      </c>
      <c r="D1018" s="2">
        <v>46095</v>
      </c>
      <c r="E1018" t="s">
        <v>94</v>
      </c>
      <c r="F1018" t="s">
        <v>18</v>
      </c>
      <c r="G1018" t="s">
        <v>1588</v>
      </c>
      <c r="H1018" s="1">
        <v>0.90972222222222221</v>
      </c>
      <c r="I1018" s="1">
        <v>8.3333333333333329E-2</v>
      </c>
      <c r="J1018" s="2">
        <v>46096</v>
      </c>
      <c r="K1018" t="s">
        <v>25</v>
      </c>
      <c r="L1018" t="s">
        <v>1589</v>
      </c>
      <c r="M1018" t="s">
        <v>22</v>
      </c>
      <c r="N1018" t="s">
        <v>22</v>
      </c>
      <c r="O1018" t="s">
        <v>108</v>
      </c>
      <c r="P1018" t="s">
        <v>23</v>
      </c>
      <c r="Q1018" s="1">
        <f>SEGUIMIENTO_TPM_xlsx[[#This Row],[HORA FIN  INTERVENCIÓN]]-SEGUIMIENTO_TPM_xlsx[[#This Row],[HORA INICIO INTERVENCIÓN]]</f>
        <v>-0.82638888888888884</v>
      </c>
      <c r="R1018" s="20">
        <f>(SEGUIMIENTO_TPM_xlsx[[#This Row],[HORA REPORTE]]+SEGUIMIENTO_TPM_xlsx[[#This Row],[FECHA DE REPORTE]])</f>
        <v>46095.90625</v>
      </c>
      <c r="S1018" s="20">
        <f>(SEGUIMIENTO_TPM_xlsx[[#This Row],[FECHA DE INTERVENCÓN]]+SEGUIMIENTO_TPM_xlsx[[#This Row],[HORA FIN  INTERVENCIÓN]])</f>
        <v>46096.083333333336</v>
      </c>
      <c r="T1018" s="11">
        <f>(SEGUIMIENTO_TPM_xlsx[[#This Row],[FECHA Y HORA FINAL]]-SEGUIMIENTO_TPM_xlsx[[#This Row],[FECHA Y HORA INICIO]])</f>
        <v>0.17708333333575865</v>
      </c>
    </row>
    <row r="1019" spans="1:20" x14ac:dyDescent="0.25">
      <c r="A1019">
        <v>1027</v>
      </c>
      <c r="B1019" t="s">
        <v>206</v>
      </c>
      <c r="C1019" s="1">
        <v>0.91666666666666663</v>
      </c>
      <c r="D1019" s="2">
        <v>46095</v>
      </c>
      <c r="E1019" t="s">
        <v>109</v>
      </c>
      <c r="F1019" t="s">
        <v>650</v>
      </c>
      <c r="G1019" t="s">
        <v>2044</v>
      </c>
      <c r="H1019" s="1">
        <v>0.91666666666666663</v>
      </c>
      <c r="I1019" s="1">
        <v>0.23958333333333334</v>
      </c>
      <c r="J1019" s="2">
        <v>46096</v>
      </c>
      <c r="K1019" t="s">
        <v>20</v>
      </c>
      <c r="L1019" t="s">
        <v>2045</v>
      </c>
      <c r="M1019" t="s">
        <v>22</v>
      </c>
      <c r="N1019" t="s">
        <v>22</v>
      </c>
      <c r="O1019" t="s">
        <v>108</v>
      </c>
      <c r="P1019" t="s">
        <v>33</v>
      </c>
      <c r="Q1019" s="1">
        <f>SEGUIMIENTO_TPM_xlsx[[#This Row],[HORA FIN  INTERVENCIÓN]]-SEGUIMIENTO_TPM_xlsx[[#This Row],[HORA INICIO INTERVENCIÓN]]</f>
        <v>-0.67708333333333326</v>
      </c>
      <c r="R1019" s="20">
        <f>(SEGUIMIENTO_TPM_xlsx[[#This Row],[HORA REPORTE]]+SEGUIMIENTO_TPM_xlsx[[#This Row],[FECHA DE REPORTE]])</f>
        <v>46095.916666666664</v>
      </c>
      <c r="S1019" s="20">
        <f>(SEGUIMIENTO_TPM_xlsx[[#This Row],[FECHA DE INTERVENCÓN]]+SEGUIMIENTO_TPM_xlsx[[#This Row],[HORA FIN  INTERVENCIÓN]])</f>
        <v>46096.239583333336</v>
      </c>
      <c r="T1019" s="11">
        <f>(SEGUIMIENTO_TPM_xlsx[[#This Row],[FECHA Y HORA FINAL]]-SEGUIMIENTO_TPM_xlsx[[#This Row],[FECHA Y HORA INICIO]])</f>
        <v>0.32291666667151731</v>
      </c>
    </row>
    <row r="1020" spans="1:20" x14ac:dyDescent="0.25">
      <c r="A1020">
        <v>1028</v>
      </c>
      <c r="B1020" t="s">
        <v>199</v>
      </c>
      <c r="C1020" s="1">
        <v>0.23958333333333334</v>
      </c>
      <c r="D1020" s="2">
        <v>46096</v>
      </c>
      <c r="E1020" t="s">
        <v>188</v>
      </c>
      <c r="F1020" t="s">
        <v>18</v>
      </c>
      <c r="G1020" t="s">
        <v>1590</v>
      </c>
      <c r="H1020" s="1">
        <v>0.25694444444444442</v>
      </c>
      <c r="I1020" s="1">
        <v>0.58333333333333337</v>
      </c>
      <c r="J1020" s="2">
        <v>46096</v>
      </c>
      <c r="K1020" t="s">
        <v>25</v>
      </c>
      <c r="L1020" t="s">
        <v>1591</v>
      </c>
      <c r="M1020" t="s">
        <v>22</v>
      </c>
      <c r="N1020" t="s">
        <v>1349</v>
      </c>
      <c r="O1020" t="s">
        <v>44</v>
      </c>
      <c r="P1020" t="s">
        <v>23</v>
      </c>
      <c r="Q1020" s="1">
        <f>SEGUIMIENTO_TPM_xlsx[[#This Row],[HORA FIN  INTERVENCIÓN]]-SEGUIMIENTO_TPM_xlsx[[#This Row],[HORA INICIO INTERVENCIÓN]]</f>
        <v>0.32638888888888895</v>
      </c>
      <c r="R1020" s="20">
        <f>(SEGUIMIENTO_TPM_xlsx[[#This Row],[HORA REPORTE]]+SEGUIMIENTO_TPM_xlsx[[#This Row],[FECHA DE REPORTE]])</f>
        <v>46096.239583333336</v>
      </c>
      <c r="S1020" s="20">
        <f>(SEGUIMIENTO_TPM_xlsx[[#This Row],[FECHA DE INTERVENCÓN]]+SEGUIMIENTO_TPM_xlsx[[#This Row],[HORA FIN  INTERVENCIÓN]])</f>
        <v>46096.583333333336</v>
      </c>
      <c r="T1020" s="11">
        <f>(SEGUIMIENTO_TPM_xlsx[[#This Row],[FECHA Y HORA FINAL]]-SEGUIMIENTO_TPM_xlsx[[#This Row],[FECHA Y HORA INICIO]])</f>
        <v>0.34375</v>
      </c>
    </row>
    <row r="1021" spans="1:20" x14ac:dyDescent="0.25">
      <c r="A1021">
        <v>1029</v>
      </c>
      <c r="C1021" s="1"/>
      <c r="D1021" s="2"/>
      <c r="H1021" s="1"/>
      <c r="I1021" s="1"/>
      <c r="J1021" s="2"/>
      <c r="Q1021" s="1">
        <f>SEGUIMIENTO_TPM_xlsx[[#This Row],[HORA FIN  INTERVENCIÓN]]-SEGUIMIENTO_TPM_xlsx[[#This Row],[HORA INICIO INTERVENCIÓN]]</f>
        <v>0</v>
      </c>
      <c r="R1021" s="20">
        <f>(SEGUIMIENTO_TPM_xlsx[[#This Row],[HORA REPORTE]]+SEGUIMIENTO_TPM_xlsx[[#This Row],[FECHA DE REPORTE]])</f>
        <v>0</v>
      </c>
      <c r="S1021" s="20">
        <f>(SEGUIMIENTO_TPM_xlsx[[#This Row],[FECHA DE INTERVENCÓN]]+SEGUIMIENTO_TPM_xlsx[[#This Row],[HORA FIN  INTERVENCIÓN]])</f>
        <v>0</v>
      </c>
      <c r="T1021" s="11">
        <f>(SEGUIMIENTO_TPM_xlsx[[#This Row],[FECHA Y HORA FINAL]]-SEGUIMIENTO_TPM_xlsx[[#This Row],[FECHA Y HORA INICIO]])</f>
        <v>0</v>
      </c>
    </row>
    <row r="1022" spans="1:20" x14ac:dyDescent="0.25">
      <c r="A1022">
        <v>1030</v>
      </c>
      <c r="B1022" t="s">
        <v>1352</v>
      </c>
      <c r="C1022" s="1">
        <v>0.31944444444444442</v>
      </c>
      <c r="D1022" s="2">
        <v>46096</v>
      </c>
      <c r="E1022" t="s">
        <v>143</v>
      </c>
      <c r="F1022" t="s">
        <v>18</v>
      </c>
      <c r="G1022" t="s">
        <v>1592</v>
      </c>
      <c r="H1022" s="1">
        <v>0.31944444444444442</v>
      </c>
      <c r="I1022" s="1">
        <v>0.34027777777777779</v>
      </c>
      <c r="J1022" s="2">
        <v>46096</v>
      </c>
      <c r="K1022" t="s">
        <v>25</v>
      </c>
      <c r="L1022" t="s">
        <v>1593</v>
      </c>
      <c r="M1022" t="s">
        <v>22</v>
      </c>
      <c r="N1022" t="s">
        <v>22</v>
      </c>
      <c r="O1022" t="s">
        <v>44</v>
      </c>
      <c r="P1022" t="s">
        <v>23</v>
      </c>
      <c r="Q1022" s="1">
        <f>SEGUIMIENTO_TPM_xlsx[[#This Row],[HORA FIN  INTERVENCIÓN]]-SEGUIMIENTO_TPM_xlsx[[#This Row],[HORA INICIO INTERVENCIÓN]]</f>
        <v>2.083333333333337E-2</v>
      </c>
      <c r="R1022" s="20">
        <f>(SEGUIMIENTO_TPM_xlsx[[#This Row],[HORA REPORTE]]+SEGUIMIENTO_TPM_xlsx[[#This Row],[FECHA DE REPORTE]])</f>
        <v>46096.319444444445</v>
      </c>
      <c r="S1022" s="20">
        <f>(SEGUIMIENTO_TPM_xlsx[[#This Row],[FECHA DE INTERVENCÓN]]+SEGUIMIENTO_TPM_xlsx[[#This Row],[HORA FIN  INTERVENCIÓN]])</f>
        <v>46096.340277777781</v>
      </c>
      <c r="T1022" s="11">
        <f>(SEGUIMIENTO_TPM_xlsx[[#This Row],[FECHA Y HORA FINAL]]-SEGUIMIENTO_TPM_xlsx[[#This Row],[FECHA Y HORA INICIO]])</f>
        <v>2.0833333335758653E-2</v>
      </c>
    </row>
    <row r="1023" spans="1:20" x14ac:dyDescent="0.25">
      <c r="A1023">
        <v>1031</v>
      </c>
      <c r="B1023" t="s">
        <v>103</v>
      </c>
      <c r="C1023" s="1">
        <v>0.58333333333333337</v>
      </c>
      <c r="D1023" s="2">
        <v>46096</v>
      </c>
      <c r="E1023" t="s">
        <v>188</v>
      </c>
      <c r="F1023" t="s">
        <v>18</v>
      </c>
      <c r="G1023" t="s">
        <v>1595</v>
      </c>
      <c r="H1023" s="1">
        <v>0.58333333333333337</v>
      </c>
      <c r="I1023" s="1">
        <v>0.875</v>
      </c>
      <c r="J1023" s="2">
        <v>46096</v>
      </c>
      <c r="K1023" t="s">
        <v>25</v>
      </c>
      <c r="L1023" t="s">
        <v>1596</v>
      </c>
      <c r="M1023" t="s">
        <v>22</v>
      </c>
      <c r="N1023" t="s">
        <v>22</v>
      </c>
      <c r="O1023" t="s">
        <v>108</v>
      </c>
      <c r="P1023" t="s">
        <v>23</v>
      </c>
      <c r="Q1023" s="1">
        <f>SEGUIMIENTO_TPM_xlsx[[#This Row],[HORA FIN  INTERVENCIÓN]]-SEGUIMIENTO_TPM_xlsx[[#This Row],[HORA INICIO INTERVENCIÓN]]</f>
        <v>0.29166666666666663</v>
      </c>
      <c r="R1023" s="20">
        <f>(SEGUIMIENTO_TPM_xlsx[[#This Row],[HORA REPORTE]]+SEGUIMIENTO_TPM_xlsx[[#This Row],[FECHA DE REPORTE]])</f>
        <v>46096.583333333336</v>
      </c>
      <c r="S1023" s="20">
        <f>(SEGUIMIENTO_TPM_xlsx[[#This Row],[FECHA DE INTERVENCÓN]]+SEGUIMIENTO_TPM_xlsx[[#This Row],[HORA FIN  INTERVENCIÓN]])</f>
        <v>46096.875</v>
      </c>
      <c r="T1023" s="11">
        <f>(SEGUIMIENTO_TPM_xlsx[[#This Row],[FECHA Y HORA FINAL]]-SEGUIMIENTO_TPM_xlsx[[#This Row],[FECHA Y HORA INICIO]])</f>
        <v>0.29166666666424135</v>
      </c>
    </row>
    <row r="1024" spans="1:20" x14ac:dyDescent="0.25">
      <c r="A1024">
        <v>1032</v>
      </c>
      <c r="B1024" t="s">
        <v>199</v>
      </c>
      <c r="C1024" s="1">
        <v>0.27083333333333331</v>
      </c>
      <c r="D1024" s="2">
        <v>46097</v>
      </c>
      <c r="E1024" t="s">
        <v>104</v>
      </c>
      <c r="F1024" t="s">
        <v>18</v>
      </c>
      <c r="G1024" t="s">
        <v>1597</v>
      </c>
      <c r="H1024" s="1">
        <v>0.29166666666666669</v>
      </c>
      <c r="I1024" s="1">
        <v>0.32291666666666669</v>
      </c>
      <c r="J1024" s="2">
        <v>46097</v>
      </c>
      <c r="K1024" t="s">
        <v>20</v>
      </c>
      <c r="L1024" t="s">
        <v>1598</v>
      </c>
      <c r="M1024" t="s">
        <v>1599</v>
      </c>
      <c r="N1024" t="s">
        <v>22</v>
      </c>
      <c r="O1024" t="s">
        <v>112</v>
      </c>
      <c r="P1024" t="s">
        <v>23</v>
      </c>
      <c r="Q1024" s="1">
        <f>SEGUIMIENTO_TPM_xlsx[[#This Row],[HORA FIN  INTERVENCIÓN]]-SEGUIMIENTO_TPM_xlsx[[#This Row],[HORA INICIO INTERVENCIÓN]]</f>
        <v>3.125E-2</v>
      </c>
      <c r="R1024" s="20">
        <f>(SEGUIMIENTO_TPM_xlsx[[#This Row],[HORA REPORTE]]+SEGUIMIENTO_TPM_xlsx[[#This Row],[FECHA DE REPORTE]])</f>
        <v>46097.270833333336</v>
      </c>
      <c r="S1024" s="20">
        <f>(SEGUIMIENTO_TPM_xlsx[[#This Row],[FECHA DE INTERVENCÓN]]+SEGUIMIENTO_TPM_xlsx[[#This Row],[HORA FIN  INTERVENCIÓN]])</f>
        <v>46097.322916666664</v>
      </c>
      <c r="T1024" s="11">
        <f>(SEGUIMIENTO_TPM_xlsx[[#This Row],[FECHA Y HORA FINAL]]-SEGUIMIENTO_TPM_xlsx[[#This Row],[FECHA Y HORA INICIO]])</f>
        <v>5.2083333328482695E-2</v>
      </c>
    </row>
    <row r="1025" spans="1:20" x14ac:dyDescent="0.25">
      <c r="A1025">
        <v>1033</v>
      </c>
      <c r="C1025" s="1"/>
      <c r="D1025" s="2"/>
      <c r="H1025" s="1"/>
      <c r="I1025" s="1"/>
      <c r="J1025" s="2"/>
      <c r="Q1025" s="1">
        <f>SEGUIMIENTO_TPM_xlsx[[#This Row],[HORA FIN  INTERVENCIÓN]]-SEGUIMIENTO_TPM_xlsx[[#This Row],[HORA INICIO INTERVENCIÓN]]</f>
        <v>0</v>
      </c>
      <c r="R1025" s="20">
        <f>(SEGUIMIENTO_TPM_xlsx[[#This Row],[HORA REPORTE]]+SEGUIMIENTO_TPM_xlsx[[#This Row],[FECHA DE REPORTE]])</f>
        <v>0</v>
      </c>
      <c r="S1025" s="20">
        <f>(SEGUIMIENTO_TPM_xlsx[[#This Row],[FECHA DE INTERVENCÓN]]+SEGUIMIENTO_TPM_xlsx[[#This Row],[HORA FIN  INTERVENCIÓN]])</f>
        <v>0</v>
      </c>
      <c r="T1025" s="11">
        <f>(SEGUIMIENTO_TPM_xlsx[[#This Row],[FECHA Y HORA FINAL]]-SEGUIMIENTO_TPM_xlsx[[#This Row],[FECHA Y HORA INICIO]])</f>
        <v>0</v>
      </c>
    </row>
    <row r="1026" spans="1:20" x14ac:dyDescent="0.25">
      <c r="A1026">
        <v>1034</v>
      </c>
      <c r="B1026" t="s">
        <v>206</v>
      </c>
      <c r="C1026" s="1">
        <v>0.4236111111111111</v>
      </c>
      <c r="D1026" s="2">
        <v>46097</v>
      </c>
      <c r="E1026" t="s">
        <v>116</v>
      </c>
      <c r="F1026" t="s">
        <v>18</v>
      </c>
      <c r="G1026" t="s">
        <v>1604</v>
      </c>
      <c r="H1026" s="1">
        <v>0.4236111111111111</v>
      </c>
      <c r="I1026" s="1">
        <v>0.4375</v>
      </c>
      <c r="J1026" s="2">
        <v>46097</v>
      </c>
      <c r="K1026" t="s">
        <v>20</v>
      </c>
      <c r="L1026" t="s">
        <v>1605</v>
      </c>
      <c r="M1026" t="s">
        <v>22</v>
      </c>
      <c r="N1026" t="s">
        <v>22</v>
      </c>
      <c r="O1026" t="s">
        <v>112</v>
      </c>
      <c r="P1026" t="s">
        <v>23</v>
      </c>
      <c r="Q1026" s="1">
        <f>SEGUIMIENTO_TPM_xlsx[[#This Row],[HORA FIN  INTERVENCIÓN]]-SEGUIMIENTO_TPM_xlsx[[#This Row],[HORA INICIO INTERVENCIÓN]]</f>
        <v>1.3888888888888895E-2</v>
      </c>
      <c r="R1026" s="20">
        <f>(SEGUIMIENTO_TPM_xlsx[[#This Row],[HORA REPORTE]]+SEGUIMIENTO_TPM_xlsx[[#This Row],[FECHA DE REPORTE]])</f>
        <v>46097.423611111109</v>
      </c>
      <c r="S1026" s="20">
        <f>(SEGUIMIENTO_TPM_xlsx[[#This Row],[FECHA DE INTERVENCÓN]]+SEGUIMIENTO_TPM_xlsx[[#This Row],[HORA FIN  INTERVENCIÓN]])</f>
        <v>46097.4375</v>
      </c>
      <c r="T1026" s="11">
        <f>(SEGUIMIENTO_TPM_xlsx[[#This Row],[FECHA Y HORA FINAL]]-SEGUIMIENTO_TPM_xlsx[[#This Row],[FECHA Y HORA INICIO]])</f>
        <v>1.3888888890505768E-2</v>
      </c>
    </row>
    <row r="1027" spans="1:20" x14ac:dyDescent="0.25">
      <c r="A1027">
        <v>1035</v>
      </c>
      <c r="C1027" s="1"/>
      <c r="D1027" s="2"/>
      <c r="H1027" s="1"/>
      <c r="I1027" s="1"/>
      <c r="J1027" s="2"/>
      <c r="Q1027" s="1">
        <f>SEGUIMIENTO_TPM_xlsx[[#This Row],[HORA FIN  INTERVENCIÓN]]-SEGUIMIENTO_TPM_xlsx[[#This Row],[HORA INICIO INTERVENCIÓN]]</f>
        <v>0</v>
      </c>
      <c r="R1027" s="20">
        <f>(SEGUIMIENTO_TPM_xlsx[[#This Row],[HORA REPORTE]]+SEGUIMIENTO_TPM_xlsx[[#This Row],[FECHA DE REPORTE]])</f>
        <v>0</v>
      </c>
      <c r="S1027" s="20">
        <f>(SEGUIMIENTO_TPM_xlsx[[#This Row],[FECHA DE INTERVENCÓN]]+SEGUIMIENTO_TPM_xlsx[[#This Row],[HORA FIN  INTERVENCIÓN]])</f>
        <v>0</v>
      </c>
      <c r="T1027" s="11">
        <f>(SEGUIMIENTO_TPM_xlsx[[#This Row],[FECHA Y HORA FINAL]]-SEGUIMIENTO_TPM_xlsx[[#This Row],[FECHA Y HORA INICIO]])</f>
        <v>0</v>
      </c>
    </row>
    <row r="1028" spans="1:20" x14ac:dyDescent="0.25">
      <c r="A1028">
        <v>1036</v>
      </c>
      <c r="C1028" s="1"/>
      <c r="D1028" s="2"/>
      <c r="H1028" s="1"/>
      <c r="I1028" s="1"/>
      <c r="J1028" s="2"/>
      <c r="Q1028" s="1">
        <f>SEGUIMIENTO_TPM_xlsx[[#This Row],[HORA FIN  INTERVENCIÓN]]-SEGUIMIENTO_TPM_xlsx[[#This Row],[HORA INICIO INTERVENCIÓN]]</f>
        <v>0</v>
      </c>
      <c r="R1028" s="20">
        <f>(SEGUIMIENTO_TPM_xlsx[[#This Row],[HORA REPORTE]]+SEGUIMIENTO_TPM_xlsx[[#This Row],[FECHA DE REPORTE]])</f>
        <v>0</v>
      </c>
      <c r="S1028" s="20">
        <f>(SEGUIMIENTO_TPM_xlsx[[#This Row],[FECHA DE INTERVENCÓN]]+SEGUIMIENTO_TPM_xlsx[[#This Row],[HORA FIN  INTERVENCIÓN]])</f>
        <v>0</v>
      </c>
      <c r="T1028" s="11">
        <f>(SEGUIMIENTO_TPM_xlsx[[#This Row],[FECHA Y HORA FINAL]]-SEGUIMIENTO_TPM_xlsx[[#This Row],[FECHA Y HORA INICIO]])</f>
        <v>0</v>
      </c>
    </row>
    <row r="1029" spans="1:20" x14ac:dyDescent="0.25">
      <c r="A1029">
        <v>1037</v>
      </c>
      <c r="C1029" s="1"/>
      <c r="D1029" s="2"/>
      <c r="H1029" s="1"/>
      <c r="I1029" s="1"/>
      <c r="J1029" s="2"/>
      <c r="Q1029" s="1">
        <f>SEGUIMIENTO_TPM_xlsx[[#This Row],[HORA FIN  INTERVENCIÓN]]-SEGUIMIENTO_TPM_xlsx[[#This Row],[HORA INICIO INTERVENCIÓN]]</f>
        <v>0</v>
      </c>
      <c r="R1029" s="20">
        <f>(SEGUIMIENTO_TPM_xlsx[[#This Row],[HORA REPORTE]]+SEGUIMIENTO_TPM_xlsx[[#This Row],[FECHA DE REPORTE]])</f>
        <v>0</v>
      </c>
      <c r="S1029" s="20">
        <f>(SEGUIMIENTO_TPM_xlsx[[#This Row],[FECHA DE INTERVENCÓN]]+SEGUIMIENTO_TPM_xlsx[[#This Row],[HORA FIN  INTERVENCIÓN]])</f>
        <v>0</v>
      </c>
      <c r="T1029" s="11">
        <f>(SEGUIMIENTO_TPM_xlsx[[#This Row],[FECHA Y HORA FINAL]]-SEGUIMIENTO_TPM_xlsx[[#This Row],[FECHA Y HORA INICIO]])</f>
        <v>0</v>
      </c>
    </row>
    <row r="1030" spans="1:20" x14ac:dyDescent="0.25">
      <c r="A1030">
        <v>1038</v>
      </c>
      <c r="C1030" s="1"/>
      <c r="D1030" s="2"/>
      <c r="H1030" s="1"/>
      <c r="I1030" s="1"/>
      <c r="J1030" s="2"/>
      <c r="Q1030" s="1">
        <f>SEGUIMIENTO_TPM_xlsx[[#This Row],[HORA FIN  INTERVENCIÓN]]-SEGUIMIENTO_TPM_xlsx[[#This Row],[HORA INICIO INTERVENCIÓN]]</f>
        <v>0</v>
      </c>
      <c r="R1030" s="20">
        <f>(SEGUIMIENTO_TPM_xlsx[[#This Row],[HORA REPORTE]]+SEGUIMIENTO_TPM_xlsx[[#This Row],[FECHA DE REPORTE]])</f>
        <v>0</v>
      </c>
      <c r="S1030" s="20">
        <f>(SEGUIMIENTO_TPM_xlsx[[#This Row],[FECHA DE INTERVENCÓN]]+SEGUIMIENTO_TPM_xlsx[[#This Row],[HORA FIN  INTERVENCIÓN]])</f>
        <v>0</v>
      </c>
      <c r="T1030" s="11">
        <f>(SEGUIMIENTO_TPM_xlsx[[#This Row],[FECHA Y HORA FINAL]]-SEGUIMIENTO_TPM_xlsx[[#This Row],[FECHA Y HORA INICIO]])</f>
        <v>0</v>
      </c>
    </row>
    <row r="1031" spans="1:20" x14ac:dyDescent="0.25">
      <c r="A1031">
        <v>1039</v>
      </c>
      <c r="C1031" s="1"/>
      <c r="D1031" s="2"/>
      <c r="H1031" s="1"/>
      <c r="I1031" s="1"/>
      <c r="J1031" s="2"/>
      <c r="Q1031" s="1">
        <f>SEGUIMIENTO_TPM_xlsx[[#This Row],[HORA FIN  INTERVENCIÓN]]-SEGUIMIENTO_TPM_xlsx[[#This Row],[HORA INICIO INTERVENCIÓN]]</f>
        <v>0</v>
      </c>
      <c r="R1031" s="20">
        <f>(SEGUIMIENTO_TPM_xlsx[[#This Row],[HORA REPORTE]]+SEGUIMIENTO_TPM_xlsx[[#This Row],[FECHA DE REPORTE]])</f>
        <v>0</v>
      </c>
      <c r="S1031" s="20">
        <f>(SEGUIMIENTO_TPM_xlsx[[#This Row],[FECHA DE INTERVENCÓN]]+SEGUIMIENTO_TPM_xlsx[[#This Row],[HORA FIN  INTERVENCIÓN]])</f>
        <v>0</v>
      </c>
      <c r="T1031" s="11">
        <f>(SEGUIMIENTO_TPM_xlsx[[#This Row],[FECHA Y HORA FINAL]]-SEGUIMIENTO_TPM_xlsx[[#This Row],[FECHA Y HORA INICIO]])</f>
        <v>0</v>
      </c>
    </row>
    <row r="1032" spans="1:20" x14ac:dyDescent="0.25">
      <c r="A1032">
        <v>1040</v>
      </c>
      <c r="C1032" s="1"/>
      <c r="D1032" s="2"/>
      <c r="H1032" s="1"/>
      <c r="I1032" s="1"/>
      <c r="J1032" s="2"/>
      <c r="Q1032" s="1">
        <f>SEGUIMIENTO_TPM_xlsx[[#This Row],[HORA FIN  INTERVENCIÓN]]-SEGUIMIENTO_TPM_xlsx[[#This Row],[HORA INICIO INTERVENCIÓN]]</f>
        <v>0</v>
      </c>
      <c r="R1032" s="20">
        <f>(SEGUIMIENTO_TPM_xlsx[[#This Row],[HORA REPORTE]]+SEGUIMIENTO_TPM_xlsx[[#This Row],[FECHA DE REPORTE]])</f>
        <v>0</v>
      </c>
      <c r="S1032" s="20">
        <f>(SEGUIMIENTO_TPM_xlsx[[#This Row],[FECHA DE INTERVENCÓN]]+SEGUIMIENTO_TPM_xlsx[[#This Row],[HORA FIN  INTERVENCIÓN]])</f>
        <v>0</v>
      </c>
      <c r="T1032" s="11">
        <f>(SEGUIMIENTO_TPM_xlsx[[#This Row],[FECHA Y HORA FINAL]]-SEGUIMIENTO_TPM_xlsx[[#This Row],[FECHA Y HORA INICIO]])</f>
        <v>0</v>
      </c>
    </row>
    <row r="1033" spans="1:20" x14ac:dyDescent="0.25">
      <c r="A1033">
        <v>1041</v>
      </c>
      <c r="C1033" s="1"/>
      <c r="D1033" s="2"/>
      <c r="H1033" s="1"/>
      <c r="I1033" s="1"/>
      <c r="J1033" s="2"/>
      <c r="Q1033" s="1">
        <f>SEGUIMIENTO_TPM_xlsx[[#This Row],[HORA FIN  INTERVENCIÓN]]-SEGUIMIENTO_TPM_xlsx[[#This Row],[HORA INICIO INTERVENCIÓN]]</f>
        <v>0</v>
      </c>
      <c r="R1033" s="20">
        <f>(SEGUIMIENTO_TPM_xlsx[[#This Row],[HORA REPORTE]]+SEGUIMIENTO_TPM_xlsx[[#This Row],[FECHA DE REPORTE]])</f>
        <v>0</v>
      </c>
      <c r="S1033" s="20">
        <f>(SEGUIMIENTO_TPM_xlsx[[#This Row],[FECHA DE INTERVENCÓN]]+SEGUIMIENTO_TPM_xlsx[[#This Row],[HORA FIN  INTERVENCIÓN]])</f>
        <v>0</v>
      </c>
      <c r="T1033" s="11">
        <f>(SEGUIMIENTO_TPM_xlsx[[#This Row],[FECHA Y HORA FINAL]]-SEGUIMIENTO_TPM_xlsx[[#This Row],[FECHA Y HORA INICIO]])</f>
        <v>0</v>
      </c>
    </row>
    <row r="1034" spans="1:20" x14ac:dyDescent="0.25">
      <c r="A1034">
        <v>1042</v>
      </c>
      <c r="C1034" s="1"/>
      <c r="D1034" s="2"/>
      <c r="H1034" s="1"/>
      <c r="I1034" s="1"/>
      <c r="J1034" s="2"/>
      <c r="Q1034" s="1">
        <f>SEGUIMIENTO_TPM_xlsx[[#This Row],[HORA FIN  INTERVENCIÓN]]-SEGUIMIENTO_TPM_xlsx[[#This Row],[HORA INICIO INTERVENCIÓN]]</f>
        <v>0</v>
      </c>
      <c r="R1034" s="20">
        <f>(SEGUIMIENTO_TPM_xlsx[[#This Row],[HORA REPORTE]]+SEGUIMIENTO_TPM_xlsx[[#This Row],[FECHA DE REPORTE]])</f>
        <v>0</v>
      </c>
      <c r="S1034" s="20">
        <f>(SEGUIMIENTO_TPM_xlsx[[#This Row],[FECHA DE INTERVENCÓN]]+SEGUIMIENTO_TPM_xlsx[[#This Row],[HORA FIN  INTERVENCIÓN]])</f>
        <v>0</v>
      </c>
      <c r="T1034" s="11">
        <f>(SEGUIMIENTO_TPM_xlsx[[#This Row],[FECHA Y HORA FINAL]]-SEGUIMIENTO_TPM_xlsx[[#This Row],[FECHA Y HORA INICIO]])</f>
        <v>0</v>
      </c>
    </row>
    <row r="1035" spans="1:20" x14ac:dyDescent="0.25">
      <c r="A1035">
        <v>1043</v>
      </c>
      <c r="B1035" t="s">
        <v>341</v>
      </c>
      <c r="C1035" s="1">
        <v>0.89583333333333337</v>
      </c>
      <c r="D1035" s="2">
        <v>46098</v>
      </c>
      <c r="E1035" t="s">
        <v>143</v>
      </c>
      <c r="F1035" t="s">
        <v>18</v>
      </c>
      <c r="G1035" t="s">
        <v>1606</v>
      </c>
      <c r="H1035" s="1">
        <v>0.89583333333333337</v>
      </c>
      <c r="I1035" s="1">
        <v>0.91666666666666663</v>
      </c>
      <c r="J1035" s="2">
        <v>46098</v>
      </c>
      <c r="K1035" t="s">
        <v>25</v>
      </c>
      <c r="L1035" t="s">
        <v>1607</v>
      </c>
      <c r="M1035" t="s">
        <v>1608</v>
      </c>
      <c r="N1035" t="s">
        <v>22</v>
      </c>
      <c r="O1035" t="s">
        <v>112</v>
      </c>
      <c r="P1035" t="s">
        <v>23</v>
      </c>
      <c r="Q1035" s="1">
        <f>SEGUIMIENTO_TPM_xlsx[[#This Row],[HORA FIN  INTERVENCIÓN]]-SEGUIMIENTO_TPM_xlsx[[#This Row],[HORA INICIO INTERVENCIÓN]]</f>
        <v>2.0833333333333259E-2</v>
      </c>
      <c r="R1035" s="20">
        <f>(SEGUIMIENTO_TPM_xlsx[[#This Row],[HORA REPORTE]]+SEGUIMIENTO_TPM_xlsx[[#This Row],[FECHA DE REPORTE]])</f>
        <v>46098.895833333336</v>
      </c>
      <c r="S1035" s="20">
        <f>(SEGUIMIENTO_TPM_xlsx[[#This Row],[FECHA DE INTERVENCÓN]]+SEGUIMIENTO_TPM_xlsx[[#This Row],[HORA FIN  INTERVENCIÓN]])</f>
        <v>46098.916666666664</v>
      </c>
      <c r="T1035" s="11">
        <f>(SEGUIMIENTO_TPM_xlsx[[#This Row],[FECHA Y HORA FINAL]]-SEGUIMIENTO_TPM_xlsx[[#This Row],[FECHA Y HORA INICIO]])</f>
        <v>2.0833333328482695E-2</v>
      </c>
    </row>
    <row r="1036" spans="1:20" x14ac:dyDescent="0.25">
      <c r="A1036">
        <v>1044</v>
      </c>
      <c r="B1036" t="s">
        <v>341</v>
      </c>
      <c r="C1036" s="1">
        <v>0.91666666666666663</v>
      </c>
      <c r="D1036" s="2">
        <v>46098</v>
      </c>
      <c r="E1036" t="s">
        <v>143</v>
      </c>
      <c r="F1036" t="s">
        <v>18</v>
      </c>
      <c r="G1036" t="s">
        <v>1609</v>
      </c>
      <c r="H1036" s="1">
        <v>0.91666666666666663</v>
      </c>
      <c r="I1036" s="1">
        <v>0.93055555555555558</v>
      </c>
      <c r="J1036" s="2">
        <v>46098</v>
      </c>
      <c r="K1036" t="s">
        <v>25</v>
      </c>
      <c r="L1036" t="s">
        <v>1610</v>
      </c>
      <c r="M1036" t="s">
        <v>22</v>
      </c>
      <c r="N1036" t="s">
        <v>1611</v>
      </c>
      <c r="O1036" t="s">
        <v>112</v>
      </c>
      <c r="P1036" t="s">
        <v>23</v>
      </c>
      <c r="Q1036" s="1">
        <f>SEGUIMIENTO_TPM_xlsx[[#This Row],[HORA FIN  INTERVENCIÓN]]-SEGUIMIENTO_TPM_xlsx[[#This Row],[HORA INICIO INTERVENCIÓN]]</f>
        <v>1.3888888888888951E-2</v>
      </c>
      <c r="R1036" s="20">
        <f>(SEGUIMIENTO_TPM_xlsx[[#This Row],[HORA REPORTE]]+SEGUIMIENTO_TPM_xlsx[[#This Row],[FECHA DE REPORTE]])</f>
        <v>46098.916666666664</v>
      </c>
      <c r="S1036" s="20">
        <f>(SEGUIMIENTO_TPM_xlsx[[#This Row],[FECHA DE INTERVENCÓN]]+SEGUIMIENTO_TPM_xlsx[[#This Row],[HORA FIN  INTERVENCIÓN]])</f>
        <v>46098.930555555555</v>
      </c>
      <c r="T1036" s="11">
        <f>(SEGUIMIENTO_TPM_xlsx[[#This Row],[FECHA Y HORA FINAL]]-SEGUIMIENTO_TPM_xlsx[[#This Row],[FECHA Y HORA INICIO]])</f>
        <v>1.3888888890505768E-2</v>
      </c>
    </row>
    <row r="1037" spans="1:20" x14ac:dyDescent="0.25">
      <c r="A1037">
        <v>1045</v>
      </c>
      <c r="B1037" t="s">
        <v>187</v>
      </c>
      <c r="C1037" s="1">
        <v>0.75</v>
      </c>
      <c r="D1037" s="2">
        <v>46098</v>
      </c>
      <c r="E1037" t="s">
        <v>782</v>
      </c>
      <c r="F1037" t="s">
        <v>18</v>
      </c>
      <c r="G1037" t="s">
        <v>1612</v>
      </c>
      <c r="H1037" s="1">
        <v>0.75</v>
      </c>
      <c r="I1037" s="1">
        <v>0.77083333333333337</v>
      </c>
      <c r="J1037" s="2">
        <v>46098</v>
      </c>
      <c r="K1037" t="s">
        <v>25</v>
      </c>
      <c r="L1037" t="s">
        <v>1613</v>
      </c>
      <c r="M1037" t="s">
        <v>1614</v>
      </c>
      <c r="N1037" t="s">
        <v>22</v>
      </c>
      <c r="O1037" t="s">
        <v>112</v>
      </c>
      <c r="P1037" t="s">
        <v>23</v>
      </c>
      <c r="Q1037" s="1">
        <f>SEGUIMIENTO_TPM_xlsx[[#This Row],[HORA FIN  INTERVENCIÓN]]-SEGUIMIENTO_TPM_xlsx[[#This Row],[HORA INICIO INTERVENCIÓN]]</f>
        <v>2.083333333333337E-2</v>
      </c>
      <c r="R1037" s="20">
        <f>(SEGUIMIENTO_TPM_xlsx[[#This Row],[HORA REPORTE]]+SEGUIMIENTO_TPM_xlsx[[#This Row],[FECHA DE REPORTE]])</f>
        <v>46098.75</v>
      </c>
      <c r="S1037" s="20">
        <f>(SEGUIMIENTO_TPM_xlsx[[#This Row],[FECHA DE INTERVENCÓN]]+SEGUIMIENTO_TPM_xlsx[[#This Row],[HORA FIN  INTERVENCIÓN]])</f>
        <v>46098.770833333336</v>
      </c>
      <c r="T1037" s="11">
        <f>(SEGUIMIENTO_TPM_xlsx[[#This Row],[FECHA Y HORA FINAL]]-SEGUIMIENTO_TPM_xlsx[[#This Row],[FECHA Y HORA INICIO]])</f>
        <v>2.0833333335758653E-2</v>
      </c>
    </row>
    <row r="1038" spans="1:20" x14ac:dyDescent="0.25">
      <c r="A1038">
        <v>1046</v>
      </c>
      <c r="B1038" t="s">
        <v>180</v>
      </c>
      <c r="C1038" s="1">
        <v>0.31944444444444442</v>
      </c>
      <c r="D1038" s="2">
        <v>46099</v>
      </c>
      <c r="E1038" t="s">
        <v>87</v>
      </c>
      <c r="F1038" t="s">
        <v>18</v>
      </c>
      <c r="G1038" t="s">
        <v>1615</v>
      </c>
      <c r="H1038" s="1">
        <v>0.31944444444444442</v>
      </c>
      <c r="I1038" s="1">
        <v>0.34027777777777779</v>
      </c>
      <c r="J1038" s="2">
        <v>46099</v>
      </c>
      <c r="K1038" t="s">
        <v>20</v>
      </c>
      <c r="L1038" t="s">
        <v>1616</v>
      </c>
      <c r="M1038" t="s">
        <v>22</v>
      </c>
      <c r="N1038" t="s">
        <v>22</v>
      </c>
      <c r="O1038" t="s">
        <v>44</v>
      </c>
      <c r="P1038" t="s">
        <v>23</v>
      </c>
      <c r="Q1038" s="1">
        <f>SEGUIMIENTO_TPM_xlsx[[#This Row],[HORA FIN  INTERVENCIÓN]]-SEGUIMIENTO_TPM_xlsx[[#This Row],[HORA INICIO INTERVENCIÓN]]</f>
        <v>2.083333333333337E-2</v>
      </c>
      <c r="R1038" s="20">
        <f>(SEGUIMIENTO_TPM_xlsx[[#This Row],[HORA REPORTE]]+SEGUIMIENTO_TPM_xlsx[[#This Row],[FECHA DE REPORTE]])</f>
        <v>46099.319444444445</v>
      </c>
      <c r="S1038" s="20">
        <f>(SEGUIMIENTO_TPM_xlsx[[#This Row],[FECHA DE INTERVENCÓN]]+SEGUIMIENTO_TPM_xlsx[[#This Row],[HORA FIN  INTERVENCIÓN]])</f>
        <v>46099.340277777781</v>
      </c>
      <c r="T1038" s="11">
        <f>(SEGUIMIENTO_TPM_xlsx[[#This Row],[FECHA Y HORA FINAL]]-SEGUIMIENTO_TPM_xlsx[[#This Row],[FECHA Y HORA INICIO]])</f>
        <v>2.0833333335758653E-2</v>
      </c>
    </row>
    <row r="1039" spans="1:20" x14ac:dyDescent="0.25">
      <c r="A1039">
        <v>1047</v>
      </c>
      <c r="C1039" s="1"/>
      <c r="D1039" s="2"/>
      <c r="H1039" s="1"/>
      <c r="I1039" s="1"/>
      <c r="J1039" s="2"/>
      <c r="Q1039" s="1">
        <f>SEGUIMIENTO_TPM_xlsx[[#This Row],[HORA FIN  INTERVENCIÓN]]-SEGUIMIENTO_TPM_xlsx[[#This Row],[HORA INICIO INTERVENCIÓN]]</f>
        <v>0</v>
      </c>
      <c r="R1039" s="20">
        <f>(SEGUIMIENTO_TPM_xlsx[[#This Row],[HORA REPORTE]]+SEGUIMIENTO_TPM_xlsx[[#This Row],[FECHA DE REPORTE]])</f>
        <v>0</v>
      </c>
      <c r="S1039" s="20">
        <f>(SEGUIMIENTO_TPM_xlsx[[#This Row],[FECHA DE INTERVENCÓN]]+SEGUIMIENTO_TPM_xlsx[[#This Row],[HORA FIN  INTERVENCIÓN]])</f>
        <v>0</v>
      </c>
      <c r="T1039" s="11">
        <f>(SEGUIMIENTO_TPM_xlsx[[#This Row],[FECHA Y HORA FINAL]]-SEGUIMIENTO_TPM_xlsx[[#This Row],[FECHA Y HORA INICIO]])</f>
        <v>0</v>
      </c>
    </row>
    <row r="1040" spans="1:20" x14ac:dyDescent="0.25">
      <c r="A1040">
        <v>1048</v>
      </c>
      <c r="C1040" s="1"/>
      <c r="D1040" s="2"/>
      <c r="H1040" s="1"/>
      <c r="I1040" s="1"/>
      <c r="J1040" s="2"/>
      <c r="Q1040" s="1">
        <f>SEGUIMIENTO_TPM_xlsx[[#This Row],[HORA FIN  INTERVENCIÓN]]-SEGUIMIENTO_TPM_xlsx[[#This Row],[HORA INICIO INTERVENCIÓN]]</f>
        <v>0</v>
      </c>
      <c r="R1040" s="20">
        <f>(SEGUIMIENTO_TPM_xlsx[[#This Row],[HORA REPORTE]]+SEGUIMIENTO_TPM_xlsx[[#This Row],[FECHA DE REPORTE]])</f>
        <v>0</v>
      </c>
      <c r="S1040" s="20">
        <f>(SEGUIMIENTO_TPM_xlsx[[#This Row],[FECHA DE INTERVENCÓN]]+SEGUIMIENTO_TPM_xlsx[[#This Row],[HORA FIN  INTERVENCIÓN]])</f>
        <v>0</v>
      </c>
      <c r="T1040" s="11">
        <f>(SEGUIMIENTO_TPM_xlsx[[#This Row],[FECHA Y HORA FINAL]]-SEGUIMIENTO_TPM_xlsx[[#This Row],[FECHA Y HORA INICIO]])</f>
        <v>0</v>
      </c>
    </row>
    <row r="1041" spans="1:20" x14ac:dyDescent="0.25">
      <c r="A1041">
        <v>1049</v>
      </c>
      <c r="C1041" s="1"/>
      <c r="D1041" s="2"/>
      <c r="H1041" s="1"/>
      <c r="I1041" s="1"/>
      <c r="J1041" s="2"/>
      <c r="Q1041" s="1">
        <f>SEGUIMIENTO_TPM_xlsx[[#This Row],[HORA FIN  INTERVENCIÓN]]-SEGUIMIENTO_TPM_xlsx[[#This Row],[HORA INICIO INTERVENCIÓN]]</f>
        <v>0</v>
      </c>
      <c r="R1041" s="20">
        <f>(SEGUIMIENTO_TPM_xlsx[[#This Row],[HORA REPORTE]]+SEGUIMIENTO_TPM_xlsx[[#This Row],[FECHA DE REPORTE]])</f>
        <v>0</v>
      </c>
      <c r="S1041" s="20">
        <f>(SEGUIMIENTO_TPM_xlsx[[#This Row],[FECHA DE INTERVENCÓN]]+SEGUIMIENTO_TPM_xlsx[[#This Row],[HORA FIN  INTERVENCIÓN]])</f>
        <v>0</v>
      </c>
      <c r="T1041" s="11">
        <f>(SEGUIMIENTO_TPM_xlsx[[#This Row],[FECHA Y HORA FINAL]]-SEGUIMIENTO_TPM_xlsx[[#This Row],[FECHA Y HORA INICIO]])</f>
        <v>0</v>
      </c>
    </row>
    <row r="1042" spans="1:20" x14ac:dyDescent="0.25">
      <c r="A1042">
        <v>1050</v>
      </c>
      <c r="C1042" s="1"/>
      <c r="D1042" s="2"/>
      <c r="H1042" s="1"/>
      <c r="I1042" s="1"/>
      <c r="J1042" s="2"/>
      <c r="Q1042" s="1">
        <f>SEGUIMIENTO_TPM_xlsx[[#This Row],[HORA FIN  INTERVENCIÓN]]-SEGUIMIENTO_TPM_xlsx[[#This Row],[HORA INICIO INTERVENCIÓN]]</f>
        <v>0</v>
      </c>
      <c r="R1042" s="20">
        <f>(SEGUIMIENTO_TPM_xlsx[[#This Row],[HORA REPORTE]]+SEGUIMIENTO_TPM_xlsx[[#This Row],[FECHA DE REPORTE]])</f>
        <v>0</v>
      </c>
      <c r="S1042" s="20">
        <f>(SEGUIMIENTO_TPM_xlsx[[#This Row],[FECHA DE INTERVENCÓN]]+SEGUIMIENTO_TPM_xlsx[[#This Row],[HORA FIN  INTERVENCIÓN]])</f>
        <v>0</v>
      </c>
      <c r="T1042" s="11">
        <f>(SEGUIMIENTO_TPM_xlsx[[#This Row],[FECHA Y HORA FINAL]]-SEGUIMIENTO_TPM_xlsx[[#This Row],[FECHA Y HORA INICIO]])</f>
        <v>0</v>
      </c>
    </row>
    <row r="1043" spans="1:20" x14ac:dyDescent="0.25">
      <c r="A1043">
        <v>1051</v>
      </c>
      <c r="B1043" t="s">
        <v>103</v>
      </c>
      <c r="C1043" s="1">
        <v>0.77083333333333337</v>
      </c>
      <c r="D1043" s="2">
        <v>46099</v>
      </c>
      <c r="E1043" t="s">
        <v>188</v>
      </c>
      <c r="F1043" t="s">
        <v>18</v>
      </c>
      <c r="G1043" t="s">
        <v>1617</v>
      </c>
      <c r="H1043" s="1">
        <v>0.77083333333333337</v>
      </c>
      <c r="I1043" s="1">
        <v>0.8125</v>
      </c>
      <c r="J1043" s="2">
        <v>46099</v>
      </c>
      <c r="K1043" t="s">
        <v>20</v>
      </c>
      <c r="L1043" t="s">
        <v>1618</v>
      </c>
      <c r="M1043" t="s">
        <v>22</v>
      </c>
      <c r="N1043" t="s">
        <v>22</v>
      </c>
      <c r="O1043" t="s">
        <v>661</v>
      </c>
      <c r="P1043" t="s">
        <v>23</v>
      </c>
      <c r="Q1043" s="1">
        <f>SEGUIMIENTO_TPM_xlsx[[#This Row],[HORA FIN  INTERVENCIÓN]]-SEGUIMIENTO_TPM_xlsx[[#This Row],[HORA INICIO INTERVENCIÓN]]</f>
        <v>4.166666666666663E-2</v>
      </c>
      <c r="R1043" s="20">
        <f>(SEGUIMIENTO_TPM_xlsx[[#This Row],[HORA REPORTE]]+SEGUIMIENTO_TPM_xlsx[[#This Row],[FECHA DE REPORTE]])</f>
        <v>46099.770833333336</v>
      </c>
      <c r="S1043" s="20">
        <f>(SEGUIMIENTO_TPM_xlsx[[#This Row],[FECHA DE INTERVENCÓN]]+SEGUIMIENTO_TPM_xlsx[[#This Row],[HORA FIN  INTERVENCIÓN]])</f>
        <v>46099.8125</v>
      </c>
      <c r="T1043" s="11">
        <f>(SEGUIMIENTO_TPM_xlsx[[#This Row],[FECHA Y HORA FINAL]]-SEGUIMIENTO_TPM_xlsx[[#This Row],[FECHA Y HORA INICIO]])</f>
        <v>4.1666666664241347E-2</v>
      </c>
    </row>
    <row r="1044" spans="1:20" x14ac:dyDescent="0.25">
      <c r="A1044">
        <v>1052</v>
      </c>
      <c r="B1044" t="s">
        <v>103</v>
      </c>
      <c r="C1044" s="1">
        <v>0.24305555555555555</v>
      </c>
      <c r="D1044" s="2">
        <v>46099</v>
      </c>
      <c r="E1044" t="s">
        <v>188</v>
      </c>
      <c r="F1044" t="s">
        <v>18</v>
      </c>
      <c r="G1044" t="s">
        <v>1629</v>
      </c>
      <c r="H1044" s="1">
        <v>0.2048611111111111</v>
      </c>
      <c r="I1044" s="1">
        <v>0.28819444444444442</v>
      </c>
      <c r="J1044" s="2">
        <v>46101</v>
      </c>
      <c r="K1044" t="s">
        <v>48</v>
      </c>
      <c r="L1044" t="s">
        <v>1630</v>
      </c>
      <c r="M1044" t="s">
        <v>22</v>
      </c>
      <c r="N1044" t="s">
        <v>22</v>
      </c>
      <c r="O1044" t="s">
        <v>661</v>
      </c>
      <c r="P1044" t="s">
        <v>23</v>
      </c>
      <c r="Q1044" s="1">
        <f>SEGUIMIENTO_TPM_xlsx[[#This Row],[HORA FIN  INTERVENCIÓN]]-SEGUIMIENTO_TPM_xlsx[[#This Row],[HORA INICIO INTERVENCIÓN]]</f>
        <v>8.3333333333333315E-2</v>
      </c>
      <c r="R1044" s="20">
        <f>(SEGUIMIENTO_TPM_xlsx[[#This Row],[HORA REPORTE]]+SEGUIMIENTO_TPM_xlsx[[#This Row],[FECHA DE REPORTE]])</f>
        <v>46099.243055555555</v>
      </c>
      <c r="S1044" s="20">
        <f>(SEGUIMIENTO_TPM_xlsx[[#This Row],[FECHA DE INTERVENCÓN]]+SEGUIMIENTO_TPM_xlsx[[#This Row],[HORA FIN  INTERVENCIÓN]])</f>
        <v>46101.288194444445</v>
      </c>
      <c r="T1044" s="11">
        <f>(SEGUIMIENTO_TPM_xlsx[[#This Row],[FECHA Y HORA FINAL]]-SEGUIMIENTO_TPM_xlsx[[#This Row],[FECHA Y HORA INICIO]])</f>
        <v>2.0451388888905058</v>
      </c>
    </row>
    <row r="1045" spans="1:20" x14ac:dyDescent="0.25">
      <c r="A1045">
        <v>1053</v>
      </c>
      <c r="B1045" t="s">
        <v>1358</v>
      </c>
      <c r="C1045" s="1">
        <v>0.88888888888888884</v>
      </c>
      <c r="D1045" s="2">
        <v>46099</v>
      </c>
      <c r="E1045" t="s">
        <v>154</v>
      </c>
      <c r="F1045" t="s">
        <v>18</v>
      </c>
      <c r="G1045" t="s">
        <v>1619</v>
      </c>
      <c r="H1045" s="1">
        <v>0.92361111111111116</v>
      </c>
      <c r="I1045" s="1">
        <v>0.97222222222222221</v>
      </c>
      <c r="J1045" s="2">
        <v>46099</v>
      </c>
      <c r="K1045" t="s">
        <v>20</v>
      </c>
      <c r="L1045" t="s">
        <v>1620</v>
      </c>
      <c r="M1045" t="s">
        <v>1621</v>
      </c>
      <c r="N1045" t="s">
        <v>22</v>
      </c>
      <c r="O1045" t="s">
        <v>661</v>
      </c>
      <c r="P1045" t="s">
        <v>23</v>
      </c>
      <c r="Q1045" s="1">
        <f>SEGUIMIENTO_TPM_xlsx[[#This Row],[HORA FIN  INTERVENCIÓN]]-SEGUIMIENTO_TPM_xlsx[[#This Row],[HORA INICIO INTERVENCIÓN]]</f>
        <v>4.8611111111111049E-2</v>
      </c>
      <c r="R1045" s="20">
        <f>(SEGUIMIENTO_TPM_xlsx[[#This Row],[HORA REPORTE]]+SEGUIMIENTO_TPM_xlsx[[#This Row],[FECHA DE REPORTE]])</f>
        <v>46099.888888888891</v>
      </c>
      <c r="S1045" s="20">
        <f>(SEGUIMIENTO_TPM_xlsx[[#This Row],[FECHA DE INTERVENCÓN]]+SEGUIMIENTO_TPM_xlsx[[#This Row],[HORA FIN  INTERVENCIÓN]])</f>
        <v>46099.972222222219</v>
      </c>
      <c r="T1045" s="11">
        <f>(SEGUIMIENTO_TPM_xlsx[[#This Row],[FECHA Y HORA FINAL]]-SEGUIMIENTO_TPM_xlsx[[#This Row],[FECHA Y HORA INICIO]])</f>
        <v>8.3333333328482695E-2</v>
      </c>
    </row>
    <row r="1046" spans="1:20" x14ac:dyDescent="0.25">
      <c r="A1046">
        <v>1054</v>
      </c>
      <c r="B1046" t="s">
        <v>164</v>
      </c>
      <c r="C1046" s="1">
        <v>0.3888888888888889</v>
      </c>
      <c r="D1046" s="2">
        <v>46100</v>
      </c>
      <c r="E1046" t="s">
        <v>143</v>
      </c>
      <c r="F1046" t="s">
        <v>18</v>
      </c>
      <c r="G1046" t="s">
        <v>1622</v>
      </c>
      <c r="H1046" s="1"/>
      <c r="I1046" s="1"/>
      <c r="J1046" s="2"/>
      <c r="P1046" t="s">
        <v>33</v>
      </c>
      <c r="Q1046" s="1">
        <f>SEGUIMIENTO_TPM_xlsx[[#This Row],[HORA FIN  INTERVENCIÓN]]-SEGUIMIENTO_TPM_xlsx[[#This Row],[HORA INICIO INTERVENCIÓN]]</f>
        <v>0</v>
      </c>
      <c r="R1046" s="20">
        <f>(SEGUIMIENTO_TPM_xlsx[[#This Row],[HORA REPORTE]]+SEGUIMIENTO_TPM_xlsx[[#This Row],[FECHA DE REPORTE]])</f>
        <v>46100.388888888891</v>
      </c>
      <c r="S1046" s="20">
        <f>(SEGUIMIENTO_TPM_xlsx[[#This Row],[FECHA DE INTERVENCÓN]]+SEGUIMIENTO_TPM_xlsx[[#This Row],[HORA FIN  INTERVENCIÓN]])</f>
        <v>0</v>
      </c>
      <c r="T1046" s="11">
        <f>(SEGUIMIENTO_TPM_xlsx[[#This Row],[FECHA Y HORA FINAL]]-SEGUIMIENTO_TPM_xlsx[[#This Row],[FECHA Y HORA INICIO]])</f>
        <v>-46100.388888888891</v>
      </c>
    </row>
    <row r="1047" spans="1:20" x14ac:dyDescent="0.25">
      <c r="A1047">
        <v>1055</v>
      </c>
      <c r="B1047" t="s">
        <v>1623</v>
      </c>
      <c r="C1047" s="1">
        <v>0.29166666666666669</v>
      </c>
      <c r="D1047" s="2">
        <v>46100</v>
      </c>
      <c r="E1047" t="s">
        <v>1624</v>
      </c>
      <c r="F1047" t="s">
        <v>18</v>
      </c>
      <c r="G1047" t="s">
        <v>1625</v>
      </c>
      <c r="H1047" s="1"/>
      <c r="I1047" s="1"/>
      <c r="J1047" s="2"/>
      <c r="P1047" t="s">
        <v>33</v>
      </c>
      <c r="Q1047" s="1">
        <f>SEGUIMIENTO_TPM_xlsx[[#This Row],[HORA FIN  INTERVENCIÓN]]-SEGUIMIENTO_TPM_xlsx[[#This Row],[HORA INICIO INTERVENCIÓN]]</f>
        <v>0</v>
      </c>
      <c r="R1047" s="20">
        <f>(SEGUIMIENTO_TPM_xlsx[[#This Row],[HORA REPORTE]]+SEGUIMIENTO_TPM_xlsx[[#This Row],[FECHA DE REPORTE]])</f>
        <v>46100.291666666664</v>
      </c>
      <c r="S1047" s="20">
        <f>(SEGUIMIENTO_TPM_xlsx[[#This Row],[FECHA DE INTERVENCÓN]]+SEGUIMIENTO_TPM_xlsx[[#This Row],[HORA FIN  INTERVENCIÓN]])</f>
        <v>0</v>
      </c>
      <c r="T1047" s="11">
        <f>(SEGUIMIENTO_TPM_xlsx[[#This Row],[FECHA Y HORA FINAL]]-SEGUIMIENTO_TPM_xlsx[[#This Row],[FECHA Y HORA INICIO]])</f>
        <v>-46100.291666666664</v>
      </c>
    </row>
    <row r="1048" spans="1:20" x14ac:dyDescent="0.25">
      <c r="A1048">
        <v>1056</v>
      </c>
      <c r="B1048" t="s">
        <v>206</v>
      </c>
      <c r="C1048" s="1">
        <v>0.4375</v>
      </c>
      <c r="D1048" s="2">
        <v>46100</v>
      </c>
      <c r="E1048" t="s">
        <v>185</v>
      </c>
      <c r="F1048" t="s">
        <v>18</v>
      </c>
      <c r="G1048" t="s">
        <v>1631</v>
      </c>
      <c r="H1048" s="1">
        <v>0.4375</v>
      </c>
      <c r="I1048" s="1">
        <v>0.45833333333333331</v>
      </c>
      <c r="J1048" s="2">
        <v>46100</v>
      </c>
      <c r="K1048" t="s">
        <v>25</v>
      </c>
      <c r="L1048" t="s">
        <v>1632</v>
      </c>
      <c r="M1048" t="s">
        <v>22</v>
      </c>
      <c r="N1048" t="s">
        <v>22</v>
      </c>
      <c r="O1048" t="s">
        <v>112</v>
      </c>
      <c r="P1048" t="s">
        <v>23</v>
      </c>
      <c r="Q1048" s="1">
        <f>SEGUIMIENTO_TPM_xlsx[[#This Row],[HORA FIN  INTERVENCIÓN]]-SEGUIMIENTO_TPM_xlsx[[#This Row],[HORA INICIO INTERVENCIÓN]]</f>
        <v>2.0833333333333315E-2</v>
      </c>
      <c r="R1048" s="20">
        <f>(SEGUIMIENTO_TPM_xlsx[[#This Row],[HORA REPORTE]]+SEGUIMIENTO_TPM_xlsx[[#This Row],[FECHA DE REPORTE]])</f>
        <v>46100.4375</v>
      </c>
      <c r="S1048" s="20">
        <f>(SEGUIMIENTO_TPM_xlsx[[#This Row],[FECHA DE INTERVENCÓN]]+SEGUIMIENTO_TPM_xlsx[[#This Row],[HORA FIN  INTERVENCIÓN]])</f>
        <v>46100.458333333336</v>
      </c>
      <c r="T1048" s="11">
        <f>(SEGUIMIENTO_TPM_xlsx[[#This Row],[FECHA Y HORA FINAL]]-SEGUIMIENTO_TPM_xlsx[[#This Row],[FECHA Y HORA INICIO]])</f>
        <v>2.0833333335758653E-2</v>
      </c>
    </row>
    <row r="1049" spans="1:20" x14ac:dyDescent="0.25">
      <c r="A1049">
        <v>1057</v>
      </c>
      <c r="B1049" t="s">
        <v>206</v>
      </c>
      <c r="C1049" s="1">
        <v>0.91666666666666663</v>
      </c>
      <c r="D1049" s="2">
        <v>46114</v>
      </c>
      <c r="E1049" t="s">
        <v>116</v>
      </c>
      <c r="F1049" t="s">
        <v>18</v>
      </c>
      <c r="G1049" t="s">
        <v>1728</v>
      </c>
      <c r="H1049" s="1">
        <v>0.91666666666666663</v>
      </c>
      <c r="I1049" s="1">
        <v>0.16666666666666666</v>
      </c>
      <c r="J1049" s="2">
        <v>46115</v>
      </c>
      <c r="K1049" t="s">
        <v>20</v>
      </c>
      <c r="L1049" t="s">
        <v>1729</v>
      </c>
      <c r="M1049" t="s">
        <v>22</v>
      </c>
      <c r="N1049" t="s">
        <v>22</v>
      </c>
      <c r="O1049" t="s">
        <v>108</v>
      </c>
      <c r="P1049" t="s">
        <v>23</v>
      </c>
      <c r="Q1049" s="1">
        <f>SEGUIMIENTO_TPM_xlsx[[#This Row],[HORA FIN  INTERVENCIÓN]]-SEGUIMIENTO_TPM_xlsx[[#This Row],[HORA INICIO INTERVENCIÓN]]</f>
        <v>-0.75</v>
      </c>
      <c r="R1049" s="20">
        <f>(SEGUIMIENTO_TPM_xlsx[[#This Row],[HORA REPORTE]]+SEGUIMIENTO_TPM_xlsx[[#This Row],[FECHA DE REPORTE]])</f>
        <v>46114.916666666664</v>
      </c>
      <c r="S1049" s="20">
        <f>(SEGUIMIENTO_TPM_xlsx[[#This Row],[FECHA DE INTERVENCÓN]]+SEGUIMIENTO_TPM_xlsx[[#This Row],[HORA FIN  INTERVENCIÓN]])</f>
        <v>46115.166666666664</v>
      </c>
      <c r="T1049" s="11">
        <f>(SEGUIMIENTO_TPM_xlsx[[#This Row],[FECHA Y HORA FINAL]]-SEGUIMIENTO_TPM_xlsx[[#This Row],[FECHA Y HORA INICIO]])</f>
        <v>0.25</v>
      </c>
    </row>
    <row r="1050" spans="1:20" x14ac:dyDescent="0.25">
      <c r="A1050">
        <v>1058</v>
      </c>
      <c r="B1050" t="s">
        <v>113</v>
      </c>
      <c r="C1050" s="1">
        <v>0.3125</v>
      </c>
      <c r="D1050" s="2">
        <v>46101</v>
      </c>
      <c r="E1050" t="s">
        <v>91</v>
      </c>
      <c r="F1050" t="s">
        <v>18</v>
      </c>
      <c r="G1050" t="s">
        <v>1633</v>
      </c>
      <c r="H1050" s="1">
        <v>0.31944444444444442</v>
      </c>
      <c r="I1050" s="1">
        <v>0.375</v>
      </c>
      <c r="J1050" s="2">
        <v>46101</v>
      </c>
      <c r="K1050" t="s">
        <v>20</v>
      </c>
      <c r="L1050" t="s">
        <v>1634</v>
      </c>
      <c r="M1050" t="s">
        <v>22</v>
      </c>
      <c r="N1050" t="s">
        <v>22</v>
      </c>
      <c r="O1050" t="s">
        <v>661</v>
      </c>
      <c r="P1050" t="s">
        <v>23</v>
      </c>
      <c r="Q1050" s="1">
        <f>SEGUIMIENTO_TPM_xlsx[[#This Row],[HORA FIN  INTERVENCIÓN]]-SEGUIMIENTO_TPM_xlsx[[#This Row],[HORA INICIO INTERVENCIÓN]]</f>
        <v>5.555555555555558E-2</v>
      </c>
      <c r="R1050" s="20">
        <f>(SEGUIMIENTO_TPM_xlsx[[#This Row],[HORA REPORTE]]+SEGUIMIENTO_TPM_xlsx[[#This Row],[FECHA DE REPORTE]])</f>
        <v>46101.3125</v>
      </c>
      <c r="S1050" s="20">
        <f>(SEGUIMIENTO_TPM_xlsx[[#This Row],[FECHA DE INTERVENCÓN]]+SEGUIMIENTO_TPM_xlsx[[#This Row],[HORA FIN  INTERVENCIÓN]])</f>
        <v>46101.375</v>
      </c>
      <c r="T1050" s="11">
        <f>(SEGUIMIENTO_TPM_xlsx[[#This Row],[FECHA Y HORA FINAL]]-SEGUIMIENTO_TPM_xlsx[[#This Row],[FECHA Y HORA INICIO]])</f>
        <v>6.25E-2</v>
      </c>
    </row>
    <row r="1051" spans="1:20" x14ac:dyDescent="0.25">
      <c r="A1051">
        <v>1059</v>
      </c>
      <c r="B1051" t="s">
        <v>1358</v>
      </c>
      <c r="C1051" s="1">
        <v>0.80208333333333337</v>
      </c>
      <c r="D1051" s="2">
        <v>46101</v>
      </c>
      <c r="E1051" t="s">
        <v>162</v>
      </c>
      <c r="F1051" t="s">
        <v>18</v>
      </c>
      <c r="G1051" t="s">
        <v>1635</v>
      </c>
      <c r="H1051" s="1">
        <v>0.80208333333333337</v>
      </c>
      <c r="I1051" s="1">
        <v>0.8125</v>
      </c>
      <c r="J1051" s="2">
        <v>46101</v>
      </c>
      <c r="K1051" t="s">
        <v>20</v>
      </c>
      <c r="L1051" t="s">
        <v>1636</v>
      </c>
      <c r="M1051" t="s">
        <v>22</v>
      </c>
      <c r="N1051" t="s">
        <v>22</v>
      </c>
      <c r="O1051" t="s">
        <v>112</v>
      </c>
      <c r="P1051" t="s">
        <v>23</v>
      </c>
      <c r="Q1051" s="1">
        <f>SEGUIMIENTO_TPM_xlsx[[#This Row],[HORA FIN  INTERVENCIÓN]]-SEGUIMIENTO_TPM_xlsx[[#This Row],[HORA INICIO INTERVENCIÓN]]</f>
        <v>1.041666666666663E-2</v>
      </c>
      <c r="R1051" s="20">
        <f>(SEGUIMIENTO_TPM_xlsx[[#This Row],[HORA REPORTE]]+SEGUIMIENTO_TPM_xlsx[[#This Row],[FECHA DE REPORTE]])</f>
        <v>46101.802083333336</v>
      </c>
      <c r="S1051" s="20">
        <f>(SEGUIMIENTO_TPM_xlsx[[#This Row],[FECHA DE INTERVENCÓN]]+SEGUIMIENTO_TPM_xlsx[[#This Row],[HORA FIN  INTERVENCIÓN]])</f>
        <v>46101.8125</v>
      </c>
      <c r="T1051" s="11">
        <f>(SEGUIMIENTO_TPM_xlsx[[#This Row],[FECHA Y HORA FINAL]]-SEGUIMIENTO_TPM_xlsx[[#This Row],[FECHA Y HORA INICIO]])</f>
        <v>1.0416666664241347E-2</v>
      </c>
    </row>
    <row r="1052" spans="1:20" x14ac:dyDescent="0.25">
      <c r="A1052">
        <v>1060</v>
      </c>
      <c r="B1052" t="s">
        <v>164</v>
      </c>
      <c r="C1052" s="1">
        <v>0.97847222222222219</v>
      </c>
      <c r="D1052" s="2">
        <v>46101</v>
      </c>
      <c r="E1052" t="s">
        <v>143</v>
      </c>
      <c r="F1052" t="s">
        <v>18</v>
      </c>
      <c r="G1052" t="s">
        <v>1637</v>
      </c>
      <c r="H1052" s="1">
        <v>0.97916666666666663</v>
      </c>
      <c r="I1052" s="1">
        <v>0.98958333333333337</v>
      </c>
      <c r="J1052" s="2">
        <v>46101</v>
      </c>
      <c r="K1052" t="s">
        <v>25</v>
      </c>
      <c r="L1052" t="s">
        <v>1638</v>
      </c>
      <c r="M1052" t="s">
        <v>1664</v>
      </c>
      <c r="N1052" t="s">
        <v>22</v>
      </c>
      <c r="O1052" t="s">
        <v>108</v>
      </c>
      <c r="P1052" t="s">
        <v>23</v>
      </c>
      <c r="Q1052" s="1">
        <f>SEGUIMIENTO_TPM_xlsx[[#This Row],[HORA FIN  INTERVENCIÓN]]-SEGUIMIENTO_TPM_xlsx[[#This Row],[HORA INICIO INTERVENCIÓN]]</f>
        <v>1.0416666666666741E-2</v>
      </c>
      <c r="R1052" s="20">
        <f>(SEGUIMIENTO_TPM_xlsx[[#This Row],[HORA REPORTE]]+SEGUIMIENTO_TPM_xlsx[[#This Row],[FECHA DE REPORTE]])</f>
        <v>46101.978472222225</v>
      </c>
      <c r="S1052" s="20">
        <f>(SEGUIMIENTO_TPM_xlsx[[#This Row],[FECHA DE INTERVENCÓN]]+SEGUIMIENTO_TPM_xlsx[[#This Row],[HORA FIN  INTERVENCIÓN]])</f>
        <v>46101.989583333336</v>
      </c>
      <c r="T1052" s="11">
        <f>(SEGUIMIENTO_TPM_xlsx[[#This Row],[FECHA Y HORA FINAL]]-SEGUIMIENTO_TPM_xlsx[[#This Row],[FECHA Y HORA INICIO]])</f>
        <v>1.1111111110949423E-2</v>
      </c>
    </row>
    <row r="1053" spans="1:20" x14ac:dyDescent="0.25">
      <c r="A1053">
        <v>1061</v>
      </c>
      <c r="B1053" t="s">
        <v>526</v>
      </c>
      <c r="C1053" s="1">
        <v>0.31944444444444442</v>
      </c>
      <c r="D1053" s="2">
        <v>46102</v>
      </c>
      <c r="E1053" t="s">
        <v>188</v>
      </c>
      <c r="F1053" t="s">
        <v>18</v>
      </c>
      <c r="G1053" t="s">
        <v>1639</v>
      </c>
      <c r="H1053" s="1">
        <v>0.32500000000000001</v>
      </c>
      <c r="I1053" s="1">
        <v>0.375</v>
      </c>
      <c r="J1053" s="2">
        <v>46102</v>
      </c>
      <c r="K1053" t="s">
        <v>20</v>
      </c>
      <c r="L1053" t="s">
        <v>1640</v>
      </c>
      <c r="M1053" t="s">
        <v>1641</v>
      </c>
      <c r="N1053" t="s">
        <v>22</v>
      </c>
      <c r="O1053" t="s">
        <v>661</v>
      </c>
      <c r="P1053" t="s">
        <v>23</v>
      </c>
      <c r="Q1053" s="1">
        <f>SEGUIMIENTO_TPM_xlsx[[#This Row],[HORA FIN  INTERVENCIÓN]]-SEGUIMIENTO_TPM_xlsx[[#This Row],[HORA INICIO INTERVENCIÓN]]</f>
        <v>4.9999999999999989E-2</v>
      </c>
      <c r="R1053" s="20">
        <f>(SEGUIMIENTO_TPM_xlsx[[#This Row],[HORA REPORTE]]+SEGUIMIENTO_TPM_xlsx[[#This Row],[FECHA DE REPORTE]])</f>
        <v>46102.319444444445</v>
      </c>
      <c r="S1053" s="20">
        <f>(SEGUIMIENTO_TPM_xlsx[[#This Row],[FECHA DE INTERVENCÓN]]+SEGUIMIENTO_TPM_xlsx[[#This Row],[HORA FIN  INTERVENCIÓN]])</f>
        <v>46102.375</v>
      </c>
      <c r="T1053" s="11">
        <f>(SEGUIMIENTO_TPM_xlsx[[#This Row],[FECHA Y HORA FINAL]]-SEGUIMIENTO_TPM_xlsx[[#This Row],[FECHA Y HORA INICIO]])</f>
        <v>5.5555555554747116E-2</v>
      </c>
    </row>
    <row r="1054" spans="1:20" x14ac:dyDescent="0.25">
      <c r="A1054">
        <v>1062</v>
      </c>
      <c r="B1054" t="s">
        <v>206</v>
      </c>
      <c r="C1054" s="1">
        <v>0.4375</v>
      </c>
      <c r="D1054" s="2">
        <v>46102</v>
      </c>
      <c r="E1054" t="s">
        <v>116</v>
      </c>
      <c r="F1054" t="s">
        <v>18</v>
      </c>
      <c r="G1054" t="s">
        <v>2046</v>
      </c>
      <c r="H1054" s="1"/>
      <c r="I1054" s="1"/>
      <c r="J1054" s="2"/>
      <c r="P1054" t="s">
        <v>33</v>
      </c>
      <c r="Q1054" s="1">
        <f>SEGUIMIENTO_TPM_xlsx[[#This Row],[HORA FIN  INTERVENCIÓN]]-SEGUIMIENTO_TPM_xlsx[[#This Row],[HORA INICIO INTERVENCIÓN]]</f>
        <v>0</v>
      </c>
      <c r="R1054" s="20">
        <f>(SEGUIMIENTO_TPM_xlsx[[#This Row],[HORA REPORTE]]+SEGUIMIENTO_TPM_xlsx[[#This Row],[FECHA DE REPORTE]])</f>
        <v>46102.4375</v>
      </c>
      <c r="S1054" s="20">
        <f>(SEGUIMIENTO_TPM_xlsx[[#This Row],[FECHA DE INTERVENCÓN]]+SEGUIMIENTO_TPM_xlsx[[#This Row],[HORA FIN  INTERVENCIÓN]])</f>
        <v>0</v>
      </c>
      <c r="T1054" s="11">
        <f>(SEGUIMIENTO_TPM_xlsx[[#This Row],[FECHA Y HORA FINAL]]-SEGUIMIENTO_TPM_xlsx[[#This Row],[FECHA Y HORA INICIO]])</f>
        <v>-46102.4375</v>
      </c>
    </row>
    <row r="1055" spans="1:20" x14ac:dyDescent="0.25">
      <c r="A1055">
        <v>1063</v>
      </c>
      <c r="B1055" t="s">
        <v>1642</v>
      </c>
      <c r="C1055" s="1">
        <v>0.47569444444444442</v>
      </c>
      <c r="D1055" s="2">
        <v>46102</v>
      </c>
      <c r="E1055" t="s">
        <v>1624</v>
      </c>
      <c r="F1055" t="s">
        <v>18</v>
      </c>
      <c r="G1055" t="s">
        <v>1643</v>
      </c>
      <c r="H1055" s="1">
        <v>0.47916666666666669</v>
      </c>
      <c r="I1055" s="1">
        <v>0.5756944444444444</v>
      </c>
      <c r="J1055" s="2">
        <v>46102</v>
      </c>
      <c r="K1055" t="s">
        <v>25</v>
      </c>
      <c r="L1055" t="s">
        <v>1644</v>
      </c>
      <c r="M1055" t="s">
        <v>22</v>
      </c>
      <c r="N1055" t="s">
        <v>22</v>
      </c>
      <c r="O1055" t="s">
        <v>661</v>
      </c>
      <c r="P1055" t="s">
        <v>23</v>
      </c>
      <c r="Q1055" s="1">
        <f>SEGUIMIENTO_TPM_xlsx[[#This Row],[HORA FIN  INTERVENCIÓN]]-SEGUIMIENTO_TPM_xlsx[[#This Row],[HORA INICIO INTERVENCIÓN]]</f>
        <v>9.6527777777777712E-2</v>
      </c>
      <c r="R1055" s="20">
        <f>(SEGUIMIENTO_TPM_xlsx[[#This Row],[HORA REPORTE]]+SEGUIMIENTO_TPM_xlsx[[#This Row],[FECHA DE REPORTE]])</f>
        <v>46102.475694444445</v>
      </c>
      <c r="S1055" s="20">
        <f>(SEGUIMIENTO_TPM_xlsx[[#This Row],[FECHA DE INTERVENCÓN]]+SEGUIMIENTO_TPM_xlsx[[#This Row],[HORA FIN  INTERVENCIÓN]])</f>
        <v>46102.575694444444</v>
      </c>
      <c r="T1055" s="11">
        <f>(SEGUIMIENTO_TPM_xlsx[[#This Row],[FECHA Y HORA FINAL]]-SEGUIMIENTO_TPM_xlsx[[#This Row],[FECHA Y HORA INICIO]])</f>
        <v>9.9999999998544808E-2</v>
      </c>
    </row>
    <row r="1056" spans="1:20" x14ac:dyDescent="0.25">
      <c r="A1056">
        <v>1064</v>
      </c>
      <c r="B1056" t="s">
        <v>341</v>
      </c>
      <c r="C1056" s="1">
        <v>0.54166666666666663</v>
      </c>
      <c r="D1056" s="2">
        <v>46102</v>
      </c>
      <c r="E1056" t="s">
        <v>143</v>
      </c>
      <c r="F1056" t="s">
        <v>18</v>
      </c>
      <c r="G1056" t="s">
        <v>1645</v>
      </c>
      <c r="H1056" s="1">
        <v>0.54166666666666663</v>
      </c>
      <c r="I1056" s="1">
        <v>0.57638888888888884</v>
      </c>
      <c r="J1056" s="2">
        <v>46102</v>
      </c>
      <c r="K1056" t="s">
        <v>25</v>
      </c>
      <c r="L1056" t="s">
        <v>1646</v>
      </c>
      <c r="M1056" t="s">
        <v>1647</v>
      </c>
      <c r="N1056" t="s">
        <v>22</v>
      </c>
      <c r="O1056" t="s">
        <v>661</v>
      </c>
      <c r="P1056" t="s">
        <v>23</v>
      </c>
      <c r="Q1056" s="1">
        <f>SEGUIMIENTO_TPM_xlsx[[#This Row],[HORA FIN  INTERVENCIÓN]]-SEGUIMIENTO_TPM_xlsx[[#This Row],[HORA INICIO INTERVENCIÓN]]</f>
        <v>3.472222222222221E-2</v>
      </c>
      <c r="R1056" s="20">
        <f>(SEGUIMIENTO_TPM_xlsx[[#This Row],[HORA REPORTE]]+SEGUIMIENTO_TPM_xlsx[[#This Row],[FECHA DE REPORTE]])</f>
        <v>46102.541666666664</v>
      </c>
      <c r="S1056" s="20">
        <f>(SEGUIMIENTO_TPM_xlsx[[#This Row],[FECHA DE INTERVENCÓN]]+SEGUIMIENTO_TPM_xlsx[[#This Row],[HORA FIN  INTERVENCIÓN]])</f>
        <v>46102.576388888891</v>
      </c>
      <c r="T1056" s="11">
        <f>(SEGUIMIENTO_TPM_xlsx[[#This Row],[FECHA Y HORA FINAL]]-SEGUIMIENTO_TPM_xlsx[[#This Row],[FECHA Y HORA INICIO]])</f>
        <v>3.4722222226264421E-2</v>
      </c>
    </row>
    <row r="1057" spans="1:20" x14ac:dyDescent="0.25">
      <c r="A1057">
        <v>1065</v>
      </c>
      <c r="B1057" t="s">
        <v>1648</v>
      </c>
      <c r="C1057" s="1">
        <v>0.80902777777777779</v>
      </c>
      <c r="D1057" s="2">
        <v>46102</v>
      </c>
      <c r="E1057" t="s">
        <v>143</v>
      </c>
      <c r="F1057" t="s">
        <v>650</v>
      </c>
      <c r="G1057" t="s">
        <v>1649</v>
      </c>
      <c r="H1057" s="1">
        <v>0.8125</v>
      </c>
      <c r="I1057" s="1">
        <v>0.84027777777777779</v>
      </c>
      <c r="J1057" s="2">
        <v>46102</v>
      </c>
      <c r="K1057" t="s">
        <v>25</v>
      </c>
      <c r="L1057" t="s">
        <v>1650</v>
      </c>
      <c r="M1057" t="s">
        <v>1689</v>
      </c>
      <c r="N1057" t="s">
        <v>22</v>
      </c>
      <c r="O1057" t="s">
        <v>44</v>
      </c>
      <c r="P1057" t="s">
        <v>23</v>
      </c>
      <c r="Q1057" s="1">
        <f>SEGUIMIENTO_TPM_xlsx[[#This Row],[HORA FIN  INTERVENCIÓN]]-SEGUIMIENTO_TPM_xlsx[[#This Row],[HORA INICIO INTERVENCIÓN]]</f>
        <v>2.777777777777779E-2</v>
      </c>
      <c r="R1057" s="20">
        <f>(SEGUIMIENTO_TPM_xlsx[[#This Row],[HORA REPORTE]]+SEGUIMIENTO_TPM_xlsx[[#This Row],[FECHA DE REPORTE]])</f>
        <v>46102.809027777781</v>
      </c>
      <c r="S1057" s="20">
        <f>(SEGUIMIENTO_TPM_xlsx[[#This Row],[FECHA DE INTERVENCÓN]]+SEGUIMIENTO_TPM_xlsx[[#This Row],[HORA FIN  INTERVENCIÓN]])</f>
        <v>46102.840277777781</v>
      </c>
      <c r="T1057" s="11">
        <f>(SEGUIMIENTO_TPM_xlsx[[#This Row],[FECHA Y HORA FINAL]]-SEGUIMIENTO_TPM_xlsx[[#This Row],[FECHA Y HORA INICIO]])</f>
        <v>3.125E-2</v>
      </c>
    </row>
    <row r="1058" spans="1:20" x14ac:dyDescent="0.25">
      <c r="A1058">
        <v>1066</v>
      </c>
      <c r="B1058" t="s">
        <v>103</v>
      </c>
      <c r="C1058" s="1">
        <v>4.1666666666666664E-2</v>
      </c>
      <c r="D1058" s="2">
        <v>46103</v>
      </c>
      <c r="E1058" t="s">
        <v>188</v>
      </c>
      <c r="F1058" t="s">
        <v>18</v>
      </c>
      <c r="G1058" t="s">
        <v>1651</v>
      </c>
      <c r="H1058" s="1">
        <v>4.1666666666666664E-2</v>
      </c>
      <c r="I1058" s="1">
        <v>5.5555555555555552E-2</v>
      </c>
      <c r="J1058" s="2">
        <v>46103</v>
      </c>
      <c r="K1058" t="s">
        <v>25</v>
      </c>
      <c r="L1058" t="s">
        <v>1652</v>
      </c>
      <c r="M1058" t="s">
        <v>1653</v>
      </c>
      <c r="N1058" t="s">
        <v>22</v>
      </c>
      <c r="O1058" t="s">
        <v>112</v>
      </c>
      <c r="P1058" t="s">
        <v>23</v>
      </c>
      <c r="Q1058" s="1">
        <f>SEGUIMIENTO_TPM_xlsx[[#This Row],[HORA FIN  INTERVENCIÓN]]-SEGUIMIENTO_TPM_xlsx[[#This Row],[HORA INICIO INTERVENCIÓN]]</f>
        <v>1.3888888888888888E-2</v>
      </c>
      <c r="R1058" s="20">
        <f>(SEGUIMIENTO_TPM_xlsx[[#This Row],[HORA REPORTE]]+SEGUIMIENTO_TPM_xlsx[[#This Row],[FECHA DE REPORTE]])</f>
        <v>46103.041666666664</v>
      </c>
      <c r="S1058" s="20">
        <f>(SEGUIMIENTO_TPM_xlsx[[#This Row],[FECHA DE INTERVENCÓN]]+SEGUIMIENTO_TPM_xlsx[[#This Row],[HORA FIN  INTERVENCIÓN]])</f>
        <v>46103.055555555555</v>
      </c>
      <c r="T1058" s="11">
        <f>(SEGUIMIENTO_TPM_xlsx[[#This Row],[FECHA Y HORA FINAL]]-SEGUIMIENTO_TPM_xlsx[[#This Row],[FECHA Y HORA INICIO]])</f>
        <v>1.3888888890505768E-2</v>
      </c>
    </row>
    <row r="1059" spans="1:20" x14ac:dyDescent="0.25">
      <c r="A1059">
        <v>1067</v>
      </c>
      <c r="C1059" s="1"/>
      <c r="D1059" s="2"/>
      <c r="H1059" s="1"/>
      <c r="I1059" s="1"/>
      <c r="J1059" s="2"/>
      <c r="Q1059" s="1">
        <f>SEGUIMIENTO_TPM_xlsx[[#This Row],[HORA FIN  INTERVENCIÓN]]-SEGUIMIENTO_TPM_xlsx[[#This Row],[HORA INICIO INTERVENCIÓN]]</f>
        <v>0</v>
      </c>
      <c r="R1059" s="20">
        <f>(SEGUIMIENTO_TPM_xlsx[[#This Row],[HORA REPORTE]]+SEGUIMIENTO_TPM_xlsx[[#This Row],[FECHA DE REPORTE]])</f>
        <v>0</v>
      </c>
      <c r="S1059" s="20">
        <f>(SEGUIMIENTO_TPM_xlsx[[#This Row],[FECHA DE INTERVENCÓN]]+SEGUIMIENTO_TPM_xlsx[[#This Row],[HORA FIN  INTERVENCIÓN]])</f>
        <v>0</v>
      </c>
      <c r="T1059" s="11">
        <f>(SEGUIMIENTO_TPM_xlsx[[#This Row],[FECHA Y HORA FINAL]]-SEGUIMIENTO_TPM_xlsx[[#This Row],[FECHA Y HORA INICIO]])</f>
        <v>0</v>
      </c>
    </row>
    <row r="1060" spans="1:20" x14ac:dyDescent="0.25">
      <c r="A1060">
        <v>1068</v>
      </c>
      <c r="C1060" s="1"/>
      <c r="D1060" s="2"/>
      <c r="H1060" s="1"/>
      <c r="I1060" s="1"/>
      <c r="J1060" s="2"/>
      <c r="Q1060" s="1">
        <f>SEGUIMIENTO_TPM_xlsx[[#This Row],[HORA FIN  INTERVENCIÓN]]-SEGUIMIENTO_TPM_xlsx[[#This Row],[HORA INICIO INTERVENCIÓN]]</f>
        <v>0</v>
      </c>
      <c r="R1060" s="20">
        <f>(SEGUIMIENTO_TPM_xlsx[[#This Row],[HORA REPORTE]]+SEGUIMIENTO_TPM_xlsx[[#This Row],[FECHA DE REPORTE]])</f>
        <v>0</v>
      </c>
      <c r="S1060" s="20">
        <f>(SEGUIMIENTO_TPM_xlsx[[#This Row],[FECHA DE INTERVENCÓN]]+SEGUIMIENTO_TPM_xlsx[[#This Row],[HORA FIN  INTERVENCIÓN]])</f>
        <v>0</v>
      </c>
      <c r="T1060" s="11">
        <f>(SEGUIMIENTO_TPM_xlsx[[#This Row],[FECHA Y HORA FINAL]]-SEGUIMIENTO_TPM_xlsx[[#This Row],[FECHA Y HORA INICIO]])</f>
        <v>0</v>
      </c>
    </row>
    <row r="1061" spans="1:20" x14ac:dyDescent="0.25">
      <c r="A1061">
        <v>1069</v>
      </c>
      <c r="B1061" t="s">
        <v>526</v>
      </c>
      <c r="C1061" s="1">
        <v>0.16666666666666666</v>
      </c>
      <c r="D1061" s="2">
        <v>46104</v>
      </c>
      <c r="E1061" t="s">
        <v>91</v>
      </c>
      <c r="F1061" t="s">
        <v>18</v>
      </c>
      <c r="G1061" t="s">
        <v>1654</v>
      </c>
      <c r="H1061" s="1">
        <v>0.16666666666666666</v>
      </c>
      <c r="I1061" s="1">
        <v>0.1875</v>
      </c>
      <c r="J1061" s="2">
        <v>46104</v>
      </c>
      <c r="K1061" t="s">
        <v>48</v>
      </c>
      <c r="L1061" t="s">
        <v>1655</v>
      </c>
      <c r="M1061" t="s">
        <v>22</v>
      </c>
      <c r="N1061" t="s">
        <v>22</v>
      </c>
      <c r="O1061" t="s">
        <v>112</v>
      </c>
      <c r="P1061" t="s">
        <v>23</v>
      </c>
      <c r="Q1061" s="1">
        <f>SEGUIMIENTO_TPM_xlsx[[#This Row],[HORA FIN  INTERVENCIÓN]]-SEGUIMIENTO_TPM_xlsx[[#This Row],[HORA INICIO INTERVENCIÓN]]</f>
        <v>2.0833333333333343E-2</v>
      </c>
      <c r="R1061" s="20">
        <f>(SEGUIMIENTO_TPM_xlsx[[#This Row],[HORA REPORTE]]+SEGUIMIENTO_TPM_xlsx[[#This Row],[FECHA DE REPORTE]])</f>
        <v>46104.166666666664</v>
      </c>
      <c r="S1061" s="20">
        <f>(SEGUIMIENTO_TPM_xlsx[[#This Row],[FECHA DE INTERVENCÓN]]+SEGUIMIENTO_TPM_xlsx[[#This Row],[HORA FIN  INTERVENCIÓN]])</f>
        <v>46104.1875</v>
      </c>
      <c r="T1061" s="11">
        <f>(SEGUIMIENTO_TPM_xlsx[[#This Row],[FECHA Y HORA FINAL]]-SEGUIMIENTO_TPM_xlsx[[#This Row],[FECHA Y HORA INICIO]])</f>
        <v>2.0833333335758653E-2</v>
      </c>
    </row>
    <row r="1062" spans="1:20" x14ac:dyDescent="0.25">
      <c r="A1062">
        <v>1070</v>
      </c>
      <c r="B1062" t="s">
        <v>1648</v>
      </c>
      <c r="C1062" s="1">
        <v>8.3333333333333329E-2</v>
      </c>
      <c r="D1062" s="2">
        <v>46104</v>
      </c>
      <c r="E1062" t="s">
        <v>143</v>
      </c>
      <c r="F1062" t="s">
        <v>18</v>
      </c>
      <c r="G1062" t="s">
        <v>1656</v>
      </c>
      <c r="H1062" s="1"/>
      <c r="I1062" s="1"/>
      <c r="J1062" s="2"/>
      <c r="Q1062" s="1">
        <f>SEGUIMIENTO_TPM_xlsx[[#This Row],[HORA FIN  INTERVENCIÓN]]-SEGUIMIENTO_TPM_xlsx[[#This Row],[HORA INICIO INTERVENCIÓN]]</f>
        <v>0</v>
      </c>
      <c r="R1062" s="20">
        <f>(SEGUIMIENTO_TPM_xlsx[[#This Row],[HORA REPORTE]]+SEGUIMIENTO_TPM_xlsx[[#This Row],[FECHA DE REPORTE]])</f>
        <v>46104.083333333336</v>
      </c>
      <c r="S1062" s="20">
        <f>(SEGUIMIENTO_TPM_xlsx[[#This Row],[FECHA DE INTERVENCÓN]]+SEGUIMIENTO_TPM_xlsx[[#This Row],[HORA FIN  INTERVENCIÓN]])</f>
        <v>0</v>
      </c>
      <c r="T1062" s="11">
        <f>(SEGUIMIENTO_TPM_xlsx[[#This Row],[FECHA Y HORA FINAL]]-SEGUIMIENTO_TPM_xlsx[[#This Row],[FECHA Y HORA INICIO]])</f>
        <v>-46104.083333333336</v>
      </c>
    </row>
    <row r="1063" spans="1:20" x14ac:dyDescent="0.25">
      <c r="A1063">
        <v>1071</v>
      </c>
      <c r="B1063" t="s">
        <v>103</v>
      </c>
      <c r="C1063" s="1">
        <v>0.3576388888888889</v>
      </c>
      <c r="D1063" s="2">
        <v>46104</v>
      </c>
      <c r="E1063" t="s">
        <v>188</v>
      </c>
      <c r="F1063" t="s">
        <v>18</v>
      </c>
      <c r="G1063" t="s">
        <v>1657</v>
      </c>
      <c r="H1063" s="1">
        <v>0.35416666666666669</v>
      </c>
      <c r="I1063" s="1">
        <v>0.375</v>
      </c>
      <c r="J1063" s="2">
        <v>46104</v>
      </c>
      <c r="K1063" t="s">
        <v>20</v>
      </c>
      <c r="L1063" t="s">
        <v>1658</v>
      </c>
      <c r="M1063" t="s">
        <v>22</v>
      </c>
      <c r="N1063" t="s">
        <v>22</v>
      </c>
      <c r="O1063" t="s">
        <v>661</v>
      </c>
      <c r="P1063" t="s">
        <v>23</v>
      </c>
      <c r="Q1063" s="1">
        <f>SEGUIMIENTO_TPM_xlsx[[#This Row],[HORA FIN  INTERVENCIÓN]]-SEGUIMIENTO_TPM_xlsx[[#This Row],[HORA INICIO INTERVENCIÓN]]</f>
        <v>2.0833333333333315E-2</v>
      </c>
      <c r="R1063" s="20">
        <f>(SEGUIMIENTO_TPM_xlsx[[#This Row],[HORA REPORTE]]+SEGUIMIENTO_TPM_xlsx[[#This Row],[FECHA DE REPORTE]])</f>
        <v>46104.357638888891</v>
      </c>
      <c r="S1063" s="20">
        <f>(SEGUIMIENTO_TPM_xlsx[[#This Row],[FECHA DE INTERVENCÓN]]+SEGUIMIENTO_TPM_xlsx[[#This Row],[HORA FIN  INTERVENCIÓN]])</f>
        <v>46104.375</v>
      </c>
      <c r="T1063" s="11">
        <f>(SEGUIMIENTO_TPM_xlsx[[#This Row],[FECHA Y HORA FINAL]]-SEGUIMIENTO_TPM_xlsx[[#This Row],[FECHA Y HORA INICIO]])</f>
        <v>1.7361111109494232E-2</v>
      </c>
    </row>
    <row r="1064" spans="1:20" x14ac:dyDescent="0.25">
      <c r="A1064">
        <v>1072</v>
      </c>
      <c r="B1064" t="s">
        <v>256</v>
      </c>
      <c r="C1064" s="1">
        <v>0.35069444444444442</v>
      </c>
      <c r="D1064" s="2">
        <v>46104</v>
      </c>
      <c r="E1064" t="s">
        <v>215</v>
      </c>
      <c r="F1064" t="s">
        <v>18</v>
      </c>
      <c r="G1064" t="s">
        <v>1659</v>
      </c>
      <c r="H1064" s="1">
        <v>0.35069444444444442</v>
      </c>
      <c r="I1064" s="1">
        <v>0.72916666666666663</v>
      </c>
      <c r="J1064" s="2">
        <v>46104</v>
      </c>
      <c r="K1064" t="s">
        <v>25</v>
      </c>
      <c r="L1064" t="s">
        <v>1660</v>
      </c>
      <c r="M1064" t="s">
        <v>22</v>
      </c>
      <c r="N1064" t="s">
        <v>22</v>
      </c>
      <c r="O1064" t="s">
        <v>108</v>
      </c>
      <c r="P1064" t="s">
        <v>23</v>
      </c>
      <c r="Q1064" s="1">
        <f>SEGUIMIENTO_TPM_xlsx[[#This Row],[HORA FIN  INTERVENCIÓN]]-SEGUIMIENTO_TPM_xlsx[[#This Row],[HORA INICIO INTERVENCIÓN]]</f>
        <v>0.37847222222222221</v>
      </c>
      <c r="R1064" s="20">
        <f>(SEGUIMIENTO_TPM_xlsx[[#This Row],[HORA REPORTE]]+SEGUIMIENTO_TPM_xlsx[[#This Row],[FECHA DE REPORTE]])</f>
        <v>46104.350694444445</v>
      </c>
      <c r="S1064" s="20">
        <f>(SEGUIMIENTO_TPM_xlsx[[#This Row],[FECHA DE INTERVENCÓN]]+SEGUIMIENTO_TPM_xlsx[[#This Row],[HORA FIN  INTERVENCIÓN]])</f>
        <v>46104.729166666664</v>
      </c>
      <c r="T1064" s="11">
        <f>(SEGUIMIENTO_TPM_xlsx[[#This Row],[FECHA Y HORA FINAL]]-SEGUIMIENTO_TPM_xlsx[[#This Row],[FECHA Y HORA INICIO]])</f>
        <v>0.37847222221898846</v>
      </c>
    </row>
    <row r="1065" spans="1:20" x14ac:dyDescent="0.25">
      <c r="A1065">
        <v>1073</v>
      </c>
      <c r="B1065" t="s">
        <v>385</v>
      </c>
      <c r="C1065" s="1">
        <v>0.47916666666666669</v>
      </c>
      <c r="D1065" s="2">
        <v>46104</v>
      </c>
      <c r="E1065" t="s">
        <v>116</v>
      </c>
      <c r="F1065" t="s">
        <v>18</v>
      </c>
      <c r="G1065" t="s">
        <v>1661</v>
      </c>
      <c r="H1065" s="1">
        <v>0.47916666666666669</v>
      </c>
      <c r="I1065" s="1">
        <v>0.52083333333333337</v>
      </c>
      <c r="J1065" s="2">
        <v>46104</v>
      </c>
      <c r="K1065" t="s">
        <v>1558</v>
      </c>
      <c r="L1065" t="s">
        <v>1662</v>
      </c>
      <c r="M1065" t="s">
        <v>1665</v>
      </c>
      <c r="N1065" t="s">
        <v>22</v>
      </c>
      <c r="O1065" t="s">
        <v>108</v>
      </c>
      <c r="P1065" t="s">
        <v>23</v>
      </c>
      <c r="Q1065" s="1">
        <f>SEGUIMIENTO_TPM_xlsx[[#This Row],[HORA FIN  INTERVENCIÓN]]-SEGUIMIENTO_TPM_xlsx[[#This Row],[HORA INICIO INTERVENCIÓN]]</f>
        <v>4.1666666666666685E-2</v>
      </c>
      <c r="R1065" s="20">
        <f>(SEGUIMIENTO_TPM_xlsx[[#This Row],[HORA REPORTE]]+SEGUIMIENTO_TPM_xlsx[[#This Row],[FECHA DE REPORTE]])</f>
        <v>46104.479166666664</v>
      </c>
      <c r="S1065" s="20">
        <f>(SEGUIMIENTO_TPM_xlsx[[#This Row],[FECHA DE INTERVENCÓN]]+SEGUIMIENTO_TPM_xlsx[[#This Row],[HORA FIN  INTERVENCIÓN]])</f>
        <v>46104.520833333336</v>
      </c>
      <c r="T1065" s="11">
        <f>(SEGUIMIENTO_TPM_xlsx[[#This Row],[FECHA Y HORA FINAL]]-SEGUIMIENTO_TPM_xlsx[[#This Row],[FECHA Y HORA INICIO]])</f>
        <v>4.1666666671517305E-2</v>
      </c>
    </row>
    <row r="1066" spans="1:20" x14ac:dyDescent="0.25">
      <c r="A1066">
        <v>1074</v>
      </c>
      <c r="B1066" t="s">
        <v>385</v>
      </c>
      <c r="C1066" s="1">
        <v>0.3125</v>
      </c>
      <c r="D1066" s="2">
        <v>46105</v>
      </c>
      <c r="E1066" t="s">
        <v>94</v>
      </c>
      <c r="F1066" t="s">
        <v>18</v>
      </c>
      <c r="G1066" t="s">
        <v>1666</v>
      </c>
      <c r="H1066" s="1">
        <v>0.3125</v>
      </c>
      <c r="I1066" s="1">
        <v>0.33333333333333331</v>
      </c>
      <c r="J1066" s="2">
        <v>46105</v>
      </c>
      <c r="K1066" t="s">
        <v>25</v>
      </c>
      <c r="L1066" t="s">
        <v>1667</v>
      </c>
      <c r="M1066" t="s">
        <v>22</v>
      </c>
      <c r="N1066" t="s">
        <v>22</v>
      </c>
      <c r="O1066" t="s">
        <v>112</v>
      </c>
      <c r="P1066" t="s">
        <v>23</v>
      </c>
      <c r="Q1066" s="1">
        <f>SEGUIMIENTO_TPM_xlsx[[#This Row],[HORA FIN  INTERVENCIÓN]]-SEGUIMIENTO_TPM_xlsx[[#This Row],[HORA INICIO INTERVENCIÓN]]</f>
        <v>2.0833333333333315E-2</v>
      </c>
      <c r="R1066" s="20">
        <f>(SEGUIMIENTO_TPM_xlsx[[#This Row],[HORA REPORTE]]+SEGUIMIENTO_TPM_xlsx[[#This Row],[FECHA DE REPORTE]])</f>
        <v>46105.3125</v>
      </c>
      <c r="S1066" s="20">
        <f>(SEGUIMIENTO_TPM_xlsx[[#This Row],[FECHA DE INTERVENCÓN]]+SEGUIMIENTO_TPM_xlsx[[#This Row],[HORA FIN  INTERVENCIÓN]])</f>
        <v>46105.333333333336</v>
      </c>
      <c r="T1066" s="11">
        <f>(SEGUIMIENTO_TPM_xlsx[[#This Row],[FECHA Y HORA FINAL]]-SEGUIMIENTO_TPM_xlsx[[#This Row],[FECHA Y HORA INICIO]])</f>
        <v>2.0833333335758653E-2</v>
      </c>
    </row>
    <row r="1067" spans="1:20" x14ac:dyDescent="0.25">
      <c r="A1067">
        <v>1075</v>
      </c>
      <c r="B1067" t="s">
        <v>199</v>
      </c>
      <c r="C1067" s="1">
        <v>0.13194444444444445</v>
      </c>
      <c r="D1067" s="2">
        <v>46105</v>
      </c>
      <c r="E1067" t="s">
        <v>188</v>
      </c>
      <c r="F1067" t="s">
        <v>18</v>
      </c>
      <c r="G1067" t="s">
        <v>1690</v>
      </c>
      <c r="H1067" s="1">
        <v>0.13194444444444445</v>
      </c>
      <c r="I1067" s="1">
        <v>0.35069444444444442</v>
      </c>
      <c r="J1067" s="2">
        <v>46105</v>
      </c>
      <c r="K1067" t="s">
        <v>20</v>
      </c>
      <c r="L1067" t="s">
        <v>1691</v>
      </c>
      <c r="M1067" t="s">
        <v>22</v>
      </c>
      <c r="N1067" t="s">
        <v>22</v>
      </c>
      <c r="O1067" t="s">
        <v>44</v>
      </c>
      <c r="P1067" t="s">
        <v>33</v>
      </c>
      <c r="Q1067" s="1">
        <f>SEGUIMIENTO_TPM_xlsx[[#This Row],[HORA FIN  INTERVENCIÓN]]-SEGUIMIENTO_TPM_xlsx[[#This Row],[HORA INICIO INTERVENCIÓN]]</f>
        <v>0.21874999999999997</v>
      </c>
      <c r="R1067" s="20">
        <f>(SEGUIMIENTO_TPM_xlsx[[#This Row],[HORA REPORTE]]+SEGUIMIENTO_TPM_xlsx[[#This Row],[FECHA DE REPORTE]])</f>
        <v>46105.131944444445</v>
      </c>
      <c r="S1067" s="20">
        <f>(SEGUIMIENTO_TPM_xlsx[[#This Row],[FECHA DE INTERVENCÓN]]+SEGUIMIENTO_TPM_xlsx[[#This Row],[HORA FIN  INTERVENCIÓN]])</f>
        <v>46105.350694444445</v>
      </c>
      <c r="T1067" s="11">
        <f>(SEGUIMIENTO_TPM_xlsx[[#This Row],[FECHA Y HORA FINAL]]-SEGUIMIENTO_TPM_xlsx[[#This Row],[FECHA Y HORA INICIO]])</f>
        <v>0.21875</v>
      </c>
    </row>
    <row r="1068" spans="1:20" x14ac:dyDescent="0.25">
      <c r="A1068">
        <v>1076</v>
      </c>
      <c r="B1068" t="s">
        <v>526</v>
      </c>
      <c r="C1068" s="1">
        <v>0.37847222222222221</v>
      </c>
      <c r="D1068" s="2">
        <v>46105</v>
      </c>
      <c r="E1068" t="s">
        <v>147</v>
      </c>
      <c r="F1068" t="s">
        <v>18</v>
      </c>
      <c r="G1068" t="s">
        <v>1668</v>
      </c>
      <c r="H1068" s="1">
        <v>0.37847222222222221</v>
      </c>
      <c r="I1068" s="1">
        <v>0.3888888888888889</v>
      </c>
      <c r="J1068" s="2">
        <v>46105</v>
      </c>
      <c r="K1068" t="s">
        <v>1558</v>
      </c>
      <c r="L1068" t="s">
        <v>1669</v>
      </c>
      <c r="M1068" t="s">
        <v>22</v>
      </c>
      <c r="N1068" t="s">
        <v>22</v>
      </c>
      <c r="O1068" t="s">
        <v>112</v>
      </c>
      <c r="P1068" t="s">
        <v>23</v>
      </c>
      <c r="Q1068" s="1">
        <f>SEGUIMIENTO_TPM_xlsx[[#This Row],[HORA FIN  INTERVENCIÓN]]-SEGUIMIENTO_TPM_xlsx[[#This Row],[HORA INICIO INTERVENCIÓN]]</f>
        <v>1.0416666666666685E-2</v>
      </c>
      <c r="R1068" s="20">
        <f>(SEGUIMIENTO_TPM_xlsx[[#This Row],[HORA REPORTE]]+SEGUIMIENTO_TPM_xlsx[[#This Row],[FECHA DE REPORTE]])</f>
        <v>46105.378472222219</v>
      </c>
      <c r="S1068" s="20">
        <f>(SEGUIMIENTO_TPM_xlsx[[#This Row],[FECHA DE INTERVENCÓN]]+SEGUIMIENTO_TPM_xlsx[[#This Row],[HORA FIN  INTERVENCIÓN]])</f>
        <v>46105.388888888891</v>
      </c>
      <c r="T1068" s="11">
        <f>(SEGUIMIENTO_TPM_xlsx[[#This Row],[FECHA Y HORA FINAL]]-SEGUIMIENTO_TPM_xlsx[[#This Row],[FECHA Y HORA INICIO]])</f>
        <v>1.0416666671517305E-2</v>
      </c>
    </row>
    <row r="1069" spans="1:20" x14ac:dyDescent="0.25">
      <c r="A1069">
        <v>1077</v>
      </c>
      <c r="B1069" t="s">
        <v>206</v>
      </c>
      <c r="C1069" s="1">
        <v>0.625</v>
      </c>
      <c r="D1069" s="2">
        <v>46105</v>
      </c>
      <c r="E1069" t="s">
        <v>116</v>
      </c>
      <c r="F1069" t="s">
        <v>18</v>
      </c>
      <c r="G1069" t="s">
        <v>1670</v>
      </c>
      <c r="H1069" s="1">
        <v>0.625</v>
      </c>
      <c r="I1069" s="1">
        <v>0.66666666666666663</v>
      </c>
      <c r="J1069" s="2">
        <v>46105</v>
      </c>
      <c r="K1069" t="s">
        <v>25</v>
      </c>
      <c r="L1069" t="s">
        <v>1671</v>
      </c>
      <c r="M1069" t="s">
        <v>1672</v>
      </c>
      <c r="N1069" t="s">
        <v>22</v>
      </c>
      <c r="O1069" t="s">
        <v>112</v>
      </c>
      <c r="P1069" t="s">
        <v>23</v>
      </c>
      <c r="Q1069" s="1">
        <f>SEGUIMIENTO_TPM_xlsx[[#This Row],[HORA FIN  INTERVENCIÓN]]-SEGUIMIENTO_TPM_xlsx[[#This Row],[HORA INICIO INTERVENCIÓN]]</f>
        <v>4.166666666666663E-2</v>
      </c>
      <c r="R1069" s="20">
        <f>(SEGUIMIENTO_TPM_xlsx[[#This Row],[HORA REPORTE]]+SEGUIMIENTO_TPM_xlsx[[#This Row],[FECHA DE REPORTE]])</f>
        <v>46105.625</v>
      </c>
      <c r="S1069" s="20">
        <f>(SEGUIMIENTO_TPM_xlsx[[#This Row],[FECHA DE INTERVENCÓN]]+SEGUIMIENTO_TPM_xlsx[[#This Row],[HORA FIN  INTERVENCIÓN]])</f>
        <v>46105.666666666664</v>
      </c>
      <c r="T1069" s="11">
        <f>(SEGUIMIENTO_TPM_xlsx[[#This Row],[FECHA Y HORA FINAL]]-SEGUIMIENTO_TPM_xlsx[[#This Row],[FECHA Y HORA INICIO]])</f>
        <v>4.1666666664241347E-2</v>
      </c>
    </row>
    <row r="1070" spans="1:20" x14ac:dyDescent="0.25">
      <c r="A1070">
        <v>1078</v>
      </c>
      <c r="B1070" t="s">
        <v>206</v>
      </c>
      <c r="C1070" s="1">
        <v>0.79861111111111116</v>
      </c>
      <c r="D1070" s="2">
        <v>46105</v>
      </c>
      <c r="E1070" t="s">
        <v>116</v>
      </c>
      <c r="F1070" t="s">
        <v>18</v>
      </c>
      <c r="G1070" t="s">
        <v>1673</v>
      </c>
      <c r="H1070" s="1">
        <v>0.79861111111111116</v>
      </c>
      <c r="I1070" s="1">
        <v>0.80902777777777779</v>
      </c>
      <c r="J1070" s="2">
        <v>46105</v>
      </c>
      <c r="K1070" t="s">
        <v>25</v>
      </c>
      <c r="L1070" t="s">
        <v>1674</v>
      </c>
      <c r="M1070" t="s">
        <v>1675</v>
      </c>
      <c r="N1070" t="s">
        <v>22</v>
      </c>
      <c r="O1070" t="s">
        <v>44</v>
      </c>
      <c r="P1070" t="s">
        <v>23</v>
      </c>
      <c r="Q1070" s="1">
        <f>SEGUIMIENTO_TPM_xlsx[[#This Row],[HORA FIN  INTERVENCIÓN]]-SEGUIMIENTO_TPM_xlsx[[#This Row],[HORA INICIO INTERVENCIÓN]]</f>
        <v>1.041666666666663E-2</v>
      </c>
      <c r="R1070" s="20">
        <f>(SEGUIMIENTO_TPM_xlsx[[#This Row],[HORA REPORTE]]+SEGUIMIENTO_TPM_xlsx[[#This Row],[FECHA DE REPORTE]])</f>
        <v>46105.798611111109</v>
      </c>
      <c r="S1070" s="20">
        <f>(SEGUIMIENTO_TPM_xlsx[[#This Row],[FECHA DE INTERVENCÓN]]+SEGUIMIENTO_TPM_xlsx[[#This Row],[HORA FIN  INTERVENCIÓN]])</f>
        <v>46105.809027777781</v>
      </c>
      <c r="T1070" s="11">
        <f>(SEGUIMIENTO_TPM_xlsx[[#This Row],[FECHA Y HORA FINAL]]-SEGUIMIENTO_TPM_xlsx[[#This Row],[FECHA Y HORA INICIO]])</f>
        <v>1.0416666671517305E-2</v>
      </c>
    </row>
    <row r="1071" spans="1:20" x14ac:dyDescent="0.25">
      <c r="A1071">
        <v>1079</v>
      </c>
      <c r="B1071" t="s">
        <v>164</v>
      </c>
      <c r="C1071" s="1">
        <v>7.1527777777777773E-2</v>
      </c>
      <c r="D1071" s="2">
        <v>46106</v>
      </c>
      <c r="E1071" t="s">
        <v>143</v>
      </c>
      <c r="F1071" t="s">
        <v>18</v>
      </c>
      <c r="G1071" t="s">
        <v>1692</v>
      </c>
      <c r="H1071" s="1">
        <v>7.2916666666666671E-2</v>
      </c>
      <c r="I1071" s="1">
        <v>8.3333333333333329E-2</v>
      </c>
      <c r="J1071" s="2">
        <v>46106</v>
      </c>
      <c r="K1071" t="s">
        <v>48</v>
      </c>
      <c r="L1071" t="s">
        <v>1693</v>
      </c>
      <c r="N1071" t="s">
        <v>22</v>
      </c>
      <c r="O1071" t="s">
        <v>44</v>
      </c>
      <c r="P1071" t="s">
        <v>33</v>
      </c>
      <c r="Q1071" s="1">
        <f>SEGUIMIENTO_TPM_xlsx[[#This Row],[HORA FIN  INTERVENCIÓN]]-SEGUIMIENTO_TPM_xlsx[[#This Row],[HORA INICIO INTERVENCIÓN]]</f>
        <v>1.0416666666666657E-2</v>
      </c>
      <c r="R1071" s="20">
        <f>(SEGUIMIENTO_TPM_xlsx[[#This Row],[HORA REPORTE]]+SEGUIMIENTO_TPM_xlsx[[#This Row],[FECHA DE REPORTE]])</f>
        <v>46106.071527777778</v>
      </c>
      <c r="S1071" s="20">
        <f>(SEGUIMIENTO_TPM_xlsx[[#This Row],[FECHA DE INTERVENCÓN]]+SEGUIMIENTO_TPM_xlsx[[#This Row],[HORA FIN  INTERVENCIÓN]])</f>
        <v>46106.083333333336</v>
      </c>
      <c r="T1071" s="11">
        <f>(SEGUIMIENTO_TPM_xlsx[[#This Row],[FECHA Y HORA FINAL]]-SEGUIMIENTO_TPM_xlsx[[#This Row],[FECHA Y HORA INICIO]])</f>
        <v>1.1805555557657499E-2</v>
      </c>
    </row>
    <row r="1072" spans="1:20" x14ac:dyDescent="0.25">
      <c r="A1072">
        <v>1080</v>
      </c>
      <c r="B1072" t="s">
        <v>1676</v>
      </c>
      <c r="C1072" s="1">
        <v>4.1666666666666664E-2</v>
      </c>
      <c r="D1072" s="2">
        <v>46106</v>
      </c>
      <c r="E1072" t="s">
        <v>17</v>
      </c>
      <c r="F1072" t="s">
        <v>18</v>
      </c>
      <c r="G1072" t="s">
        <v>1677</v>
      </c>
      <c r="H1072" s="1">
        <v>0.1111111111111111</v>
      </c>
      <c r="I1072" s="1">
        <v>0.125</v>
      </c>
      <c r="J1072" s="2">
        <v>46106</v>
      </c>
      <c r="K1072" t="s">
        <v>25</v>
      </c>
      <c r="L1072" t="s">
        <v>1678</v>
      </c>
      <c r="M1072" t="s">
        <v>1679</v>
      </c>
      <c r="N1072" t="s">
        <v>22</v>
      </c>
      <c r="O1072" t="s">
        <v>44</v>
      </c>
      <c r="P1072" t="s">
        <v>23</v>
      </c>
      <c r="Q1072" s="1">
        <f>SEGUIMIENTO_TPM_xlsx[[#This Row],[HORA FIN  INTERVENCIÓN]]-SEGUIMIENTO_TPM_xlsx[[#This Row],[HORA INICIO INTERVENCIÓN]]</f>
        <v>1.3888888888888895E-2</v>
      </c>
      <c r="R1072" s="20">
        <f>(SEGUIMIENTO_TPM_xlsx[[#This Row],[HORA REPORTE]]+SEGUIMIENTO_TPM_xlsx[[#This Row],[FECHA DE REPORTE]])</f>
        <v>46106.041666666664</v>
      </c>
      <c r="S1072" s="20">
        <f>(SEGUIMIENTO_TPM_xlsx[[#This Row],[FECHA DE INTERVENCÓN]]+SEGUIMIENTO_TPM_xlsx[[#This Row],[HORA FIN  INTERVENCIÓN]])</f>
        <v>46106.125</v>
      </c>
      <c r="T1072" s="11">
        <f>(SEGUIMIENTO_TPM_xlsx[[#This Row],[FECHA Y HORA FINAL]]-SEGUIMIENTO_TPM_xlsx[[#This Row],[FECHA Y HORA INICIO]])</f>
        <v>8.3333333335758653E-2</v>
      </c>
    </row>
    <row r="1073" spans="1:20" x14ac:dyDescent="0.25">
      <c r="A1073">
        <v>1081</v>
      </c>
      <c r="B1073" t="s">
        <v>1648</v>
      </c>
      <c r="C1073" s="1">
        <v>0.2638888888888889</v>
      </c>
      <c r="D1073" s="2">
        <v>46106</v>
      </c>
      <c r="E1073" t="s">
        <v>143</v>
      </c>
      <c r="F1073" t="s">
        <v>18</v>
      </c>
      <c r="G1073" t="s">
        <v>1680</v>
      </c>
      <c r="H1073" s="1">
        <v>0.2673611111111111</v>
      </c>
      <c r="I1073" s="1">
        <v>0.33333333333333331</v>
      </c>
      <c r="J1073" s="2">
        <v>46106</v>
      </c>
      <c r="K1073" t="s">
        <v>25</v>
      </c>
      <c r="L1073" t="s">
        <v>1681</v>
      </c>
      <c r="M1073" t="s">
        <v>22</v>
      </c>
      <c r="N1073" t="s">
        <v>22</v>
      </c>
      <c r="O1073" t="s">
        <v>661</v>
      </c>
      <c r="P1073" t="s">
        <v>23</v>
      </c>
      <c r="Q1073" s="1">
        <f>SEGUIMIENTO_TPM_xlsx[[#This Row],[HORA FIN  INTERVENCIÓN]]-SEGUIMIENTO_TPM_xlsx[[#This Row],[HORA INICIO INTERVENCIÓN]]</f>
        <v>6.597222222222221E-2</v>
      </c>
      <c r="R1073" s="20">
        <f>(SEGUIMIENTO_TPM_xlsx[[#This Row],[HORA REPORTE]]+SEGUIMIENTO_TPM_xlsx[[#This Row],[FECHA DE REPORTE]])</f>
        <v>46106.263888888891</v>
      </c>
      <c r="S1073" s="20">
        <f>(SEGUIMIENTO_TPM_xlsx[[#This Row],[FECHA DE INTERVENCÓN]]+SEGUIMIENTO_TPM_xlsx[[#This Row],[HORA FIN  INTERVENCIÓN]])</f>
        <v>46106.333333333336</v>
      </c>
      <c r="T1073" s="11">
        <f>(SEGUIMIENTO_TPM_xlsx[[#This Row],[FECHA Y HORA FINAL]]-SEGUIMIENTO_TPM_xlsx[[#This Row],[FECHA Y HORA INICIO]])</f>
        <v>6.9444444445252884E-2</v>
      </c>
    </row>
    <row r="1074" spans="1:20" x14ac:dyDescent="0.25">
      <c r="A1074">
        <v>1082</v>
      </c>
      <c r="B1074" t="s">
        <v>317</v>
      </c>
      <c r="C1074" s="1">
        <v>0.38541666666666669</v>
      </c>
      <c r="D1074" s="2">
        <v>46106</v>
      </c>
      <c r="F1074" t="s">
        <v>18</v>
      </c>
      <c r="G1074" t="s">
        <v>1694</v>
      </c>
      <c r="H1074" s="1">
        <v>0.39930555555555558</v>
      </c>
      <c r="I1074" s="1">
        <v>0.45833333333333331</v>
      </c>
      <c r="J1074" s="2">
        <v>46106</v>
      </c>
      <c r="K1074" t="s">
        <v>25</v>
      </c>
      <c r="L1074" t="s">
        <v>1695</v>
      </c>
      <c r="O1074" t="s">
        <v>661</v>
      </c>
      <c r="P1074" t="s">
        <v>33</v>
      </c>
      <c r="Q1074" s="1">
        <f>SEGUIMIENTO_TPM_xlsx[[#This Row],[HORA FIN  INTERVENCIÓN]]-SEGUIMIENTO_TPM_xlsx[[#This Row],[HORA INICIO INTERVENCIÓN]]</f>
        <v>5.9027777777777735E-2</v>
      </c>
      <c r="R1074" s="20">
        <f>(SEGUIMIENTO_TPM_xlsx[[#This Row],[HORA REPORTE]]+SEGUIMIENTO_TPM_xlsx[[#This Row],[FECHA DE REPORTE]])</f>
        <v>46106.385416666664</v>
      </c>
      <c r="S1074" s="20">
        <f>(SEGUIMIENTO_TPM_xlsx[[#This Row],[FECHA DE INTERVENCÓN]]+SEGUIMIENTO_TPM_xlsx[[#This Row],[HORA FIN  INTERVENCIÓN]])</f>
        <v>46106.458333333336</v>
      </c>
      <c r="T1074" s="11">
        <f>(SEGUIMIENTO_TPM_xlsx[[#This Row],[FECHA Y HORA FINAL]]-SEGUIMIENTO_TPM_xlsx[[#This Row],[FECHA Y HORA INICIO]])</f>
        <v>7.2916666671517305E-2</v>
      </c>
    </row>
    <row r="1075" spans="1:20" x14ac:dyDescent="0.25">
      <c r="A1075">
        <v>1083</v>
      </c>
      <c r="B1075" t="s">
        <v>206</v>
      </c>
      <c r="C1075" s="1">
        <v>0.73750000000000004</v>
      </c>
      <c r="D1075" s="2">
        <v>46106</v>
      </c>
      <c r="E1075" t="s">
        <v>94</v>
      </c>
      <c r="F1075" t="s">
        <v>18</v>
      </c>
      <c r="G1075" t="s">
        <v>1682</v>
      </c>
      <c r="H1075" s="1">
        <v>0.75</v>
      </c>
      <c r="I1075" s="1">
        <v>0.80555555555555558</v>
      </c>
      <c r="J1075" s="2">
        <v>46106</v>
      </c>
      <c r="K1075" t="s">
        <v>25</v>
      </c>
      <c r="L1075" t="s">
        <v>1683</v>
      </c>
      <c r="M1075" t="s">
        <v>1684</v>
      </c>
      <c r="N1075" t="s">
        <v>22</v>
      </c>
      <c r="O1075" t="s">
        <v>112</v>
      </c>
      <c r="P1075" t="s">
        <v>23</v>
      </c>
      <c r="Q1075" s="1">
        <f>SEGUIMIENTO_TPM_xlsx[[#This Row],[HORA FIN  INTERVENCIÓN]]-SEGUIMIENTO_TPM_xlsx[[#This Row],[HORA INICIO INTERVENCIÓN]]</f>
        <v>5.555555555555558E-2</v>
      </c>
      <c r="R1075" s="20">
        <f>(SEGUIMIENTO_TPM_xlsx[[#This Row],[HORA REPORTE]]+SEGUIMIENTO_TPM_xlsx[[#This Row],[FECHA DE REPORTE]])</f>
        <v>46106.737500000003</v>
      </c>
      <c r="S1075" s="20">
        <f>(SEGUIMIENTO_TPM_xlsx[[#This Row],[FECHA DE INTERVENCÓN]]+SEGUIMIENTO_TPM_xlsx[[#This Row],[HORA FIN  INTERVENCIÓN]])</f>
        <v>46106.805555555555</v>
      </c>
      <c r="T1075" s="11">
        <f>(SEGUIMIENTO_TPM_xlsx[[#This Row],[FECHA Y HORA FINAL]]-SEGUIMIENTO_TPM_xlsx[[#This Row],[FECHA Y HORA INICIO]])</f>
        <v>6.8055555551836733E-2</v>
      </c>
    </row>
    <row r="1076" spans="1:20" x14ac:dyDescent="0.25">
      <c r="A1076">
        <v>1084</v>
      </c>
      <c r="B1076" t="s">
        <v>192</v>
      </c>
      <c r="C1076" s="1">
        <v>0.81944444444444442</v>
      </c>
      <c r="D1076" s="2">
        <v>46106</v>
      </c>
      <c r="E1076" t="s">
        <v>162</v>
      </c>
      <c r="F1076" t="s">
        <v>18</v>
      </c>
      <c r="G1076" t="s">
        <v>1685</v>
      </c>
      <c r="H1076" s="1">
        <v>0.81944444444444442</v>
      </c>
      <c r="I1076" s="1">
        <v>0.875</v>
      </c>
      <c r="J1076" s="2">
        <v>46106</v>
      </c>
      <c r="K1076" t="s">
        <v>48</v>
      </c>
      <c r="L1076" t="s">
        <v>1686</v>
      </c>
      <c r="M1076" t="s">
        <v>22</v>
      </c>
      <c r="N1076" t="s">
        <v>22</v>
      </c>
      <c r="O1076" t="s">
        <v>112</v>
      </c>
      <c r="P1076" t="s">
        <v>23</v>
      </c>
      <c r="Q1076" s="1">
        <f>SEGUIMIENTO_TPM_xlsx[[#This Row],[HORA FIN  INTERVENCIÓN]]-SEGUIMIENTO_TPM_xlsx[[#This Row],[HORA INICIO INTERVENCIÓN]]</f>
        <v>5.555555555555558E-2</v>
      </c>
      <c r="R1076" s="20">
        <f>(SEGUIMIENTO_TPM_xlsx[[#This Row],[HORA REPORTE]]+SEGUIMIENTO_TPM_xlsx[[#This Row],[FECHA DE REPORTE]])</f>
        <v>46106.819444444445</v>
      </c>
      <c r="S1076" s="20">
        <f>(SEGUIMIENTO_TPM_xlsx[[#This Row],[FECHA DE INTERVENCÓN]]+SEGUIMIENTO_TPM_xlsx[[#This Row],[HORA FIN  INTERVENCIÓN]])</f>
        <v>46106.875</v>
      </c>
      <c r="T1076" s="11">
        <f>(SEGUIMIENTO_TPM_xlsx[[#This Row],[FECHA Y HORA FINAL]]-SEGUIMIENTO_TPM_xlsx[[#This Row],[FECHA Y HORA INICIO]])</f>
        <v>5.5555555554747116E-2</v>
      </c>
    </row>
    <row r="1077" spans="1:20" x14ac:dyDescent="0.25">
      <c r="A1077">
        <v>1085</v>
      </c>
      <c r="B1077" t="s">
        <v>341</v>
      </c>
      <c r="C1077" s="1">
        <v>0.875</v>
      </c>
      <c r="D1077" s="2">
        <v>46106</v>
      </c>
      <c r="E1077" t="s">
        <v>143</v>
      </c>
      <c r="F1077" t="s">
        <v>18</v>
      </c>
      <c r="G1077" t="s">
        <v>1687</v>
      </c>
      <c r="H1077" s="1">
        <v>0.875</v>
      </c>
      <c r="I1077" s="1">
        <v>0.90625</v>
      </c>
      <c r="J1077" s="2">
        <v>46106</v>
      </c>
      <c r="K1077" t="s">
        <v>20</v>
      </c>
      <c r="L1077" t="s">
        <v>1688</v>
      </c>
      <c r="M1077" t="s">
        <v>22</v>
      </c>
      <c r="N1077" t="s">
        <v>22</v>
      </c>
      <c r="O1077" t="s">
        <v>112</v>
      </c>
      <c r="P1077" t="s">
        <v>23</v>
      </c>
      <c r="Q1077" s="1">
        <f>SEGUIMIENTO_TPM_xlsx[[#This Row],[HORA FIN  INTERVENCIÓN]]-SEGUIMIENTO_TPM_xlsx[[#This Row],[HORA INICIO INTERVENCIÓN]]</f>
        <v>3.125E-2</v>
      </c>
      <c r="R1077" s="20">
        <f>(SEGUIMIENTO_TPM_xlsx[[#This Row],[HORA REPORTE]]+SEGUIMIENTO_TPM_xlsx[[#This Row],[FECHA DE REPORTE]])</f>
        <v>46106.875</v>
      </c>
      <c r="S1077" s="20">
        <f>(SEGUIMIENTO_TPM_xlsx[[#This Row],[FECHA DE INTERVENCÓN]]+SEGUIMIENTO_TPM_xlsx[[#This Row],[HORA FIN  INTERVENCIÓN]])</f>
        <v>46106.90625</v>
      </c>
      <c r="T1077" s="11">
        <f>(SEGUIMIENTO_TPM_xlsx[[#This Row],[FECHA Y HORA FINAL]]-SEGUIMIENTO_TPM_xlsx[[#This Row],[FECHA Y HORA INICIO]])</f>
        <v>3.125E-2</v>
      </c>
    </row>
    <row r="1078" spans="1:20" x14ac:dyDescent="0.25">
      <c r="A1078">
        <v>1086</v>
      </c>
      <c r="B1078" t="s">
        <v>164</v>
      </c>
      <c r="C1078" s="1">
        <v>0.375</v>
      </c>
      <c r="D1078" s="2">
        <v>46108</v>
      </c>
      <c r="E1078" t="s">
        <v>143</v>
      </c>
      <c r="F1078" t="s">
        <v>18</v>
      </c>
      <c r="G1078" t="s">
        <v>1707</v>
      </c>
      <c r="H1078" s="1">
        <v>0.375</v>
      </c>
      <c r="I1078" s="1">
        <v>0.4375</v>
      </c>
      <c r="J1078" s="2">
        <v>46108</v>
      </c>
      <c r="K1078" t="s">
        <v>25</v>
      </c>
      <c r="L1078" t="s">
        <v>1708</v>
      </c>
      <c r="M1078" t="s">
        <v>22</v>
      </c>
      <c r="N1078" t="s">
        <v>22</v>
      </c>
      <c r="O1078" t="s">
        <v>268</v>
      </c>
      <c r="P1078" t="s">
        <v>23</v>
      </c>
      <c r="Q1078" s="1">
        <f>SEGUIMIENTO_TPM_xlsx[[#This Row],[HORA FIN  INTERVENCIÓN]]-SEGUIMIENTO_TPM_xlsx[[#This Row],[HORA INICIO INTERVENCIÓN]]</f>
        <v>6.25E-2</v>
      </c>
      <c r="R1078" s="20">
        <f>(SEGUIMIENTO_TPM_xlsx[[#This Row],[HORA REPORTE]]+SEGUIMIENTO_TPM_xlsx[[#This Row],[FECHA DE REPORTE]])</f>
        <v>46108.375</v>
      </c>
      <c r="S1078" s="20">
        <f>(SEGUIMIENTO_TPM_xlsx[[#This Row],[FECHA DE INTERVENCÓN]]+SEGUIMIENTO_TPM_xlsx[[#This Row],[HORA FIN  INTERVENCIÓN]])</f>
        <v>46108.4375</v>
      </c>
      <c r="T1078" s="11">
        <f>(SEGUIMIENTO_TPM_xlsx[[#This Row],[FECHA Y HORA FINAL]]-SEGUIMIENTO_TPM_xlsx[[#This Row],[FECHA Y HORA INICIO]])</f>
        <v>6.25E-2</v>
      </c>
    </row>
    <row r="1079" spans="1:20" x14ac:dyDescent="0.25">
      <c r="A1079">
        <v>1087</v>
      </c>
      <c r="B1079" t="s">
        <v>93</v>
      </c>
      <c r="C1079" s="1">
        <v>0.4201388888888889</v>
      </c>
      <c r="D1079" s="2">
        <v>46106</v>
      </c>
      <c r="E1079" t="s">
        <v>116</v>
      </c>
      <c r="F1079" t="s">
        <v>18</v>
      </c>
      <c r="G1079" t="s">
        <v>1696</v>
      </c>
      <c r="H1079" s="1">
        <v>0.4201388888888889</v>
      </c>
      <c r="I1079" s="1">
        <v>0.91666666666666663</v>
      </c>
      <c r="J1079" s="2">
        <v>46106</v>
      </c>
      <c r="K1079" t="s">
        <v>48</v>
      </c>
      <c r="L1079" t="s">
        <v>1697</v>
      </c>
      <c r="M1079" t="s">
        <v>22</v>
      </c>
      <c r="N1079" t="s">
        <v>1698</v>
      </c>
      <c r="O1079" t="s">
        <v>108</v>
      </c>
      <c r="P1079" t="s">
        <v>23</v>
      </c>
      <c r="Q1079" s="1">
        <f>SEGUIMIENTO_TPM_xlsx[[#This Row],[HORA FIN  INTERVENCIÓN]]-SEGUIMIENTO_TPM_xlsx[[#This Row],[HORA INICIO INTERVENCIÓN]]</f>
        <v>0.49652777777777773</v>
      </c>
      <c r="R1079" s="20">
        <f>(SEGUIMIENTO_TPM_xlsx[[#This Row],[HORA REPORTE]]+SEGUIMIENTO_TPM_xlsx[[#This Row],[FECHA DE REPORTE]])</f>
        <v>46106.420138888891</v>
      </c>
      <c r="S1079" s="20">
        <f>(SEGUIMIENTO_TPM_xlsx[[#This Row],[FECHA DE INTERVENCÓN]]+SEGUIMIENTO_TPM_xlsx[[#This Row],[HORA FIN  INTERVENCIÓN]])</f>
        <v>46106.916666666664</v>
      </c>
      <c r="T1079" s="11">
        <f>(SEGUIMIENTO_TPM_xlsx[[#This Row],[FECHA Y HORA FINAL]]-SEGUIMIENTO_TPM_xlsx[[#This Row],[FECHA Y HORA INICIO]])</f>
        <v>0.49652777777373558</v>
      </c>
    </row>
    <row r="1080" spans="1:20" x14ac:dyDescent="0.25">
      <c r="A1080">
        <v>1088</v>
      </c>
      <c r="B1080" t="s">
        <v>1642</v>
      </c>
      <c r="C1080" s="1">
        <v>0.21527777777777779</v>
      </c>
      <c r="D1080" s="2">
        <v>46107</v>
      </c>
      <c r="E1080" t="s">
        <v>17</v>
      </c>
      <c r="F1080" t="s">
        <v>18</v>
      </c>
      <c r="G1080" t="s">
        <v>1699</v>
      </c>
      <c r="H1080" s="1">
        <v>0.21527777777777779</v>
      </c>
      <c r="I1080" s="1">
        <v>0.23958333333333334</v>
      </c>
      <c r="J1080" s="2">
        <v>46107</v>
      </c>
      <c r="K1080" t="s">
        <v>25</v>
      </c>
      <c r="L1080" t="s">
        <v>1700</v>
      </c>
      <c r="M1080" t="s">
        <v>1701</v>
      </c>
      <c r="N1080" t="s">
        <v>22</v>
      </c>
      <c r="O1080" t="s">
        <v>108</v>
      </c>
      <c r="P1080" t="s">
        <v>23</v>
      </c>
      <c r="Q1080" s="1">
        <f>SEGUIMIENTO_TPM_xlsx[[#This Row],[HORA FIN  INTERVENCIÓN]]-SEGUIMIENTO_TPM_xlsx[[#This Row],[HORA INICIO INTERVENCIÓN]]</f>
        <v>2.4305555555555552E-2</v>
      </c>
      <c r="R1080" s="20">
        <f>(SEGUIMIENTO_TPM_xlsx[[#This Row],[HORA REPORTE]]+SEGUIMIENTO_TPM_xlsx[[#This Row],[FECHA DE REPORTE]])</f>
        <v>46107.215277777781</v>
      </c>
      <c r="S1080" s="20">
        <f>(SEGUIMIENTO_TPM_xlsx[[#This Row],[FECHA DE INTERVENCÓN]]+SEGUIMIENTO_TPM_xlsx[[#This Row],[HORA FIN  INTERVENCIÓN]])</f>
        <v>46107.239583333336</v>
      </c>
      <c r="T1080" s="11">
        <f>(SEGUIMIENTO_TPM_xlsx[[#This Row],[FECHA Y HORA FINAL]]-SEGUIMIENTO_TPM_xlsx[[#This Row],[FECHA Y HORA INICIO]])</f>
        <v>2.4305555554747116E-2</v>
      </c>
    </row>
    <row r="1081" spans="1:20" x14ac:dyDescent="0.25">
      <c r="A1081">
        <v>1089</v>
      </c>
      <c r="B1081" t="s">
        <v>1720</v>
      </c>
      <c r="C1081" s="1">
        <v>0.58333333333333337</v>
      </c>
      <c r="D1081" s="2">
        <v>46107</v>
      </c>
      <c r="E1081" t="s">
        <v>162</v>
      </c>
      <c r="F1081" t="s">
        <v>18</v>
      </c>
      <c r="G1081" t="s">
        <v>1721</v>
      </c>
      <c r="H1081" s="1">
        <v>0.72916666666666663</v>
      </c>
      <c r="I1081" s="1">
        <v>0.75486111111111109</v>
      </c>
      <c r="J1081" s="2">
        <v>46107</v>
      </c>
      <c r="K1081" t="s">
        <v>25</v>
      </c>
      <c r="L1081" t="s">
        <v>1722</v>
      </c>
      <c r="M1081" t="s">
        <v>1723</v>
      </c>
      <c r="N1081" t="s">
        <v>22</v>
      </c>
      <c r="O1081" t="s">
        <v>661</v>
      </c>
      <c r="P1081" t="s">
        <v>23</v>
      </c>
      <c r="Q1081" s="1">
        <f>SEGUIMIENTO_TPM_xlsx[[#This Row],[HORA FIN  INTERVENCIÓN]]-SEGUIMIENTO_TPM_xlsx[[#This Row],[HORA INICIO INTERVENCIÓN]]</f>
        <v>2.5694444444444464E-2</v>
      </c>
      <c r="R1081" s="20">
        <f>(SEGUIMIENTO_TPM_xlsx[[#This Row],[HORA REPORTE]]+SEGUIMIENTO_TPM_xlsx[[#This Row],[FECHA DE REPORTE]])</f>
        <v>46107.583333333336</v>
      </c>
      <c r="S1081" s="20">
        <f>(SEGUIMIENTO_TPM_xlsx[[#This Row],[FECHA DE INTERVENCÓN]]+SEGUIMIENTO_TPM_xlsx[[#This Row],[HORA FIN  INTERVENCIÓN]])</f>
        <v>46107.754861111112</v>
      </c>
      <c r="T1081" s="11">
        <f>(SEGUIMIENTO_TPM_xlsx[[#This Row],[FECHA Y HORA FINAL]]-SEGUIMIENTO_TPM_xlsx[[#This Row],[FECHA Y HORA INICIO]])</f>
        <v>0.17152777777664596</v>
      </c>
    </row>
    <row r="1082" spans="1:20" x14ac:dyDescent="0.25">
      <c r="A1082">
        <v>1090</v>
      </c>
      <c r="B1082" t="s">
        <v>1676</v>
      </c>
      <c r="C1082" s="1">
        <v>0.88888888888888884</v>
      </c>
      <c r="D1082" s="2">
        <v>46107</v>
      </c>
      <c r="E1082" t="s">
        <v>17</v>
      </c>
      <c r="F1082" t="s">
        <v>18</v>
      </c>
      <c r="G1082" t="s">
        <v>1702</v>
      </c>
      <c r="H1082" s="1">
        <v>0.88888888888888884</v>
      </c>
      <c r="I1082" s="1">
        <v>0.90972222222222221</v>
      </c>
      <c r="J1082" s="2">
        <v>46107</v>
      </c>
      <c r="K1082" t="s">
        <v>25</v>
      </c>
      <c r="L1082" t="s">
        <v>1703</v>
      </c>
      <c r="M1082" t="s">
        <v>1704</v>
      </c>
      <c r="N1082" t="s">
        <v>22</v>
      </c>
      <c r="O1082" t="s">
        <v>661</v>
      </c>
      <c r="P1082" t="s">
        <v>23</v>
      </c>
      <c r="Q1082" s="1">
        <f>SEGUIMIENTO_TPM_xlsx[[#This Row],[HORA FIN  INTERVENCIÓN]]-SEGUIMIENTO_TPM_xlsx[[#This Row],[HORA INICIO INTERVENCIÓN]]</f>
        <v>2.083333333333337E-2</v>
      </c>
      <c r="R1082" s="20">
        <f>(SEGUIMIENTO_TPM_xlsx[[#This Row],[HORA REPORTE]]+SEGUIMIENTO_TPM_xlsx[[#This Row],[FECHA DE REPORTE]])</f>
        <v>46107.888888888891</v>
      </c>
      <c r="S1082" s="20">
        <f>(SEGUIMIENTO_TPM_xlsx[[#This Row],[FECHA DE INTERVENCÓN]]+SEGUIMIENTO_TPM_xlsx[[#This Row],[HORA FIN  INTERVENCIÓN]])</f>
        <v>46107.909722222219</v>
      </c>
      <c r="T1082" s="11">
        <f>(SEGUIMIENTO_TPM_xlsx[[#This Row],[FECHA Y HORA FINAL]]-SEGUIMIENTO_TPM_xlsx[[#This Row],[FECHA Y HORA INICIO]])</f>
        <v>2.0833333328482695E-2</v>
      </c>
    </row>
    <row r="1083" spans="1:20" x14ac:dyDescent="0.25">
      <c r="A1083">
        <v>1091</v>
      </c>
      <c r="C1083" s="1"/>
      <c r="D1083" s="2"/>
      <c r="H1083" s="1"/>
      <c r="I1083" s="1"/>
      <c r="J1083" s="2"/>
      <c r="Q1083" s="1">
        <f>SEGUIMIENTO_TPM_xlsx[[#This Row],[HORA FIN  INTERVENCIÓN]]-SEGUIMIENTO_TPM_xlsx[[#This Row],[HORA INICIO INTERVENCIÓN]]</f>
        <v>0</v>
      </c>
      <c r="R1083" s="20">
        <f>(SEGUIMIENTO_TPM_xlsx[[#This Row],[HORA REPORTE]]+SEGUIMIENTO_TPM_xlsx[[#This Row],[FECHA DE REPORTE]])</f>
        <v>0</v>
      </c>
      <c r="S1083" s="20">
        <f>(SEGUIMIENTO_TPM_xlsx[[#This Row],[FECHA DE INTERVENCÓN]]+SEGUIMIENTO_TPM_xlsx[[#This Row],[HORA FIN  INTERVENCIÓN]])</f>
        <v>0</v>
      </c>
      <c r="T1083" s="11">
        <f>(SEGUIMIENTO_TPM_xlsx[[#This Row],[FECHA Y HORA FINAL]]-SEGUIMIENTO_TPM_xlsx[[#This Row],[FECHA Y HORA INICIO]])</f>
        <v>0</v>
      </c>
    </row>
    <row r="1084" spans="1:20" x14ac:dyDescent="0.25">
      <c r="A1084">
        <v>1092</v>
      </c>
      <c r="B1084" t="s">
        <v>164</v>
      </c>
      <c r="C1084" s="1">
        <v>0.77777777777777779</v>
      </c>
      <c r="D1084" s="2">
        <v>46125</v>
      </c>
      <c r="E1084" t="s">
        <v>143</v>
      </c>
      <c r="F1084" t="s">
        <v>18</v>
      </c>
      <c r="G1084" t="s">
        <v>1777</v>
      </c>
      <c r="H1084" s="1">
        <v>0.77777777777777779</v>
      </c>
      <c r="I1084" s="1">
        <v>0.8125</v>
      </c>
      <c r="J1084" s="2">
        <v>46125</v>
      </c>
      <c r="K1084" t="s">
        <v>25</v>
      </c>
      <c r="L1084" t="s">
        <v>1778</v>
      </c>
      <c r="M1084" t="s">
        <v>22</v>
      </c>
      <c r="N1084" t="s">
        <v>1779</v>
      </c>
      <c r="O1084" t="s">
        <v>661</v>
      </c>
      <c r="P1084" t="s">
        <v>23</v>
      </c>
      <c r="Q1084" s="1">
        <f>SEGUIMIENTO_TPM_xlsx[[#This Row],[HORA FIN  INTERVENCIÓN]]-SEGUIMIENTO_TPM_xlsx[[#This Row],[HORA INICIO INTERVENCIÓN]]</f>
        <v>3.472222222222221E-2</v>
      </c>
      <c r="R1084" s="20">
        <f>(SEGUIMIENTO_TPM_xlsx[[#This Row],[HORA REPORTE]]+SEGUIMIENTO_TPM_xlsx[[#This Row],[FECHA DE REPORTE]])</f>
        <v>46125.777777777781</v>
      </c>
      <c r="S1084" s="20">
        <f>(SEGUIMIENTO_TPM_xlsx[[#This Row],[FECHA DE INTERVENCÓN]]+SEGUIMIENTO_TPM_xlsx[[#This Row],[HORA FIN  INTERVENCIÓN]])</f>
        <v>46125.8125</v>
      </c>
      <c r="T1084" s="11">
        <f>(SEGUIMIENTO_TPM_xlsx[[#This Row],[FECHA Y HORA FINAL]]-SEGUIMIENTO_TPM_xlsx[[#This Row],[FECHA Y HORA INICIO]])</f>
        <v>3.4722222218988463E-2</v>
      </c>
    </row>
    <row r="1085" spans="1:20" x14ac:dyDescent="0.25">
      <c r="A1085">
        <v>1093</v>
      </c>
      <c r="C1085" s="1"/>
      <c r="D1085" s="2"/>
      <c r="H1085" s="1"/>
      <c r="I1085" s="1"/>
      <c r="J1085" s="2"/>
      <c r="Q1085" s="1">
        <f>SEGUIMIENTO_TPM_xlsx[[#This Row],[HORA FIN  INTERVENCIÓN]]-SEGUIMIENTO_TPM_xlsx[[#This Row],[HORA INICIO INTERVENCIÓN]]</f>
        <v>0</v>
      </c>
      <c r="R1085" s="20">
        <f>(SEGUIMIENTO_TPM_xlsx[[#This Row],[HORA REPORTE]]+SEGUIMIENTO_TPM_xlsx[[#This Row],[FECHA DE REPORTE]])</f>
        <v>0</v>
      </c>
      <c r="S1085" s="20">
        <f>(SEGUIMIENTO_TPM_xlsx[[#This Row],[FECHA DE INTERVENCÓN]]+SEGUIMIENTO_TPM_xlsx[[#This Row],[HORA FIN  INTERVENCIÓN]])</f>
        <v>0</v>
      </c>
      <c r="T1085" s="11">
        <f>(SEGUIMIENTO_TPM_xlsx[[#This Row],[FECHA Y HORA FINAL]]-SEGUIMIENTO_TPM_xlsx[[#This Row],[FECHA Y HORA INICIO]])</f>
        <v>0</v>
      </c>
    </row>
    <row r="1086" spans="1:20" x14ac:dyDescent="0.25">
      <c r="A1086">
        <v>1094</v>
      </c>
      <c r="B1086" t="s">
        <v>113</v>
      </c>
      <c r="C1086" s="1">
        <v>0.84722222222222221</v>
      </c>
      <c r="D1086" s="2">
        <v>46108</v>
      </c>
      <c r="E1086" t="s">
        <v>91</v>
      </c>
      <c r="F1086" t="s">
        <v>18</v>
      </c>
      <c r="G1086" t="s">
        <v>1709</v>
      </c>
      <c r="H1086" s="1">
        <v>0.84722222222222221</v>
      </c>
      <c r="I1086" s="1">
        <v>0.86111111111111116</v>
      </c>
      <c r="J1086" s="2">
        <v>46108</v>
      </c>
      <c r="K1086" t="s">
        <v>48</v>
      </c>
      <c r="L1086" t="s">
        <v>1710</v>
      </c>
      <c r="M1086" t="s">
        <v>22</v>
      </c>
      <c r="N1086" t="s">
        <v>22</v>
      </c>
      <c r="O1086" t="s">
        <v>44</v>
      </c>
      <c r="P1086" t="s">
        <v>23</v>
      </c>
      <c r="Q1086" s="1">
        <f>SEGUIMIENTO_TPM_xlsx[[#This Row],[HORA FIN  INTERVENCIÓN]]-SEGUIMIENTO_TPM_xlsx[[#This Row],[HORA INICIO INTERVENCIÓN]]</f>
        <v>1.3888888888888951E-2</v>
      </c>
      <c r="R1086" s="20">
        <f>(SEGUIMIENTO_TPM_xlsx[[#This Row],[HORA REPORTE]]+SEGUIMIENTO_TPM_xlsx[[#This Row],[FECHA DE REPORTE]])</f>
        <v>46108.847222222219</v>
      </c>
      <c r="S1086" s="20">
        <f>(SEGUIMIENTO_TPM_xlsx[[#This Row],[FECHA DE INTERVENCÓN]]+SEGUIMIENTO_TPM_xlsx[[#This Row],[HORA FIN  INTERVENCIÓN]])</f>
        <v>46108.861111111109</v>
      </c>
      <c r="T1086" s="11">
        <f>(SEGUIMIENTO_TPM_xlsx[[#This Row],[FECHA Y HORA FINAL]]-SEGUIMIENTO_TPM_xlsx[[#This Row],[FECHA Y HORA INICIO]])</f>
        <v>1.3888888890505768E-2</v>
      </c>
    </row>
    <row r="1087" spans="1:20" x14ac:dyDescent="0.25">
      <c r="A1087">
        <v>1095</v>
      </c>
      <c r="B1087" t="s">
        <v>93</v>
      </c>
      <c r="C1087" s="1">
        <v>2.7777777777777776E-2</v>
      </c>
      <c r="D1087" s="2">
        <v>46109</v>
      </c>
      <c r="E1087" t="s">
        <v>94</v>
      </c>
      <c r="F1087" t="s">
        <v>18</v>
      </c>
      <c r="G1087" t="s">
        <v>644</v>
      </c>
      <c r="H1087" s="1">
        <v>2.7777777777777776E-2</v>
      </c>
      <c r="I1087" s="1">
        <v>7.9861111111111105E-2</v>
      </c>
      <c r="J1087" s="2">
        <v>46110</v>
      </c>
      <c r="K1087" t="s">
        <v>20</v>
      </c>
      <c r="L1087" t="s">
        <v>1711</v>
      </c>
      <c r="M1087" t="s">
        <v>22</v>
      </c>
      <c r="N1087" t="s">
        <v>22</v>
      </c>
      <c r="O1087" t="s">
        <v>661</v>
      </c>
      <c r="P1087" t="s">
        <v>23</v>
      </c>
      <c r="Q1087" s="1">
        <f>SEGUIMIENTO_TPM_xlsx[[#This Row],[HORA FIN  INTERVENCIÓN]]-SEGUIMIENTO_TPM_xlsx[[#This Row],[HORA INICIO INTERVENCIÓN]]</f>
        <v>5.2083333333333329E-2</v>
      </c>
      <c r="R1087" s="20">
        <f>(SEGUIMIENTO_TPM_xlsx[[#This Row],[HORA REPORTE]]+SEGUIMIENTO_TPM_xlsx[[#This Row],[FECHA DE REPORTE]])</f>
        <v>46109.027777777781</v>
      </c>
      <c r="S1087" s="20">
        <f>(SEGUIMIENTO_TPM_xlsx[[#This Row],[FECHA DE INTERVENCÓN]]+SEGUIMIENTO_TPM_xlsx[[#This Row],[HORA FIN  INTERVENCIÓN]])</f>
        <v>46110.079861111109</v>
      </c>
      <c r="T1087" s="11">
        <f>(SEGUIMIENTO_TPM_xlsx[[#This Row],[FECHA Y HORA FINAL]]-SEGUIMIENTO_TPM_xlsx[[#This Row],[FECHA Y HORA INICIO]])</f>
        <v>1.0520833333284827</v>
      </c>
    </row>
    <row r="1088" spans="1:20" x14ac:dyDescent="0.25">
      <c r="A1088">
        <v>1096</v>
      </c>
      <c r="B1088" t="s">
        <v>113</v>
      </c>
      <c r="C1088" s="1">
        <v>0.22569444444444445</v>
      </c>
      <c r="D1088" s="2">
        <v>46109</v>
      </c>
      <c r="E1088" t="s">
        <v>91</v>
      </c>
      <c r="F1088" t="s">
        <v>18</v>
      </c>
      <c r="G1088" t="s">
        <v>1712</v>
      </c>
      <c r="H1088" s="1">
        <v>0.22638888888888889</v>
      </c>
      <c r="I1088" s="1">
        <v>0.25</v>
      </c>
      <c r="J1088" s="2">
        <v>46109</v>
      </c>
      <c r="K1088" t="s">
        <v>1713</v>
      </c>
      <c r="L1088" t="s">
        <v>1714</v>
      </c>
      <c r="M1088" t="s">
        <v>22</v>
      </c>
      <c r="N1088" t="s">
        <v>22</v>
      </c>
      <c r="O1088" t="s">
        <v>661</v>
      </c>
      <c r="P1088" t="s">
        <v>23</v>
      </c>
      <c r="Q1088" s="1">
        <f>SEGUIMIENTO_TPM_xlsx[[#This Row],[HORA FIN  INTERVENCIÓN]]-SEGUIMIENTO_TPM_xlsx[[#This Row],[HORA INICIO INTERVENCIÓN]]</f>
        <v>2.361111111111111E-2</v>
      </c>
      <c r="R1088" s="20">
        <f>(SEGUIMIENTO_TPM_xlsx[[#This Row],[HORA REPORTE]]+SEGUIMIENTO_TPM_xlsx[[#This Row],[FECHA DE REPORTE]])</f>
        <v>46109.225694444445</v>
      </c>
      <c r="S1088" s="20">
        <f>(SEGUIMIENTO_TPM_xlsx[[#This Row],[FECHA DE INTERVENCÓN]]+SEGUIMIENTO_TPM_xlsx[[#This Row],[HORA FIN  INTERVENCIÓN]])</f>
        <v>46109.25</v>
      </c>
      <c r="T1088" s="11">
        <f>(SEGUIMIENTO_TPM_xlsx[[#This Row],[FECHA Y HORA FINAL]]-SEGUIMIENTO_TPM_xlsx[[#This Row],[FECHA Y HORA INICIO]])</f>
        <v>2.4305555554747116E-2</v>
      </c>
    </row>
    <row r="1089" spans="1:20" x14ac:dyDescent="0.25">
      <c r="A1089">
        <v>1097</v>
      </c>
      <c r="C1089" s="1"/>
      <c r="D1089" s="2"/>
      <c r="H1089" s="1"/>
      <c r="I1089" s="1"/>
      <c r="J1089" s="2"/>
      <c r="Q1089" s="1">
        <f>SEGUIMIENTO_TPM_xlsx[[#This Row],[HORA FIN  INTERVENCIÓN]]-SEGUIMIENTO_TPM_xlsx[[#This Row],[HORA INICIO INTERVENCIÓN]]</f>
        <v>0</v>
      </c>
      <c r="R1089" s="20">
        <f>(SEGUIMIENTO_TPM_xlsx[[#This Row],[HORA REPORTE]]+SEGUIMIENTO_TPM_xlsx[[#This Row],[FECHA DE REPORTE]])</f>
        <v>0</v>
      </c>
      <c r="S1089" s="20">
        <f>(SEGUIMIENTO_TPM_xlsx[[#This Row],[FECHA DE INTERVENCÓN]]+SEGUIMIENTO_TPM_xlsx[[#This Row],[HORA FIN  INTERVENCIÓN]])</f>
        <v>0</v>
      </c>
      <c r="T1089" s="11">
        <f>(SEGUIMIENTO_TPM_xlsx[[#This Row],[FECHA Y HORA FINAL]]-SEGUIMIENTO_TPM_xlsx[[#This Row],[FECHA Y HORA INICIO]])</f>
        <v>0</v>
      </c>
    </row>
    <row r="1090" spans="1:20" x14ac:dyDescent="0.25">
      <c r="A1090">
        <v>1098</v>
      </c>
      <c r="B1090" t="s">
        <v>526</v>
      </c>
      <c r="C1090" s="1"/>
      <c r="D1090" s="2">
        <v>46110</v>
      </c>
      <c r="E1090" t="s">
        <v>188</v>
      </c>
      <c r="F1090" t="s">
        <v>18</v>
      </c>
      <c r="G1090" t="s">
        <v>1730</v>
      </c>
      <c r="H1090" s="1"/>
      <c r="I1090" s="1">
        <v>0.5625</v>
      </c>
      <c r="J1090" s="2">
        <v>46115</v>
      </c>
      <c r="K1090" t="s">
        <v>25</v>
      </c>
      <c r="L1090" t="s">
        <v>1731</v>
      </c>
      <c r="M1090" t="s">
        <v>22</v>
      </c>
      <c r="N1090" t="s">
        <v>22</v>
      </c>
      <c r="O1090" t="s">
        <v>112</v>
      </c>
      <c r="P1090" t="s">
        <v>23</v>
      </c>
      <c r="Q1090" s="1">
        <f>SEGUIMIENTO_TPM_xlsx[[#This Row],[HORA FIN  INTERVENCIÓN]]-SEGUIMIENTO_TPM_xlsx[[#This Row],[HORA INICIO INTERVENCIÓN]]</f>
        <v>0.5625</v>
      </c>
      <c r="R1090" s="20">
        <f>(SEGUIMIENTO_TPM_xlsx[[#This Row],[HORA REPORTE]]+SEGUIMIENTO_TPM_xlsx[[#This Row],[FECHA DE REPORTE]])</f>
        <v>46110</v>
      </c>
      <c r="S1090" s="20">
        <f>(SEGUIMIENTO_TPM_xlsx[[#This Row],[FECHA DE INTERVENCÓN]]+SEGUIMIENTO_TPM_xlsx[[#This Row],[HORA FIN  INTERVENCIÓN]])</f>
        <v>46115.5625</v>
      </c>
      <c r="T1090" s="11">
        <f>(SEGUIMIENTO_TPM_xlsx[[#This Row],[FECHA Y HORA FINAL]]-SEGUIMIENTO_TPM_xlsx[[#This Row],[FECHA Y HORA INICIO]])</f>
        <v>5.5625</v>
      </c>
    </row>
    <row r="1091" spans="1:20" x14ac:dyDescent="0.25">
      <c r="A1091">
        <v>1099</v>
      </c>
      <c r="B1091" t="s">
        <v>164</v>
      </c>
      <c r="C1091" s="1">
        <v>0.44791666666666669</v>
      </c>
      <c r="D1091" s="2">
        <v>46110</v>
      </c>
      <c r="E1091" t="s">
        <v>143</v>
      </c>
      <c r="F1091" t="s">
        <v>18</v>
      </c>
      <c r="G1091" t="s">
        <v>1715</v>
      </c>
      <c r="H1091" s="1">
        <v>0.44791666666666669</v>
      </c>
      <c r="I1091" s="1">
        <v>0.46875</v>
      </c>
      <c r="J1091" s="2">
        <v>46110</v>
      </c>
      <c r="K1091" t="s">
        <v>25</v>
      </c>
      <c r="L1091" t="s">
        <v>1716</v>
      </c>
      <c r="M1091" t="s">
        <v>22</v>
      </c>
      <c r="N1091" t="s">
        <v>22</v>
      </c>
      <c r="O1091" t="s">
        <v>44</v>
      </c>
      <c r="P1091" t="s">
        <v>23</v>
      </c>
      <c r="Q1091" s="1">
        <f>SEGUIMIENTO_TPM_xlsx[[#This Row],[HORA FIN  INTERVENCIÓN]]-SEGUIMIENTO_TPM_xlsx[[#This Row],[HORA INICIO INTERVENCIÓN]]</f>
        <v>2.0833333333333315E-2</v>
      </c>
      <c r="R1091" s="20">
        <f>(SEGUIMIENTO_TPM_xlsx[[#This Row],[HORA REPORTE]]+SEGUIMIENTO_TPM_xlsx[[#This Row],[FECHA DE REPORTE]])</f>
        <v>46110.447916666664</v>
      </c>
      <c r="S1091" s="20">
        <f>(SEGUIMIENTO_TPM_xlsx[[#This Row],[FECHA DE INTERVENCÓN]]+SEGUIMIENTO_TPM_xlsx[[#This Row],[HORA FIN  INTERVENCIÓN]])</f>
        <v>46110.46875</v>
      </c>
      <c r="T1091" s="11">
        <f>(SEGUIMIENTO_TPM_xlsx[[#This Row],[FECHA Y HORA FINAL]]-SEGUIMIENTO_TPM_xlsx[[#This Row],[FECHA Y HORA INICIO]])</f>
        <v>2.0833333335758653E-2</v>
      </c>
    </row>
    <row r="1092" spans="1:20" x14ac:dyDescent="0.25">
      <c r="A1092">
        <v>1100</v>
      </c>
      <c r="B1092" t="s">
        <v>187</v>
      </c>
      <c r="C1092" s="1">
        <v>0.375</v>
      </c>
      <c r="D1092" s="2">
        <v>46111</v>
      </c>
      <c r="E1092" t="s">
        <v>154</v>
      </c>
      <c r="F1092" t="s">
        <v>18</v>
      </c>
      <c r="G1092" t="s">
        <v>1724</v>
      </c>
      <c r="H1092" s="1">
        <v>0.375</v>
      </c>
      <c r="I1092" s="1">
        <v>0.3888888888888889</v>
      </c>
      <c r="J1092" s="2">
        <v>46111</v>
      </c>
      <c r="K1092" t="s">
        <v>20</v>
      </c>
      <c r="L1092" t="s">
        <v>1725</v>
      </c>
      <c r="M1092" t="s">
        <v>22</v>
      </c>
      <c r="N1092" t="s">
        <v>22</v>
      </c>
      <c r="O1092" t="s">
        <v>112</v>
      </c>
      <c r="P1092" t="s">
        <v>23</v>
      </c>
      <c r="Q1092" s="1">
        <f>SEGUIMIENTO_TPM_xlsx[[#This Row],[HORA FIN  INTERVENCIÓN]]-SEGUIMIENTO_TPM_xlsx[[#This Row],[HORA INICIO INTERVENCIÓN]]</f>
        <v>1.3888888888888895E-2</v>
      </c>
      <c r="R1092" s="20">
        <f>(SEGUIMIENTO_TPM_xlsx[[#This Row],[HORA REPORTE]]+SEGUIMIENTO_TPM_xlsx[[#This Row],[FECHA DE REPORTE]])</f>
        <v>46111.375</v>
      </c>
      <c r="S1092" s="20">
        <f>(SEGUIMIENTO_TPM_xlsx[[#This Row],[FECHA DE INTERVENCÓN]]+SEGUIMIENTO_TPM_xlsx[[#This Row],[HORA FIN  INTERVENCIÓN]])</f>
        <v>46111.388888888891</v>
      </c>
      <c r="T1092" s="11">
        <f>(SEGUIMIENTO_TPM_xlsx[[#This Row],[FECHA Y HORA FINAL]]-SEGUIMIENTO_TPM_xlsx[[#This Row],[FECHA Y HORA INICIO]])</f>
        <v>1.3888888890505768E-2</v>
      </c>
    </row>
    <row r="1093" spans="1:20" x14ac:dyDescent="0.25">
      <c r="A1093">
        <v>1101</v>
      </c>
      <c r="C1093" s="1"/>
      <c r="D1093" s="2"/>
      <c r="H1093" s="1"/>
      <c r="I1093" s="1"/>
      <c r="J1093" s="2"/>
      <c r="Q1093" s="1">
        <f>SEGUIMIENTO_TPM_xlsx[[#This Row],[HORA FIN  INTERVENCIÓN]]-SEGUIMIENTO_TPM_xlsx[[#This Row],[HORA INICIO INTERVENCIÓN]]</f>
        <v>0</v>
      </c>
      <c r="R1093" s="20">
        <f>(SEGUIMIENTO_TPM_xlsx[[#This Row],[HORA REPORTE]]+SEGUIMIENTO_TPM_xlsx[[#This Row],[FECHA DE REPORTE]])</f>
        <v>0</v>
      </c>
      <c r="S1093" s="20">
        <f>(SEGUIMIENTO_TPM_xlsx[[#This Row],[FECHA DE INTERVENCÓN]]+SEGUIMIENTO_TPM_xlsx[[#This Row],[HORA FIN  INTERVENCIÓN]])</f>
        <v>0</v>
      </c>
      <c r="T1093" s="11">
        <f>(SEGUIMIENTO_TPM_xlsx[[#This Row],[FECHA Y HORA FINAL]]-SEGUIMIENTO_TPM_xlsx[[#This Row],[FECHA Y HORA INICIO]])</f>
        <v>0</v>
      </c>
    </row>
    <row r="1094" spans="1:20" x14ac:dyDescent="0.25">
      <c r="A1094">
        <v>1102</v>
      </c>
      <c r="C1094" s="1"/>
      <c r="D1094" s="2"/>
      <c r="H1094" s="1"/>
      <c r="I1094" s="1"/>
      <c r="J1094" s="2"/>
      <c r="Q1094" s="1">
        <f>SEGUIMIENTO_TPM_xlsx[[#This Row],[HORA FIN  INTERVENCIÓN]]-SEGUIMIENTO_TPM_xlsx[[#This Row],[HORA INICIO INTERVENCIÓN]]</f>
        <v>0</v>
      </c>
      <c r="R1094" s="20">
        <f>(SEGUIMIENTO_TPM_xlsx[[#This Row],[HORA REPORTE]]+SEGUIMIENTO_TPM_xlsx[[#This Row],[FECHA DE REPORTE]])</f>
        <v>0</v>
      </c>
      <c r="S1094" s="20">
        <f>(SEGUIMIENTO_TPM_xlsx[[#This Row],[FECHA DE INTERVENCÓN]]+SEGUIMIENTO_TPM_xlsx[[#This Row],[HORA FIN  INTERVENCIÓN]])</f>
        <v>0</v>
      </c>
      <c r="T1094" s="11">
        <f>(SEGUIMIENTO_TPM_xlsx[[#This Row],[FECHA Y HORA FINAL]]-SEGUIMIENTO_TPM_xlsx[[#This Row],[FECHA Y HORA INICIO]])</f>
        <v>0</v>
      </c>
    </row>
    <row r="1095" spans="1:20" x14ac:dyDescent="0.25">
      <c r="A1095">
        <v>1103</v>
      </c>
      <c r="B1095" t="s">
        <v>113</v>
      </c>
      <c r="C1095" s="1">
        <v>0.4861111111111111</v>
      </c>
      <c r="D1095" s="2">
        <v>46123</v>
      </c>
      <c r="E1095" t="s">
        <v>188</v>
      </c>
      <c r="F1095" t="s">
        <v>18</v>
      </c>
      <c r="G1095" t="s">
        <v>1780</v>
      </c>
      <c r="H1095" s="1"/>
      <c r="I1095" s="1"/>
      <c r="J1095" s="2"/>
      <c r="P1095" t="s">
        <v>33</v>
      </c>
      <c r="Q1095" s="1">
        <f>SEGUIMIENTO_TPM_xlsx[[#This Row],[HORA FIN  INTERVENCIÓN]]-SEGUIMIENTO_TPM_xlsx[[#This Row],[HORA INICIO INTERVENCIÓN]]</f>
        <v>0</v>
      </c>
      <c r="R1095" s="20">
        <f>(SEGUIMIENTO_TPM_xlsx[[#This Row],[HORA REPORTE]]+SEGUIMIENTO_TPM_xlsx[[#This Row],[FECHA DE REPORTE]])</f>
        <v>46123.486111111109</v>
      </c>
      <c r="S1095" s="20">
        <f>(SEGUIMIENTO_TPM_xlsx[[#This Row],[FECHA DE INTERVENCÓN]]+SEGUIMIENTO_TPM_xlsx[[#This Row],[HORA FIN  INTERVENCIÓN]])</f>
        <v>0</v>
      </c>
      <c r="T1095" s="11">
        <f>(SEGUIMIENTO_TPM_xlsx[[#This Row],[FECHA Y HORA FINAL]]-SEGUIMIENTO_TPM_xlsx[[#This Row],[FECHA Y HORA INICIO]])</f>
        <v>-46123.486111111109</v>
      </c>
    </row>
    <row r="1096" spans="1:20" x14ac:dyDescent="0.25">
      <c r="A1096">
        <v>1104</v>
      </c>
      <c r="B1096" t="s">
        <v>317</v>
      </c>
      <c r="C1096" s="1">
        <v>0.58333333333333337</v>
      </c>
      <c r="D1096" s="2">
        <v>46123</v>
      </c>
      <c r="E1096" t="s">
        <v>91</v>
      </c>
      <c r="F1096" t="s">
        <v>18</v>
      </c>
      <c r="G1096" t="s">
        <v>1781</v>
      </c>
      <c r="H1096" s="1">
        <v>0.625</v>
      </c>
      <c r="I1096" s="1">
        <v>0.65138888888888891</v>
      </c>
      <c r="J1096" s="2">
        <v>46123</v>
      </c>
      <c r="K1096" t="s">
        <v>20</v>
      </c>
      <c r="L1096" t="s">
        <v>1782</v>
      </c>
      <c r="M1096" t="s">
        <v>22</v>
      </c>
      <c r="N1096" t="s">
        <v>22</v>
      </c>
      <c r="O1096" t="s">
        <v>661</v>
      </c>
      <c r="P1096" t="s">
        <v>23</v>
      </c>
      <c r="Q1096" s="1">
        <f>SEGUIMIENTO_TPM_xlsx[[#This Row],[HORA FIN  INTERVENCIÓN]]-SEGUIMIENTO_TPM_xlsx[[#This Row],[HORA INICIO INTERVENCIÓN]]</f>
        <v>2.6388888888888906E-2</v>
      </c>
      <c r="R1096" s="20">
        <f>(SEGUIMIENTO_TPM_xlsx[[#This Row],[HORA REPORTE]]+SEGUIMIENTO_TPM_xlsx[[#This Row],[FECHA DE REPORTE]])</f>
        <v>46123.583333333336</v>
      </c>
      <c r="S1096" s="20">
        <f>(SEGUIMIENTO_TPM_xlsx[[#This Row],[FECHA DE INTERVENCÓN]]+SEGUIMIENTO_TPM_xlsx[[#This Row],[HORA FIN  INTERVENCIÓN]])</f>
        <v>46123.651388888888</v>
      </c>
      <c r="T1096" s="11">
        <f>(SEGUIMIENTO_TPM_xlsx[[#This Row],[FECHA Y HORA FINAL]]-SEGUIMIENTO_TPM_xlsx[[#This Row],[FECHA Y HORA INICIO]])</f>
        <v>6.8055555551836733E-2</v>
      </c>
    </row>
    <row r="1097" spans="1:20" x14ac:dyDescent="0.25">
      <c r="A1097">
        <v>1105</v>
      </c>
      <c r="B1097" t="s">
        <v>192</v>
      </c>
      <c r="C1097" s="1">
        <v>0.90277777777777779</v>
      </c>
      <c r="D1097" s="2">
        <v>46123</v>
      </c>
      <c r="E1097" t="s">
        <v>162</v>
      </c>
      <c r="F1097" t="s">
        <v>18</v>
      </c>
      <c r="G1097" t="s">
        <v>1783</v>
      </c>
      <c r="H1097" s="1">
        <v>0.90277777777777779</v>
      </c>
      <c r="I1097" s="1">
        <v>0.95138888888888884</v>
      </c>
      <c r="J1097" s="2">
        <v>46123</v>
      </c>
      <c r="K1097" t="s">
        <v>25</v>
      </c>
      <c r="L1097" t="s">
        <v>1784</v>
      </c>
      <c r="M1097" t="s">
        <v>22</v>
      </c>
      <c r="N1097" t="s">
        <v>22</v>
      </c>
      <c r="O1097" t="s">
        <v>108</v>
      </c>
      <c r="P1097" t="s">
        <v>23</v>
      </c>
      <c r="Q1097" s="1">
        <f>SEGUIMIENTO_TPM_xlsx[[#This Row],[HORA FIN  INTERVENCIÓN]]-SEGUIMIENTO_TPM_xlsx[[#This Row],[HORA INICIO INTERVENCIÓN]]</f>
        <v>4.8611111111111049E-2</v>
      </c>
      <c r="R1097" s="20">
        <f>(SEGUIMIENTO_TPM_xlsx[[#This Row],[HORA REPORTE]]+SEGUIMIENTO_TPM_xlsx[[#This Row],[FECHA DE REPORTE]])</f>
        <v>46123.902777777781</v>
      </c>
      <c r="S1097" s="20">
        <f>(SEGUIMIENTO_TPM_xlsx[[#This Row],[FECHA DE INTERVENCÓN]]+SEGUIMIENTO_TPM_xlsx[[#This Row],[HORA FIN  INTERVENCIÓN]])</f>
        <v>46123.951388888891</v>
      </c>
      <c r="T1097" s="11">
        <f>(SEGUIMIENTO_TPM_xlsx[[#This Row],[FECHA Y HORA FINAL]]-SEGUIMIENTO_TPM_xlsx[[#This Row],[FECHA Y HORA INICIO]])</f>
        <v>4.8611111109494232E-2</v>
      </c>
    </row>
    <row r="1098" spans="1:20" x14ac:dyDescent="0.25">
      <c r="A1098">
        <v>1106</v>
      </c>
      <c r="B1098" t="s">
        <v>261</v>
      </c>
      <c r="C1098" s="1">
        <v>0.28472222222222221</v>
      </c>
      <c r="D1098" s="2">
        <v>46124</v>
      </c>
      <c r="E1098" t="s">
        <v>91</v>
      </c>
      <c r="F1098" t="s">
        <v>18</v>
      </c>
      <c r="G1098" t="s">
        <v>1785</v>
      </c>
      <c r="H1098" s="1">
        <v>0.29166666666666669</v>
      </c>
      <c r="I1098" s="1">
        <v>0.3298611111111111</v>
      </c>
      <c r="J1098" s="2">
        <v>46124</v>
      </c>
      <c r="K1098" t="s">
        <v>20</v>
      </c>
      <c r="L1098" t="s">
        <v>1786</v>
      </c>
      <c r="M1098" t="s">
        <v>22</v>
      </c>
      <c r="N1098" t="s">
        <v>22</v>
      </c>
      <c r="O1098" t="s">
        <v>661</v>
      </c>
      <c r="P1098" t="s">
        <v>23</v>
      </c>
      <c r="Q1098" s="1">
        <f>SEGUIMIENTO_TPM_xlsx[[#This Row],[HORA FIN  INTERVENCIÓN]]-SEGUIMIENTO_TPM_xlsx[[#This Row],[HORA INICIO INTERVENCIÓN]]</f>
        <v>3.819444444444442E-2</v>
      </c>
      <c r="R1098" s="20">
        <f>(SEGUIMIENTO_TPM_xlsx[[#This Row],[HORA REPORTE]]+SEGUIMIENTO_TPM_xlsx[[#This Row],[FECHA DE REPORTE]])</f>
        <v>46124.284722222219</v>
      </c>
      <c r="S1098" s="20">
        <f>(SEGUIMIENTO_TPM_xlsx[[#This Row],[FECHA DE INTERVENCÓN]]+SEGUIMIENTO_TPM_xlsx[[#This Row],[HORA FIN  INTERVENCIÓN]])</f>
        <v>46124.329861111109</v>
      </c>
      <c r="T1098" s="11">
        <f>(SEGUIMIENTO_TPM_xlsx[[#This Row],[FECHA Y HORA FINAL]]-SEGUIMIENTO_TPM_xlsx[[#This Row],[FECHA Y HORA INICIO]])</f>
        <v>4.5138888890505768E-2</v>
      </c>
    </row>
    <row r="1099" spans="1:20" x14ac:dyDescent="0.25">
      <c r="A1099">
        <v>1107</v>
      </c>
      <c r="C1099" s="1"/>
      <c r="D1099" s="2"/>
      <c r="H1099" s="1"/>
      <c r="I1099" s="1"/>
      <c r="J1099" s="2"/>
      <c r="Q1099" s="1">
        <f>SEGUIMIENTO_TPM_xlsx[[#This Row],[HORA FIN  INTERVENCIÓN]]-SEGUIMIENTO_TPM_xlsx[[#This Row],[HORA INICIO INTERVENCIÓN]]</f>
        <v>0</v>
      </c>
      <c r="R1099" s="20">
        <f>(SEGUIMIENTO_TPM_xlsx[[#This Row],[HORA REPORTE]]+SEGUIMIENTO_TPM_xlsx[[#This Row],[FECHA DE REPORTE]])</f>
        <v>0</v>
      </c>
      <c r="S1099" s="20">
        <f>(SEGUIMIENTO_TPM_xlsx[[#This Row],[FECHA DE INTERVENCÓN]]+SEGUIMIENTO_TPM_xlsx[[#This Row],[HORA FIN  INTERVENCIÓN]])</f>
        <v>0</v>
      </c>
      <c r="T1099" s="11">
        <f>(SEGUIMIENTO_TPM_xlsx[[#This Row],[FECHA Y HORA FINAL]]-SEGUIMIENTO_TPM_xlsx[[#This Row],[FECHA Y HORA INICIO]])</f>
        <v>0</v>
      </c>
    </row>
    <row r="1100" spans="1:20" x14ac:dyDescent="0.25">
      <c r="A1100">
        <v>1108</v>
      </c>
      <c r="C1100" s="1"/>
      <c r="D1100" s="2"/>
      <c r="H1100" s="1"/>
      <c r="I1100" s="1"/>
      <c r="J1100" s="2"/>
      <c r="Q1100" s="1">
        <f>SEGUIMIENTO_TPM_xlsx[[#This Row],[HORA FIN  INTERVENCIÓN]]-SEGUIMIENTO_TPM_xlsx[[#This Row],[HORA INICIO INTERVENCIÓN]]</f>
        <v>0</v>
      </c>
      <c r="R1100" s="20">
        <f>(SEGUIMIENTO_TPM_xlsx[[#This Row],[HORA REPORTE]]+SEGUIMIENTO_TPM_xlsx[[#This Row],[FECHA DE REPORTE]])</f>
        <v>0</v>
      </c>
      <c r="S1100" s="20">
        <f>(SEGUIMIENTO_TPM_xlsx[[#This Row],[FECHA DE INTERVENCÓN]]+SEGUIMIENTO_TPM_xlsx[[#This Row],[HORA FIN  INTERVENCIÓN]])</f>
        <v>0</v>
      </c>
      <c r="T1100" s="11">
        <f>(SEGUIMIENTO_TPM_xlsx[[#This Row],[FECHA Y HORA FINAL]]-SEGUIMIENTO_TPM_xlsx[[#This Row],[FECHA Y HORA INICIO]])</f>
        <v>0</v>
      </c>
    </row>
    <row r="1101" spans="1:20" x14ac:dyDescent="0.25">
      <c r="A1101">
        <v>1109</v>
      </c>
      <c r="C1101" s="1"/>
      <c r="D1101" s="2"/>
      <c r="H1101" s="1"/>
      <c r="I1101" s="1"/>
      <c r="J1101" s="2"/>
      <c r="Q1101" s="1">
        <f>SEGUIMIENTO_TPM_xlsx[[#This Row],[HORA FIN  INTERVENCIÓN]]-SEGUIMIENTO_TPM_xlsx[[#This Row],[HORA INICIO INTERVENCIÓN]]</f>
        <v>0</v>
      </c>
      <c r="R1101" s="20">
        <f>(SEGUIMIENTO_TPM_xlsx[[#This Row],[HORA REPORTE]]+SEGUIMIENTO_TPM_xlsx[[#This Row],[FECHA DE REPORTE]])</f>
        <v>0</v>
      </c>
      <c r="S1101" s="20">
        <f>(SEGUIMIENTO_TPM_xlsx[[#This Row],[FECHA DE INTERVENCÓN]]+SEGUIMIENTO_TPM_xlsx[[#This Row],[HORA FIN  INTERVENCIÓN]])</f>
        <v>0</v>
      </c>
      <c r="T1101" s="11">
        <f>(SEGUIMIENTO_TPM_xlsx[[#This Row],[FECHA Y HORA FINAL]]-SEGUIMIENTO_TPM_xlsx[[#This Row],[FECHA Y HORA INICIO]])</f>
        <v>0</v>
      </c>
    </row>
    <row r="1102" spans="1:20" x14ac:dyDescent="0.25">
      <c r="A1102">
        <v>1110</v>
      </c>
      <c r="C1102" s="1"/>
      <c r="D1102" s="2"/>
      <c r="H1102" s="1"/>
      <c r="I1102" s="1"/>
      <c r="J1102" s="2"/>
      <c r="Q1102" s="1">
        <f>SEGUIMIENTO_TPM_xlsx[[#This Row],[HORA FIN  INTERVENCIÓN]]-SEGUIMIENTO_TPM_xlsx[[#This Row],[HORA INICIO INTERVENCIÓN]]</f>
        <v>0</v>
      </c>
      <c r="R1102" s="20">
        <f>(SEGUIMIENTO_TPM_xlsx[[#This Row],[HORA REPORTE]]+SEGUIMIENTO_TPM_xlsx[[#This Row],[FECHA DE REPORTE]])</f>
        <v>0</v>
      </c>
      <c r="S1102" s="20">
        <f>(SEGUIMIENTO_TPM_xlsx[[#This Row],[FECHA DE INTERVENCÓN]]+SEGUIMIENTO_TPM_xlsx[[#This Row],[HORA FIN  INTERVENCIÓN]])</f>
        <v>0</v>
      </c>
      <c r="T1102" s="11">
        <f>(SEGUIMIENTO_TPM_xlsx[[#This Row],[FECHA Y HORA FINAL]]-SEGUIMIENTO_TPM_xlsx[[#This Row],[FECHA Y HORA INICIO]])</f>
        <v>0</v>
      </c>
    </row>
    <row r="1103" spans="1:20" x14ac:dyDescent="0.25">
      <c r="A1103">
        <v>1111</v>
      </c>
      <c r="B1103" t="s">
        <v>199</v>
      </c>
      <c r="C1103" s="1">
        <v>0.25</v>
      </c>
      <c r="D1103" s="2">
        <v>46125</v>
      </c>
      <c r="E1103" t="s">
        <v>307</v>
      </c>
      <c r="F1103" t="s">
        <v>18</v>
      </c>
      <c r="G1103" t="s">
        <v>1947</v>
      </c>
      <c r="H1103" s="1">
        <v>0.83333333333333337</v>
      </c>
      <c r="I1103" s="1">
        <v>0.89583333333333337</v>
      </c>
      <c r="J1103" s="2">
        <v>46127</v>
      </c>
      <c r="K1103" t="s">
        <v>20</v>
      </c>
      <c r="L1103" t="s">
        <v>1948</v>
      </c>
      <c r="M1103" t="s">
        <v>22</v>
      </c>
      <c r="N1103" t="s">
        <v>22</v>
      </c>
      <c r="O1103" t="s">
        <v>112</v>
      </c>
      <c r="P1103" t="s">
        <v>23</v>
      </c>
      <c r="Q1103" s="1">
        <f>SEGUIMIENTO_TPM_xlsx[[#This Row],[HORA FIN  INTERVENCIÓN]]-SEGUIMIENTO_TPM_xlsx[[#This Row],[HORA INICIO INTERVENCIÓN]]</f>
        <v>6.25E-2</v>
      </c>
      <c r="R1103" s="20">
        <f>(SEGUIMIENTO_TPM_xlsx[[#This Row],[HORA REPORTE]]+SEGUIMIENTO_TPM_xlsx[[#This Row],[FECHA DE REPORTE]])</f>
        <v>46125.25</v>
      </c>
      <c r="S1103" s="20">
        <f>(SEGUIMIENTO_TPM_xlsx[[#This Row],[FECHA DE INTERVENCÓN]]+SEGUIMIENTO_TPM_xlsx[[#This Row],[HORA FIN  INTERVENCIÓN]])</f>
        <v>46127.895833333336</v>
      </c>
      <c r="T1103" s="11">
        <f>(SEGUIMIENTO_TPM_xlsx[[#This Row],[FECHA Y HORA FINAL]]-SEGUIMIENTO_TPM_xlsx[[#This Row],[FECHA Y HORA INICIO]])</f>
        <v>2.6458333333357587</v>
      </c>
    </row>
    <row r="1104" spans="1:20" x14ac:dyDescent="0.25">
      <c r="A1104">
        <v>1112</v>
      </c>
      <c r="B1104" t="s">
        <v>341</v>
      </c>
      <c r="C1104" s="1">
        <v>0.57638888888888884</v>
      </c>
      <c r="D1104" s="2">
        <v>46125</v>
      </c>
      <c r="E1104" t="s">
        <v>143</v>
      </c>
      <c r="F1104" t="s">
        <v>18</v>
      </c>
      <c r="G1104" t="s">
        <v>1787</v>
      </c>
      <c r="H1104" s="1">
        <v>0.60416666666666663</v>
      </c>
      <c r="I1104" s="1">
        <v>0.625</v>
      </c>
      <c r="J1104" s="2">
        <v>46125</v>
      </c>
      <c r="K1104" t="s">
        <v>48</v>
      </c>
      <c r="L1104" t="s">
        <v>1788</v>
      </c>
      <c r="M1104" t="s">
        <v>22</v>
      </c>
      <c r="N1104" t="s">
        <v>50</v>
      </c>
      <c r="O1104" t="s">
        <v>112</v>
      </c>
      <c r="P1104" t="s">
        <v>23</v>
      </c>
      <c r="Q1104" s="1">
        <f>SEGUIMIENTO_TPM_xlsx[[#This Row],[HORA FIN  INTERVENCIÓN]]-SEGUIMIENTO_TPM_xlsx[[#This Row],[HORA INICIO INTERVENCIÓN]]</f>
        <v>2.083333333333337E-2</v>
      </c>
      <c r="R1104" s="20">
        <f>(SEGUIMIENTO_TPM_xlsx[[#This Row],[HORA REPORTE]]+SEGUIMIENTO_TPM_xlsx[[#This Row],[FECHA DE REPORTE]])</f>
        <v>46125.576388888891</v>
      </c>
      <c r="S1104" s="20">
        <f>(SEGUIMIENTO_TPM_xlsx[[#This Row],[FECHA DE INTERVENCÓN]]+SEGUIMIENTO_TPM_xlsx[[#This Row],[HORA FIN  INTERVENCIÓN]])</f>
        <v>46125.625</v>
      </c>
      <c r="T1104" s="11">
        <f>(SEGUIMIENTO_TPM_xlsx[[#This Row],[FECHA Y HORA FINAL]]-SEGUIMIENTO_TPM_xlsx[[#This Row],[FECHA Y HORA INICIO]])</f>
        <v>4.8611111109494232E-2</v>
      </c>
    </row>
    <row r="1105" spans="1:20" x14ac:dyDescent="0.25">
      <c r="A1105">
        <v>1113</v>
      </c>
      <c r="B1105" t="s">
        <v>317</v>
      </c>
      <c r="C1105" s="1">
        <v>0.61111111111111116</v>
      </c>
      <c r="D1105" s="2">
        <v>46125</v>
      </c>
      <c r="E1105" t="s">
        <v>91</v>
      </c>
      <c r="F1105" t="s">
        <v>18</v>
      </c>
      <c r="G1105" t="s">
        <v>1789</v>
      </c>
      <c r="H1105" s="1">
        <v>0.61111111111111116</v>
      </c>
      <c r="I1105" s="1">
        <v>0.61805555555555558</v>
      </c>
      <c r="J1105" s="2">
        <v>46125</v>
      </c>
      <c r="K1105" t="s">
        <v>48</v>
      </c>
      <c r="L1105" t="s">
        <v>1790</v>
      </c>
      <c r="M1105" t="s">
        <v>22</v>
      </c>
      <c r="N1105" t="s">
        <v>22</v>
      </c>
      <c r="O1105" t="s">
        <v>268</v>
      </c>
      <c r="P1105" t="s">
        <v>23</v>
      </c>
      <c r="Q1105" s="1">
        <f>SEGUIMIENTO_TPM_xlsx[[#This Row],[HORA FIN  INTERVENCIÓN]]-SEGUIMIENTO_TPM_xlsx[[#This Row],[HORA INICIO INTERVENCIÓN]]</f>
        <v>6.9444444444444198E-3</v>
      </c>
      <c r="R1105" s="20">
        <f>(SEGUIMIENTO_TPM_xlsx[[#This Row],[HORA REPORTE]]+SEGUIMIENTO_TPM_xlsx[[#This Row],[FECHA DE REPORTE]])</f>
        <v>46125.611111111109</v>
      </c>
      <c r="S1105" s="20">
        <f>(SEGUIMIENTO_TPM_xlsx[[#This Row],[FECHA DE INTERVENCÓN]]+SEGUIMIENTO_TPM_xlsx[[#This Row],[HORA FIN  INTERVENCIÓN]])</f>
        <v>46125.618055555555</v>
      </c>
      <c r="T1105" s="11">
        <f>(SEGUIMIENTO_TPM_xlsx[[#This Row],[FECHA Y HORA FINAL]]-SEGUIMIENTO_TPM_xlsx[[#This Row],[FECHA Y HORA INICIO]])</f>
        <v>6.9444444452528842E-3</v>
      </c>
    </row>
    <row r="1106" spans="1:20" x14ac:dyDescent="0.25">
      <c r="A1106">
        <v>1114</v>
      </c>
      <c r="B1106" t="s">
        <v>113</v>
      </c>
      <c r="C1106" s="1">
        <v>0.2013888888888889</v>
      </c>
      <c r="D1106" s="2">
        <v>46126</v>
      </c>
      <c r="E1106" t="s">
        <v>147</v>
      </c>
      <c r="F1106" t="s">
        <v>18</v>
      </c>
      <c r="G1106" t="s">
        <v>1791</v>
      </c>
      <c r="H1106" s="1">
        <v>0.2048611111111111</v>
      </c>
      <c r="I1106" s="1">
        <v>0.22569444444444445</v>
      </c>
      <c r="J1106" s="2">
        <v>46126</v>
      </c>
      <c r="K1106" t="s">
        <v>20</v>
      </c>
      <c r="L1106" t="s">
        <v>1792</v>
      </c>
      <c r="M1106" t="s">
        <v>22</v>
      </c>
      <c r="N1106" t="s">
        <v>22</v>
      </c>
      <c r="O1106" t="s">
        <v>661</v>
      </c>
      <c r="P1106" t="s">
        <v>23</v>
      </c>
      <c r="Q1106" s="1">
        <f>SEGUIMIENTO_TPM_xlsx[[#This Row],[HORA FIN  INTERVENCIÓN]]-SEGUIMIENTO_TPM_xlsx[[#This Row],[HORA INICIO INTERVENCIÓN]]</f>
        <v>2.0833333333333343E-2</v>
      </c>
      <c r="R1106" s="20">
        <f>(SEGUIMIENTO_TPM_xlsx[[#This Row],[HORA REPORTE]]+SEGUIMIENTO_TPM_xlsx[[#This Row],[FECHA DE REPORTE]])</f>
        <v>46126.201388888891</v>
      </c>
      <c r="S1106" s="20">
        <f>(SEGUIMIENTO_TPM_xlsx[[#This Row],[FECHA DE INTERVENCÓN]]+SEGUIMIENTO_TPM_xlsx[[#This Row],[HORA FIN  INTERVENCIÓN]])</f>
        <v>46126.225694444445</v>
      </c>
      <c r="T1106" s="11">
        <f>(SEGUIMIENTO_TPM_xlsx[[#This Row],[FECHA Y HORA FINAL]]-SEGUIMIENTO_TPM_xlsx[[#This Row],[FECHA Y HORA INICIO]])</f>
        <v>2.4305555554747116E-2</v>
      </c>
    </row>
    <row r="1107" spans="1:20" x14ac:dyDescent="0.25">
      <c r="A1107">
        <v>1115</v>
      </c>
      <c r="C1107" s="1"/>
      <c r="D1107" s="2"/>
      <c r="H1107" s="1"/>
      <c r="I1107" s="1"/>
      <c r="J1107" s="2"/>
      <c r="Q1107" s="1">
        <f>SEGUIMIENTO_TPM_xlsx[[#This Row],[HORA FIN  INTERVENCIÓN]]-SEGUIMIENTO_TPM_xlsx[[#This Row],[HORA INICIO INTERVENCIÓN]]</f>
        <v>0</v>
      </c>
      <c r="R1107" s="20">
        <f>(SEGUIMIENTO_TPM_xlsx[[#This Row],[HORA REPORTE]]+SEGUIMIENTO_TPM_xlsx[[#This Row],[FECHA DE REPORTE]])</f>
        <v>0</v>
      </c>
      <c r="S1107" s="20">
        <f>(SEGUIMIENTO_TPM_xlsx[[#This Row],[FECHA DE INTERVENCÓN]]+SEGUIMIENTO_TPM_xlsx[[#This Row],[HORA FIN  INTERVENCIÓN]])</f>
        <v>0</v>
      </c>
      <c r="T1107" s="11">
        <f>(SEGUIMIENTO_TPM_xlsx[[#This Row],[FECHA Y HORA FINAL]]-SEGUIMIENTO_TPM_xlsx[[#This Row],[FECHA Y HORA INICIO]])</f>
        <v>0</v>
      </c>
    </row>
    <row r="1108" spans="1:20" x14ac:dyDescent="0.25">
      <c r="A1108">
        <v>1116</v>
      </c>
      <c r="B1108" t="s">
        <v>113</v>
      </c>
      <c r="C1108" s="1">
        <v>1.7361111111111112E-2</v>
      </c>
      <c r="D1108" s="2">
        <v>46125</v>
      </c>
      <c r="E1108" t="s">
        <v>154</v>
      </c>
      <c r="F1108" t="s">
        <v>18</v>
      </c>
      <c r="G1108" t="s">
        <v>1949</v>
      </c>
      <c r="H1108" s="1">
        <v>1.7361111111111112E-2</v>
      </c>
      <c r="I1108" s="1">
        <v>4.1666666666666664E-2</v>
      </c>
      <c r="J1108" s="2">
        <v>46125</v>
      </c>
      <c r="K1108" t="s">
        <v>25</v>
      </c>
      <c r="L1108" t="s">
        <v>1950</v>
      </c>
      <c r="M1108" t="s">
        <v>1951</v>
      </c>
      <c r="N1108" t="s">
        <v>22</v>
      </c>
      <c r="O1108" t="s">
        <v>108</v>
      </c>
      <c r="P1108" t="s">
        <v>23</v>
      </c>
      <c r="Q1108" s="1">
        <f>SEGUIMIENTO_TPM_xlsx[[#This Row],[HORA FIN  INTERVENCIÓN]]-SEGUIMIENTO_TPM_xlsx[[#This Row],[HORA INICIO INTERVENCIÓN]]</f>
        <v>2.4305555555555552E-2</v>
      </c>
      <c r="R1108" s="20">
        <f>(SEGUIMIENTO_TPM_xlsx[[#This Row],[HORA REPORTE]]+SEGUIMIENTO_TPM_xlsx[[#This Row],[FECHA DE REPORTE]])</f>
        <v>46125.017361111109</v>
      </c>
      <c r="S1108" s="20">
        <f>(SEGUIMIENTO_TPM_xlsx[[#This Row],[FECHA DE INTERVENCÓN]]+SEGUIMIENTO_TPM_xlsx[[#This Row],[HORA FIN  INTERVENCIÓN]])</f>
        <v>46125.041666666664</v>
      </c>
      <c r="T1108" s="11">
        <f>(SEGUIMIENTO_TPM_xlsx[[#This Row],[FECHA Y HORA FINAL]]-SEGUIMIENTO_TPM_xlsx[[#This Row],[FECHA Y HORA INICIO]])</f>
        <v>2.4305555554747116E-2</v>
      </c>
    </row>
    <row r="1109" spans="1:20" x14ac:dyDescent="0.25">
      <c r="A1109">
        <v>1117</v>
      </c>
      <c r="C1109" s="1"/>
      <c r="D1109" s="2"/>
      <c r="H1109" s="1"/>
      <c r="I1109" s="1"/>
      <c r="J1109" s="2"/>
      <c r="Q1109" s="1">
        <f>SEGUIMIENTO_TPM_xlsx[[#This Row],[HORA FIN  INTERVENCIÓN]]-SEGUIMIENTO_TPM_xlsx[[#This Row],[HORA INICIO INTERVENCIÓN]]</f>
        <v>0</v>
      </c>
      <c r="R1109" s="20">
        <f>(SEGUIMIENTO_TPM_xlsx[[#This Row],[HORA REPORTE]]+SEGUIMIENTO_TPM_xlsx[[#This Row],[FECHA DE REPORTE]])</f>
        <v>0</v>
      </c>
      <c r="S1109" s="20">
        <f>(SEGUIMIENTO_TPM_xlsx[[#This Row],[FECHA DE INTERVENCÓN]]+SEGUIMIENTO_TPM_xlsx[[#This Row],[HORA FIN  INTERVENCIÓN]])</f>
        <v>0</v>
      </c>
      <c r="T1109" s="11">
        <f>(SEGUIMIENTO_TPM_xlsx[[#This Row],[FECHA Y HORA FINAL]]-SEGUIMIENTO_TPM_xlsx[[#This Row],[FECHA Y HORA INICIO]])</f>
        <v>0</v>
      </c>
    </row>
    <row r="1110" spans="1:20" x14ac:dyDescent="0.25">
      <c r="A1110">
        <v>1118</v>
      </c>
      <c r="C1110" s="1"/>
      <c r="D1110" s="2"/>
      <c r="H1110" s="1"/>
      <c r="I1110" s="1"/>
      <c r="J1110" s="2"/>
      <c r="Q1110" s="1">
        <f>SEGUIMIENTO_TPM_xlsx[[#This Row],[HORA FIN  INTERVENCIÓN]]-SEGUIMIENTO_TPM_xlsx[[#This Row],[HORA INICIO INTERVENCIÓN]]</f>
        <v>0</v>
      </c>
      <c r="R1110" s="20">
        <f>(SEGUIMIENTO_TPM_xlsx[[#This Row],[HORA REPORTE]]+SEGUIMIENTO_TPM_xlsx[[#This Row],[FECHA DE REPORTE]])</f>
        <v>0</v>
      </c>
      <c r="S1110" s="20">
        <f>(SEGUIMIENTO_TPM_xlsx[[#This Row],[FECHA DE INTERVENCÓN]]+SEGUIMIENTO_TPM_xlsx[[#This Row],[HORA FIN  INTERVENCIÓN]])</f>
        <v>0</v>
      </c>
      <c r="T1110" s="11">
        <f>(SEGUIMIENTO_TPM_xlsx[[#This Row],[FECHA Y HORA FINAL]]-SEGUIMIENTO_TPM_xlsx[[#This Row],[FECHA Y HORA INICIO]])</f>
        <v>0</v>
      </c>
    </row>
    <row r="1111" spans="1:20" x14ac:dyDescent="0.25">
      <c r="A1111">
        <v>1119</v>
      </c>
      <c r="C1111" s="1"/>
      <c r="D1111" s="2"/>
      <c r="H1111" s="1"/>
      <c r="I1111" s="1"/>
      <c r="J1111" s="2"/>
      <c r="Q1111" s="1">
        <f>SEGUIMIENTO_TPM_xlsx[[#This Row],[HORA FIN  INTERVENCIÓN]]-SEGUIMIENTO_TPM_xlsx[[#This Row],[HORA INICIO INTERVENCIÓN]]</f>
        <v>0</v>
      </c>
      <c r="R1111" s="20">
        <f>(SEGUIMIENTO_TPM_xlsx[[#This Row],[HORA REPORTE]]+SEGUIMIENTO_TPM_xlsx[[#This Row],[FECHA DE REPORTE]])</f>
        <v>0</v>
      </c>
      <c r="S1111" s="20">
        <f>(SEGUIMIENTO_TPM_xlsx[[#This Row],[FECHA DE INTERVENCÓN]]+SEGUIMIENTO_TPM_xlsx[[#This Row],[HORA FIN  INTERVENCIÓN]])</f>
        <v>0</v>
      </c>
      <c r="T1111" s="11">
        <f>(SEGUIMIENTO_TPM_xlsx[[#This Row],[FECHA Y HORA FINAL]]-SEGUIMIENTO_TPM_xlsx[[#This Row],[FECHA Y HORA INICIO]])</f>
        <v>0</v>
      </c>
    </row>
    <row r="1112" spans="1:20" x14ac:dyDescent="0.25">
      <c r="A1112">
        <v>1120</v>
      </c>
      <c r="B1112" t="s">
        <v>385</v>
      </c>
      <c r="C1112" s="1">
        <v>0.35416666666666669</v>
      </c>
      <c r="D1112" s="2">
        <v>46125</v>
      </c>
      <c r="E1112" t="s">
        <v>307</v>
      </c>
      <c r="F1112" t="s">
        <v>18</v>
      </c>
      <c r="G1112" t="s">
        <v>2011</v>
      </c>
      <c r="H1112" s="1">
        <v>0.35416666666666669</v>
      </c>
      <c r="I1112" s="1">
        <v>0.38819444444444445</v>
      </c>
      <c r="J1112" s="2">
        <v>46125</v>
      </c>
      <c r="K1112" t="s">
        <v>20</v>
      </c>
      <c r="L1112" t="s">
        <v>2012</v>
      </c>
      <c r="M1112" t="s">
        <v>22</v>
      </c>
      <c r="N1112" t="s">
        <v>22</v>
      </c>
      <c r="O1112" t="s">
        <v>108</v>
      </c>
      <c r="P1112" t="s">
        <v>23</v>
      </c>
      <c r="Q1112" s="1">
        <f>SEGUIMIENTO_TPM_xlsx[[#This Row],[HORA FIN  INTERVENCIÓN]]-SEGUIMIENTO_TPM_xlsx[[#This Row],[HORA INICIO INTERVENCIÓN]]</f>
        <v>3.4027777777777768E-2</v>
      </c>
      <c r="R1112" s="20">
        <f>(SEGUIMIENTO_TPM_xlsx[[#This Row],[HORA REPORTE]]+SEGUIMIENTO_TPM_xlsx[[#This Row],[FECHA DE REPORTE]])</f>
        <v>46125.354166666664</v>
      </c>
      <c r="S1112" s="20">
        <f>(SEGUIMIENTO_TPM_xlsx[[#This Row],[FECHA DE INTERVENCÓN]]+SEGUIMIENTO_TPM_xlsx[[#This Row],[HORA FIN  INTERVENCIÓN]])</f>
        <v>46125.388194444444</v>
      </c>
      <c r="T1112" s="11">
        <f>(SEGUIMIENTO_TPM_xlsx[[#This Row],[FECHA Y HORA FINAL]]-SEGUIMIENTO_TPM_xlsx[[#This Row],[FECHA Y HORA INICIO]])</f>
        <v>3.4027777779556345E-2</v>
      </c>
    </row>
    <row r="1113" spans="1:20" x14ac:dyDescent="0.25">
      <c r="A1113">
        <v>1121</v>
      </c>
      <c r="B1113" t="s">
        <v>161</v>
      </c>
      <c r="C1113" s="1">
        <v>0.20833333333333334</v>
      </c>
      <c r="D1113" s="2">
        <v>46128</v>
      </c>
      <c r="E1113" t="s">
        <v>94</v>
      </c>
      <c r="F1113" t="s">
        <v>18</v>
      </c>
      <c r="G1113" t="s">
        <v>1952</v>
      </c>
      <c r="H1113" s="1">
        <v>0.20833333333333334</v>
      </c>
      <c r="I1113" s="1">
        <v>0.22222222222222221</v>
      </c>
      <c r="J1113" s="2">
        <v>46128</v>
      </c>
      <c r="K1113" t="s">
        <v>25</v>
      </c>
      <c r="L1113" t="s">
        <v>1953</v>
      </c>
      <c r="M1113" t="s">
        <v>1954</v>
      </c>
      <c r="N1113" t="s">
        <v>22</v>
      </c>
      <c r="O1113" t="s">
        <v>112</v>
      </c>
      <c r="P1113" t="s">
        <v>23</v>
      </c>
      <c r="Q1113" s="1">
        <f>SEGUIMIENTO_TPM_xlsx[[#This Row],[HORA FIN  INTERVENCIÓN]]-SEGUIMIENTO_TPM_xlsx[[#This Row],[HORA INICIO INTERVENCIÓN]]</f>
        <v>1.3888888888888867E-2</v>
      </c>
      <c r="R1113" s="20">
        <f>(SEGUIMIENTO_TPM_xlsx[[#This Row],[HORA REPORTE]]+SEGUIMIENTO_TPM_xlsx[[#This Row],[FECHA DE REPORTE]])</f>
        <v>46128.208333333336</v>
      </c>
      <c r="S1113" s="20">
        <f>(SEGUIMIENTO_TPM_xlsx[[#This Row],[FECHA DE INTERVENCÓN]]+SEGUIMIENTO_TPM_xlsx[[#This Row],[HORA FIN  INTERVENCIÓN]])</f>
        <v>46128.222222222219</v>
      </c>
      <c r="T1113" s="11">
        <f>(SEGUIMIENTO_TPM_xlsx[[#This Row],[FECHA Y HORA FINAL]]-SEGUIMIENTO_TPM_xlsx[[#This Row],[FECHA Y HORA INICIO]])</f>
        <v>1.3888888883229811E-2</v>
      </c>
    </row>
    <row r="1114" spans="1:20" x14ac:dyDescent="0.25">
      <c r="A1114">
        <v>1122</v>
      </c>
      <c r="B1114" t="s">
        <v>103</v>
      </c>
      <c r="C1114" s="1">
        <v>0.95833333333333337</v>
      </c>
      <c r="D1114" s="2">
        <v>46128</v>
      </c>
      <c r="E1114" t="s">
        <v>147</v>
      </c>
      <c r="F1114" t="s">
        <v>18</v>
      </c>
      <c r="G1114" t="s">
        <v>1955</v>
      </c>
      <c r="H1114" s="1">
        <v>0.96180555555555558</v>
      </c>
      <c r="I1114" s="1">
        <v>0.97916666666666663</v>
      </c>
      <c r="J1114" s="2">
        <v>46128</v>
      </c>
      <c r="K1114" t="s">
        <v>25</v>
      </c>
      <c r="L1114" t="s">
        <v>1956</v>
      </c>
      <c r="M1114" t="s">
        <v>1417</v>
      </c>
      <c r="N1114" t="s">
        <v>22</v>
      </c>
      <c r="O1114" t="s">
        <v>661</v>
      </c>
      <c r="P1114" t="s">
        <v>23</v>
      </c>
      <c r="Q1114" s="1">
        <f>SEGUIMIENTO_TPM_xlsx[[#This Row],[HORA FIN  INTERVENCIÓN]]-SEGUIMIENTO_TPM_xlsx[[#This Row],[HORA INICIO INTERVENCIÓN]]</f>
        <v>1.7361111111111049E-2</v>
      </c>
      <c r="R1114" s="20">
        <f>(SEGUIMIENTO_TPM_xlsx[[#This Row],[HORA REPORTE]]+SEGUIMIENTO_TPM_xlsx[[#This Row],[FECHA DE REPORTE]])</f>
        <v>46128.958333333336</v>
      </c>
      <c r="S1114" s="20">
        <f>(SEGUIMIENTO_TPM_xlsx[[#This Row],[FECHA DE INTERVENCÓN]]+SEGUIMIENTO_TPM_xlsx[[#This Row],[HORA FIN  INTERVENCIÓN]])</f>
        <v>46128.979166666664</v>
      </c>
      <c r="T1114" s="11">
        <f>(SEGUIMIENTO_TPM_xlsx[[#This Row],[FECHA Y HORA FINAL]]-SEGUIMIENTO_TPM_xlsx[[#This Row],[FECHA Y HORA INICIO]])</f>
        <v>2.0833333328482695E-2</v>
      </c>
    </row>
    <row r="1115" spans="1:20" x14ac:dyDescent="0.25">
      <c r="A1115">
        <v>1123</v>
      </c>
      <c r="C1115" s="1"/>
      <c r="D1115" s="2"/>
      <c r="H1115" s="1"/>
      <c r="I1115" s="1"/>
      <c r="J1115" s="2"/>
      <c r="Q1115" s="1">
        <f>SEGUIMIENTO_TPM_xlsx[[#This Row],[HORA FIN  INTERVENCIÓN]]-SEGUIMIENTO_TPM_xlsx[[#This Row],[HORA INICIO INTERVENCIÓN]]</f>
        <v>0</v>
      </c>
      <c r="R1115" s="20">
        <f>(SEGUIMIENTO_TPM_xlsx[[#This Row],[HORA REPORTE]]+SEGUIMIENTO_TPM_xlsx[[#This Row],[FECHA DE REPORTE]])</f>
        <v>0</v>
      </c>
      <c r="S1115" s="20">
        <f>(SEGUIMIENTO_TPM_xlsx[[#This Row],[FECHA DE INTERVENCÓN]]+SEGUIMIENTO_TPM_xlsx[[#This Row],[HORA FIN  INTERVENCIÓN]])</f>
        <v>0</v>
      </c>
      <c r="T1115" s="11">
        <f>(SEGUIMIENTO_TPM_xlsx[[#This Row],[FECHA Y HORA FINAL]]-SEGUIMIENTO_TPM_xlsx[[#This Row],[FECHA Y HORA INICIO]])</f>
        <v>0</v>
      </c>
    </row>
    <row r="1116" spans="1:20" x14ac:dyDescent="0.25">
      <c r="A1116">
        <v>1124</v>
      </c>
      <c r="B1116" t="s">
        <v>164</v>
      </c>
      <c r="C1116" s="1">
        <v>0.78472222222222221</v>
      </c>
      <c r="D1116" s="2">
        <v>46129</v>
      </c>
      <c r="E1116" t="s">
        <v>143</v>
      </c>
      <c r="F1116" t="s">
        <v>18</v>
      </c>
      <c r="G1116" t="s">
        <v>1959</v>
      </c>
      <c r="H1116" s="1">
        <v>0.81874999999999998</v>
      </c>
      <c r="I1116" s="1">
        <v>0.81319444444444444</v>
      </c>
      <c r="J1116" s="2">
        <v>46129</v>
      </c>
      <c r="K1116" t="s">
        <v>25</v>
      </c>
      <c r="L1116" t="s">
        <v>1960</v>
      </c>
      <c r="M1116" t="s">
        <v>22</v>
      </c>
      <c r="N1116" t="s">
        <v>22</v>
      </c>
      <c r="O1116" t="s">
        <v>661</v>
      </c>
      <c r="P1116" t="s">
        <v>23</v>
      </c>
      <c r="Q1116" s="1">
        <f>SEGUIMIENTO_TPM_xlsx[[#This Row],[HORA FIN  INTERVENCIÓN]]-SEGUIMIENTO_TPM_xlsx[[#This Row],[HORA INICIO INTERVENCIÓN]]</f>
        <v>-5.5555555555555358E-3</v>
      </c>
      <c r="R1116" s="20">
        <f>(SEGUIMIENTO_TPM_xlsx[[#This Row],[HORA REPORTE]]+SEGUIMIENTO_TPM_xlsx[[#This Row],[FECHA DE REPORTE]])</f>
        <v>46129.784722222219</v>
      </c>
      <c r="S1116" s="20">
        <f>(SEGUIMIENTO_TPM_xlsx[[#This Row],[FECHA DE INTERVENCÓN]]+SEGUIMIENTO_TPM_xlsx[[#This Row],[HORA FIN  INTERVENCIÓN]])</f>
        <v>46129.813194444447</v>
      </c>
      <c r="T1116" s="11">
        <f>(SEGUIMIENTO_TPM_xlsx[[#This Row],[FECHA Y HORA FINAL]]-SEGUIMIENTO_TPM_xlsx[[#This Row],[FECHA Y HORA INICIO]])</f>
        <v>2.8472222227719612E-2</v>
      </c>
    </row>
    <row r="1117" spans="1:20" x14ac:dyDescent="0.25">
      <c r="A1117">
        <v>1125</v>
      </c>
      <c r="B1117" t="s">
        <v>164</v>
      </c>
      <c r="C1117" s="1">
        <v>0.84375</v>
      </c>
      <c r="D1117" s="2">
        <v>46129</v>
      </c>
      <c r="E1117" t="s">
        <v>143</v>
      </c>
      <c r="F1117" t="s">
        <v>18</v>
      </c>
      <c r="G1117" t="s">
        <v>1961</v>
      </c>
      <c r="H1117" s="1">
        <v>0.84722222222222221</v>
      </c>
      <c r="I1117" s="1">
        <v>0.9375</v>
      </c>
      <c r="J1117" s="2">
        <v>46129</v>
      </c>
      <c r="K1117" t="s">
        <v>25</v>
      </c>
      <c r="L1117" t="s">
        <v>1962</v>
      </c>
      <c r="M1117" t="s">
        <v>22</v>
      </c>
      <c r="N1117" t="s">
        <v>22</v>
      </c>
      <c r="O1117" t="s">
        <v>661</v>
      </c>
      <c r="P1117" t="s">
        <v>23</v>
      </c>
      <c r="Q1117" s="1">
        <f>SEGUIMIENTO_TPM_xlsx[[#This Row],[HORA FIN  INTERVENCIÓN]]-SEGUIMIENTO_TPM_xlsx[[#This Row],[HORA INICIO INTERVENCIÓN]]</f>
        <v>9.027777777777779E-2</v>
      </c>
      <c r="R1117" s="20">
        <f>(SEGUIMIENTO_TPM_xlsx[[#This Row],[HORA REPORTE]]+SEGUIMIENTO_TPM_xlsx[[#This Row],[FECHA DE REPORTE]])</f>
        <v>46129.84375</v>
      </c>
      <c r="S1117" s="20">
        <f>(SEGUIMIENTO_TPM_xlsx[[#This Row],[FECHA DE INTERVENCÓN]]+SEGUIMIENTO_TPM_xlsx[[#This Row],[HORA FIN  INTERVENCIÓN]])</f>
        <v>46129.9375</v>
      </c>
      <c r="T1117" s="11">
        <f>(SEGUIMIENTO_TPM_xlsx[[#This Row],[FECHA Y HORA FINAL]]-SEGUIMIENTO_TPM_xlsx[[#This Row],[FECHA Y HORA INICIO]])</f>
        <v>9.375E-2</v>
      </c>
    </row>
    <row r="1118" spans="1:20" x14ac:dyDescent="0.25">
      <c r="A1118">
        <v>1126</v>
      </c>
      <c r="B1118" t="s">
        <v>161</v>
      </c>
      <c r="C1118" s="1">
        <v>0.9375</v>
      </c>
      <c r="D1118" s="2">
        <v>46129</v>
      </c>
      <c r="E1118" t="s">
        <v>116</v>
      </c>
      <c r="F1118" t="s">
        <v>18</v>
      </c>
      <c r="G1118" t="s">
        <v>1963</v>
      </c>
      <c r="H1118" s="1">
        <v>0.27083333333333331</v>
      </c>
      <c r="I1118" s="1">
        <v>0.375</v>
      </c>
      <c r="J1118" s="2">
        <v>46130</v>
      </c>
      <c r="K1118" t="s">
        <v>25</v>
      </c>
      <c r="L1118" t="s">
        <v>1964</v>
      </c>
      <c r="M1118" t="s">
        <v>1965</v>
      </c>
      <c r="N1118" t="s">
        <v>22</v>
      </c>
      <c r="O1118" t="s">
        <v>112</v>
      </c>
      <c r="P1118" t="s">
        <v>23</v>
      </c>
      <c r="Q1118" s="1">
        <f>SEGUIMIENTO_TPM_xlsx[[#This Row],[HORA FIN  INTERVENCIÓN]]-SEGUIMIENTO_TPM_xlsx[[#This Row],[HORA INICIO INTERVENCIÓN]]</f>
        <v>0.10416666666666669</v>
      </c>
      <c r="R1118" s="20">
        <f>(SEGUIMIENTO_TPM_xlsx[[#This Row],[HORA REPORTE]]+SEGUIMIENTO_TPM_xlsx[[#This Row],[FECHA DE REPORTE]])</f>
        <v>46129.9375</v>
      </c>
      <c r="S1118" s="20">
        <f>(SEGUIMIENTO_TPM_xlsx[[#This Row],[FECHA DE INTERVENCÓN]]+SEGUIMIENTO_TPM_xlsx[[#This Row],[HORA FIN  INTERVENCIÓN]])</f>
        <v>46130.375</v>
      </c>
      <c r="T1118" s="11">
        <f>(SEGUIMIENTO_TPM_xlsx[[#This Row],[FECHA Y HORA FINAL]]-SEGUIMIENTO_TPM_xlsx[[#This Row],[FECHA Y HORA INICIO]])</f>
        <v>0.4375</v>
      </c>
    </row>
    <row r="1119" spans="1:20" x14ac:dyDescent="0.25">
      <c r="A1119">
        <v>1127</v>
      </c>
      <c r="B1119" t="s">
        <v>526</v>
      </c>
      <c r="C1119" s="1">
        <v>0.3125</v>
      </c>
      <c r="D1119" s="2">
        <v>46130</v>
      </c>
      <c r="E1119" t="s">
        <v>188</v>
      </c>
      <c r="F1119" t="s">
        <v>18</v>
      </c>
      <c r="G1119" t="s">
        <v>1966</v>
      </c>
      <c r="H1119" s="1">
        <v>0.3125</v>
      </c>
      <c r="I1119" s="1">
        <v>0.33333333333333331</v>
      </c>
      <c r="J1119" s="2">
        <v>46130</v>
      </c>
      <c r="K1119" t="s">
        <v>20</v>
      </c>
      <c r="L1119" t="s">
        <v>1967</v>
      </c>
      <c r="M1119" t="s">
        <v>1968</v>
      </c>
      <c r="N1119" t="s">
        <v>22</v>
      </c>
      <c r="O1119" t="s">
        <v>112</v>
      </c>
      <c r="P1119" t="s">
        <v>23</v>
      </c>
      <c r="Q1119" s="1">
        <f>SEGUIMIENTO_TPM_xlsx[[#This Row],[HORA FIN  INTERVENCIÓN]]-SEGUIMIENTO_TPM_xlsx[[#This Row],[HORA INICIO INTERVENCIÓN]]</f>
        <v>2.0833333333333315E-2</v>
      </c>
      <c r="R1119" s="20">
        <f>(SEGUIMIENTO_TPM_xlsx[[#This Row],[HORA REPORTE]]+SEGUIMIENTO_TPM_xlsx[[#This Row],[FECHA DE REPORTE]])</f>
        <v>46130.3125</v>
      </c>
      <c r="S1119" s="20">
        <f>(SEGUIMIENTO_TPM_xlsx[[#This Row],[FECHA DE INTERVENCÓN]]+SEGUIMIENTO_TPM_xlsx[[#This Row],[HORA FIN  INTERVENCIÓN]])</f>
        <v>46130.333333333336</v>
      </c>
      <c r="T1119" s="11">
        <f>(SEGUIMIENTO_TPM_xlsx[[#This Row],[FECHA Y HORA FINAL]]-SEGUIMIENTO_TPM_xlsx[[#This Row],[FECHA Y HORA INICIO]])</f>
        <v>2.0833333335758653E-2</v>
      </c>
    </row>
    <row r="1120" spans="1:20" x14ac:dyDescent="0.25">
      <c r="A1120">
        <v>1128</v>
      </c>
      <c r="B1120" t="s">
        <v>526</v>
      </c>
      <c r="C1120" s="1">
        <v>0.39583333333333331</v>
      </c>
      <c r="D1120" s="2">
        <v>46130</v>
      </c>
      <c r="E1120" t="s">
        <v>188</v>
      </c>
      <c r="F1120" t="s">
        <v>18</v>
      </c>
      <c r="G1120" t="s">
        <v>1969</v>
      </c>
      <c r="H1120" s="1">
        <v>0.39583333333333331</v>
      </c>
      <c r="I1120" s="1">
        <v>0.41666666666666669</v>
      </c>
      <c r="J1120" s="2">
        <v>46130</v>
      </c>
      <c r="K1120" t="s">
        <v>20</v>
      </c>
      <c r="L1120" t="s">
        <v>1970</v>
      </c>
      <c r="M1120" t="s">
        <v>22</v>
      </c>
      <c r="N1120" t="s">
        <v>22</v>
      </c>
      <c r="O1120" t="s">
        <v>112</v>
      </c>
      <c r="P1120" t="s">
        <v>23</v>
      </c>
      <c r="Q1120" s="1">
        <f>SEGUIMIENTO_TPM_xlsx[[#This Row],[HORA FIN  INTERVENCIÓN]]-SEGUIMIENTO_TPM_xlsx[[#This Row],[HORA INICIO INTERVENCIÓN]]</f>
        <v>2.083333333333337E-2</v>
      </c>
      <c r="R1120" s="20">
        <f>(SEGUIMIENTO_TPM_xlsx[[#This Row],[HORA REPORTE]]+SEGUIMIENTO_TPM_xlsx[[#This Row],[FECHA DE REPORTE]])</f>
        <v>46130.395833333336</v>
      </c>
      <c r="S1120" s="20">
        <f>(SEGUIMIENTO_TPM_xlsx[[#This Row],[FECHA DE INTERVENCÓN]]+SEGUIMIENTO_TPM_xlsx[[#This Row],[HORA FIN  INTERVENCIÓN]])</f>
        <v>46130.416666666664</v>
      </c>
      <c r="T1120" s="11">
        <f>(SEGUIMIENTO_TPM_xlsx[[#This Row],[FECHA Y HORA FINAL]]-SEGUIMIENTO_TPM_xlsx[[#This Row],[FECHA Y HORA INICIO]])</f>
        <v>2.0833333328482695E-2</v>
      </c>
    </row>
    <row r="1121" spans="1:20" x14ac:dyDescent="0.25">
      <c r="A1121">
        <v>1129</v>
      </c>
      <c r="C1121" s="1"/>
      <c r="D1121" s="2"/>
      <c r="H1121" s="1"/>
      <c r="I1121" s="1"/>
      <c r="J1121" s="2"/>
      <c r="Q1121" s="1">
        <f>SEGUIMIENTO_TPM_xlsx[[#This Row],[HORA FIN  INTERVENCIÓN]]-SEGUIMIENTO_TPM_xlsx[[#This Row],[HORA INICIO INTERVENCIÓN]]</f>
        <v>0</v>
      </c>
      <c r="R1121" s="20">
        <f>(SEGUIMIENTO_TPM_xlsx[[#This Row],[HORA REPORTE]]+SEGUIMIENTO_TPM_xlsx[[#This Row],[FECHA DE REPORTE]])</f>
        <v>0</v>
      </c>
      <c r="S1121" s="20">
        <f>(SEGUIMIENTO_TPM_xlsx[[#This Row],[FECHA DE INTERVENCÓN]]+SEGUIMIENTO_TPM_xlsx[[#This Row],[HORA FIN  INTERVENCIÓN]])</f>
        <v>0</v>
      </c>
      <c r="T1121" s="11">
        <f>(SEGUIMIENTO_TPM_xlsx[[#This Row],[FECHA Y HORA FINAL]]-SEGUIMIENTO_TPM_xlsx[[#This Row],[FECHA Y HORA INICIO]])</f>
        <v>0</v>
      </c>
    </row>
    <row r="1122" spans="1:20" x14ac:dyDescent="0.25">
      <c r="A1122">
        <v>1130</v>
      </c>
      <c r="B1122" t="s">
        <v>526</v>
      </c>
      <c r="C1122" s="1">
        <v>0.54166666666666663</v>
      </c>
      <c r="D1122" s="2">
        <v>46130</v>
      </c>
      <c r="E1122" t="s">
        <v>188</v>
      </c>
      <c r="F1122" t="s">
        <v>18</v>
      </c>
      <c r="G1122" t="s">
        <v>1971</v>
      </c>
      <c r="H1122" s="1">
        <v>0.54166666666666663</v>
      </c>
      <c r="I1122" s="1">
        <v>0.55555555555555558</v>
      </c>
      <c r="J1122" s="2">
        <v>46130</v>
      </c>
      <c r="K1122" t="s">
        <v>20</v>
      </c>
      <c r="L1122" t="s">
        <v>1972</v>
      </c>
      <c r="M1122" t="s">
        <v>22</v>
      </c>
      <c r="N1122" t="s">
        <v>22</v>
      </c>
      <c r="O1122" t="s">
        <v>112</v>
      </c>
      <c r="P1122" t="s">
        <v>23</v>
      </c>
      <c r="Q1122" s="1">
        <f>SEGUIMIENTO_TPM_xlsx[[#This Row],[HORA FIN  INTERVENCIÓN]]-SEGUIMIENTO_TPM_xlsx[[#This Row],[HORA INICIO INTERVENCIÓN]]</f>
        <v>1.3888888888888951E-2</v>
      </c>
      <c r="R1122" s="20">
        <f>(SEGUIMIENTO_TPM_xlsx[[#This Row],[HORA REPORTE]]+SEGUIMIENTO_TPM_xlsx[[#This Row],[FECHA DE REPORTE]])</f>
        <v>46130.541666666664</v>
      </c>
      <c r="S1122" s="20">
        <f>(SEGUIMIENTO_TPM_xlsx[[#This Row],[FECHA DE INTERVENCÓN]]+SEGUIMIENTO_TPM_xlsx[[#This Row],[HORA FIN  INTERVENCIÓN]])</f>
        <v>46130.555555555555</v>
      </c>
      <c r="T1122" s="11">
        <f>(SEGUIMIENTO_TPM_xlsx[[#This Row],[FECHA Y HORA FINAL]]-SEGUIMIENTO_TPM_xlsx[[#This Row],[FECHA Y HORA INICIO]])</f>
        <v>1.3888888890505768E-2</v>
      </c>
    </row>
    <row r="1123" spans="1:20" x14ac:dyDescent="0.25">
      <c r="A1123">
        <v>1131</v>
      </c>
      <c r="B1123" t="s">
        <v>526</v>
      </c>
      <c r="C1123" s="1">
        <v>0.66666666666666663</v>
      </c>
      <c r="D1123" s="2">
        <v>46130</v>
      </c>
      <c r="E1123" t="s">
        <v>188</v>
      </c>
      <c r="F1123" t="s">
        <v>18</v>
      </c>
      <c r="G1123" t="s">
        <v>1973</v>
      </c>
      <c r="H1123" s="1">
        <v>0.66666666666666663</v>
      </c>
      <c r="I1123" s="1">
        <v>0.70833333333333337</v>
      </c>
      <c r="J1123" s="2">
        <v>46130</v>
      </c>
      <c r="K1123" t="s">
        <v>25</v>
      </c>
      <c r="L1123" t="s">
        <v>1974</v>
      </c>
      <c r="M1123" t="s">
        <v>22</v>
      </c>
      <c r="N1123" t="s">
        <v>22</v>
      </c>
      <c r="O1123" t="s">
        <v>112</v>
      </c>
      <c r="P1123" t="s">
        <v>23</v>
      </c>
      <c r="Q1123" s="1">
        <f>SEGUIMIENTO_TPM_xlsx[[#This Row],[HORA FIN  INTERVENCIÓN]]-SEGUIMIENTO_TPM_xlsx[[#This Row],[HORA INICIO INTERVENCIÓN]]</f>
        <v>4.1666666666666741E-2</v>
      </c>
      <c r="R1123" s="20">
        <f>(SEGUIMIENTO_TPM_xlsx[[#This Row],[HORA REPORTE]]+SEGUIMIENTO_TPM_xlsx[[#This Row],[FECHA DE REPORTE]])</f>
        <v>46130.666666666664</v>
      </c>
      <c r="S1123" s="20">
        <f>(SEGUIMIENTO_TPM_xlsx[[#This Row],[FECHA DE INTERVENCÓN]]+SEGUIMIENTO_TPM_xlsx[[#This Row],[HORA FIN  INTERVENCIÓN]])</f>
        <v>46130.708333333336</v>
      </c>
      <c r="T1123" s="11">
        <f>(SEGUIMIENTO_TPM_xlsx[[#This Row],[FECHA Y HORA FINAL]]-SEGUIMIENTO_TPM_xlsx[[#This Row],[FECHA Y HORA INICIO]])</f>
        <v>4.1666666671517305E-2</v>
      </c>
    </row>
    <row r="1124" spans="1:20" x14ac:dyDescent="0.25">
      <c r="A1124">
        <v>1132</v>
      </c>
      <c r="B1124" t="s">
        <v>199</v>
      </c>
      <c r="C1124" s="1">
        <v>0.4375</v>
      </c>
      <c r="D1124" s="2">
        <v>46132</v>
      </c>
      <c r="E1124" t="s">
        <v>91</v>
      </c>
      <c r="F1124" t="s">
        <v>18</v>
      </c>
      <c r="G1124" t="s">
        <v>1975</v>
      </c>
      <c r="H1124" s="1">
        <v>0.4375</v>
      </c>
      <c r="I1124" s="1">
        <v>0.47222222222222221</v>
      </c>
      <c r="J1124" s="2">
        <v>46132</v>
      </c>
      <c r="K1124" t="s">
        <v>20</v>
      </c>
      <c r="L1124" t="s">
        <v>1976</v>
      </c>
      <c r="M1124" t="s">
        <v>22</v>
      </c>
      <c r="N1124" t="s">
        <v>22</v>
      </c>
      <c r="O1124" t="s">
        <v>108</v>
      </c>
      <c r="P1124" t="s">
        <v>23</v>
      </c>
      <c r="Q1124" s="1">
        <f>SEGUIMIENTO_TPM_xlsx[[#This Row],[HORA FIN  INTERVENCIÓN]]-SEGUIMIENTO_TPM_xlsx[[#This Row],[HORA INICIO INTERVENCIÓN]]</f>
        <v>3.472222222222221E-2</v>
      </c>
      <c r="R1124" s="20">
        <f>(SEGUIMIENTO_TPM_xlsx[[#This Row],[HORA REPORTE]]+SEGUIMIENTO_TPM_xlsx[[#This Row],[FECHA DE REPORTE]])</f>
        <v>46132.4375</v>
      </c>
      <c r="S1124" s="20">
        <f>(SEGUIMIENTO_TPM_xlsx[[#This Row],[FECHA DE INTERVENCÓN]]+SEGUIMIENTO_TPM_xlsx[[#This Row],[HORA FIN  INTERVENCIÓN]])</f>
        <v>46132.472222222219</v>
      </c>
      <c r="T1124" s="11">
        <f>(SEGUIMIENTO_TPM_xlsx[[#This Row],[FECHA Y HORA FINAL]]-SEGUIMIENTO_TPM_xlsx[[#This Row],[FECHA Y HORA INICIO]])</f>
        <v>3.4722222218988463E-2</v>
      </c>
    </row>
    <row r="1125" spans="1:20" x14ac:dyDescent="0.25">
      <c r="A1125">
        <v>1133</v>
      </c>
      <c r="B1125" t="s">
        <v>341</v>
      </c>
      <c r="C1125" s="1">
        <v>0.5</v>
      </c>
      <c r="D1125" s="2">
        <v>46132</v>
      </c>
      <c r="E1125" t="s">
        <v>143</v>
      </c>
      <c r="F1125" t="s">
        <v>18</v>
      </c>
      <c r="G1125" t="s">
        <v>1977</v>
      </c>
      <c r="H1125" s="1">
        <v>0.5</v>
      </c>
      <c r="I1125" s="1">
        <v>0.58333333333333337</v>
      </c>
      <c r="J1125" s="2">
        <v>46132</v>
      </c>
      <c r="K1125" t="s">
        <v>20</v>
      </c>
      <c r="L1125" t="s">
        <v>1978</v>
      </c>
      <c r="M1125" t="s">
        <v>1979</v>
      </c>
      <c r="N1125" t="s">
        <v>22</v>
      </c>
      <c r="O1125" t="s">
        <v>108</v>
      </c>
      <c r="P1125" t="s">
        <v>23</v>
      </c>
      <c r="Q1125" s="1">
        <f>SEGUIMIENTO_TPM_xlsx[[#This Row],[HORA FIN  INTERVENCIÓN]]-SEGUIMIENTO_TPM_xlsx[[#This Row],[HORA INICIO INTERVENCIÓN]]</f>
        <v>8.333333333333337E-2</v>
      </c>
      <c r="R1125" s="20">
        <f>(SEGUIMIENTO_TPM_xlsx[[#This Row],[HORA REPORTE]]+SEGUIMIENTO_TPM_xlsx[[#This Row],[FECHA DE REPORTE]])</f>
        <v>46132.5</v>
      </c>
      <c r="S1125" s="20">
        <f>(SEGUIMIENTO_TPM_xlsx[[#This Row],[FECHA DE INTERVENCÓN]]+SEGUIMIENTO_TPM_xlsx[[#This Row],[HORA FIN  INTERVENCIÓN]])</f>
        <v>46132.583333333336</v>
      </c>
      <c r="T1125" s="11">
        <f>(SEGUIMIENTO_TPM_xlsx[[#This Row],[FECHA Y HORA FINAL]]-SEGUIMIENTO_TPM_xlsx[[#This Row],[FECHA Y HORA INICIO]])</f>
        <v>8.3333333335758653E-2</v>
      </c>
    </row>
    <row r="1126" spans="1:20" x14ac:dyDescent="0.25">
      <c r="A1126">
        <v>1134</v>
      </c>
      <c r="C1126" s="1"/>
      <c r="D1126" s="2"/>
      <c r="H1126" s="1"/>
      <c r="I1126" s="1"/>
      <c r="J1126" s="2"/>
      <c r="Q1126" s="1">
        <f>SEGUIMIENTO_TPM_xlsx[[#This Row],[HORA FIN  INTERVENCIÓN]]-SEGUIMIENTO_TPM_xlsx[[#This Row],[HORA INICIO INTERVENCIÓN]]</f>
        <v>0</v>
      </c>
      <c r="R1126" s="20">
        <f>(SEGUIMIENTO_TPM_xlsx[[#This Row],[HORA REPORTE]]+SEGUIMIENTO_TPM_xlsx[[#This Row],[FECHA DE REPORTE]])</f>
        <v>0</v>
      </c>
      <c r="S1126" s="20">
        <f>(SEGUIMIENTO_TPM_xlsx[[#This Row],[FECHA DE INTERVENCÓN]]+SEGUIMIENTO_TPM_xlsx[[#This Row],[HORA FIN  INTERVENCIÓN]])</f>
        <v>0</v>
      </c>
      <c r="T1126" s="11">
        <f>(SEGUIMIENTO_TPM_xlsx[[#This Row],[FECHA Y HORA FINAL]]-SEGUIMIENTO_TPM_xlsx[[#This Row],[FECHA Y HORA INICIO]])</f>
        <v>0</v>
      </c>
    </row>
    <row r="1127" spans="1:20" x14ac:dyDescent="0.25">
      <c r="A1127">
        <v>1135</v>
      </c>
      <c r="B1127" t="s">
        <v>603</v>
      </c>
      <c r="C1127" s="1">
        <v>5.9027777777777776E-2</v>
      </c>
      <c r="D1127" s="2">
        <v>46141</v>
      </c>
      <c r="E1127" t="s">
        <v>185</v>
      </c>
      <c r="F1127" t="s">
        <v>18</v>
      </c>
      <c r="G1127" t="s">
        <v>2047</v>
      </c>
      <c r="H1127" s="1">
        <v>5.9027777777777776E-2</v>
      </c>
      <c r="I1127" s="1">
        <v>0.11458333333333333</v>
      </c>
      <c r="J1127" s="2">
        <v>46141</v>
      </c>
      <c r="K1127" t="s">
        <v>20</v>
      </c>
      <c r="L1127" t="s">
        <v>2048</v>
      </c>
      <c r="M1127" t="s">
        <v>22</v>
      </c>
      <c r="N1127" t="s">
        <v>22</v>
      </c>
      <c r="O1127" t="s">
        <v>108</v>
      </c>
      <c r="P1127" t="s">
        <v>23</v>
      </c>
      <c r="Q1127" s="1">
        <f>SEGUIMIENTO_TPM_xlsx[[#This Row],[HORA FIN  INTERVENCIÓN]]-SEGUIMIENTO_TPM_xlsx[[#This Row],[HORA INICIO INTERVENCIÓN]]</f>
        <v>5.5555555555555552E-2</v>
      </c>
      <c r="R1127" s="20">
        <f>(SEGUIMIENTO_TPM_xlsx[[#This Row],[HORA REPORTE]]+SEGUIMIENTO_TPM_xlsx[[#This Row],[FECHA DE REPORTE]])</f>
        <v>46141.059027777781</v>
      </c>
      <c r="S1127" s="20">
        <f>(SEGUIMIENTO_TPM_xlsx[[#This Row],[FECHA DE INTERVENCÓN]]+SEGUIMIENTO_TPM_xlsx[[#This Row],[HORA FIN  INTERVENCIÓN]])</f>
        <v>46141.114583333336</v>
      </c>
      <c r="T1127" s="11">
        <f>(SEGUIMIENTO_TPM_xlsx[[#This Row],[FECHA Y HORA FINAL]]-SEGUIMIENTO_TPM_xlsx[[#This Row],[FECHA Y HORA INICIO]])</f>
        <v>5.5555555554747116E-2</v>
      </c>
    </row>
    <row r="1128" spans="1:20" x14ac:dyDescent="0.25">
      <c r="A1128">
        <v>1136</v>
      </c>
      <c r="B1128" t="s">
        <v>199</v>
      </c>
      <c r="C1128" s="1">
        <v>0.74305555555555558</v>
      </c>
      <c r="D1128" s="2">
        <v>46132</v>
      </c>
      <c r="E1128" t="s">
        <v>188</v>
      </c>
      <c r="F1128" t="s">
        <v>18</v>
      </c>
      <c r="G1128" t="s">
        <v>1980</v>
      </c>
      <c r="H1128" s="1">
        <v>0.75694444444444442</v>
      </c>
      <c r="I1128" s="1">
        <v>0.79166666666666663</v>
      </c>
      <c r="J1128" s="2">
        <v>46132</v>
      </c>
      <c r="K1128" t="s">
        <v>20</v>
      </c>
      <c r="L1128" t="s">
        <v>1981</v>
      </c>
      <c r="M1128" t="s">
        <v>1982</v>
      </c>
      <c r="N1128" t="s">
        <v>22</v>
      </c>
      <c r="O1128" t="s">
        <v>112</v>
      </c>
      <c r="P1128" t="s">
        <v>23</v>
      </c>
      <c r="Q1128" s="1">
        <f>SEGUIMIENTO_TPM_xlsx[[#This Row],[HORA FIN  INTERVENCIÓN]]-SEGUIMIENTO_TPM_xlsx[[#This Row],[HORA INICIO INTERVENCIÓN]]</f>
        <v>3.472222222222221E-2</v>
      </c>
      <c r="R1128" s="20">
        <f>(SEGUIMIENTO_TPM_xlsx[[#This Row],[HORA REPORTE]]+SEGUIMIENTO_TPM_xlsx[[#This Row],[FECHA DE REPORTE]])</f>
        <v>46132.743055555555</v>
      </c>
      <c r="S1128" s="20">
        <f>(SEGUIMIENTO_TPM_xlsx[[#This Row],[FECHA DE INTERVENCÓN]]+SEGUIMIENTO_TPM_xlsx[[#This Row],[HORA FIN  INTERVENCIÓN]])</f>
        <v>46132.791666666664</v>
      </c>
      <c r="T1128" s="11">
        <f>(SEGUIMIENTO_TPM_xlsx[[#This Row],[FECHA Y HORA FINAL]]-SEGUIMIENTO_TPM_xlsx[[#This Row],[FECHA Y HORA INICIO]])</f>
        <v>4.8611111109494232E-2</v>
      </c>
    </row>
    <row r="1129" spans="1:20" x14ac:dyDescent="0.25">
      <c r="A1129">
        <v>1137</v>
      </c>
      <c r="C1129" s="1"/>
      <c r="D1129" s="2"/>
      <c r="H1129" s="1"/>
      <c r="I1129" s="1"/>
      <c r="J1129" s="2"/>
      <c r="Q1129" s="1">
        <f>SEGUIMIENTO_TPM_xlsx[[#This Row],[HORA FIN  INTERVENCIÓN]]-SEGUIMIENTO_TPM_xlsx[[#This Row],[HORA INICIO INTERVENCIÓN]]</f>
        <v>0</v>
      </c>
      <c r="R1129" s="20">
        <f>(SEGUIMIENTO_TPM_xlsx[[#This Row],[HORA REPORTE]]+SEGUIMIENTO_TPM_xlsx[[#This Row],[FECHA DE REPORTE]])</f>
        <v>0</v>
      </c>
      <c r="S1129" s="20">
        <f>(SEGUIMIENTO_TPM_xlsx[[#This Row],[FECHA DE INTERVENCÓN]]+SEGUIMIENTO_TPM_xlsx[[#This Row],[HORA FIN  INTERVENCIÓN]])</f>
        <v>0</v>
      </c>
      <c r="T1129" s="11">
        <f>(SEGUIMIENTO_TPM_xlsx[[#This Row],[FECHA Y HORA FINAL]]-SEGUIMIENTO_TPM_xlsx[[#This Row],[FECHA Y HORA INICIO]])</f>
        <v>0</v>
      </c>
    </row>
    <row r="1130" spans="1:20" x14ac:dyDescent="0.25">
      <c r="A1130">
        <v>1138</v>
      </c>
      <c r="B1130" t="s">
        <v>1515</v>
      </c>
      <c r="C1130" s="1">
        <v>5.2083333333333336E-2</v>
      </c>
      <c r="D1130" s="2">
        <v>46133</v>
      </c>
      <c r="E1130" t="s">
        <v>143</v>
      </c>
      <c r="F1130" t="s">
        <v>18</v>
      </c>
      <c r="G1130" t="s">
        <v>1983</v>
      </c>
      <c r="H1130" s="1">
        <v>0.43055555555555558</v>
      </c>
      <c r="I1130" s="1">
        <v>0.125</v>
      </c>
      <c r="J1130" s="2">
        <v>46134</v>
      </c>
      <c r="K1130" t="s">
        <v>20</v>
      </c>
      <c r="L1130" t="s">
        <v>1984</v>
      </c>
      <c r="M1130" t="s">
        <v>1985</v>
      </c>
      <c r="N1130" t="s">
        <v>22</v>
      </c>
      <c r="O1130" t="s">
        <v>112</v>
      </c>
      <c r="P1130" t="s">
        <v>23</v>
      </c>
      <c r="Q1130" s="1">
        <f>SEGUIMIENTO_TPM_xlsx[[#This Row],[HORA FIN  INTERVENCIÓN]]-SEGUIMIENTO_TPM_xlsx[[#This Row],[HORA INICIO INTERVENCIÓN]]</f>
        <v>-0.30555555555555558</v>
      </c>
      <c r="R1130" s="20">
        <f>(SEGUIMIENTO_TPM_xlsx[[#This Row],[HORA REPORTE]]+SEGUIMIENTO_TPM_xlsx[[#This Row],[FECHA DE REPORTE]])</f>
        <v>46133.052083333336</v>
      </c>
      <c r="S1130" s="20">
        <f>(SEGUIMIENTO_TPM_xlsx[[#This Row],[FECHA DE INTERVENCÓN]]+SEGUIMIENTO_TPM_xlsx[[#This Row],[HORA FIN  INTERVENCIÓN]])</f>
        <v>46134.125</v>
      </c>
      <c r="T1130" s="11">
        <f>(SEGUIMIENTO_TPM_xlsx[[#This Row],[FECHA Y HORA FINAL]]-SEGUIMIENTO_TPM_xlsx[[#This Row],[FECHA Y HORA INICIO]])</f>
        <v>1.0729166666642413</v>
      </c>
    </row>
    <row r="1131" spans="1:20" x14ac:dyDescent="0.25">
      <c r="A1131">
        <v>1139</v>
      </c>
      <c r="B1131" t="s">
        <v>176</v>
      </c>
      <c r="C1131" s="1">
        <v>0.57291666666666663</v>
      </c>
      <c r="D1131" s="2">
        <v>46133</v>
      </c>
      <c r="E1131" t="s">
        <v>185</v>
      </c>
      <c r="F1131" t="s">
        <v>18</v>
      </c>
      <c r="G1131" t="s">
        <v>1986</v>
      </c>
      <c r="H1131" s="1">
        <v>0.57291666666666663</v>
      </c>
      <c r="I1131" s="1">
        <v>0.75</v>
      </c>
      <c r="J1131" s="2">
        <v>46133</v>
      </c>
      <c r="K1131" t="s">
        <v>48</v>
      </c>
      <c r="L1131" t="s">
        <v>1987</v>
      </c>
      <c r="M1131" t="s">
        <v>22</v>
      </c>
      <c r="N1131" t="s">
        <v>22</v>
      </c>
      <c r="O1131" t="s">
        <v>108</v>
      </c>
      <c r="P1131" t="s">
        <v>23</v>
      </c>
      <c r="Q1131" s="1">
        <f>SEGUIMIENTO_TPM_xlsx[[#This Row],[HORA FIN  INTERVENCIÓN]]-SEGUIMIENTO_TPM_xlsx[[#This Row],[HORA INICIO INTERVENCIÓN]]</f>
        <v>0.17708333333333337</v>
      </c>
      <c r="R1131" s="20">
        <f>(SEGUIMIENTO_TPM_xlsx[[#This Row],[HORA REPORTE]]+SEGUIMIENTO_TPM_xlsx[[#This Row],[FECHA DE REPORTE]])</f>
        <v>46133.572916666664</v>
      </c>
      <c r="S1131" s="20">
        <f>(SEGUIMIENTO_TPM_xlsx[[#This Row],[FECHA DE INTERVENCÓN]]+SEGUIMIENTO_TPM_xlsx[[#This Row],[HORA FIN  INTERVENCIÓN]])</f>
        <v>46133.75</v>
      </c>
      <c r="T1131" s="11">
        <f>(SEGUIMIENTO_TPM_xlsx[[#This Row],[FECHA Y HORA FINAL]]-SEGUIMIENTO_TPM_xlsx[[#This Row],[FECHA Y HORA INICIO]])</f>
        <v>0.17708333333575865</v>
      </c>
    </row>
    <row r="1132" spans="1:20" x14ac:dyDescent="0.25">
      <c r="A1132">
        <v>1140</v>
      </c>
      <c r="C1132" s="1"/>
      <c r="D1132" s="2"/>
      <c r="H1132" s="1"/>
      <c r="I1132" s="1"/>
      <c r="J1132" s="2"/>
      <c r="Q1132" s="1">
        <f>SEGUIMIENTO_TPM_xlsx[[#This Row],[HORA FIN  INTERVENCIÓN]]-SEGUIMIENTO_TPM_xlsx[[#This Row],[HORA INICIO INTERVENCIÓN]]</f>
        <v>0</v>
      </c>
      <c r="R1132" s="20">
        <f>(SEGUIMIENTO_TPM_xlsx[[#This Row],[HORA REPORTE]]+SEGUIMIENTO_TPM_xlsx[[#This Row],[FECHA DE REPORTE]])</f>
        <v>0</v>
      </c>
      <c r="S1132" s="20">
        <f>(SEGUIMIENTO_TPM_xlsx[[#This Row],[FECHA DE INTERVENCÓN]]+SEGUIMIENTO_TPM_xlsx[[#This Row],[HORA FIN  INTERVENCIÓN]])</f>
        <v>0</v>
      </c>
      <c r="T1132" s="11">
        <f>(SEGUIMIENTO_TPM_xlsx[[#This Row],[FECHA Y HORA FINAL]]-SEGUIMIENTO_TPM_xlsx[[#This Row],[FECHA Y HORA INICIO]])</f>
        <v>0</v>
      </c>
    </row>
    <row r="1133" spans="1:20" x14ac:dyDescent="0.25">
      <c r="A1133">
        <v>1141</v>
      </c>
      <c r="B1133" t="s">
        <v>103</v>
      </c>
      <c r="C1133" s="1">
        <v>0.33333333333333331</v>
      </c>
      <c r="D1133" s="2">
        <v>46134</v>
      </c>
      <c r="E1133" t="s">
        <v>147</v>
      </c>
      <c r="F1133" t="s">
        <v>18</v>
      </c>
      <c r="G1133" t="s">
        <v>2013</v>
      </c>
      <c r="H1133" s="1">
        <v>0.33333333333333331</v>
      </c>
      <c r="I1133" s="1"/>
      <c r="J1133" s="2">
        <v>46134</v>
      </c>
      <c r="K1133" t="s">
        <v>25</v>
      </c>
      <c r="L1133" t="s">
        <v>2014</v>
      </c>
      <c r="M1133" t="s">
        <v>1389</v>
      </c>
      <c r="N1133" t="s">
        <v>22</v>
      </c>
      <c r="O1133" t="s">
        <v>108</v>
      </c>
      <c r="P1133" t="s">
        <v>23</v>
      </c>
      <c r="Q1133" s="1">
        <f>SEGUIMIENTO_TPM_xlsx[[#This Row],[HORA FIN  INTERVENCIÓN]]-SEGUIMIENTO_TPM_xlsx[[#This Row],[HORA INICIO INTERVENCIÓN]]</f>
        <v>-0.33333333333333331</v>
      </c>
      <c r="R1133" s="20">
        <f>(SEGUIMIENTO_TPM_xlsx[[#This Row],[HORA REPORTE]]+SEGUIMIENTO_TPM_xlsx[[#This Row],[FECHA DE REPORTE]])</f>
        <v>46134.333333333336</v>
      </c>
      <c r="S1133" s="20">
        <f>(SEGUIMIENTO_TPM_xlsx[[#This Row],[FECHA DE INTERVENCÓN]]+SEGUIMIENTO_TPM_xlsx[[#This Row],[HORA FIN  INTERVENCIÓN]])</f>
        <v>46134</v>
      </c>
      <c r="T1133" s="11">
        <f>(SEGUIMIENTO_TPM_xlsx[[#This Row],[FECHA Y HORA FINAL]]-SEGUIMIENTO_TPM_xlsx[[#This Row],[FECHA Y HORA INICIO]])</f>
        <v>-0.33333333333575865</v>
      </c>
    </row>
    <row r="1134" spans="1:20" x14ac:dyDescent="0.25">
      <c r="A1134">
        <v>1142</v>
      </c>
      <c r="B1134" t="s">
        <v>103</v>
      </c>
      <c r="C1134" s="1">
        <v>0.5</v>
      </c>
      <c r="D1134" s="2">
        <v>46135</v>
      </c>
      <c r="E1134" t="s">
        <v>104</v>
      </c>
      <c r="F1134" t="s">
        <v>18</v>
      </c>
      <c r="G1134" t="s">
        <v>1988</v>
      </c>
      <c r="H1134" s="1"/>
      <c r="I1134" s="1"/>
      <c r="J1134" s="2"/>
      <c r="P1134" t="s">
        <v>1989</v>
      </c>
      <c r="Q1134" s="1">
        <f>SEGUIMIENTO_TPM_xlsx[[#This Row],[HORA FIN  INTERVENCIÓN]]-SEGUIMIENTO_TPM_xlsx[[#This Row],[HORA INICIO INTERVENCIÓN]]</f>
        <v>0</v>
      </c>
      <c r="R1134" s="20">
        <f>(SEGUIMIENTO_TPM_xlsx[[#This Row],[HORA REPORTE]]+SEGUIMIENTO_TPM_xlsx[[#This Row],[FECHA DE REPORTE]])</f>
        <v>46135.5</v>
      </c>
      <c r="S1134" s="20">
        <f>(SEGUIMIENTO_TPM_xlsx[[#This Row],[FECHA DE INTERVENCÓN]]+SEGUIMIENTO_TPM_xlsx[[#This Row],[HORA FIN  INTERVENCIÓN]])</f>
        <v>0</v>
      </c>
      <c r="T1134" s="11">
        <f>(SEGUIMIENTO_TPM_xlsx[[#This Row],[FECHA Y HORA FINAL]]-SEGUIMIENTO_TPM_xlsx[[#This Row],[FECHA Y HORA INICIO]])</f>
        <v>-46135.5</v>
      </c>
    </row>
    <row r="1135" spans="1:20" x14ac:dyDescent="0.25">
      <c r="A1135">
        <v>1143</v>
      </c>
      <c r="B1135" t="s">
        <v>164</v>
      </c>
      <c r="C1135" s="1">
        <v>0.60972222222222228</v>
      </c>
      <c r="D1135" s="2">
        <v>46134</v>
      </c>
      <c r="E1135" t="s">
        <v>143</v>
      </c>
      <c r="F1135" t="s">
        <v>18</v>
      </c>
      <c r="G1135" t="s">
        <v>1990</v>
      </c>
      <c r="H1135" s="1">
        <v>0.60972222222222228</v>
      </c>
      <c r="I1135" s="1">
        <v>0.63888888888888884</v>
      </c>
      <c r="J1135" s="2">
        <v>46134</v>
      </c>
      <c r="K1135" t="s">
        <v>25</v>
      </c>
      <c r="L1135" t="s">
        <v>1991</v>
      </c>
      <c r="M1135" t="s">
        <v>1992</v>
      </c>
      <c r="N1135" t="s">
        <v>22</v>
      </c>
      <c r="O1135" t="s">
        <v>108</v>
      </c>
      <c r="P1135" t="s">
        <v>23</v>
      </c>
      <c r="Q1135" s="1">
        <f>SEGUIMIENTO_TPM_xlsx[[#This Row],[HORA FIN  INTERVENCIÓN]]-SEGUIMIENTO_TPM_xlsx[[#This Row],[HORA INICIO INTERVENCIÓN]]</f>
        <v>2.9166666666666563E-2</v>
      </c>
      <c r="R1135" s="20">
        <f>(SEGUIMIENTO_TPM_xlsx[[#This Row],[HORA REPORTE]]+SEGUIMIENTO_TPM_xlsx[[#This Row],[FECHA DE REPORTE]])</f>
        <v>46134.609722222223</v>
      </c>
      <c r="S1135" s="20">
        <f>(SEGUIMIENTO_TPM_xlsx[[#This Row],[FECHA DE INTERVENCÓN]]+SEGUIMIENTO_TPM_xlsx[[#This Row],[HORA FIN  INTERVENCIÓN]])</f>
        <v>46134.638888888891</v>
      </c>
      <c r="T1135" s="11">
        <f>(SEGUIMIENTO_TPM_xlsx[[#This Row],[FECHA Y HORA FINAL]]-SEGUIMIENTO_TPM_xlsx[[#This Row],[FECHA Y HORA INICIO]])</f>
        <v>2.9166666667151731E-2</v>
      </c>
    </row>
    <row r="1136" spans="1:20" x14ac:dyDescent="0.25">
      <c r="A1136">
        <v>1144</v>
      </c>
      <c r="B1136" t="s">
        <v>164</v>
      </c>
      <c r="C1136" s="1">
        <v>0.25</v>
      </c>
      <c r="D1136" s="2">
        <v>46135</v>
      </c>
      <c r="E1136" t="s">
        <v>143</v>
      </c>
      <c r="F1136" t="s">
        <v>18</v>
      </c>
      <c r="G1136" t="s">
        <v>2015</v>
      </c>
      <c r="H1136" s="1">
        <v>0.25</v>
      </c>
      <c r="I1136" s="1">
        <v>0.28125</v>
      </c>
      <c r="J1136" s="2">
        <v>46135</v>
      </c>
      <c r="K1136" t="s">
        <v>20</v>
      </c>
      <c r="L1136" t="s">
        <v>2016</v>
      </c>
      <c r="M1136" t="s">
        <v>22</v>
      </c>
      <c r="N1136" t="s">
        <v>22</v>
      </c>
      <c r="O1136" t="s">
        <v>108</v>
      </c>
      <c r="P1136" t="s">
        <v>23</v>
      </c>
      <c r="Q1136" s="1">
        <f>SEGUIMIENTO_TPM_xlsx[[#This Row],[HORA FIN  INTERVENCIÓN]]-SEGUIMIENTO_TPM_xlsx[[#This Row],[HORA INICIO INTERVENCIÓN]]</f>
        <v>3.125E-2</v>
      </c>
      <c r="R1136" s="20">
        <f>(SEGUIMIENTO_TPM_xlsx[[#This Row],[HORA REPORTE]]+SEGUIMIENTO_TPM_xlsx[[#This Row],[FECHA DE REPORTE]])</f>
        <v>46135.25</v>
      </c>
      <c r="S1136" s="20">
        <f>(SEGUIMIENTO_TPM_xlsx[[#This Row],[FECHA DE INTERVENCÓN]]+SEGUIMIENTO_TPM_xlsx[[#This Row],[HORA FIN  INTERVENCIÓN]])</f>
        <v>46135.28125</v>
      </c>
      <c r="T1136" s="11">
        <f>(SEGUIMIENTO_TPM_xlsx[[#This Row],[FECHA Y HORA FINAL]]-SEGUIMIENTO_TPM_xlsx[[#This Row],[FECHA Y HORA INICIO]])</f>
        <v>3.125E-2</v>
      </c>
    </row>
    <row r="1137" spans="1:20" x14ac:dyDescent="0.25">
      <c r="A1137">
        <v>1145</v>
      </c>
      <c r="B1137" t="s">
        <v>206</v>
      </c>
      <c r="C1137" s="1">
        <v>0.125</v>
      </c>
      <c r="D1137" s="2">
        <v>46135</v>
      </c>
      <c r="E1137" t="s">
        <v>116</v>
      </c>
      <c r="F1137" t="s">
        <v>18</v>
      </c>
      <c r="G1137" t="s">
        <v>1993</v>
      </c>
      <c r="H1137" s="1">
        <v>0.125</v>
      </c>
      <c r="I1137" s="1">
        <v>0.16666666666666666</v>
      </c>
      <c r="J1137" s="2">
        <v>46135</v>
      </c>
      <c r="K1137" t="s">
        <v>20</v>
      </c>
      <c r="L1137" t="s">
        <v>1994</v>
      </c>
      <c r="M1137" t="s">
        <v>1995</v>
      </c>
      <c r="N1137" t="s">
        <v>22</v>
      </c>
      <c r="O1137" t="s">
        <v>112</v>
      </c>
      <c r="P1137" t="s">
        <v>23</v>
      </c>
      <c r="Q1137" s="1">
        <f>SEGUIMIENTO_TPM_xlsx[[#This Row],[HORA FIN  INTERVENCIÓN]]-SEGUIMIENTO_TPM_xlsx[[#This Row],[HORA INICIO INTERVENCIÓN]]</f>
        <v>4.1666666666666657E-2</v>
      </c>
      <c r="R1137" s="20">
        <f>(SEGUIMIENTO_TPM_xlsx[[#This Row],[HORA REPORTE]]+SEGUIMIENTO_TPM_xlsx[[#This Row],[FECHA DE REPORTE]])</f>
        <v>46135.125</v>
      </c>
      <c r="S1137" s="20">
        <f>(SEGUIMIENTO_TPM_xlsx[[#This Row],[FECHA DE INTERVENCÓN]]+SEGUIMIENTO_TPM_xlsx[[#This Row],[HORA FIN  INTERVENCIÓN]])</f>
        <v>46135.166666666664</v>
      </c>
      <c r="T1137" s="11">
        <f>(SEGUIMIENTO_TPM_xlsx[[#This Row],[FECHA Y HORA FINAL]]-SEGUIMIENTO_TPM_xlsx[[#This Row],[FECHA Y HORA INICIO]])</f>
        <v>4.1666666664241347E-2</v>
      </c>
    </row>
    <row r="1138" spans="1:20" x14ac:dyDescent="0.25">
      <c r="A1138">
        <v>1146</v>
      </c>
      <c r="C1138" s="1"/>
      <c r="D1138" s="2"/>
      <c r="H1138" s="1"/>
      <c r="I1138" s="1"/>
      <c r="J1138" s="2"/>
      <c r="Q1138" s="1">
        <f>SEGUIMIENTO_TPM_xlsx[[#This Row],[HORA FIN  INTERVENCIÓN]]-SEGUIMIENTO_TPM_xlsx[[#This Row],[HORA INICIO INTERVENCIÓN]]</f>
        <v>0</v>
      </c>
      <c r="R1138" s="20">
        <f>(SEGUIMIENTO_TPM_xlsx[[#This Row],[HORA REPORTE]]+SEGUIMIENTO_TPM_xlsx[[#This Row],[FECHA DE REPORTE]])</f>
        <v>0</v>
      </c>
      <c r="S1138" s="20">
        <f>(SEGUIMIENTO_TPM_xlsx[[#This Row],[FECHA DE INTERVENCÓN]]+SEGUIMIENTO_TPM_xlsx[[#This Row],[HORA FIN  INTERVENCIÓN]])</f>
        <v>0</v>
      </c>
      <c r="T1138" s="11">
        <f>(SEGUIMIENTO_TPM_xlsx[[#This Row],[FECHA Y HORA FINAL]]-SEGUIMIENTO_TPM_xlsx[[#This Row],[FECHA Y HORA INICIO]])</f>
        <v>0</v>
      </c>
    </row>
    <row r="1139" spans="1:20" x14ac:dyDescent="0.25">
      <c r="A1139">
        <v>1147</v>
      </c>
      <c r="C1139" s="1"/>
      <c r="D1139" s="2"/>
      <c r="H1139" s="1"/>
      <c r="I1139" s="1"/>
      <c r="J1139" s="2"/>
      <c r="Q1139" s="1">
        <f>SEGUIMIENTO_TPM_xlsx[[#This Row],[HORA FIN  INTERVENCIÓN]]-SEGUIMIENTO_TPM_xlsx[[#This Row],[HORA INICIO INTERVENCIÓN]]</f>
        <v>0</v>
      </c>
      <c r="R1139" s="20">
        <f>(SEGUIMIENTO_TPM_xlsx[[#This Row],[HORA REPORTE]]+SEGUIMIENTO_TPM_xlsx[[#This Row],[FECHA DE REPORTE]])</f>
        <v>0</v>
      </c>
      <c r="S1139" s="20">
        <f>(SEGUIMIENTO_TPM_xlsx[[#This Row],[FECHA DE INTERVENCÓN]]+SEGUIMIENTO_TPM_xlsx[[#This Row],[HORA FIN  INTERVENCIÓN]])</f>
        <v>0</v>
      </c>
      <c r="T1139" s="11">
        <f>(SEGUIMIENTO_TPM_xlsx[[#This Row],[FECHA Y HORA FINAL]]-SEGUIMIENTO_TPM_xlsx[[#This Row],[FECHA Y HORA INICIO]])</f>
        <v>0</v>
      </c>
    </row>
    <row r="1140" spans="1:20" x14ac:dyDescent="0.25">
      <c r="A1140">
        <v>1148</v>
      </c>
      <c r="C1140" s="1"/>
      <c r="D1140" s="2"/>
      <c r="H1140" s="1"/>
      <c r="I1140" s="1"/>
      <c r="J1140" s="2"/>
      <c r="Q1140" s="1">
        <f>SEGUIMIENTO_TPM_xlsx[[#This Row],[HORA FIN  INTERVENCIÓN]]-SEGUIMIENTO_TPM_xlsx[[#This Row],[HORA INICIO INTERVENCIÓN]]</f>
        <v>0</v>
      </c>
      <c r="R1140" s="20">
        <f>(SEGUIMIENTO_TPM_xlsx[[#This Row],[HORA REPORTE]]+SEGUIMIENTO_TPM_xlsx[[#This Row],[FECHA DE REPORTE]])</f>
        <v>0</v>
      </c>
      <c r="S1140" s="20">
        <f>(SEGUIMIENTO_TPM_xlsx[[#This Row],[FECHA DE INTERVENCÓN]]+SEGUIMIENTO_TPM_xlsx[[#This Row],[HORA FIN  INTERVENCIÓN]])</f>
        <v>0</v>
      </c>
      <c r="T1140" s="11">
        <f>(SEGUIMIENTO_TPM_xlsx[[#This Row],[FECHA Y HORA FINAL]]-SEGUIMIENTO_TPM_xlsx[[#This Row],[FECHA Y HORA INICIO]])</f>
        <v>0</v>
      </c>
    </row>
    <row r="1141" spans="1:20" x14ac:dyDescent="0.25">
      <c r="A1141">
        <v>1149</v>
      </c>
      <c r="C1141" s="1"/>
      <c r="D1141" s="2"/>
      <c r="H1141" s="1"/>
      <c r="I1141" s="1"/>
      <c r="J1141" s="2"/>
      <c r="Q1141" s="1">
        <f>SEGUIMIENTO_TPM_xlsx[[#This Row],[HORA FIN  INTERVENCIÓN]]-SEGUIMIENTO_TPM_xlsx[[#This Row],[HORA INICIO INTERVENCIÓN]]</f>
        <v>0</v>
      </c>
      <c r="R1141" s="20">
        <f>(SEGUIMIENTO_TPM_xlsx[[#This Row],[HORA REPORTE]]+SEGUIMIENTO_TPM_xlsx[[#This Row],[FECHA DE REPORTE]])</f>
        <v>0</v>
      </c>
      <c r="S1141" s="20">
        <f>(SEGUIMIENTO_TPM_xlsx[[#This Row],[FECHA DE INTERVENCÓN]]+SEGUIMIENTO_TPM_xlsx[[#This Row],[HORA FIN  INTERVENCIÓN]])</f>
        <v>0</v>
      </c>
      <c r="T1141" s="11">
        <f>(SEGUIMIENTO_TPM_xlsx[[#This Row],[FECHA Y HORA FINAL]]-SEGUIMIENTO_TPM_xlsx[[#This Row],[FECHA Y HORA INICIO]])</f>
        <v>0</v>
      </c>
    </row>
    <row r="1142" spans="1:20" x14ac:dyDescent="0.25">
      <c r="A1142">
        <v>1150</v>
      </c>
      <c r="C1142" s="1"/>
      <c r="D1142" s="2"/>
      <c r="H1142" s="1"/>
      <c r="I1142" s="1"/>
      <c r="J1142" s="2"/>
      <c r="Q1142" s="1">
        <f>SEGUIMIENTO_TPM_xlsx[[#This Row],[HORA FIN  INTERVENCIÓN]]-SEGUIMIENTO_TPM_xlsx[[#This Row],[HORA INICIO INTERVENCIÓN]]</f>
        <v>0</v>
      </c>
      <c r="R1142" s="20">
        <f>(SEGUIMIENTO_TPM_xlsx[[#This Row],[HORA REPORTE]]+SEGUIMIENTO_TPM_xlsx[[#This Row],[FECHA DE REPORTE]])</f>
        <v>0</v>
      </c>
      <c r="S1142" s="20">
        <f>(SEGUIMIENTO_TPM_xlsx[[#This Row],[FECHA DE INTERVENCÓN]]+SEGUIMIENTO_TPM_xlsx[[#This Row],[HORA FIN  INTERVENCIÓN]])</f>
        <v>0</v>
      </c>
      <c r="T1142" s="11">
        <f>(SEGUIMIENTO_TPM_xlsx[[#This Row],[FECHA Y HORA FINAL]]-SEGUIMIENTO_TPM_xlsx[[#This Row],[FECHA Y HORA INICIO]])</f>
        <v>0</v>
      </c>
    </row>
    <row r="1143" spans="1:20" x14ac:dyDescent="0.25">
      <c r="A1143">
        <v>1151</v>
      </c>
      <c r="C1143" s="1"/>
      <c r="D1143" s="2"/>
      <c r="H1143" s="1"/>
      <c r="I1143" s="1"/>
      <c r="J1143" s="2"/>
      <c r="Q1143" s="1">
        <f>SEGUIMIENTO_TPM_xlsx[[#This Row],[HORA FIN  INTERVENCIÓN]]-SEGUIMIENTO_TPM_xlsx[[#This Row],[HORA INICIO INTERVENCIÓN]]</f>
        <v>0</v>
      </c>
      <c r="R1143" s="20">
        <f>(SEGUIMIENTO_TPM_xlsx[[#This Row],[HORA REPORTE]]+SEGUIMIENTO_TPM_xlsx[[#This Row],[FECHA DE REPORTE]])</f>
        <v>0</v>
      </c>
      <c r="S1143" s="20">
        <f>(SEGUIMIENTO_TPM_xlsx[[#This Row],[FECHA DE INTERVENCÓN]]+SEGUIMIENTO_TPM_xlsx[[#This Row],[HORA FIN  INTERVENCIÓN]])</f>
        <v>0</v>
      </c>
      <c r="T1143" s="11">
        <f>(SEGUIMIENTO_TPM_xlsx[[#This Row],[FECHA Y HORA FINAL]]-SEGUIMIENTO_TPM_xlsx[[#This Row],[FECHA Y HORA INICIO]])</f>
        <v>0</v>
      </c>
    </row>
    <row r="1144" spans="1:20" x14ac:dyDescent="0.25">
      <c r="A1144">
        <v>1152</v>
      </c>
      <c r="B1144" t="s">
        <v>161</v>
      </c>
      <c r="C1144" s="1">
        <v>0.40625</v>
      </c>
      <c r="D1144" s="2">
        <v>46135</v>
      </c>
      <c r="E1144" t="s">
        <v>116</v>
      </c>
      <c r="F1144" t="s">
        <v>18</v>
      </c>
      <c r="G1144" t="s">
        <v>2025</v>
      </c>
      <c r="H1144" s="1">
        <v>0.40625</v>
      </c>
      <c r="I1144" s="1">
        <v>0.42708333333333331</v>
      </c>
      <c r="J1144" s="2">
        <v>46135</v>
      </c>
      <c r="K1144" t="s">
        <v>25</v>
      </c>
      <c r="L1144" t="s">
        <v>2026</v>
      </c>
      <c r="M1144" t="s">
        <v>22</v>
      </c>
      <c r="N1144" t="s">
        <v>22</v>
      </c>
      <c r="O1144" t="s">
        <v>108</v>
      </c>
      <c r="P1144" t="s">
        <v>33</v>
      </c>
      <c r="Q1144" s="1">
        <f>SEGUIMIENTO_TPM_xlsx[[#This Row],[HORA FIN  INTERVENCIÓN]]-SEGUIMIENTO_TPM_xlsx[[#This Row],[HORA INICIO INTERVENCIÓN]]</f>
        <v>2.0833333333333315E-2</v>
      </c>
      <c r="R1144" s="20">
        <f>(SEGUIMIENTO_TPM_xlsx[[#This Row],[HORA REPORTE]]+SEGUIMIENTO_TPM_xlsx[[#This Row],[FECHA DE REPORTE]])</f>
        <v>46135.40625</v>
      </c>
      <c r="S1144" s="20">
        <f>(SEGUIMIENTO_TPM_xlsx[[#This Row],[FECHA DE INTERVENCÓN]]+SEGUIMIENTO_TPM_xlsx[[#This Row],[HORA FIN  INTERVENCIÓN]])</f>
        <v>46135.427083333336</v>
      </c>
      <c r="T1144" s="11">
        <f>(SEGUIMIENTO_TPM_xlsx[[#This Row],[FECHA Y HORA FINAL]]-SEGUIMIENTO_TPM_xlsx[[#This Row],[FECHA Y HORA INICIO]])</f>
        <v>2.0833333335758653E-2</v>
      </c>
    </row>
    <row r="1145" spans="1:20" x14ac:dyDescent="0.25">
      <c r="A1145">
        <v>1153</v>
      </c>
      <c r="B1145" t="s">
        <v>161</v>
      </c>
      <c r="C1145" s="1">
        <v>0.50624999999999998</v>
      </c>
      <c r="D1145" s="2">
        <v>46135</v>
      </c>
      <c r="E1145" t="s">
        <v>94</v>
      </c>
      <c r="F1145" t="s">
        <v>18</v>
      </c>
      <c r="G1145" t="s">
        <v>2027</v>
      </c>
      <c r="H1145" s="1">
        <v>0.50624999999999998</v>
      </c>
      <c r="I1145" s="1">
        <v>0.55208333333333337</v>
      </c>
      <c r="J1145" s="2">
        <v>46135</v>
      </c>
      <c r="K1145" t="s">
        <v>20</v>
      </c>
      <c r="L1145" t="s">
        <v>2028</v>
      </c>
      <c r="M1145" t="s">
        <v>22</v>
      </c>
      <c r="N1145" t="s">
        <v>22</v>
      </c>
      <c r="O1145" t="s">
        <v>108</v>
      </c>
      <c r="P1145" t="s">
        <v>23</v>
      </c>
      <c r="Q1145" s="1">
        <f>SEGUIMIENTO_TPM_xlsx[[#This Row],[HORA FIN  INTERVENCIÓN]]-SEGUIMIENTO_TPM_xlsx[[#This Row],[HORA INICIO INTERVENCIÓN]]</f>
        <v>4.5833333333333393E-2</v>
      </c>
      <c r="R1145" s="20">
        <f>(SEGUIMIENTO_TPM_xlsx[[#This Row],[HORA REPORTE]]+SEGUIMIENTO_TPM_xlsx[[#This Row],[FECHA DE REPORTE]])</f>
        <v>46135.506249999999</v>
      </c>
      <c r="S1145" s="20">
        <f>(SEGUIMIENTO_TPM_xlsx[[#This Row],[FECHA DE INTERVENCÓN]]+SEGUIMIENTO_TPM_xlsx[[#This Row],[HORA FIN  INTERVENCIÓN]])</f>
        <v>46135.552083333336</v>
      </c>
      <c r="T1145" s="11">
        <f>(SEGUIMIENTO_TPM_xlsx[[#This Row],[FECHA Y HORA FINAL]]-SEGUIMIENTO_TPM_xlsx[[#This Row],[FECHA Y HORA INICIO]])</f>
        <v>4.5833333337213844E-2</v>
      </c>
    </row>
    <row r="1146" spans="1:20" x14ac:dyDescent="0.25">
      <c r="A1146">
        <v>1154</v>
      </c>
      <c r="B1146" t="s">
        <v>103</v>
      </c>
      <c r="C1146" s="1">
        <v>0.50694444444444442</v>
      </c>
      <c r="D1146" s="2">
        <v>46135</v>
      </c>
      <c r="E1146" t="s">
        <v>104</v>
      </c>
      <c r="F1146" t="s">
        <v>18</v>
      </c>
      <c r="G1146" t="s">
        <v>2017</v>
      </c>
      <c r="H1146" s="1"/>
      <c r="I1146" s="1"/>
      <c r="J1146" s="2"/>
      <c r="P1146" t="s">
        <v>33</v>
      </c>
      <c r="Q1146" s="1">
        <f>SEGUIMIENTO_TPM_xlsx[[#This Row],[HORA FIN  INTERVENCIÓN]]-SEGUIMIENTO_TPM_xlsx[[#This Row],[HORA INICIO INTERVENCIÓN]]</f>
        <v>0</v>
      </c>
      <c r="R1146" s="20">
        <f>(SEGUIMIENTO_TPM_xlsx[[#This Row],[HORA REPORTE]]+SEGUIMIENTO_TPM_xlsx[[#This Row],[FECHA DE REPORTE]])</f>
        <v>46135.506944444445</v>
      </c>
      <c r="S1146" s="20">
        <f>(SEGUIMIENTO_TPM_xlsx[[#This Row],[FECHA DE INTERVENCÓN]]+SEGUIMIENTO_TPM_xlsx[[#This Row],[HORA FIN  INTERVENCIÓN]])</f>
        <v>0</v>
      </c>
      <c r="T1146" s="11">
        <f>(SEGUIMIENTO_TPM_xlsx[[#This Row],[FECHA Y HORA FINAL]]-SEGUIMIENTO_TPM_xlsx[[#This Row],[FECHA Y HORA INICIO]])</f>
        <v>-46135.506944444445</v>
      </c>
    </row>
    <row r="1147" spans="1:20" x14ac:dyDescent="0.25">
      <c r="A1147">
        <v>1155</v>
      </c>
      <c r="B1147" t="s">
        <v>2018</v>
      </c>
      <c r="C1147" s="1">
        <v>0.6875</v>
      </c>
      <c r="D1147" s="2">
        <v>46135</v>
      </c>
      <c r="E1147" t="s">
        <v>353</v>
      </c>
      <c r="F1147" t="s">
        <v>18</v>
      </c>
      <c r="G1147" t="s">
        <v>1996</v>
      </c>
      <c r="H1147" s="1">
        <v>0.6875</v>
      </c>
      <c r="I1147" s="1">
        <v>0.72013888888888888</v>
      </c>
      <c r="J1147" s="2">
        <v>46135</v>
      </c>
      <c r="K1147" t="s">
        <v>25</v>
      </c>
      <c r="L1147" t="s">
        <v>1997</v>
      </c>
      <c r="M1147" t="s">
        <v>1998</v>
      </c>
      <c r="N1147" t="s">
        <v>22</v>
      </c>
      <c r="O1147" t="s">
        <v>108</v>
      </c>
      <c r="P1147" t="s">
        <v>33</v>
      </c>
      <c r="Q1147" s="1">
        <f>SEGUIMIENTO_TPM_xlsx[[#This Row],[HORA FIN  INTERVENCIÓN]]-SEGUIMIENTO_TPM_xlsx[[#This Row],[HORA INICIO INTERVENCIÓN]]</f>
        <v>3.2638888888888884E-2</v>
      </c>
      <c r="R1147" s="20">
        <f>(SEGUIMIENTO_TPM_xlsx[[#This Row],[HORA REPORTE]]+SEGUIMIENTO_TPM_xlsx[[#This Row],[FECHA DE REPORTE]])</f>
        <v>46135.6875</v>
      </c>
      <c r="S1147" s="20">
        <f>(SEGUIMIENTO_TPM_xlsx[[#This Row],[FECHA DE INTERVENCÓN]]+SEGUIMIENTO_TPM_xlsx[[#This Row],[HORA FIN  INTERVENCIÓN]])</f>
        <v>46135.720138888886</v>
      </c>
      <c r="T1147" s="11">
        <f>(SEGUIMIENTO_TPM_xlsx[[#This Row],[FECHA Y HORA FINAL]]-SEGUIMIENTO_TPM_xlsx[[#This Row],[FECHA Y HORA INICIO]])</f>
        <v>3.2638888886140194E-2</v>
      </c>
    </row>
    <row r="1148" spans="1:20" x14ac:dyDescent="0.25">
      <c r="A1148">
        <v>1156</v>
      </c>
      <c r="B1148" t="s">
        <v>199</v>
      </c>
      <c r="C1148" s="1">
        <v>0.85416666666666663</v>
      </c>
      <c r="D1148" s="2">
        <v>46135</v>
      </c>
      <c r="E1148" t="s">
        <v>91</v>
      </c>
      <c r="F1148" t="s">
        <v>18</v>
      </c>
      <c r="G1148" t="s">
        <v>1999</v>
      </c>
      <c r="H1148" s="1">
        <v>0.85555555555555551</v>
      </c>
      <c r="I1148" s="1">
        <v>0.875</v>
      </c>
      <c r="J1148" s="2">
        <v>46135</v>
      </c>
      <c r="K1148" t="s">
        <v>48</v>
      </c>
      <c r="P1148" t="s">
        <v>23</v>
      </c>
      <c r="Q1148" s="1">
        <f>SEGUIMIENTO_TPM_xlsx[[#This Row],[HORA FIN  INTERVENCIÓN]]-SEGUIMIENTO_TPM_xlsx[[#This Row],[HORA INICIO INTERVENCIÓN]]</f>
        <v>1.9444444444444486E-2</v>
      </c>
      <c r="R1148" s="20">
        <f>(SEGUIMIENTO_TPM_xlsx[[#This Row],[HORA REPORTE]]+SEGUIMIENTO_TPM_xlsx[[#This Row],[FECHA DE REPORTE]])</f>
        <v>46135.854166666664</v>
      </c>
      <c r="S1148" s="20">
        <f>(SEGUIMIENTO_TPM_xlsx[[#This Row],[FECHA DE INTERVENCÓN]]+SEGUIMIENTO_TPM_xlsx[[#This Row],[HORA FIN  INTERVENCIÓN]])</f>
        <v>46135.875</v>
      </c>
      <c r="T1148" s="11">
        <f>(SEGUIMIENTO_TPM_xlsx[[#This Row],[FECHA Y HORA FINAL]]-SEGUIMIENTO_TPM_xlsx[[#This Row],[FECHA Y HORA INICIO]])</f>
        <v>2.0833333335758653E-2</v>
      </c>
    </row>
    <row r="1149" spans="1:20" x14ac:dyDescent="0.25">
      <c r="A1149">
        <v>1157</v>
      </c>
      <c r="B1149" t="s">
        <v>526</v>
      </c>
      <c r="C1149" s="1">
        <v>0.92361111111111116</v>
      </c>
      <c r="D1149" s="2">
        <v>46135</v>
      </c>
      <c r="E1149" t="s">
        <v>188</v>
      </c>
      <c r="F1149" t="s">
        <v>18</v>
      </c>
      <c r="G1149" t="s">
        <v>2000</v>
      </c>
      <c r="H1149" s="1">
        <v>0.92361111111111116</v>
      </c>
      <c r="I1149" s="1">
        <v>0.94444444444444442</v>
      </c>
      <c r="J1149" s="2">
        <v>46135</v>
      </c>
      <c r="K1149" t="s">
        <v>20</v>
      </c>
      <c r="L1149" t="s">
        <v>2001</v>
      </c>
      <c r="M1149" t="s">
        <v>22</v>
      </c>
      <c r="N1149" t="s">
        <v>22</v>
      </c>
      <c r="O1149" t="s">
        <v>661</v>
      </c>
      <c r="P1149" t="s">
        <v>23</v>
      </c>
      <c r="Q1149" s="1">
        <f>SEGUIMIENTO_TPM_xlsx[[#This Row],[HORA FIN  INTERVENCIÓN]]-SEGUIMIENTO_TPM_xlsx[[#This Row],[HORA INICIO INTERVENCIÓN]]</f>
        <v>2.0833333333333259E-2</v>
      </c>
      <c r="R1149" s="20">
        <f>(SEGUIMIENTO_TPM_xlsx[[#This Row],[HORA REPORTE]]+SEGUIMIENTO_TPM_xlsx[[#This Row],[FECHA DE REPORTE]])</f>
        <v>46135.923611111109</v>
      </c>
      <c r="S1149" s="20">
        <f>(SEGUIMIENTO_TPM_xlsx[[#This Row],[FECHA DE INTERVENCÓN]]+SEGUIMIENTO_TPM_xlsx[[#This Row],[HORA FIN  INTERVENCIÓN]])</f>
        <v>46135.944444444445</v>
      </c>
      <c r="T1149" s="11">
        <f>(SEGUIMIENTO_TPM_xlsx[[#This Row],[FECHA Y HORA FINAL]]-SEGUIMIENTO_TPM_xlsx[[#This Row],[FECHA Y HORA INICIO]])</f>
        <v>2.0833333335758653E-2</v>
      </c>
    </row>
    <row r="1150" spans="1:20" x14ac:dyDescent="0.25">
      <c r="A1150">
        <v>1158</v>
      </c>
      <c r="B1150" t="s">
        <v>341</v>
      </c>
      <c r="C1150" s="1">
        <v>0.83333333333333337</v>
      </c>
      <c r="D1150" s="2">
        <v>46135</v>
      </c>
      <c r="E1150" t="s">
        <v>143</v>
      </c>
      <c r="F1150" t="s">
        <v>18</v>
      </c>
      <c r="G1150" t="s">
        <v>2115</v>
      </c>
      <c r="H1150" s="1"/>
      <c r="I1150" s="1"/>
      <c r="J1150" s="2"/>
      <c r="P1150" t="s">
        <v>33</v>
      </c>
      <c r="Q1150" s="1">
        <f>SEGUIMIENTO_TPM_xlsx[[#This Row],[HORA FIN  INTERVENCIÓN]]-SEGUIMIENTO_TPM_xlsx[[#This Row],[HORA INICIO INTERVENCIÓN]]</f>
        <v>0</v>
      </c>
      <c r="R1150" s="20">
        <f>(SEGUIMIENTO_TPM_xlsx[[#This Row],[HORA REPORTE]]+SEGUIMIENTO_TPM_xlsx[[#This Row],[FECHA DE REPORTE]])</f>
        <v>46135.833333333336</v>
      </c>
      <c r="S1150" s="20">
        <f>(SEGUIMIENTO_TPM_xlsx[[#This Row],[FECHA DE INTERVENCÓN]]+SEGUIMIENTO_TPM_xlsx[[#This Row],[HORA FIN  INTERVENCIÓN]])</f>
        <v>0</v>
      </c>
      <c r="T1150" s="11">
        <f>(SEGUIMIENTO_TPM_xlsx[[#This Row],[FECHA Y HORA FINAL]]-SEGUIMIENTO_TPM_xlsx[[#This Row],[FECHA Y HORA INICIO]])</f>
        <v>-46135.833333333336</v>
      </c>
    </row>
    <row r="1151" spans="1:20" x14ac:dyDescent="0.25">
      <c r="A1151">
        <v>1159</v>
      </c>
      <c r="B1151" t="s">
        <v>526</v>
      </c>
      <c r="C1151" s="1">
        <v>0.75694444444444442</v>
      </c>
      <c r="D1151" s="2">
        <v>46135</v>
      </c>
      <c r="E1151" t="s">
        <v>104</v>
      </c>
      <c r="F1151" t="s">
        <v>650</v>
      </c>
      <c r="G1151" t="s">
        <v>2002</v>
      </c>
      <c r="H1151" s="1">
        <v>0.77083333333333337</v>
      </c>
      <c r="I1151" s="1">
        <v>0.83125000000000004</v>
      </c>
      <c r="J1151" s="2">
        <v>46135</v>
      </c>
      <c r="K1151" t="s">
        <v>25</v>
      </c>
      <c r="L1151" t="s">
        <v>2003</v>
      </c>
      <c r="M1151" t="s">
        <v>22</v>
      </c>
      <c r="N1151" t="s">
        <v>22</v>
      </c>
      <c r="O1151" t="s">
        <v>661</v>
      </c>
      <c r="P1151" t="s">
        <v>23</v>
      </c>
      <c r="Q1151" s="1">
        <f>SEGUIMIENTO_TPM_xlsx[[#This Row],[HORA FIN  INTERVENCIÓN]]-SEGUIMIENTO_TPM_xlsx[[#This Row],[HORA INICIO INTERVENCIÓN]]</f>
        <v>6.0416666666666674E-2</v>
      </c>
      <c r="R1151" s="20">
        <f>(SEGUIMIENTO_TPM_xlsx[[#This Row],[HORA REPORTE]]+SEGUIMIENTO_TPM_xlsx[[#This Row],[FECHA DE REPORTE]])</f>
        <v>46135.756944444445</v>
      </c>
      <c r="S1151" s="20">
        <f>(SEGUIMIENTO_TPM_xlsx[[#This Row],[FECHA DE INTERVENCÓN]]+SEGUIMIENTO_TPM_xlsx[[#This Row],[HORA FIN  INTERVENCIÓN]])</f>
        <v>46135.831250000003</v>
      </c>
      <c r="T1151" s="11">
        <f>(SEGUIMIENTO_TPM_xlsx[[#This Row],[FECHA Y HORA FINAL]]-SEGUIMIENTO_TPM_xlsx[[#This Row],[FECHA Y HORA INICIO]])</f>
        <v>7.4305555557657499E-2</v>
      </c>
    </row>
    <row r="1152" spans="1:20" x14ac:dyDescent="0.25">
      <c r="A1152">
        <v>1160</v>
      </c>
      <c r="C1152" s="1"/>
      <c r="D1152" s="2"/>
      <c r="H1152" s="1"/>
      <c r="I1152" s="1"/>
      <c r="J1152" s="2"/>
      <c r="Q1152" s="1">
        <f>SEGUIMIENTO_TPM_xlsx[[#This Row],[HORA FIN  INTERVENCIÓN]]-SEGUIMIENTO_TPM_xlsx[[#This Row],[HORA INICIO INTERVENCIÓN]]</f>
        <v>0</v>
      </c>
      <c r="R1152" s="20">
        <f>(SEGUIMIENTO_TPM_xlsx[[#This Row],[HORA REPORTE]]+SEGUIMIENTO_TPM_xlsx[[#This Row],[FECHA DE REPORTE]])</f>
        <v>0</v>
      </c>
      <c r="S1152" s="20">
        <f>(SEGUIMIENTO_TPM_xlsx[[#This Row],[FECHA DE INTERVENCÓN]]+SEGUIMIENTO_TPM_xlsx[[#This Row],[HORA FIN  INTERVENCIÓN]])</f>
        <v>0</v>
      </c>
      <c r="T1152" s="11">
        <f>(SEGUIMIENTO_TPM_xlsx[[#This Row],[FECHA Y HORA FINAL]]-SEGUIMIENTO_TPM_xlsx[[#This Row],[FECHA Y HORA INICIO]])</f>
        <v>0</v>
      </c>
    </row>
    <row r="1153" spans="1:20" x14ac:dyDescent="0.25">
      <c r="A1153">
        <v>1161</v>
      </c>
      <c r="B1153" t="s">
        <v>103</v>
      </c>
      <c r="C1153" s="1">
        <v>0.61111111111111116</v>
      </c>
      <c r="D1153" s="2">
        <v>46136</v>
      </c>
      <c r="E1153" t="s">
        <v>147</v>
      </c>
      <c r="F1153" t="s">
        <v>650</v>
      </c>
      <c r="G1153" t="s">
        <v>2019</v>
      </c>
      <c r="H1153" s="1">
        <v>0.61111111111111116</v>
      </c>
      <c r="I1153" s="1">
        <v>0.66666666666666663</v>
      </c>
      <c r="J1153" s="2">
        <v>46136</v>
      </c>
      <c r="K1153" t="s">
        <v>25</v>
      </c>
      <c r="L1153" t="s">
        <v>2020</v>
      </c>
      <c r="M1153" t="s">
        <v>22</v>
      </c>
      <c r="N1153" t="s">
        <v>2021</v>
      </c>
      <c r="O1153" t="s">
        <v>108</v>
      </c>
      <c r="P1153" t="s">
        <v>23</v>
      </c>
      <c r="Q1153" s="1">
        <f>SEGUIMIENTO_TPM_xlsx[[#This Row],[HORA FIN  INTERVENCIÓN]]-SEGUIMIENTO_TPM_xlsx[[#This Row],[HORA INICIO INTERVENCIÓN]]</f>
        <v>5.5555555555555469E-2</v>
      </c>
      <c r="R1153" s="20">
        <f>(SEGUIMIENTO_TPM_xlsx[[#This Row],[HORA REPORTE]]+SEGUIMIENTO_TPM_xlsx[[#This Row],[FECHA DE REPORTE]])</f>
        <v>46136.611111111109</v>
      </c>
      <c r="S1153" s="20">
        <f>(SEGUIMIENTO_TPM_xlsx[[#This Row],[FECHA DE INTERVENCÓN]]+SEGUIMIENTO_TPM_xlsx[[#This Row],[HORA FIN  INTERVENCIÓN]])</f>
        <v>46136.666666666664</v>
      </c>
      <c r="T1153" s="11">
        <f>(SEGUIMIENTO_TPM_xlsx[[#This Row],[FECHA Y HORA FINAL]]-SEGUIMIENTO_TPM_xlsx[[#This Row],[FECHA Y HORA INICIO]])</f>
        <v>5.5555555554747116E-2</v>
      </c>
    </row>
    <row r="1154" spans="1:20" x14ac:dyDescent="0.25">
      <c r="A1154">
        <v>1162</v>
      </c>
      <c r="B1154" t="s">
        <v>192</v>
      </c>
      <c r="C1154" s="1">
        <v>0.33333333333333331</v>
      </c>
      <c r="D1154" s="2">
        <v>46137</v>
      </c>
      <c r="E1154" t="s">
        <v>154</v>
      </c>
      <c r="F1154" t="s">
        <v>18</v>
      </c>
      <c r="G1154" t="s">
        <v>2022</v>
      </c>
      <c r="H1154" s="1">
        <v>0.33333333333333331</v>
      </c>
      <c r="I1154" s="1">
        <v>0.375</v>
      </c>
      <c r="J1154" s="2">
        <v>46137</v>
      </c>
      <c r="K1154" t="s">
        <v>20</v>
      </c>
      <c r="L1154" t="s">
        <v>2023</v>
      </c>
      <c r="M1154" t="s">
        <v>2024</v>
      </c>
      <c r="N1154" t="s">
        <v>22</v>
      </c>
      <c r="O1154" t="s">
        <v>112</v>
      </c>
      <c r="P1154" t="s">
        <v>23</v>
      </c>
      <c r="Q1154" s="1">
        <f>SEGUIMIENTO_TPM_xlsx[[#This Row],[HORA FIN  INTERVENCIÓN]]-SEGUIMIENTO_TPM_xlsx[[#This Row],[HORA INICIO INTERVENCIÓN]]</f>
        <v>4.1666666666666685E-2</v>
      </c>
      <c r="R1154" s="20">
        <f>(SEGUIMIENTO_TPM_xlsx[[#This Row],[HORA REPORTE]]+SEGUIMIENTO_TPM_xlsx[[#This Row],[FECHA DE REPORTE]])</f>
        <v>46137.333333333336</v>
      </c>
      <c r="S1154" s="20">
        <f>(SEGUIMIENTO_TPM_xlsx[[#This Row],[FECHA DE INTERVENCÓN]]+SEGUIMIENTO_TPM_xlsx[[#This Row],[HORA FIN  INTERVENCIÓN]])</f>
        <v>46137.375</v>
      </c>
      <c r="T1154" s="11">
        <f>(SEGUIMIENTO_TPM_xlsx[[#This Row],[FECHA Y HORA FINAL]]-SEGUIMIENTO_TPM_xlsx[[#This Row],[FECHA Y HORA INICIO]])</f>
        <v>4.1666666664241347E-2</v>
      </c>
    </row>
    <row r="1155" spans="1:20" x14ac:dyDescent="0.25">
      <c r="A1155">
        <v>1163</v>
      </c>
      <c r="B1155" t="s">
        <v>103</v>
      </c>
      <c r="C1155" s="1">
        <v>0.27083333333333331</v>
      </c>
      <c r="D1155" s="2">
        <v>46139</v>
      </c>
      <c r="E1155" t="s">
        <v>188</v>
      </c>
      <c r="F1155" t="s">
        <v>18</v>
      </c>
      <c r="G1155" t="s">
        <v>2029</v>
      </c>
      <c r="H1155" s="1">
        <v>0.27083333333333331</v>
      </c>
      <c r="I1155" s="1">
        <v>0.375</v>
      </c>
      <c r="J1155" s="2">
        <v>46139</v>
      </c>
      <c r="K1155" t="s">
        <v>20</v>
      </c>
      <c r="L1155" t="s">
        <v>2030</v>
      </c>
      <c r="M1155" t="s">
        <v>22</v>
      </c>
      <c r="N1155" t="s">
        <v>22</v>
      </c>
      <c r="O1155" t="s">
        <v>661</v>
      </c>
      <c r="P1155" t="s">
        <v>23</v>
      </c>
      <c r="Q1155" s="1">
        <f>SEGUIMIENTO_TPM_xlsx[[#This Row],[HORA FIN  INTERVENCIÓN]]-SEGUIMIENTO_TPM_xlsx[[#This Row],[HORA INICIO INTERVENCIÓN]]</f>
        <v>0.10416666666666669</v>
      </c>
      <c r="R1155" s="20">
        <f>(SEGUIMIENTO_TPM_xlsx[[#This Row],[HORA REPORTE]]+SEGUIMIENTO_TPM_xlsx[[#This Row],[FECHA DE REPORTE]])</f>
        <v>46139.270833333336</v>
      </c>
      <c r="S1155" s="20">
        <f>(SEGUIMIENTO_TPM_xlsx[[#This Row],[FECHA DE INTERVENCÓN]]+SEGUIMIENTO_TPM_xlsx[[#This Row],[HORA FIN  INTERVENCIÓN]])</f>
        <v>46139.375</v>
      </c>
      <c r="T1155" s="11">
        <f>(SEGUIMIENTO_TPM_xlsx[[#This Row],[FECHA Y HORA FINAL]]-SEGUIMIENTO_TPM_xlsx[[#This Row],[FECHA Y HORA INICIO]])</f>
        <v>0.10416666666424135</v>
      </c>
    </row>
    <row r="1156" spans="1:20" x14ac:dyDescent="0.25">
      <c r="A1156">
        <v>1164</v>
      </c>
      <c r="B1156" t="s">
        <v>268</v>
      </c>
      <c r="C1156" s="1">
        <v>0.625</v>
      </c>
      <c r="D1156" s="2">
        <v>46139</v>
      </c>
      <c r="E1156" t="s">
        <v>17</v>
      </c>
      <c r="F1156" t="s">
        <v>18</v>
      </c>
      <c r="G1156" t="s">
        <v>2049</v>
      </c>
      <c r="H1156" s="1"/>
      <c r="I1156" s="1"/>
      <c r="J1156" s="2"/>
      <c r="P1156" t="s">
        <v>33</v>
      </c>
      <c r="Q1156" s="1">
        <f>SEGUIMIENTO_TPM_xlsx[[#This Row],[HORA FIN  INTERVENCIÓN]]-SEGUIMIENTO_TPM_xlsx[[#This Row],[HORA INICIO INTERVENCIÓN]]</f>
        <v>0</v>
      </c>
      <c r="R1156" s="20">
        <f>(SEGUIMIENTO_TPM_xlsx[[#This Row],[HORA REPORTE]]+SEGUIMIENTO_TPM_xlsx[[#This Row],[FECHA DE REPORTE]])</f>
        <v>46139.625</v>
      </c>
      <c r="S1156" s="20">
        <f>(SEGUIMIENTO_TPM_xlsx[[#This Row],[FECHA DE INTERVENCÓN]]+SEGUIMIENTO_TPM_xlsx[[#This Row],[HORA FIN  INTERVENCIÓN]])</f>
        <v>0</v>
      </c>
      <c r="T1156" s="11">
        <f>(SEGUIMIENTO_TPM_xlsx[[#This Row],[FECHA Y HORA FINAL]]-SEGUIMIENTO_TPM_xlsx[[#This Row],[FECHA Y HORA INICIO]])</f>
        <v>-46139.625</v>
      </c>
    </row>
    <row r="1157" spans="1:20" x14ac:dyDescent="0.25">
      <c r="A1157">
        <v>1165</v>
      </c>
      <c r="C1157" s="1"/>
      <c r="D1157" s="2"/>
      <c r="H1157" s="1"/>
      <c r="I1157" s="1"/>
      <c r="J1157" s="2"/>
      <c r="Q1157" s="1">
        <f>SEGUIMIENTO_TPM_xlsx[[#This Row],[HORA FIN  INTERVENCIÓN]]-SEGUIMIENTO_TPM_xlsx[[#This Row],[HORA INICIO INTERVENCIÓN]]</f>
        <v>0</v>
      </c>
      <c r="R1157" s="20">
        <f>(SEGUIMIENTO_TPM_xlsx[[#This Row],[HORA REPORTE]]+SEGUIMIENTO_TPM_xlsx[[#This Row],[FECHA DE REPORTE]])</f>
        <v>0</v>
      </c>
      <c r="S1157" s="20">
        <f>(SEGUIMIENTO_TPM_xlsx[[#This Row],[FECHA DE INTERVENCÓN]]+SEGUIMIENTO_TPM_xlsx[[#This Row],[HORA FIN  INTERVENCIÓN]])</f>
        <v>0</v>
      </c>
      <c r="T1157" s="11">
        <f>(SEGUIMIENTO_TPM_xlsx[[#This Row],[FECHA Y HORA FINAL]]-SEGUIMIENTO_TPM_xlsx[[#This Row],[FECHA Y HORA INICIO]])</f>
        <v>0</v>
      </c>
    </row>
    <row r="1158" spans="1:20" x14ac:dyDescent="0.25">
      <c r="A1158">
        <v>1166</v>
      </c>
      <c r="C1158" s="1"/>
      <c r="D1158" s="2"/>
      <c r="H1158" s="1"/>
      <c r="I1158" s="1"/>
      <c r="J1158" s="2"/>
      <c r="Q1158" s="1">
        <f>SEGUIMIENTO_TPM_xlsx[[#This Row],[HORA FIN  INTERVENCIÓN]]-SEGUIMIENTO_TPM_xlsx[[#This Row],[HORA INICIO INTERVENCIÓN]]</f>
        <v>0</v>
      </c>
      <c r="R1158" s="20">
        <f>(SEGUIMIENTO_TPM_xlsx[[#This Row],[HORA REPORTE]]+SEGUIMIENTO_TPM_xlsx[[#This Row],[FECHA DE REPORTE]])</f>
        <v>0</v>
      </c>
      <c r="S1158" s="20">
        <f>(SEGUIMIENTO_TPM_xlsx[[#This Row],[FECHA DE INTERVENCÓN]]+SEGUIMIENTO_TPM_xlsx[[#This Row],[HORA FIN  INTERVENCIÓN]])</f>
        <v>0</v>
      </c>
      <c r="T1158" s="11">
        <f>(SEGUIMIENTO_TPM_xlsx[[#This Row],[FECHA Y HORA FINAL]]-SEGUIMIENTO_TPM_xlsx[[#This Row],[FECHA Y HORA INICIO]])</f>
        <v>0</v>
      </c>
    </row>
    <row r="1159" spans="1:20" x14ac:dyDescent="0.25">
      <c r="A1159">
        <v>1167</v>
      </c>
      <c r="B1159" t="s">
        <v>120</v>
      </c>
      <c r="C1159" s="1">
        <v>0.90972222222222221</v>
      </c>
      <c r="D1159" s="2">
        <v>46139</v>
      </c>
      <c r="E1159" t="s">
        <v>116</v>
      </c>
      <c r="F1159" t="s">
        <v>18</v>
      </c>
      <c r="G1159" t="s">
        <v>2031</v>
      </c>
      <c r="H1159" s="1">
        <v>0.90972222222222221</v>
      </c>
      <c r="I1159" s="1">
        <v>0.94444444444444442</v>
      </c>
      <c r="J1159" s="2">
        <v>46139</v>
      </c>
      <c r="K1159" t="s">
        <v>48</v>
      </c>
      <c r="L1159" t="s">
        <v>2032</v>
      </c>
      <c r="M1159" t="s">
        <v>2033</v>
      </c>
      <c r="N1159" t="s">
        <v>22</v>
      </c>
      <c r="O1159" t="s">
        <v>108</v>
      </c>
      <c r="P1159" t="s">
        <v>23</v>
      </c>
      <c r="Q1159" s="1">
        <f>SEGUIMIENTO_TPM_xlsx[[#This Row],[HORA FIN  INTERVENCIÓN]]-SEGUIMIENTO_TPM_xlsx[[#This Row],[HORA INICIO INTERVENCIÓN]]</f>
        <v>3.472222222222221E-2</v>
      </c>
      <c r="R1159" s="20">
        <f>(SEGUIMIENTO_TPM_xlsx[[#This Row],[HORA REPORTE]]+SEGUIMIENTO_TPM_xlsx[[#This Row],[FECHA DE REPORTE]])</f>
        <v>46139.909722222219</v>
      </c>
      <c r="S1159" s="20">
        <f>(SEGUIMIENTO_TPM_xlsx[[#This Row],[FECHA DE INTERVENCÓN]]+SEGUIMIENTO_TPM_xlsx[[#This Row],[HORA FIN  INTERVENCIÓN]])</f>
        <v>46139.944444444445</v>
      </c>
      <c r="T1159" s="11">
        <f>(SEGUIMIENTO_TPM_xlsx[[#This Row],[FECHA Y HORA FINAL]]-SEGUIMIENTO_TPM_xlsx[[#This Row],[FECHA Y HORA INICIO]])</f>
        <v>3.4722222226264421E-2</v>
      </c>
    </row>
    <row r="1160" spans="1:20" x14ac:dyDescent="0.25">
      <c r="A1160">
        <v>1168</v>
      </c>
      <c r="C1160" s="1"/>
      <c r="D1160" s="2"/>
      <c r="H1160" s="1"/>
      <c r="I1160" s="1"/>
      <c r="J1160" s="2"/>
      <c r="Q1160" s="1">
        <f>SEGUIMIENTO_TPM_xlsx[[#This Row],[HORA FIN  INTERVENCIÓN]]-SEGUIMIENTO_TPM_xlsx[[#This Row],[HORA INICIO INTERVENCIÓN]]</f>
        <v>0</v>
      </c>
      <c r="R1160" s="20">
        <f>(SEGUIMIENTO_TPM_xlsx[[#This Row],[HORA REPORTE]]+SEGUIMIENTO_TPM_xlsx[[#This Row],[FECHA DE REPORTE]])</f>
        <v>0</v>
      </c>
      <c r="S1160" s="20">
        <f>(SEGUIMIENTO_TPM_xlsx[[#This Row],[FECHA DE INTERVENCÓN]]+SEGUIMIENTO_TPM_xlsx[[#This Row],[HORA FIN  INTERVENCIÓN]])</f>
        <v>0</v>
      </c>
      <c r="T1160" s="11">
        <f>(SEGUIMIENTO_TPM_xlsx[[#This Row],[FECHA Y HORA FINAL]]-SEGUIMIENTO_TPM_xlsx[[#This Row],[FECHA Y HORA INICIO]])</f>
        <v>0</v>
      </c>
    </row>
    <row r="1161" spans="1:20" x14ac:dyDescent="0.25">
      <c r="A1161">
        <v>1169</v>
      </c>
      <c r="B1161" t="s">
        <v>1705</v>
      </c>
      <c r="C1161" s="1">
        <v>0.17708333333333334</v>
      </c>
      <c r="D1161" s="2">
        <v>46140</v>
      </c>
      <c r="E1161" t="s">
        <v>143</v>
      </c>
      <c r="F1161" t="s">
        <v>18</v>
      </c>
      <c r="G1161" t="s">
        <v>2116</v>
      </c>
      <c r="H1161" s="1">
        <v>0.17708333333333334</v>
      </c>
      <c r="I1161" s="1">
        <v>0.20833333333333334</v>
      </c>
      <c r="J1161" s="2">
        <v>46140</v>
      </c>
      <c r="K1161" t="s">
        <v>25</v>
      </c>
      <c r="L1161" t="s">
        <v>2117</v>
      </c>
      <c r="M1161" t="s">
        <v>22</v>
      </c>
      <c r="N1161" t="s">
        <v>2118</v>
      </c>
      <c r="O1161" t="s">
        <v>108</v>
      </c>
      <c r="P1161" t="s">
        <v>33</v>
      </c>
      <c r="Q1161" s="1">
        <f>SEGUIMIENTO_TPM_xlsx[[#This Row],[HORA FIN  INTERVENCIÓN]]-SEGUIMIENTO_TPM_xlsx[[#This Row],[HORA INICIO INTERVENCIÓN]]</f>
        <v>3.125E-2</v>
      </c>
      <c r="R1161" s="20">
        <f>(SEGUIMIENTO_TPM_xlsx[[#This Row],[HORA REPORTE]]+SEGUIMIENTO_TPM_xlsx[[#This Row],[FECHA DE REPORTE]])</f>
        <v>46140.177083333336</v>
      </c>
      <c r="S1161" s="20">
        <f>(SEGUIMIENTO_TPM_xlsx[[#This Row],[FECHA DE INTERVENCÓN]]+SEGUIMIENTO_TPM_xlsx[[#This Row],[HORA FIN  INTERVENCIÓN]])</f>
        <v>46140.208333333336</v>
      </c>
      <c r="T1161" s="11">
        <f>(SEGUIMIENTO_TPM_xlsx[[#This Row],[FECHA Y HORA FINAL]]-SEGUIMIENTO_TPM_xlsx[[#This Row],[FECHA Y HORA INICIO]])</f>
        <v>3.125E-2</v>
      </c>
    </row>
    <row r="1162" spans="1:20" x14ac:dyDescent="0.25">
      <c r="A1162">
        <v>1170</v>
      </c>
      <c r="C1162" s="1"/>
      <c r="D1162" s="2"/>
      <c r="H1162" s="1"/>
      <c r="I1162" s="1"/>
      <c r="J1162" s="2"/>
      <c r="Q1162" s="1">
        <f>SEGUIMIENTO_TPM_xlsx[[#This Row],[HORA FIN  INTERVENCIÓN]]-SEGUIMIENTO_TPM_xlsx[[#This Row],[HORA INICIO INTERVENCIÓN]]</f>
        <v>0</v>
      </c>
      <c r="R1162" s="20">
        <f>(SEGUIMIENTO_TPM_xlsx[[#This Row],[HORA REPORTE]]+SEGUIMIENTO_TPM_xlsx[[#This Row],[FECHA DE REPORTE]])</f>
        <v>0</v>
      </c>
      <c r="S1162" s="20">
        <f>(SEGUIMIENTO_TPM_xlsx[[#This Row],[FECHA DE INTERVENCÓN]]+SEGUIMIENTO_TPM_xlsx[[#This Row],[HORA FIN  INTERVENCIÓN]])</f>
        <v>0</v>
      </c>
      <c r="T1162" s="11">
        <f>(SEGUIMIENTO_TPM_xlsx[[#This Row],[FECHA Y HORA FINAL]]-SEGUIMIENTO_TPM_xlsx[[#This Row],[FECHA Y HORA INICIO]])</f>
        <v>0</v>
      </c>
    </row>
    <row r="1163" spans="1:20" x14ac:dyDescent="0.25">
      <c r="A1163">
        <v>1171</v>
      </c>
      <c r="C1163" s="1"/>
      <c r="D1163" s="2"/>
      <c r="H1163" s="1"/>
      <c r="I1163" s="1"/>
      <c r="J1163" s="2"/>
      <c r="Q1163" s="1">
        <f>SEGUIMIENTO_TPM_xlsx[[#This Row],[HORA FIN  INTERVENCIÓN]]-SEGUIMIENTO_TPM_xlsx[[#This Row],[HORA INICIO INTERVENCIÓN]]</f>
        <v>0</v>
      </c>
      <c r="R1163" s="20">
        <f>(SEGUIMIENTO_TPM_xlsx[[#This Row],[HORA REPORTE]]+SEGUIMIENTO_TPM_xlsx[[#This Row],[FECHA DE REPORTE]])</f>
        <v>0</v>
      </c>
      <c r="S1163" s="20">
        <f>(SEGUIMIENTO_TPM_xlsx[[#This Row],[FECHA DE INTERVENCÓN]]+SEGUIMIENTO_TPM_xlsx[[#This Row],[HORA FIN  INTERVENCIÓN]])</f>
        <v>0</v>
      </c>
      <c r="T1163" s="11">
        <f>(SEGUIMIENTO_TPM_xlsx[[#This Row],[FECHA Y HORA FINAL]]-SEGUIMIENTO_TPM_xlsx[[#This Row],[FECHA Y HORA INICIO]])</f>
        <v>0</v>
      </c>
    </row>
    <row r="1164" spans="1:20" x14ac:dyDescent="0.25">
      <c r="A1164">
        <v>1172</v>
      </c>
      <c r="B1164" t="s">
        <v>103</v>
      </c>
      <c r="C1164" s="1">
        <v>0.68958333333333333</v>
      </c>
      <c r="D1164" s="2">
        <v>46140</v>
      </c>
      <c r="E1164" t="s">
        <v>104</v>
      </c>
      <c r="F1164" t="s">
        <v>18</v>
      </c>
      <c r="G1164" t="s">
        <v>2050</v>
      </c>
      <c r="H1164" s="1">
        <v>0.68958333333333333</v>
      </c>
      <c r="I1164" s="1">
        <v>0.70833333333333337</v>
      </c>
      <c r="J1164" s="2">
        <v>46140</v>
      </c>
      <c r="K1164" t="s">
        <v>25</v>
      </c>
      <c r="L1164" t="s">
        <v>2051</v>
      </c>
      <c r="M1164" t="s">
        <v>22</v>
      </c>
      <c r="N1164" t="s">
        <v>22</v>
      </c>
      <c r="O1164" t="s">
        <v>112</v>
      </c>
      <c r="P1164" t="s">
        <v>23</v>
      </c>
      <c r="Q1164" s="1">
        <f>SEGUIMIENTO_TPM_xlsx[[#This Row],[HORA FIN  INTERVENCIÓN]]-SEGUIMIENTO_TPM_xlsx[[#This Row],[HORA INICIO INTERVENCIÓN]]</f>
        <v>1.8750000000000044E-2</v>
      </c>
      <c r="R1164" s="20">
        <f>(SEGUIMIENTO_TPM_xlsx[[#This Row],[HORA REPORTE]]+SEGUIMIENTO_TPM_xlsx[[#This Row],[FECHA DE REPORTE]])</f>
        <v>46140.689583333333</v>
      </c>
      <c r="S1164" s="20">
        <f>(SEGUIMIENTO_TPM_xlsx[[#This Row],[FECHA DE INTERVENCÓN]]+SEGUIMIENTO_TPM_xlsx[[#This Row],[HORA FIN  INTERVENCIÓN]])</f>
        <v>46140.708333333336</v>
      </c>
      <c r="T1164" s="11">
        <f>(SEGUIMIENTO_TPM_xlsx[[#This Row],[FECHA Y HORA FINAL]]-SEGUIMIENTO_TPM_xlsx[[#This Row],[FECHA Y HORA INICIO]])</f>
        <v>1.8750000002910383E-2</v>
      </c>
    </row>
    <row r="1165" spans="1:20" x14ac:dyDescent="0.25">
      <c r="A1165">
        <v>1173</v>
      </c>
      <c r="B1165" t="s">
        <v>206</v>
      </c>
      <c r="C1165" s="1">
        <v>0.70833333333333337</v>
      </c>
      <c r="D1165" s="2">
        <v>46140</v>
      </c>
      <c r="E1165" t="s">
        <v>94</v>
      </c>
      <c r="F1165" t="s">
        <v>18</v>
      </c>
      <c r="G1165" t="s">
        <v>2052</v>
      </c>
      <c r="H1165" s="1">
        <v>0.70833333333333337</v>
      </c>
      <c r="I1165" s="1">
        <v>0.72916666666666663</v>
      </c>
      <c r="J1165" s="2">
        <v>46140</v>
      </c>
      <c r="K1165" t="s">
        <v>20</v>
      </c>
      <c r="L1165" t="s">
        <v>2053</v>
      </c>
      <c r="M1165" t="s">
        <v>22</v>
      </c>
      <c r="N1165" t="s">
        <v>22</v>
      </c>
      <c r="O1165" t="s">
        <v>112</v>
      </c>
      <c r="P1165" t="s">
        <v>23</v>
      </c>
      <c r="Q1165" s="1">
        <f>SEGUIMIENTO_TPM_xlsx[[#This Row],[HORA FIN  INTERVENCIÓN]]-SEGUIMIENTO_TPM_xlsx[[#This Row],[HORA INICIO INTERVENCIÓN]]</f>
        <v>2.0833333333333259E-2</v>
      </c>
      <c r="R1165" s="20">
        <f>(SEGUIMIENTO_TPM_xlsx[[#This Row],[HORA REPORTE]]+SEGUIMIENTO_TPM_xlsx[[#This Row],[FECHA DE REPORTE]])</f>
        <v>46140.708333333336</v>
      </c>
      <c r="S1165" s="20">
        <f>(SEGUIMIENTO_TPM_xlsx[[#This Row],[FECHA DE INTERVENCÓN]]+SEGUIMIENTO_TPM_xlsx[[#This Row],[HORA FIN  INTERVENCIÓN]])</f>
        <v>46140.729166666664</v>
      </c>
      <c r="T1165" s="11">
        <f>(SEGUIMIENTO_TPM_xlsx[[#This Row],[FECHA Y HORA FINAL]]-SEGUIMIENTO_TPM_xlsx[[#This Row],[FECHA Y HORA INICIO]])</f>
        <v>2.0833333328482695E-2</v>
      </c>
    </row>
    <row r="1166" spans="1:20" x14ac:dyDescent="0.25">
      <c r="A1166">
        <v>1174</v>
      </c>
      <c r="B1166" t="s">
        <v>630</v>
      </c>
      <c r="C1166" s="1">
        <v>0.72916666666666663</v>
      </c>
      <c r="D1166" s="2">
        <v>46140</v>
      </c>
      <c r="E1166" t="s">
        <v>162</v>
      </c>
      <c r="F1166" t="s">
        <v>18</v>
      </c>
      <c r="G1166" t="s">
        <v>2054</v>
      </c>
      <c r="H1166" s="1">
        <v>0.72916666666666663</v>
      </c>
      <c r="I1166" s="1">
        <v>0.73611111111111116</v>
      </c>
      <c r="J1166" s="2">
        <v>46140</v>
      </c>
      <c r="K1166" t="s">
        <v>25</v>
      </c>
      <c r="L1166" t="s">
        <v>2055</v>
      </c>
      <c r="M1166" t="s">
        <v>22</v>
      </c>
      <c r="N1166" t="s">
        <v>22</v>
      </c>
      <c r="O1166" t="s">
        <v>112</v>
      </c>
      <c r="P1166" t="s">
        <v>23</v>
      </c>
      <c r="Q1166" s="1">
        <f>SEGUIMIENTO_TPM_xlsx[[#This Row],[HORA FIN  INTERVENCIÓN]]-SEGUIMIENTO_TPM_xlsx[[#This Row],[HORA INICIO INTERVENCIÓN]]</f>
        <v>6.9444444444445308E-3</v>
      </c>
      <c r="R1166" s="20">
        <f>(SEGUIMIENTO_TPM_xlsx[[#This Row],[HORA REPORTE]]+SEGUIMIENTO_TPM_xlsx[[#This Row],[FECHA DE REPORTE]])</f>
        <v>46140.729166666664</v>
      </c>
      <c r="S1166" s="20">
        <f>(SEGUIMIENTO_TPM_xlsx[[#This Row],[FECHA DE INTERVENCÓN]]+SEGUIMIENTO_TPM_xlsx[[#This Row],[HORA FIN  INTERVENCIÓN]])</f>
        <v>46140.736111111109</v>
      </c>
      <c r="T1166" s="11">
        <f>(SEGUIMIENTO_TPM_xlsx[[#This Row],[FECHA Y HORA FINAL]]-SEGUIMIENTO_TPM_xlsx[[#This Row],[FECHA Y HORA INICIO]])</f>
        <v>6.9444444452528842E-3</v>
      </c>
    </row>
    <row r="1167" spans="1:20" x14ac:dyDescent="0.25">
      <c r="A1167">
        <v>1175</v>
      </c>
      <c r="B1167" t="s">
        <v>120</v>
      </c>
      <c r="C1167" s="1">
        <v>3.125E-2</v>
      </c>
      <c r="D1167" s="2">
        <v>46141</v>
      </c>
      <c r="E1167" t="s">
        <v>94</v>
      </c>
      <c r="F1167" t="s">
        <v>18</v>
      </c>
      <c r="G1167" t="s">
        <v>2056</v>
      </c>
      <c r="H1167" s="1">
        <v>3.125E-2</v>
      </c>
      <c r="I1167" s="1">
        <v>0.20833333333333334</v>
      </c>
      <c r="J1167" s="2">
        <v>46141</v>
      </c>
      <c r="K1167" t="s">
        <v>25</v>
      </c>
      <c r="L1167" t="s">
        <v>2057</v>
      </c>
      <c r="O1167" t="s">
        <v>108</v>
      </c>
      <c r="P1167" t="s">
        <v>33</v>
      </c>
      <c r="Q1167" s="1">
        <f>SEGUIMIENTO_TPM_xlsx[[#This Row],[HORA FIN  INTERVENCIÓN]]-SEGUIMIENTO_TPM_xlsx[[#This Row],[HORA INICIO INTERVENCIÓN]]</f>
        <v>0.17708333333333334</v>
      </c>
      <c r="R1167" s="20">
        <f>(SEGUIMIENTO_TPM_xlsx[[#This Row],[HORA REPORTE]]+SEGUIMIENTO_TPM_xlsx[[#This Row],[FECHA DE REPORTE]])</f>
        <v>46141.03125</v>
      </c>
      <c r="S1167" s="20">
        <f>(SEGUIMIENTO_TPM_xlsx[[#This Row],[FECHA DE INTERVENCÓN]]+SEGUIMIENTO_TPM_xlsx[[#This Row],[HORA FIN  INTERVENCIÓN]])</f>
        <v>46141.208333333336</v>
      </c>
      <c r="T1167" s="11">
        <f>(SEGUIMIENTO_TPM_xlsx[[#This Row],[FECHA Y HORA FINAL]]-SEGUIMIENTO_TPM_xlsx[[#This Row],[FECHA Y HORA INICIO]])</f>
        <v>0.17708333333575865</v>
      </c>
    </row>
    <row r="1168" spans="1:20" x14ac:dyDescent="0.25">
      <c r="A1168">
        <v>1176</v>
      </c>
      <c r="B1168" t="s">
        <v>161</v>
      </c>
      <c r="C1168" s="1">
        <v>0.2986111111111111</v>
      </c>
      <c r="D1168" s="2">
        <v>46141</v>
      </c>
      <c r="E1168" t="s">
        <v>94</v>
      </c>
      <c r="F1168" t="s">
        <v>18</v>
      </c>
      <c r="G1168" t="s">
        <v>2058</v>
      </c>
      <c r="H1168" s="1">
        <v>0.3</v>
      </c>
      <c r="I1168" s="1">
        <v>0.32291666666666669</v>
      </c>
      <c r="J1168" s="2">
        <v>46141</v>
      </c>
      <c r="K1168" t="s">
        <v>25</v>
      </c>
      <c r="L1168" t="s">
        <v>2059</v>
      </c>
      <c r="M1168" t="s">
        <v>22</v>
      </c>
      <c r="N1168" t="s">
        <v>22</v>
      </c>
      <c r="O1168" t="s">
        <v>661</v>
      </c>
      <c r="P1168" t="s">
        <v>33</v>
      </c>
      <c r="Q1168" s="1">
        <f>SEGUIMIENTO_TPM_xlsx[[#This Row],[HORA FIN  INTERVENCIÓN]]-SEGUIMIENTO_TPM_xlsx[[#This Row],[HORA INICIO INTERVENCIÓN]]</f>
        <v>2.2916666666666696E-2</v>
      </c>
      <c r="R1168" s="20">
        <f>(SEGUIMIENTO_TPM_xlsx[[#This Row],[HORA REPORTE]]+SEGUIMIENTO_TPM_xlsx[[#This Row],[FECHA DE REPORTE]])</f>
        <v>46141.298611111109</v>
      </c>
      <c r="S1168" s="20">
        <f>(SEGUIMIENTO_TPM_xlsx[[#This Row],[FECHA DE INTERVENCÓN]]+SEGUIMIENTO_TPM_xlsx[[#This Row],[HORA FIN  INTERVENCIÓN]])</f>
        <v>46141.322916666664</v>
      </c>
      <c r="T1168" s="11">
        <f>(SEGUIMIENTO_TPM_xlsx[[#This Row],[FECHA Y HORA FINAL]]-SEGUIMIENTO_TPM_xlsx[[#This Row],[FECHA Y HORA INICIO]])</f>
        <v>2.4305555554747116E-2</v>
      </c>
    </row>
    <row r="1169" spans="1:20" x14ac:dyDescent="0.25">
      <c r="A1169">
        <v>1177</v>
      </c>
      <c r="C1169" s="1"/>
      <c r="D1169" s="2"/>
      <c r="H1169" s="1"/>
      <c r="I1169" s="1"/>
      <c r="J1169" s="2"/>
      <c r="Q1169" s="1">
        <f>SEGUIMIENTO_TPM_xlsx[[#This Row],[HORA FIN  INTERVENCIÓN]]-SEGUIMIENTO_TPM_xlsx[[#This Row],[HORA INICIO INTERVENCIÓN]]</f>
        <v>0</v>
      </c>
      <c r="R1169" s="20">
        <f>(SEGUIMIENTO_TPM_xlsx[[#This Row],[HORA REPORTE]]+SEGUIMIENTO_TPM_xlsx[[#This Row],[FECHA DE REPORTE]])</f>
        <v>0</v>
      </c>
      <c r="S1169" s="20">
        <f>(SEGUIMIENTO_TPM_xlsx[[#This Row],[FECHA DE INTERVENCÓN]]+SEGUIMIENTO_TPM_xlsx[[#This Row],[HORA FIN  INTERVENCIÓN]])</f>
        <v>0</v>
      </c>
      <c r="T1169" s="11">
        <f>(SEGUIMIENTO_TPM_xlsx[[#This Row],[FECHA Y HORA FINAL]]-SEGUIMIENTO_TPM_xlsx[[#This Row],[FECHA Y HORA INICIO]])</f>
        <v>0</v>
      </c>
    </row>
    <row r="1170" spans="1:20" x14ac:dyDescent="0.25">
      <c r="A1170">
        <v>1178</v>
      </c>
      <c r="B1170" t="s">
        <v>113</v>
      </c>
      <c r="C1170" s="1">
        <v>0.34375</v>
      </c>
      <c r="D1170" s="2">
        <v>46142</v>
      </c>
      <c r="E1170" t="s">
        <v>91</v>
      </c>
      <c r="F1170" t="s">
        <v>18</v>
      </c>
      <c r="G1170" t="s">
        <v>2060</v>
      </c>
      <c r="H1170" s="1">
        <v>0.34375</v>
      </c>
      <c r="I1170" s="1">
        <v>0.35416666666666669</v>
      </c>
      <c r="J1170" s="2">
        <v>46142</v>
      </c>
      <c r="K1170" t="s">
        <v>25</v>
      </c>
      <c r="L1170" t="s">
        <v>2061</v>
      </c>
      <c r="M1170" t="s">
        <v>22</v>
      </c>
      <c r="N1170" t="s">
        <v>22</v>
      </c>
      <c r="O1170" t="s">
        <v>112</v>
      </c>
      <c r="P1170" t="s">
        <v>23</v>
      </c>
      <c r="Q1170" s="1">
        <f>SEGUIMIENTO_TPM_xlsx[[#This Row],[HORA FIN  INTERVENCIÓN]]-SEGUIMIENTO_TPM_xlsx[[#This Row],[HORA INICIO INTERVENCIÓN]]</f>
        <v>1.0416666666666685E-2</v>
      </c>
      <c r="R1170" s="20">
        <f>(SEGUIMIENTO_TPM_xlsx[[#This Row],[HORA REPORTE]]+SEGUIMIENTO_TPM_xlsx[[#This Row],[FECHA DE REPORTE]])</f>
        <v>46142.34375</v>
      </c>
      <c r="S1170" s="20">
        <f>(SEGUIMIENTO_TPM_xlsx[[#This Row],[FECHA DE INTERVENCÓN]]+SEGUIMIENTO_TPM_xlsx[[#This Row],[HORA FIN  INTERVENCIÓN]])</f>
        <v>46142.354166666664</v>
      </c>
      <c r="T1170" s="11">
        <f>(SEGUIMIENTO_TPM_xlsx[[#This Row],[FECHA Y HORA FINAL]]-SEGUIMIENTO_TPM_xlsx[[#This Row],[FECHA Y HORA INICIO]])</f>
        <v>1.0416666664241347E-2</v>
      </c>
    </row>
    <row r="1171" spans="1:20" x14ac:dyDescent="0.25">
      <c r="A1171">
        <v>1179</v>
      </c>
      <c r="B1171" t="s">
        <v>103</v>
      </c>
      <c r="C1171" s="1">
        <v>0.24652777777777779</v>
      </c>
      <c r="D1171" s="2">
        <v>46142</v>
      </c>
      <c r="E1171" t="s">
        <v>104</v>
      </c>
      <c r="F1171" t="s">
        <v>18</v>
      </c>
      <c r="G1171" t="s">
        <v>2062</v>
      </c>
      <c r="H1171" s="1">
        <v>0.3125</v>
      </c>
      <c r="I1171" s="1">
        <v>0.34375</v>
      </c>
      <c r="J1171" s="2">
        <v>46142</v>
      </c>
      <c r="K1171" t="s">
        <v>20</v>
      </c>
      <c r="L1171" t="s">
        <v>2063</v>
      </c>
      <c r="M1171" t="s">
        <v>22</v>
      </c>
      <c r="N1171" t="s">
        <v>22</v>
      </c>
      <c r="O1171" t="s">
        <v>112</v>
      </c>
      <c r="P1171" t="s">
        <v>23</v>
      </c>
      <c r="Q1171" s="1">
        <f>SEGUIMIENTO_TPM_xlsx[[#This Row],[HORA FIN  INTERVENCIÓN]]-SEGUIMIENTO_TPM_xlsx[[#This Row],[HORA INICIO INTERVENCIÓN]]</f>
        <v>3.125E-2</v>
      </c>
      <c r="R1171" s="20">
        <f>(SEGUIMIENTO_TPM_xlsx[[#This Row],[HORA REPORTE]]+SEGUIMIENTO_TPM_xlsx[[#This Row],[FECHA DE REPORTE]])</f>
        <v>46142.246527777781</v>
      </c>
      <c r="S1171" s="20">
        <f>(SEGUIMIENTO_TPM_xlsx[[#This Row],[FECHA DE INTERVENCÓN]]+SEGUIMIENTO_TPM_xlsx[[#This Row],[HORA FIN  INTERVENCIÓN]])</f>
        <v>46142.34375</v>
      </c>
      <c r="T1171" s="11">
        <f>(SEGUIMIENTO_TPM_xlsx[[#This Row],[FECHA Y HORA FINAL]]-SEGUIMIENTO_TPM_xlsx[[#This Row],[FECHA Y HORA INICIO]])</f>
        <v>9.7222222218988463E-2</v>
      </c>
    </row>
    <row r="1172" spans="1:20" x14ac:dyDescent="0.25">
      <c r="A1172">
        <v>1180</v>
      </c>
      <c r="B1172" t="s">
        <v>268</v>
      </c>
      <c r="C1172" s="1">
        <v>0.45833333333333331</v>
      </c>
      <c r="D1172" s="2">
        <v>46142</v>
      </c>
      <c r="E1172" t="s">
        <v>147</v>
      </c>
      <c r="F1172" t="s">
        <v>18</v>
      </c>
      <c r="G1172" t="s">
        <v>2064</v>
      </c>
      <c r="H1172" s="1"/>
      <c r="I1172" s="1"/>
      <c r="J1172" s="2"/>
      <c r="P1172" t="s">
        <v>33</v>
      </c>
      <c r="Q1172" s="1">
        <f>SEGUIMIENTO_TPM_xlsx[[#This Row],[HORA FIN  INTERVENCIÓN]]-SEGUIMIENTO_TPM_xlsx[[#This Row],[HORA INICIO INTERVENCIÓN]]</f>
        <v>0</v>
      </c>
      <c r="R1172" s="20">
        <f>(SEGUIMIENTO_TPM_xlsx[[#This Row],[HORA REPORTE]]+SEGUIMIENTO_TPM_xlsx[[#This Row],[FECHA DE REPORTE]])</f>
        <v>46142.458333333336</v>
      </c>
      <c r="S1172" s="20">
        <f>(SEGUIMIENTO_TPM_xlsx[[#This Row],[FECHA DE INTERVENCÓN]]+SEGUIMIENTO_TPM_xlsx[[#This Row],[HORA FIN  INTERVENCIÓN]])</f>
        <v>0</v>
      </c>
      <c r="T1172" s="11">
        <f>(SEGUIMIENTO_TPM_xlsx[[#This Row],[FECHA Y HORA FINAL]]-SEGUIMIENTO_TPM_xlsx[[#This Row],[FECHA Y HORA INICIO]])</f>
        <v>-46142.458333333336</v>
      </c>
    </row>
    <row r="1173" spans="1:20" x14ac:dyDescent="0.25">
      <c r="A1173">
        <v>1181</v>
      </c>
      <c r="C1173" s="1"/>
      <c r="D1173" s="2"/>
      <c r="H1173" s="1"/>
      <c r="I1173" s="1"/>
      <c r="J1173" s="2"/>
      <c r="Q1173" s="1">
        <f>SEGUIMIENTO_TPM_xlsx[[#This Row],[HORA FIN  INTERVENCIÓN]]-SEGUIMIENTO_TPM_xlsx[[#This Row],[HORA INICIO INTERVENCIÓN]]</f>
        <v>0</v>
      </c>
      <c r="R1173" s="20">
        <f>(SEGUIMIENTO_TPM_xlsx[[#This Row],[HORA REPORTE]]+SEGUIMIENTO_TPM_xlsx[[#This Row],[FECHA DE REPORTE]])</f>
        <v>0</v>
      </c>
      <c r="S1173" s="20">
        <f>(SEGUIMIENTO_TPM_xlsx[[#This Row],[FECHA DE INTERVENCÓN]]+SEGUIMIENTO_TPM_xlsx[[#This Row],[HORA FIN  INTERVENCIÓN]])</f>
        <v>0</v>
      </c>
      <c r="T1173" s="11">
        <f>(SEGUIMIENTO_TPM_xlsx[[#This Row],[FECHA Y HORA FINAL]]-SEGUIMIENTO_TPM_xlsx[[#This Row],[FECHA Y HORA INICIO]])</f>
        <v>0</v>
      </c>
    </row>
    <row r="1174" spans="1:20" x14ac:dyDescent="0.25">
      <c r="A1174">
        <v>1182</v>
      </c>
      <c r="B1174" t="s">
        <v>124</v>
      </c>
      <c r="C1174" s="1">
        <v>0.56944444444444442</v>
      </c>
      <c r="D1174" s="2">
        <v>46142</v>
      </c>
      <c r="E1174" t="s">
        <v>94</v>
      </c>
      <c r="F1174" t="s">
        <v>18</v>
      </c>
      <c r="G1174" t="s">
        <v>2065</v>
      </c>
      <c r="H1174" s="1">
        <v>0.56944444444444442</v>
      </c>
      <c r="I1174" s="1">
        <v>0.58333333333333337</v>
      </c>
      <c r="J1174" s="2">
        <v>46142</v>
      </c>
      <c r="K1174" t="s">
        <v>20</v>
      </c>
      <c r="L1174" t="s">
        <v>2066</v>
      </c>
      <c r="M1174" t="s">
        <v>22</v>
      </c>
      <c r="N1174" t="s">
        <v>22</v>
      </c>
      <c r="O1174" t="s">
        <v>112</v>
      </c>
      <c r="P1174" t="s">
        <v>23</v>
      </c>
      <c r="Q1174" s="1">
        <f>SEGUIMIENTO_TPM_xlsx[[#This Row],[HORA FIN  INTERVENCIÓN]]-SEGUIMIENTO_TPM_xlsx[[#This Row],[HORA INICIO INTERVENCIÓN]]</f>
        <v>1.3888888888888951E-2</v>
      </c>
      <c r="R1174" s="20">
        <f>(SEGUIMIENTO_TPM_xlsx[[#This Row],[HORA REPORTE]]+SEGUIMIENTO_TPM_xlsx[[#This Row],[FECHA DE REPORTE]])</f>
        <v>46142.569444444445</v>
      </c>
      <c r="S1174" s="20">
        <f>(SEGUIMIENTO_TPM_xlsx[[#This Row],[FECHA DE INTERVENCÓN]]+SEGUIMIENTO_TPM_xlsx[[#This Row],[HORA FIN  INTERVENCIÓN]])</f>
        <v>46142.583333333336</v>
      </c>
      <c r="T1174" s="11">
        <f>(SEGUIMIENTO_TPM_xlsx[[#This Row],[FECHA Y HORA FINAL]]-SEGUIMIENTO_TPM_xlsx[[#This Row],[FECHA Y HORA INICIO]])</f>
        <v>1.3888888890505768E-2</v>
      </c>
    </row>
    <row r="1175" spans="1:20" x14ac:dyDescent="0.25">
      <c r="A1175">
        <v>1183</v>
      </c>
      <c r="B1175" t="s">
        <v>526</v>
      </c>
      <c r="C1175" s="1">
        <v>0.35416666666666669</v>
      </c>
      <c r="D1175" s="2">
        <v>46142</v>
      </c>
      <c r="E1175" t="s">
        <v>104</v>
      </c>
      <c r="F1175" t="s">
        <v>18</v>
      </c>
      <c r="G1175" t="s">
        <v>2067</v>
      </c>
      <c r="H1175" s="1">
        <v>0.35416666666666669</v>
      </c>
      <c r="I1175" s="1">
        <v>0.375</v>
      </c>
      <c r="J1175" s="2">
        <v>46142</v>
      </c>
      <c r="K1175" t="s">
        <v>20</v>
      </c>
      <c r="L1175" t="s">
        <v>2068</v>
      </c>
      <c r="M1175" t="s">
        <v>2069</v>
      </c>
      <c r="N1175" t="s">
        <v>22</v>
      </c>
      <c r="O1175" t="s">
        <v>112</v>
      </c>
      <c r="P1175" t="s">
        <v>23</v>
      </c>
      <c r="Q1175" s="1">
        <f>SEGUIMIENTO_TPM_xlsx[[#This Row],[HORA FIN  INTERVENCIÓN]]-SEGUIMIENTO_TPM_xlsx[[#This Row],[HORA INICIO INTERVENCIÓN]]</f>
        <v>2.0833333333333315E-2</v>
      </c>
      <c r="R1175" s="20">
        <f>(SEGUIMIENTO_TPM_xlsx[[#This Row],[HORA REPORTE]]+SEGUIMIENTO_TPM_xlsx[[#This Row],[FECHA DE REPORTE]])</f>
        <v>46142.354166666664</v>
      </c>
      <c r="S1175" s="20">
        <f>(SEGUIMIENTO_TPM_xlsx[[#This Row],[FECHA DE INTERVENCÓN]]+SEGUIMIENTO_TPM_xlsx[[#This Row],[HORA FIN  INTERVENCIÓN]])</f>
        <v>46142.375</v>
      </c>
      <c r="T1175" s="11">
        <f>(SEGUIMIENTO_TPM_xlsx[[#This Row],[FECHA Y HORA FINAL]]-SEGUIMIENTO_TPM_xlsx[[#This Row],[FECHA Y HORA INICIO]])</f>
        <v>2.0833333335758653E-2</v>
      </c>
    </row>
    <row r="1176" spans="1:20" x14ac:dyDescent="0.25">
      <c r="A1176">
        <v>1184</v>
      </c>
      <c r="B1176" t="s">
        <v>103</v>
      </c>
      <c r="C1176" s="1">
        <v>0.81597222222222221</v>
      </c>
      <c r="D1176" s="2">
        <v>46142</v>
      </c>
      <c r="E1176" t="s">
        <v>147</v>
      </c>
      <c r="F1176" t="s">
        <v>18</v>
      </c>
      <c r="G1176" t="s">
        <v>2070</v>
      </c>
      <c r="H1176" s="1">
        <v>0.81597222222222221</v>
      </c>
      <c r="I1176" s="1">
        <v>0.98611111111111116</v>
      </c>
      <c r="J1176" s="2">
        <v>46142</v>
      </c>
      <c r="K1176" t="s">
        <v>20</v>
      </c>
      <c r="L1176" t="s">
        <v>2071</v>
      </c>
      <c r="M1176" t="s">
        <v>2072</v>
      </c>
      <c r="N1176" t="s">
        <v>22</v>
      </c>
      <c r="O1176" t="s">
        <v>661</v>
      </c>
      <c r="P1176" t="s">
        <v>23</v>
      </c>
      <c r="Q1176" s="1">
        <f>SEGUIMIENTO_TPM_xlsx[[#This Row],[HORA FIN  INTERVENCIÓN]]-SEGUIMIENTO_TPM_xlsx[[#This Row],[HORA INICIO INTERVENCIÓN]]</f>
        <v>0.17013888888888895</v>
      </c>
      <c r="R1176" s="20">
        <f>(SEGUIMIENTO_TPM_xlsx[[#This Row],[HORA REPORTE]]+SEGUIMIENTO_TPM_xlsx[[#This Row],[FECHA DE REPORTE]])</f>
        <v>46142.815972222219</v>
      </c>
      <c r="S1176" s="20">
        <f>(SEGUIMIENTO_TPM_xlsx[[#This Row],[FECHA DE INTERVENCÓN]]+SEGUIMIENTO_TPM_xlsx[[#This Row],[HORA FIN  INTERVENCIÓN]])</f>
        <v>46142.986111111109</v>
      </c>
      <c r="T1176" s="11">
        <f>(SEGUIMIENTO_TPM_xlsx[[#This Row],[FECHA Y HORA FINAL]]-SEGUIMIENTO_TPM_xlsx[[#This Row],[FECHA Y HORA INICIO]])</f>
        <v>0.17013888889050577</v>
      </c>
    </row>
    <row r="1177" spans="1:20" x14ac:dyDescent="0.25">
      <c r="A1177">
        <v>1185</v>
      </c>
      <c r="B1177" t="s">
        <v>113</v>
      </c>
      <c r="C1177" s="1">
        <v>0.74305555555555558</v>
      </c>
      <c r="D1177" s="2">
        <v>46142</v>
      </c>
      <c r="E1177" t="s">
        <v>91</v>
      </c>
      <c r="F1177" t="s">
        <v>18</v>
      </c>
      <c r="G1177" t="s">
        <v>2073</v>
      </c>
      <c r="H1177" s="1">
        <v>0.76388888888888884</v>
      </c>
      <c r="I1177" s="1">
        <v>0.90277777777777779</v>
      </c>
      <c r="J1177" s="2">
        <v>46142</v>
      </c>
      <c r="K1177" t="s">
        <v>25</v>
      </c>
      <c r="L1177" t="s">
        <v>2074</v>
      </c>
      <c r="M1177" t="s">
        <v>22</v>
      </c>
      <c r="N1177" t="s">
        <v>22</v>
      </c>
      <c r="O1177" t="s">
        <v>661</v>
      </c>
      <c r="P1177" t="s">
        <v>23</v>
      </c>
      <c r="Q1177" s="1">
        <f>SEGUIMIENTO_TPM_xlsx[[#This Row],[HORA FIN  INTERVENCIÓN]]-SEGUIMIENTO_TPM_xlsx[[#This Row],[HORA INICIO INTERVENCIÓN]]</f>
        <v>0.13888888888888895</v>
      </c>
      <c r="R1177" s="20">
        <f>(SEGUIMIENTO_TPM_xlsx[[#This Row],[HORA REPORTE]]+SEGUIMIENTO_TPM_xlsx[[#This Row],[FECHA DE REPORTE]])</f>
        <v>46142.743055555555</v>
      </c>
      <c r="S1177" s="20">
        <f>(SEGUIMIENTO_TPM_xlsx[[#This Row],[FECHA DE INTERVENCÓN]]+SEGUIMIENTO_TPM_xlsx[[#This Row],[HORA FIN  INTERVENCIÓN]])</f>
        <v>46142.902777777781</v>
      </c>
      <c r="T1177" s="11">
        <f>(SEGUIMIENTO_TPM_xlsx[[#This Row],[FECHA Y HORA FINAL]]-SEGUIMIENTO_TPM_xlsx[[#This Row],[FECHA Y HORA INICIO]])</f>
        <v>0.15972222222626442</v>
      </c>
    </row>
    <row r="1178" spans="1:20" x14ac:dyDescent="0.25">
      <c r="A1178">
        <v>1186</v>
      </c>
      <c r="C1178" s="1"/>
      <c r="D1178" s="2"/>
      <c r="H1178" s="1"/>
      <c r="I1178" s="1"/>
      <c r="J1178" s="2"/>
      <c r="Q1178" s="1">
        <f>SEGUIMIENTO_TPM_xlsx[[#This Row],[HORA FIN  INTERVENCIÓN]]-SEGUIMIENTO_TPM_xlsx[[#This Row],[HORA INICIO INTERVENCIÓN]]</f>
        <v>0</v>
      </c>
      <c r="R1178" s="20">
        <f>(SEGUIMIENTO_TPM_xlsx[[#This Row],[HORA REPORTE]]+SEGUIMIENTO_TPM_xlsx[[#This Row],[FECHA DE REPORTE]])</f>
        <v>0</v>
      </c>
      <c r="S1178" s="20">
        <f>(SEGUIMIENTO_TPM_xlsx[[#This Row],[FECHA DE INTERVENCÓN]]+SEGUIMIENTO_TPM_xlsx[[#This Row],[HORA FIN  INTERVENCIÓN]])</f>
        <v>0</v>
      </c>
      <c r="T1178" s="11">
        <f>(SEGUIMIENTO_TPM_xlsx[[#This Row],[FECHA Y HORA FINAL]]-SEGUIMIENTO_TPM_xlsx[[#This Row],[FECHA Y HORA INICIO]])</f>
        <v>0</v>
      </c>
    </row>
    <row r="1179" spans="1:20" x14ac:dyDescent="0.25">
      <c r="A1179">
        <v>1187</v>
      </c>
      <c r="B1179" t="s">
        <v>603</v>
      </c>
      <c r="C1179" s="1">
        <v>1.9444444444444445E-2</v>
      </c>
      <c r="D1179" s="2">
        <v>46143</v>
      </c>
      <c r="E1179" t="s">
        <v>116</v>
      </c>
      <c r="F1179" t="s">
        <v>18</v>
      </c>
      <c r="G1179" t="s">
        <v>2075</v>
      </c>
      <c r="H1179" s="1">
        <v>2.0833333333333332E-2</v>
      </c>
      <c r="I1179" s="1">
        <v>4.1666666666666664E-2</v>
      </c>
      <c r="J1179" s="2">
        <v>46143</v>
      </c>
      <c r="K1179" t="s">
        <v>25</v>
      </c>
      <c r="L1179" t="s">
        <v>2076</v>
      </c>
      <c r="M1179" t="s">
        <v>22</v>
      </c>
      <c r="N1179" t="s">
        <v>22</v>
      </c>
      <c r="O1179" t="s">
        <v>661</v>
      </c>
      <c r="P1179" t="s">
        <v>23</v>
      </c>
      <c r="Q1179" s="1">
        <f>SEGUIMIENTO_TPM_xlsx[[#This Row],[HORA FIN  INTERVENCIÓN]]-SEGUIMIENTO_TPM_xlsx[[#This Row],[HORA INICIO INTERVENCIÓN]]</f>
        <v>2.0833333333333332E-2</v>
      </c>
      <c r="R1179" s="20">
        <f>(SEGUIMIENTO_TPM_xlsx[[#This Row],[HORA REPORTE]]+SEGUIMIENTO_TPM_xlsx[[#This Row],[FECHA DE REPORTE]])</f>
        <v>46143.019444444442</v>
      </c>
      <c r="S1179" s="20">
        <f>(SEGUIMIENTO_TPM_xlsx[[#This Row],[FECHA DE INTERVENCÓN]]+SEGUIMIENTO_TPM_xlsx[[#This Row],[HORA FIN  INTERVENCIÓN]])</f>
        <v>46143.041666666664</v>
      </c>
      <c r="T1179" s="11">
        <f>(SEGUIMIENTO_TPM_xlsx[[#This Row],[FECHA Y HORA FINAL]]-SEGUIMIENTO_TPM_xlsx[[#This Row],[FECHA Y HORA INICIO]])</f>
        <v>2.2222222221898846E-2</v>
      </c>
    </row>
    <row r="1180" spans="1:20" x14ac:dyDescent="0.25">
      <c r="A1180">
        <v>1188</v>
      </c>
      <c r="B1180" t="s">
        <v>164</v>
      </c>
      <c r="C1180" s="1"/>
      <c r="D1180" s="2">
        <v>46143</v>
      </c>
      <c r="E1180" t="s">
        <v>143</v>
      </c>
      <c r="F1180" t="s">
        <v>18</v>
      </c>
      <c r="G1180" t="s">
        <v>2077</v>
      </c>
      <c r="H1180" s="1"/>
      <c r="I1180" s="1"/>
      <c r="J1180" s="2"/>
      <c r="L1180" t="s">
        <v>2078</v>
      </c>
      <c r="M1180" t="s">
        <v>22</v>
      </c>
      <c r="N1180" t="s">
        <v>22</v>
      </c>
      <c r="O1180" t="s">
        <v>661</v>
      </c>
      <c r="P1180" t="s">
        <v>23</v>
      </c>
      <c r="Q1180" s="1">
        <f>SEGUIMIENTO_TPM_xlsx[[#This Row],[HORA FIN  INTERVENCIÓN]]-SEGUIMIENTO_TPM_xlsx[[#This Row],[HORA INICIO INTERVENCIÓN]]</f>
        <v>0</v>
      </c>
      <c r="R1180" s="20">
        <f>(SEGUIMIENTO_TPM_xlsx[[#This Row],[HORA REPORTE]]+SEGUIMIENTO_TPM_xlsx[[#This Row],[FECHA DE REPORTE]])</f>
        <v>46143</v>
      </c>
      <c r="S1180" s="20">
        <f>(SEGUIMIENTO_TPM_xlsx[[#This Row],[FECHA DE INTERVENCÓN]]+SEGUIMIENTO_TPM_xlsx[[#This Row],[HORA FIN  INTERVENCIÓN]])</f>
        <v>0</v>
      </c>
      <c r="T1180" s="11">
        <f>(SEGUIMIENTO_TPM_xlsx[[#This Row],[FECHA Y HORA FINAL]]-SEGUIMIENTO_TPM_xlsx[[#This Row],[FECHA Y HORA INICIO]])</f>
        <v>-46143</v>
      </c>
    </row>
    <row r="1181" spans="1:20" x14ac:dyDescent="0.25">
      <c r="A1181">
        <v>1189</v>
      </c>
      <c r="B1181" t="s">
        <v>279</v>
      </c>
      <c r="C1181" s="1">
        <v>3.4722222222222224E-2</v>
      </c>
      <c r="D1181" s="2">
        <v>46143</v>
      </c>
      <c r="E1181" t="s">
        <v>109</v>
      </c>
      <c r="F1181" t="s">
        <v>18</v>
      </c>
      <c r="G1181" t="s">
        <v>2079</v>
      </c>
      <c r="H1181" s="1">
        <v>3.8194444444444448E-2</v>
      </c>
      <c r="I1181" s="1">
        <v>4.8611111111111112E-2</v>
      </c>
      <c r="J1181" s="2">
        <v>46143</v>
      </c>
      <c r="K1181" t="s">
        <v>25</v>
      </c>
      <c r="L1181" t="s">
        <v>2080</v>
      </c>
      <c r="M1181" t="s">
        <v>2081</v>
      </c>
      <c r="N1181" t="s">
        <v>22</v>
      </c>
      <c r="O1181" t="s">
        <v>661</v>
      </c>
      <c r="P1181" t="s">
        <v>23</v>
      </c>
      <c r="Q1181" s="1">
        <f>SEGUIMIENTO_TPM_xlsx[[#This Row],[HORA FIN  INTERVENCIÓN]]-SEGUIMIENTO_TPM_xlsx[[#This Row],[HORA INICIO INTERVENCIÓN]]</f>
        <v>1.0416666666666664E-2</v>
      </c>
      <c r="R1181" s="20">
        <f>(SEGUIMIENTO_TPM_xlsx[[#This Row],[HORA REPORTE]]+SEGUIMIENTO_TPM_xlsx[[#This Row],[FECHA DE REPORTE]])</f>
        <v>46143.034722222219</v>
      </c>
      <c r="S1181" s="20">
        <f>(SEGUIMIENTO_TPM_xlsx[[#This Row],[FECHA DE INTERVENCÓN]]+SEGUIMIENTO_TPM_xlsx[[#This Row],[HORA FIN  INTERVENCIÓN]])</f>
        <v>46143.048611111109</v>
      </c>
      <c r="T1181" s="11">
        <f>(SEGUIMIENTO_TPM_xlsx[[#This Row],[FECHA Y HORA FINAL]]-SEGUIMIENTO_TPM_xlsx[[#This Row],[FECHA Y HORA INICIO]])</f>
        <v>1.3888888890505768E-2</v>
      </c>
    </row>
    <row r="1182" spans="1:20" x14ac:dyDescent="0.25">
      <c r="A1182">
        <v>1190</v>
      </c>
      <c r="B1182" t="s">
        <v>161</v>
      </c>
      <c r="C1182" s="1">
        <v>0.41666666666666669</v>
      </c>
      <c r="D1182" s="2">
        <v>46143</v>
      </c>
      <c r="E1182" t="s">
        <v>94</v>
      </c>
      <c r="F1182" t="s">
        <v>18</v>
      </c>
      <c r="G1182" t="s">
        <v>2082</v>
      </c>
      <c r="H1182" s="1">
        <v>0.41666666666666669</v>
      </c>
      <c r="I1182" s="1">
        <v>0.52152777777777781</v>
      </c>
      <c r="J1182" s="2">
        <v>46143</v>
      </c>
      <c r="K1182" t="s">
        <v>25</v>
      </c>
      <c r="L1182" t="s">
        <v>2083</v>
      </c>
      <c r="M1182" t="s">
        <v>22</v>
      </c>
      <c r="N1182" t="s">
        <v>22</v>
      </c>
      <c r="O1182" t="s">
        <v>108</v>
      </c>
      <c r="P1182" t="s">
        <v>23</v>
      </c>
      <c r="Q1182" s="1">
        <f>SEGUIMIENTO_TPM_xlsx[[#This Row],[HORA FIN  INTERVENCIÓN]]-SEGUIMIENTO_TPM_xlsx[[#This Row],[HORA INICIO INTERVENCIÓN]]</f>
        <v>0.10486111111111113</v>
      </c>
      <c r="R1182" s="20">
        <f>(SEGUIMIENTO_TPM_xlsx[[#This Row],[HORA REPORTE]]+SEGUIMIENTO_TPM_xlsx[[#This Row],[FECHA DE REPORTE]])</f>
        <v>46143.416666666664</v>
      </c>
      <c r="S1182" s="20">
        <f>(SEGUIMIENTO_TPM_xlsx[[#This Row],[FECHA DE INTERVENCÓN]]+SEGUIMIENTO_TPM_xlsx[[#This Row],[HORA FIN  INTERVENCIÓN]])</f>
        <v>46143.521527777775</v>
      </c>
      <c r="T1182" s="11">
        <f>(SEGUIMIENTO_TPM_xlsx[[#This Row],[FECHA Y HORA FINAL]]-SEGUIMIENTO_TPM_xlsx[[#This Row],[FECHA Y HORA INICIO]])</f>
        <v>0.10486111111094942</v>
      </c>
    </row>
    <row r="1183" spans="1:20" x14ac:dyDescent="0.25">
      <c r="A1183">
        <v>1191</v>
      </c>
      <c r="C1183" s="1"/>
      <c r="D1183" s="2"/>
      <c r="H1183" s="1"/>
      <c r="I1183" s="1"/>
      <c r="J1183" s="2"/>
      <c r="Q1183" s="1">
        <f>SEGUIMIENTO_TPM_xlsx[[#This Row],[HORA FIN  INTERVENCIÓN]]-SEGUIMIENTO_TPM_xlsx[[#This Row],[HORA INICIO INTERVENCIÓN]]</f>
        <v>0</v>
      </c>
      <c r="R1183" s="20">
        <f>(SEGUIMIENTO_TPM_xlsx[[#This Row],[HORA REPORTE]]+SEGUIMIENTO_TPM_xlsx[[#This Row],[FECHA DE REPORTE]])</f>
        <v>0</v>
      </c>
      <c r="S1183" s="20">
        <f>(SEGUIMIENTO_TPM_xlsx[[#This Row],[FECHA DE INTERVENCÓN]]+SEGUIMIENTO_TPM_xlsx[[#This Row],[HORA FIN  INTERVENCIÓN]])</f>
        <v>0</v>
      </c>
      <c r="T1183" s="11">
        <f>(SEGUIMIENTO_TPM_xlsx[[#This Row],[FECHA Y HORA FINAL]]-SEGUIMIENTO_TPM_xlsx[[#This Row],[FECHA Y HORA INICIO]])</f>
        <v>0</v>
      </c>
    </row>
    <row r="1184" spans="1:20" x14ac:dyDescent="0.25">
      <c r="A1184">
        <v>1192</v>
      </c>
      <c r="B1184" t="s">
        <v>120</v>
      </c>
      <c r="C1184" s="1">
        <v>6.9444444444444441E-3</v>
      </c>
      <c r="D1184" s="2">
        <v>46144</v>
      </c>
      <c r="E1184" t="s">
        <v>116</v>
      </c>
      <c r="F1184" t="s">
        <v>18</v>
      </c>
      <c r="G1184" t="s">
        <v>2084</v>
      </c>
      <c r="H1184" s="1">
        <v>6.9444444444444441E-3</v>
      </c>
      <c r="I1184" s="1">
        <v>5.5555555555555552E-2</v>
      </c>
      <c r="J1184" s="2">
        <v>46144</v>
      </c>
      <c r="K1184" t="s">
        <v>25</v>
      </c>
      <c r="L1184" t="s">
        <v>2085</v>
      </c>
      <c r="M1184" t="s">
        <v>22</v>
      </c>
      <c r="N1184" t="s">
        <v>22</v>
      </c>
      <c r="O1184" t="s">
        <v>112</v>
      </c>
      <c r="P1184" t="s">
        <v>23</v>
      </c>
      <c r="Q1184" s="1">
        <f>SEGUIMIENTO_TPM_xlsx[[#This Row],[HORA FIN  INTERVENCIÓN]]-SEGUIMIENTO_TPM_xlsx[[#This Row],[HORA INICIO INTERVENCIÓN]]</f>
        <v>4.8611111111111105E-2</v>
      </c>
      <c r="R1184" s="20">
        <f>(SEGUIMIENTO_TPM_xlsx[[#This Row],[HORA REPORTE]]+SEGUIMIENTO_TPM_xlsx[[#This Row],[FECHA DE REPORTE]])</f>
        <v>46144.006944444445</v>
      </c>
      <c r="S1184" s="20">
        <f>(SEGUIMIENTO_TPM_xlsx[[#This Row],[FECHA DE INTERVENCÓN]]+SEGUIMIENTO_TPM_xlsx[[#This Row],[HORA FIN  INTERVENCIÓN]])</f>
        <v>46144.055555555555</v>
      </c>
      <c r="T1184" s="11">
        <f>(SEGUIMIENTO_TPM_xlsx[[#This Row],[FECHA Y HORA FINAL]]-SEGUIMIENTO_TPM_xlsx[[#This Row],[FECHA Y HORA INICIO]])</f>
        <v>4.8611111109494232E-2</v>
      </c>
    </row>
    <row r="1185" spans="1:20" x14ac:dyDescent="0.25">
      <c r="A1185">
        <v>1193</v>
      </c>
      <c r="C1185" s="1"/>
      <c r="D1185" s="2"/>
      <c r="H1185" s="1"/>
      <c r="I1185" s="1"/>
      <c r="J1185" s="2"/>
      <c r="Q1185" s="1">
        <f>SEGUIMIENTO_TPM_xlsx[[#This Row],[HORA FIN  INTERVENCIÓN]]-SEGUIMIENTO_TPM_xlsx[[#This Row],[HORA INICIO INTERVENCIÓN]]</f>
        <v>0</v>
      </c>
      <c r="R1185" s="20">
        <f>(SEGUIMIENTO_TPM_xlsx[[#This Row],[HORA REPORTE]]+SEGUIMIENTO_TPM_xlsx[[#This Row],[FECHA DE REPORTE]])</f>
        <v>0</v>
      </c>
      <c r="S1185" s="20">
        <f>(SEGUIMIENTO_TPM_xlsx[[#This Row],[FECHA DE INTERVENCÓN]]+SEGUIMIENTO_TPM_xlsx[[#This Row],[HORA FIN  INTERVENCIÓN]])</f>
        <v>0</v>
      </c>
      <c r="T1185" s="11">
        <f>(SEGUIMIENTO_TPM_xlsx[[#This Row],[FECHA Y HORA FINAL]]-SEGUIMIENTO_TPM_xlsx[[#This Row],[FECHA Y HORA INICIO]])</f>
        <v>0</v>
      </c>
    </row>
    <row r="1186" spans="1:20" x14ac:dyDescent="0.25">
      <c r="A1186">
        <v>1194</v>
      </c>
      <c r="C1186" s="1"/>
      <c r="D1186" s="2"/>
      <c r="H1186" s="1"/>
      <c r="I1186" s="1"/>
      <c r="J1186" s="2"/>
      <c r="Q1186" s="1">
        <f>SEGUIMIENTO_TPM_xlsx[[#This Row],[HORA FIN  INTERVENCIÓN]]-SEGUIMIENTO_TPM_xlsx[[#This Row],[HORA INICIO INTERVENCIÓN]]</f>
        <v>0</v>
      </c>
      <c r="R1186" s="20">
        <f>(SEGUIMIENTO_TPM_xlsx[[#This Row],[HORA REPORTE]]+SEGUIMIENTO_TPM_xlsx[[#This Row],[FECHA DE REPORTE]])</f>
        <v>0</v>
      </c>
      <c r="S1186" s="20">
        <f>(SEGUIMIENTO_TPM_xlsx[[#This Row],[FECHA DE INTERVENCÓN]]+SEGUIMIENTO_TPM_xlsx[[#This Row],[HORA FIN  INTERVENCIÓN]])</f>
        <v>0</v>
      </c>
      <c r="T1186" s="11">
        <f>(SEGUIMIENTO_TPM_xlsx[[#This Row],[FECHA Y HORA FINAL]]-SEGUIMIENTO_TPM_xlsx[[#This Row],[FECHA Y HORA INICIO]])</f>
        <v>0</v>
      </c>
    </row>
    <row r="1187" spans="1:20" x14ac:dyDescent="0.25">
      <c r="A1187">
        <v>1195</v>
      </c>
      <c r="B1187" t="s">
        <v>113</v>
      </c>
      <c r="C1187" s="1">
        <v>0.79166666666666663</v>
      </c>
      <c r="D1187" s="2">
        <v>46143</v>
      </c>
      <c r="E1187" t="s">
        <v>91</v>
      </c>
      <c r="F1187" t="s">
        <v>18</v>
      </c>
      <c r="G1187" t="s">
        <v>2086</v>
      </c>
      <c r="H1187" s="1">
        <v>0.79166666666666663</v>
      </c>
      <c r="I1187" s="1">
        <v>0.81944444444444442</v>
      </c>
      <c r="J1187" s="2">
        <v>46143</v>
      </c>
      <c r="K1187" t="s">
        <v>25</v>
      </c>
      <c r="L1187" t="s">
        <v>2087</v>
      </c>
      <c r="M1187" t="s">
        <v>22</v>
      </c>
      <c r="N1187" t="s">
        <v>22</v>
      </c>
      <c r="O1187" t="s">
        <v>112</v>
      </c>
      <c r="P1187" t="s">
        <v>23</v>
      </c>
      <c r="Q1187" s="1">
        <f>SEGUIMIENTO_TPM_xlsx[[#This Row],[HORA FIN  INTERVENCIÓN]]-SEGUIMIENTO_TPM_xlsx[[#This Row],[HORA INICIO INTERVENCIÓN]]</f>
        <v>2.777777777777779E-2</v>
      </c>
      <c r="R1187" s="20">
        <f>(SEGUIMIENTO_TPM_xlsx[[#This Row],[HORA REPORTE]]+SEGUIMIENTO_TPM_xlsx[[#This Row],[FECHA DE REPORTE]])</f>
        <v>46143.791666666664</v>
      </c>
      <c r="S1187" s="20">
        <f>(SEGUIMIENTO_TPM_xlsx[[#This Row],[FECHA DE INTERVENCÓN]]+SEGUIMIENTO_TPM_xlsx[[#This Row],[HORA FIN  INTERVENCIÓN]])</f>
        <v>46143.819444444445</v>
      </c>
      <c r="T1187" s="11">
        <f>(SEGUIMIENTO_TPM_xlsx[[#This Row],[FECHA Y HORA FINAL]]-SEGUIMIENTO_TPM_xlsx[[#This Row],[FECHA Y HORA INICIO]])</f>
        <v>2.7777777781011537E-2</v>
      </c>
    </row>
    <row r="1188" spans="1:20" x14ac:dyDescent="0.25">
      <c r="A1188">
        <v>1196</v>
      </c>
      <c r="C1188" s="1"/>
      <c r="D1188" s="2"/>
      <c r="H1188" s="1"/>
      <c r="I1188" s="1"/>
      <c r="J1188" s="2"/>
      <c r="Q1188" s="1">
        <f>SEGUIMIENTO_TPM_xlsx[[#This Row],[HORA FIN  INTERVENCIÓN]]-SEGUIMIENTO_TPM_xlsx[[#This Row],[HORA INICIO INTERVENCIÓN]]</f>
        <v>0</v>
      </c>
      <c r="R1188" s="20">
        <f>(SEGUIMIENTO_TPM_xlsx[[#This Row],[HORA REPORTE]]+SEGUIMIENTO_TPM_xlsx[[#This Row],[FECHA DE REPORTE]])</f>
        <v>0</v>
      </c>
      <c r="S1188" s="20">
        <f>(SEGUIMIENTO_TPM_xlsx[[#This Row],[FECHA DE INTERVENCÓN]]+SEGUIMIENTO_TPM_xlsx[[#This Row],[HORA FIN  INTERVENCIÓN]])</f>
        <v>0</v>
      </c>
      <c r="T1188" s="11">
        <f>(SEGUIMIENTO_TPM_xlsx[[#This Row],[FECHA Y HORA FINAL]]-SEGUIMIENTO_TPM_xlsx[[#This Row],[FECHA Y HORA INICIO]])</f>
        <v>0</v>
      </c>
    </row>
    <row r="1189" spans="1:20" x14ac:dyDescent="0.25">
      <c r="A1189">
        <v>1197</v>
      </c>
      <c r="B1189" t="s">
        <v>161</v>
      </c>
      <c r="C1189" s="1">
        <v>0.3263888888888889</v>
      </c>
      <c r="D1189" s="2">
        <v>46144</v>
      </c>
      <c r="E1189" t="s">
        <v>116</v>
      </c>
      <c r="F1189" t="s">
        <v>18</v>
      </c>
      <c r="G1189" t="s">
        <v>2088</v>
      </c>
      <c r="H1189" s="1">
        <v>0.3263888888888889</v>
      </c>
      <c r="I1189" s="1">
        <v>0.3611111111111111</v>
      </c>
      <c r="J1189" s="2">
        <v>46144</v>
      </c>
      <c r="K1189" t="s">
        <v>25</v>
      </c>
      <c r="L1189" t="s">
        <v>2089</v>
      </c>
      <c r="M1189" t="s">
        <v>22</v>
      </c>
      <c r="N1189" t="s">
        <v>22</v>
      </c>
      <c r="O1189" t="s">
        <v>108</v>
      </c>
      <c r="P1189" t="s">
        <v>23</v>
      </c>
      <c r="Q1189" s="1">
        <f>SEGUIMIENTO_TPM_xlsx[[#This Row],[HORA FIN  INTERVENCIÓN]]-SEGUIMIENTO_TPM_xlsx[[#This Row],[HORA INICIO INTERVENCIÓN]]</f>
        <v>3.472222222222221E-2</v>
      </c>
      <c r="R1189" s="20">
        <f>(SEGUIMIENTO_TPM_xlsx[[#This Row],[HORA REPORTE]]+SEGUIMIENTO_TPM_xlsx[[#This Row],[FECHA DE REPORTE]])</f>
        <v>46144.326388888891</v>
      </c>
      <c r="S1189" s="20">
        <f>(SEGUIMIENTO_TPM_xlsx[[#This Row],[FECHA DE INTERVENCÓN]]+SEGUIMIENTO_TPM_xlsx[[#This Row],[HORA FIN  INTERVENCIÓN]])</f>
        <v>46144.361111111109</v>
      </c>
      <c r="T1189" s="11">
        <f>(SEGUIMIENTO_TPM_xlsx[[#This Row],[FECHA Y HORA FINAL]]-SEGUIMIENTO_TPM_xlsx[[#This Row],[FECHA Y HORA INICIO]])</f>
        <v>3.4722222218988463E-2</v>
      </c>
    </row>
    <row r="1190" spans="1:20" x14ac:dyDescent="0.25">
      <c r="A1190">
        <v>1198</v>
      </c>
      <c r="B1190" t="s">
        <v>161</v>
      </c>
      <c r="C1190" s="1">
        <v>0.41666666666666669</v>
      </c>
      <c r="D1190" s="2">
        <v>46144</v>
      </c>
      <c r="E1190" t="s">
        <v>116</v>
      </c>
      <c r="F1190" t="s">
        <v>18</v>
      </c>
      <c r="G1190" t="s">
        <v>2090</v>
      </c>
      <c r="H1190" s="1">
        <v>0.41666666666666669</v>
      </c>
      <c r="I1190" s="1">
        <v>0.47916666666666669</v>
      </c>
      <c r="J1190" s="2">
        <v>46144</v>
      </c>
      <c r="K1190" t="s">
        <v>25</v>
      </c>
      <c r="L1190" t="s">
        <v>2091</v>
      </c>
      <c r="M1190" t="s">
        <v>22</v>
      </c>
      <c r="N1190" t="s">
        <v>2092</v>
      </c>
      <c r="O1190" t="s">
        <v>108</v>
      </c>
      <c r="P1190" t="s">
        <v>23</v>
      </c>
      <c r="Q1190" s="1">
        <f>SEGUIMIENTO_TPM_xlsx[[#This Row],[HORA FIN  INTERVENCIÓN]]-SEGUIMIENTO_TPM_xlsx[[#This Row],[HORA INICIO INTERVENCIÓN]]</f>
        <v>6.25E-2</v>
      </c>
      <c r="R1190" s="20">
        <f>(SEGUIMIENTO_TPM_xlsx[[#This Row],[HORA REPORTE]]+SEGUIMIENTO_TPM_xlsx[[#This Row],[FECHA DE REPORTE]])</f>
        <v>46144.416666666664</v>
      </c>
      <c r="S1190" s="20">
        <f>(SEGUIMIENTO_TPM_xlsx[[#This Row],[FECHA DE INTERVENCÓN]]+SEGUIMIENTO_TPM_xlsx[[#This Row],[HORA FIN  INTERVENCIÓN]])</f>
        <v>46144.479166666664</v>
      </c>
      <c r="T1190" s="11">
        <f>(SEGUIMIENTO_TPM_xlsx[[#This Row],[FECHA Y HORA FINAL]]-SEGUIMIENTO_TPM_xlsx[[#This Row],[FECHA Y HORA INICIO]])</f>
        <v>6.25E-2</v>
      </c>
    </row>
    <row r="1191" spans="1:20" x14ac:dyDescent="0.25">
      <c r="A1191">
        <v>1199</v>
      </c>
      <c r="B1191" t="s">
        <v>603</v>
      </c>
      <c r="C1191" s="1">
        <v>0.92847222222222225</v>
      </c>
      <c r="D1191" s="2">
        <v>46144</v>
      </c>
      <c r="E1191" t="s">
        <v>94</v>
      </c>
      <c r="F1191" t="s">
        <v>18</v>
      </c>
      <c r="G1191" t="s">
        <v>2093</v>
      </c>
      <c r="H1191" s="1">
        <v>0.93055555555555558</v>
      </c>
      <c r="I1191" s="1">
        <v>0.94444444444444442</v>
      </c>
      <c r="J1191" s="2">
        <v>46144</v>
      </c>
      <c r="K1191" t="s">
        <v>20</v>
      </c>
      <c r="L1191" t="s">
        <v>2094</v>
      </c>
      <c r="M1191" t="s">
        <v>2095</v>
      </c>
      <c r="N1191" t="s">
        <v>22</v>
      </c>
      <c r="O1191" t="s">
        <v>112</v>
      </c>
      <c r="P1191" t="s">
        <v>23</v>
      </c>
      <c r="Q1191" s="1">
        <f>SEGUIMIENTO_TPM_xlsx[[#This Row],[HORA FIN  INTERVENCIÓN]]-SEGUIMIENTO_TPM_xlsx[[#This Row],[HORA INICIO INTERVENCIÓN]]</f>
        <v>1.388888888888884E-2</v>
      </c>
      <c r="R1191" s="20">
        <f>(SEGUIMIENTO_TPM_xlsx[[#This Row],[HORA REPORTE]]+SEGUIMIENTO_TPM_xlsx[[#This Row],[FECHA DE REPORTE]])</f>
        <v>46144.928472222222</v>
      </c>
      <c r="S1191" s="20">
        <f>(SEGUIMIENTO_TPM_xlsx[[#This Row],[FECHA DE INTERVENCÓN]]+SEGUIMIENTO_TPM_xlsx[[#This Row],[HORA FIN  INTERVENCIÓN]])</f>
        <v>46144.944444444445</v>
      </c>
      <c r="T1191" s="11">
        <f>(SEGUIMIENTO_TPM_xlsx[[#This Row],[FECHA Y HORA FINAL]]-SEGUIMIENTO_TPM_xlsx[[#This Row],[FECHA Y HORA INICIO]])</f>
        <v>1.5972222223354038E-2</v>
      </c>
    </row>
    <row r="1192" spans="1:20" x14ac:dyDescent="0.25">
      <c r="A1192">
        <v>1200</v>
      </c>
      <c r="B1192" t="s">
        <v>199</v>
      </c>
      <c r="C1192" s="1">
        <v>0.41666666666666669</v>
      </c>
      <c r="D1192" s="2">
        <v>46115</v>
      </c>
      <c r="E1192" t="s">
        <v>91</v>
      </c>
      <c r="F1192" t="s">
        <v>18</v>
      </c>
      <c r="G1192" t="s">
        <v>2119</v>
      </c>
      <c r="H1192" s="1">
        <v>0.41666666666666669</v>
      </c>
      <c r="I1192" s="1">
        <v>0.5</v>
      </c>
      <c r="J1192" s="2">
        <v>46115</v>
      </c>
      <c r="K1192" t="s">
        <v>20</v>
      </c>
      <c r="L1192" t="s">
        <v>2120</v>
      </c>
      <c r="M1192" t="s">
        <v>22</v>
      </c>
      <c r="N1192" t="s">
        <v>22</v>
      </c>
      <c r="O1192" t="s">
        <v>108</v>
      </c>
      <c r="P1192" t="s">
        <v>33</v>
      </c>
      <c r="Q1192" s="1">
        <f>SEGUIMIENTO_TPM_xlsx[[#This Row],[HORA FIN  INTERVENCIÓN]]-SEGUIMIENTO_TPM_xlsx[[#This Row],[HORA INICIO INTERVENCIÓN]]</f>
        <v>8.3333333333333315E-2</v>
      </c>
      <c r="R1192" s="20">
        <f>(SEGUIMIENTO_TPM_xlsx[[#This Row],[HORA REPORTE]]+SEGUIMIENTO_TPM_xlsx[[#This Row],[FECHA DE REPORTE]])</f>
        <v>46115.416666666664</v>
      </c>
      <c r="S1192" s="20">
        <f>(SEGUIMIENTO_TPM_xlsx[[#This Row],[FECHA DE INTERVENCÓN]]+SEGUIMIENTO_TPM_xlsx[[#This Row],[HORA FIN  INTERVENCIÓN]])</f>
        <v>46115.5</v>
      </c>
      <c r="T1192" s="11">
        <f>(SEGUIMIENTO_TPM_xlsx[[#This Row],[FECHA Y HORA FINAL]]-SEGUIMIENTO_TPM_xlsx[[#This Row],[FECHA Y HORA INICIO]])</f>
        <v>8.3333333335758653E-2</v>
      </c>
    </row>
    <row r="1193" spans="1:20" x14ac:dyDescent="0.25">
      <c r="A1193">
        <v>1201</v>
      </c>
      <c r="B1193" t="s">
        <v>161</v>
      </c>
      <c r="C1193" s="1">
        <v>0.33333333333333331</v>
      </c>
      <c r="D1193" s="2">
        <v>46146</v>
      </c>
      <c r="E1193" t="s">
        <v>116</v>
      </c>
      <c r="F1193" t="s">
        <v>18</v>
      </c>
      <c r="G1193" t="s">
        <v>2096</v>
      </c>
      <c r="H1193" s="1"/>
      <c r="I1193" s="1"/>
      <c r="J1193" s="2"/>
      <c r="P1193" t="s">
        <v>33</v>
      </c>
      <c r="Q1193" s="1">
        <f>SEGUIMIENTO_TPM_xlsx[[#This Row],[HORA FIN  INTERVENCIÓN]]-SEGUIMIENTO_TPM_xlsx[[#This Row],[HORA INICIO INTERVENCIÓN]]</f>
        <v>0</v>
      </c>
      <c r="R1193" s="20">
        <f>(SEGUIMIENTO_TPM_xlsx[[#This Row],[HORA REPORTE]]+SEGUIMIENTO_TPM_xlsx[[#This Row],[FECHA DE REPORTE]])</f>
        <v>46146.333333333336</v>
      </c>
      <c r="S1193" s="20">
        <f>(SEGUIMIENTO_TPM_xlsx[[#This Row],[FECHA DE INTERVENCÓN]]+SEGUIMIENTO_TPM_xlsx[[#This Row],[HORA FIN  INTERVENCIÓN]])</f>
        <v>0</v>
      </c>
      <c r="T1193" s="11">
        <f>(SEGUIMIENTO_TPM_xlsx[[#This Row],[FECHA Y HORA FINAL]]-SEGUIMIENTO_TPM_xlsx[[#This Row],[FECHA Y HORA INICIO]])</f>
        <v>-46146.333333333336</v>
      </c>
    </row>
    <row r="1194" spans="1:20" x14ac:dyDescent="0.25">
      <c r="A1194">
        <v>1202</v>
      </c>
      <c r="B1194" t="s">
        <v>268</v>
      </c>
      <c r="C1194" s="1">
        <v>0.3347222222222222</v>
      </c>
      <c r="D1194" s="2">
        <v>46146</v>
      </c>
      <c r="E1194" t="s">
        <v>104</v>
      </c>
      <c r="G1194" t="s">
        <v>2097</v>
      </c>
      <c r="H1194" s="1"/>
      <c r="I1194" s="1"/>
      <c r="J1194" s="2"/>
      <c r="P1194" t="s">
        <v>33</v>
      </c>
      <c r="Q1194" s="1">
        <f>SEGUIMIENTO_TPM_xlsx[[#This Row],[HORA FIN  INTERVENCIÓN]]-SEGUIMIENTO_TPM_xlsx[[#This Row],[HORA INICIO INTERVENCIÓN]]</f>
        <v>0</v>
      </c>
      <c r="R1194" s="20">
        <f>(SEGUIMIENTO_TPM_xlsx[[#This Row],[HORA REPORTE]]+SEGUIMIENTO_TPM_xlsx[[#This Row],[FECHA DE REPORTE]])</f>
        <v>46146.334722222222</v>
      </c>
      <c r="S1194" s="20">
        <f>(SEGUIMIENTO_TPM_xlsx[[#This Row],[FECHA DE INTERVENCÓN]]+SEGUIMIENTO_TPM_xlsx[[#This Row],[HORA FIN  INTERVENCIÓN]])</f>
        <v>0</v>
      </c>
      <c r="T1194" s="11">
        <f>(SEGUIMIENTO_TPM_xlsx[[#This Row],[FECHA Y HORA FINAL]]-SEGUIMIENTO_TPM_xlsx[[#This Row],[FECHA Y HORA INICIO]])</f>
        <v>-46146.334722222222</v>
      </c>
    </row>
    <row r="1195" spans="1:20" x14ac:dyDescent="0.25">
      <c r="A1195">
        <v>1203</v>
      </c>
      <c r="B1195" t="s">
        <v>268</v>
      </c>
      <c r="C1195" s="1">
        <v>0.29444444444444445</v>
      </c>
      <c r="D1195" s="2">
        <v>46146</v>
      </c>
      <c r="E1195" t="s">
        <v>17</v>
      </c>
      <c r="G1195" t="s">
        <v>2098</v>
      </c>
      <c r="H1195" s="1"/>
      <c r="I1195" s="1"/>
      <c r="J1195" s="2"/>
      <c r="P1195" t="s">
        <v>33</v>
      </c>
      <c r="Q1195" s="1">
        <f>SEGUIMIENTO_TPM_xlsx[[#This Row],[HORA FIN  INTERVENCIÓN]]-SEGUIMIENTO_TPM_xlsx[[#This Row],[HORA INICIO INTERVENCIÓN]]</f>
        <v>0</v>
      </c>
      <c r="R1195" s="20">
        <f>(SEGUIMIENTO_TPM_xlsx[[#This Row],[HORA REPORTE]]+SEGUIMIENTO_TPM_xlsx[[#This Row],[FECHA DE REPORTE]])</f>
        <v>46146.294444444444</v>
      </c>
      <c r="S1195" s="20">
        <f>(SEGUIMIENTO_TPM_xlsx[[#This Row],[FECHA DE INTERVENCÓN]]+SEGUIMIENTO_TPM_xlsx[[#This Row],[HORA FIN  INTERVENCIÓN]])</f>
        <v>0</v>
      </c>
      <c r="T1195" s="11">
        <f>(SEGUIMIENTO_TPM_xlsx[[#This Row],[FECHA Y HORA FINAL]]-SEGUIMIENTO_TPM_xlsx[[#This Row],[FECHA Y HORA INICIO]])</f>
        <v>-46146.294444444444</v>
      </c>
    </row>
    <row r="1196" spans="1:20" x14ac:dyDescent="0.25">
      <c r="A1196">
        <v>1204</v>
      </c>
      <c r="B1196" t="s">
        <v>268</v>
      </c>
      <c r="C1196" s="1">
        <v>0.32083333333333336</v>
      </c>
      <c r="D1196" s="2">
        <v>46147</v>
      </c>
      <c r="E1196" t="s">
        <v>94</v>
      </c>
      <c r="G1196" t="s">
        <v>2099</v>
      </c>
      <c r="H1196" s="1"/>
      <c r="I1196" s="1"/>
      <c r="J1196" s="2"/>
      <c r="P1196" t="s">
        <v>33</v>
      </c>
      <c r="Q1196" s="1">
        <f>SEGUIMIENTO_TPM_xlsx[[#This Row],[HORA FIN  INTERVENCIÓN]]-SEGUIMIENTO_TPM_xlsx[[#This Row],[HORA INICIO INTERVENCIÓN]]</f>
        <v>0</v>
      </c>
      <c r="R1196" s="20">
        <f>(SEGUIMIENTO_TPM_xlsx[[#This Row],[HORA REPORTE]]+SEGUIMIENTO_TPM_xlsx[[#This Row],[FECHA DE REPORTE]])</f>
        <v>46147.320833333331</v>
      </c>
      <c r="S1196" s="20">
        <f>(SEGUIMIENTO_TPM_xlsx[[#This Row],[FECHA DE INTERVENCÓN]]+SEGUIMIENTO_TPM_xlsx[[#This Row],[HORA FIN  INTERVENCIÓN]])</f>
        <v>0</v>
      </c>
      <c r="T1196" s="11">
        <f>(SEGUIMIENTO_TPM_xlsx[[#This Row],[FECHA Y HORA FINAL]]-SEGUIMIENTO_TPM_xlsx[[#This Row],[FECHA Y HORA INICIO]])</f>
        <v>-46147.320833333331</v>
      </c>
    </row>
    <row r="1197" spans="1:20" x14ac:dyDescent="0.25">
      <c r="A1197">
        <v>1205</v>
      </c>
      <c r="B1197" t="s">
        <v>103</v>
      </c>
      <c r="C1197" s="1">
        <v>0.58333333333333337</v>
      </c>
      <c r="D1197" s="2">
        <v>46146</v>
      </c>
      <c r="E1197" t="s">
        <v>147</v>
      </c>
      <c r="F1197" t="s">
        <v>18</v>
      </c>
      <c r="G1197" t="s">
        <v>2143</v>
      </c>
      <c r="H1197" s="1">
        <v>0.58333333333333337</v>
      </c>
      <c r="I1197" s="1">
        <v>0.6875</v>
      </c>
      <c r="J1197" s="2">
        <v>46146</v>
      </c>
      <c r="K1197" t="s">
        <v>25</v>
      </c>
      <c r="L1197" t="s">
        <v>2144</v>
      </c>
      <c r="N1197" t="s">
        <v>22</v>
      </c>
      <c r="O1197" t="s">
        <v>108</v>
      </c>
      <c r="P1197" t="s">
        <v>23</v>
      </c>
      <c r="Q1197" s="1">
        <f>SEGUIMIENTO_TPM_xlsx[[#This Row],[HORA FIN  INTERVENCIÓN]]-SEGUIMIENTO_TPM_xlsx[[#This Row],[HORA INICIO INTERVENCIÓN]]</f>
        <v>0.10416666666666663</v>
      </c>
      <c r="R1197" s="20">
        <f>(SEGUIMIENTO_TPM_xlsx[[#This Row],[HORA REPORTE]]+SEGUIMIENTO_TPM_xlsx[[#This Row],[FECHA DE REPORTE]])</f>
        <v>46146.583333333336</v>
      </c>
      <c r="S1197" s="20">
        <f>(SEGUIMIENTO_TPM_xlsx[[#This Row],[FECHA DE INTERVENCÓN]]+SEGUIMIENTO_TPM_xlsx[[#This Row],[HORA FIN  INTERVENCIÓN]])</f>
        <v>46146.6875</v>
      </c>
      <c r="T1197" s="11">
        <f>(SEGUIMIENTO_TPM_xlsx[[#This Row],[FECHA Y HORA FINAL]]-SEGUIMIENTO_TPM_xlsx[[#This Row],[FECHA Y HORA INICIO]])</f>
        <v>0.10416666666424135</v>
      </c>
    </row>
    <row r="1198" spans="1:20" x14ac:dyDescent="0.25">
      <c r="A1198">
        <v>1206</v>
      </c>
      <c r="C1198" s="1"/>
      <c r="D1198" s="2"/>
      <c r="H1198" s="1"/>
      <c r="I1198" s="1"/>
      <c r="J1198" s="2"/>
      <c r="Q1198" s="1">
        <f>SEGUIMIENTO_TPM_xlsx[[#This Row],[HORA FIN  INTERVENCIÓN]]-SEGUIMIENTO_TPM_xlsx[[#This Row],[HORA INICIO INTERVENCIÓN]]</f>
        <v>0</v>
      </c>
      <c r="R1198" s="20">
        <f>(SEGUIMIENTO_TPM_xlsx[[#This Row],[HORA REPORTE]]+SEGUIMIENTO_TPM_xlsx[[#This Row],[FECHA DE REPORTE]])</f>
        <v>0</v>
      </c>
      <c r="S1198" s="20">
        <f>(SEGUIMIENTO_TPM_xlsx[[#This Row],[FECHA DE INTERVENCÓN]]+SEGUIMIENTO_TPM_xlsx[[#This Row],[HORA FIN  INTERVENCIÓN]])</f>
        <v>0</v>
      </c>
      <c r="T1198" s="11">
        <f>(SEGUIMIENTO_TPM_xlsx[[#This Row],[FECHA Y HORA FINAL]]-SEGUIMIENTO_TPM_xlsx[[#This Row],[FECHA Y HORA INICIO]])</f>
        <v>0</v>
      </c>
    </row>
    <row r="1199" spans="1:20" x14ac:dyDescent="0.25">
      <c r="A1199">
        <v>1207</v>
      </c>
      <c r="B1199" t="s">
        <v>164</v>
      </c>
      <c r="C1199" s="1">
        <v>0.4861111111111111</v>
      </c>
      <c r="D1199" s="2">
        <v>46146</v>
      </c>
      <c r="E1199" t="s">
        <v>143</v>
      </c>
      <c r="F1199" t="s">
        <v>18</v>
      </c>
      <c r="G1199" t="s">
        <v>2100</v>
      </c>
      <c r="H1199" s="1">
        <v>0.4861111111111111</v>
      </c>
      <c r="I1199" s="1">
        <v>0.58333333333333337</v>
      </c>
      <c r="J1199" s="2">
        <v>46146</v>
      </c>
      <c r="K1199" t="s">
        <v>20</v>
      </c>
      <c r="L1199" t="s">
        <v>2101</v>
      </c>
      <c r="M1199" t="s">
        <v>22</v>
      </c>
      <c r="N1199" t="s">
        <v>22</v>
      </c>
      <c r="O1199" t="s">
        <v>268</v>
      </c>
      <c r="P1199" t="s">
        <v>23</v>
      </c>
      <c r="Q1199" s="1">
        <f>SEGUIMIENTO_TPM_xlsx[[#This Row],[HORA FIN  INTERVENCIÓN]]-SEGUIMIENTO_TPM_xlsx[[#This Row],[HORA INICIO INTERVENCIÓN]]</f>
        <v>9.7222222222222265E-2</v>
      </c>
      <c r="R1199" s="20">
        <f>(SEGUIMIENTO_TPM_xlsx[[#This Row],[HORA REPORTE]]+SEGUIMIENTO_TPM_xlsx[[#This Row],[FECHA DE REPORTE]])</f>
        <v>46146.486111111109</v>
      </c>
      <c r="S1199" s="20">
        <f>(SEGUIMIENTO_TPM_xlsx[[#This Row],[FECHA DE INTERVENCÓN]]+SEGUIMIENTO_TPM_xlsx[[#This Row],[HORA FIN  INTERVENCIÓN]])</f>
        <v>46146.583333333336</v>
      </c>
      <c r="T1199" s="11">
        <f>(SEGUIMIENTO_TPM_xlsx[[#This Row],[FECHA Y HORA FINAL]]-SEGUIMIENTO_TPM_xlsx[[#This Row],[FECHA Y HORA INICIO]])</f>
        <v>9.7222222226264421E-2</v>
      </c>
    </row>
    <row r="1200" spans="1:20" x14ac:dyDescent="0.25">
      <c r="A1200">
        <v>1208</v>
      </c>
      <c r="B1200" t="s">
        <v>238</v>
      </c>
      <c r="C1200" s="1">
        <v>0.65972222222222221</v>
      </c>
      <c r="D1200" s="2">
        <v>46146</v>
      </c>
      <c r="E1200" t="s">
        <v>185</v>
      </c>
      <c r="F1200" t="s">
        <v>18</v>
      </c>
      <c r="G1200" t="s">
        <v>2102</v>
      </c>
      <c r="H1200" s="1">
        <v>0.65972222222222221</v>
      </c>
      <c r="I1200" s="1">
        <v>0.70138888888888884</v>
      </c>
      <c r="J1200" s="2">
        <v>46146</v>
      </c>
      <c r="K1200" t="s">
        <v>20</v>
      </c>
      <c r="L1200" t="s">
        <v>2103</v>
      </c>
      <c r="M1200" t="s">
        <v>22</v>
      </c>
      <c r="N1200" t="s">
        <v>22</v>
      </c>
      <c r="O1200" t="s">
        <v>108</v>
      </c>
      <c r="P1200" t="s">
        <v>23</v>
      </c>
      <c r="Q1200" s="1">
        <f>SEGUIMIENTO_TPM_xlsx[[#This Row],[HORA FIN  INTERVENCIÓN]]-SEGUIMIENTO_TPM_xlsx[[#This Row],[HORA INICIO INTERVENCIÓN]]</f>
        <v>4.166666666666663E-2</v>
      </c>
      <c r="R1200" s="20">
        <f>(SEGUIMIENTO_TPM_xlsx[[#This Row],[HORA REPORTE]]+SEGUIMIENTO_TPM_xlsx[[#This Row],[FECHA DE REPORTE]])</f>
        <v>46146.659722222219</v>
      </c>
      <c r="S1200" s="20">
        <f>(SEGUIMIENTO_TPM_xlsx[[#This Row],[FECHA DE INTERVENCÓN]]+SEGUIMIENTO_TPM_xlsx[[#This Row],[HORA FIN  INTERVENCIÓN]])</f>
        <v>46146.701388888891</v>
      </c>
      <c r="T1200" s="11">
        <f>(SEGUIMIENTO_TPM_xlsx[[#This Row],[FECHA Y HORA FINAL]]-SEGUIMIENTO_TPM_xlsx[[#This Row],[FECHA Y HORA INICIO]])</f>
        <v>4.1666666671517305E-2</v>
      </c>
    </row>
    <row r="1201" spans="1:20" x14ac:dyDescent="0.25">
      <c r="A1201">
        <v>1209</v>
      </c>
      <c r="B1201" t="s">
        <v>341</v>
      </c>
      <c r="C1201" s="1">
        <v>0.79166666666666663</v>
      </c>
      <c r="D1201" s="2">
        <v>46146</v>
      </c>
      <c r="E1201" t="s">
        <v>143</v>
      </c>
      <c r="F1201" t="s">
        <v>18</v>
      </c>
      <c r="G1201" t="s">
        <v>2104</v>
      </c>
      <c r="H1201" s="1">
        <v>0.27083333333333331</v>
      </c>
      <c r="I1201" s="1">
        <v>0.33333333333333331</v>
      </c>
      <c r="J1201" s="2">
        <v>46147</v>
      </c>
      <c r="K1201" t="s">
        <v>20</v>
      </c>
      <c r="L1201" t="s">
        <v>2105</v>
      </c>
      <c r="M1201" t="s">
        <v>2106</v>
      </c>
      <c r="N1201" t="s">
        <v>22</v>
      </c>
      <c r="O1201" t="s">
        <v>268</v>
      </c>
      <c r="P1201" t="s">
        <v>23</v>
      </c>
      <c r="Q1201" s="1">
        <f>SEGUIMIENTO_TPM_xlsx[[#This Row],[HORA FIN  INTERVENCIÓN]]-SEGUIMIENTO_TPM_xlsx[[#This Row],[HORA INICIO INTERVENCIÓN]]</f>
        <v>6.25E-2</v>
      </c>
      <c r="R1201" s="20">
        <f>(SEGUIMIENTO_TPM_xlsx[[#This Row],[HORA REPORTE]]+SEGUIMIENTO_TPM_xlsx[[#This Row],[FECHA DE REPORTE]])</f>
        <v>46146.791666666664</v>
      </c>
      <c r="S1201" s="20">
        <f>(SEGUIMIENTO_TPM_xlsx[[#This Row],[FECHA DE INTERVENCÓN]]+SEGUIMIENTO_TPM_xlsx[[#This Row],[HORA FIN  INTERVENCIÓN]])</f>
        <v>46147.333333333336</v>
      </c>
      <c r="T1201" s="11">
        <f>(SEGUIMIENTO_TPM_xlsx[[#This Row],[FECHA Y HORA FINAL]]-SEGUIMIENTO_TPM_xlsx[[#This Row],[FECHA Y HORA INICIO]])</f>
        <v>0.54166666667151731</v>
      </c>
    </row>
    <row r="1202" spans="1:20" x14ac:dyDescent="0.25">
      <c r="A1202">
        <v>1210</v>
      </c>
      <c r="B1202" t="s">
        <v>206</v>
      </c>
      <c r="C1202" s="1">
        <v>0.88194444444444442</v>
      </c>
      <c r="D1202" s="2">
        <v>46146</v>
      </c>
      <c r="E1202" t="s">
        <v>185</v>
      </c>
      <c r="F1202" t="s">
        <v>18</v>
      </c>
      <c r="G1202" t="s">
        <v>379</v>
      </c>
      <c r="H1202" s="1">
        <v>0.88194444444444442</v>
      </c>
      <c r="I1202" s="1">
        <v>0.90625</v>
      </c>
      <c r="J1202" s="2">
        <v>46146</v>
      </c>
      <c r="K1202" t="s">
        <v>25</v>
      </c>
      <c r="L1202" t="s">
        <v>2107</v>
      </c>
      <c r="M1202" t="s">
        <v>22</v>
      </c>
      <c r="N1202" t="s">
        <v>22</v>
      </c>
      <c r="O1202" t="s">
        <v>661</v>
      </c>
      <c r="P1202" t="s">
        <v>23</v>
      </c>
      <c r="Q1202" s="1">
        <f>SEGUIMIENTO_TPM_xlsx[[#This Row],[HORA FIN  INTERVENCIÓN]]-SEGUIMIENTO_TPM_xlsx[[#This Row],[HORA INICIO INTERVENCIÓN]]</f>
        <v>2.430555555555558E-2</v>
      </c>
      <c r="R1202" s="20">
        <f>(SEGUIMIENTO_TPM_xlsx[[#This Row],[HORA REPORTE]]+SEGUIMIENTO_TPM_xlsx[[#This Row],[FECHA DE REPORTE]])</f>
        <v>46146.881944444445</v>
      </c>
      <c r="S1202" s="20">
        <f>(SEGUIMIENTO_TPM_xlsx[[#This Row],[FECHA DE INTERVENCÓN]]+SEGUIMIENTO_TPM_xlsx[[#This Row],[HORA FIN  INTERVENCIÓN]])</f>
        <v>46146.90625</v>
      </c>
      <c r="T1202" s="11">
        <f>(SEGUIMIENTO_TPM_xlsx[[#This Row],[FECHA Y HORA FINAL]]-SEGUIMIENTO_TPM_xlsx[[#This Row],[FECHA Y HORA INICIO]])</f>
        <v>2.4305555554747116E-2</v>
      </c>
    </row>
    <row r="1203" spans="1:20" x14ac:dyDescent="0.25">
      <c r="A1203">
        <v>1211</v>
      </c>
      <c r="B1203" t="s">
        <v>206</v>
      </c>
      <c r="C1203" s="1">
        <v>0.94374999999999998</v>
      </c>
      <c r="D1203" s="2">
        <v>46146</v>
      </c>
      <c r="E1203" t="s">
        <v>116</v>
      </c>
      <c r="F1203" t="s">
        <v>18</v>
      </c>
      <c r="G1203" t="s">
        <v>2108</v>
      </c>
      <c r="H1203" s="1">
        <v>0.94374999999999998</v>
      </c>
      <c r="I1203" s="1">
        <v>0.99305555555555558</v>
      </c>
      <c r="J1203" s="2">
        <v>46146</v>
      </c>
      <c r="K1203" t="s">
        <v>25</v>
      </c>
      <c r="L1203" t="s">
        <v>2109</v>
      </c>
      <c r="M1203" t="s">
        <v>22</v>
      </c>
      <c r="N1203" t="s">
        <v>22</v>
      </c>
      <c r="O1203" t="s">
        <v>661</v>
      </c>
      <c r="P1203" t="s">
        <v>23</v>
      </c>
      <c r="Q1203" s="1">
        <f>SEGUIMIENTO_TPM_xlsx[[#This Row],[HORA FIN  INTERVENCIÓN]]-SEGUIMIENTO_TPM_xlsx[[#This Row],[HORA INICIO INTERVENCIÓN]]</f>
        <v>4.9305555555555602E-2</v>
      </c>
      <c r="R1203" s="20">
        <f>(SEGUIMIENTO_TPM_xlsx[[#This Row],[HORA REPORTE]]+SEGUIMIENTO_TPM_xlsx[[#This Row],[FECHA DE REPORTE]])</f>
        <v>46146.943749999999</v>
      </c>
      <c r="S1203" s="20">
        <f>(SEGUIMIENTO_TPM_xlsx[[#This Row],[FECHA DE INTERVENCÓN]]+SEGUIMIENTO_TPM_xlsx[[#This Row],[HORA FIN  INTERVENCIÓN]])</f>
        <v>46146.993055555555</v>
      </c>
      <c r="T1203" s="11">
        <f>(SEGUIMIENTO_TPM_xlsx[[#This Row],[FECHA Y HORA FINAL]]-SEGUIMIENTO_TPM_xlsx[[#This Row],[FECHA Y HORA INICIO]])</f>
        <v>4.9305555556202307E-2</v>
      </c>
    </row>
    <row r="1204" spans="1:20" x14ac:dyDescent="0.25">
      <c r="A1204">
        <v>1212</v>
      </c>
      <c r="B1204" t="s">
        <v>2110</v>
      </c>
      <c r="C1204" s="1">
        <v>4.1666666666666664E-2</v>
      </c>
      <c r="D1204" s="2">
        <v>46147</v>
      </c>
      <c r="E1204" t="s">
        <v>87</v>
      </c>
      <c r="F1204" t="s">
        <v>18</v>
      </c>
      <c r="G1204" t="s">
        <v>2111</v>
      </c>
      <c r="H1204" s="1">
        <v>5.5555555555555552E-2</v>
      </c>
      <c r="I1204" s="1">
        <v>0.125</v>
      </c>
      <c r="J1204" s="2">
        <v>46147</v>
      </c>
      <c r="K1204" t="s">
        <v>25</v>
      </c>
      <c r="L1204" t="s">
        <v>2112</v>
      </c>
      <c r="M1204" t="s">
        <v>22</v>
      </c>
      <c r="N1204" t="s">
        <v>22</v>
      </c>
      <c r="O1204" t="s">
        <v>661</v>
      </c>
      <c r="P1204" t="s">
        <v>23</v>
      </c>
      <c r="Q1204" s="1">
        <f>SEGUIMIENTO_TPM_xlsx[[#This Row],[HORA FIN  INTERVENCIÓN]]-SEGUIMIENTO_TPM_xlsx[[#This Row],[HORA INICIO INTERVENCIÓN]]</f>
        <v>6.9444444444444448E-2</v>
      </c>
      <c r="R1204" s="20">
        <f>(SEGUIMIENTO_TPM_xlsx[[#This Row],[HORA REPORTE]]+SEGUIMIENTO_TPM_xlsx[[#This Row],[FECHA DE REPORTE]])</f>
        <v>46147.041666666664</v>
      </c>
      <c r="S1204" s="20">
        <f>(SEGUIMIENTO_TPM_xlsx[[#This Row],[FECHA DE INTERVENCÓN]]+SEGUIMIENTO_TPM_xlsx[[#This Row],[HORA FIN  INTERVENCIÓN]])</f>
        <v>46147.125</v>
      </c>
      <c r="T1204" s="11">
        <f>(SEGUIMIENTO_TPM_xlsx[[#This Row],[FECHA Y HORA FINAL]]-SEGUIMIENTO_TPM_xlsx[[#This Row],[FECHA Y HORA INICIO]])</f>
        <v>8.3333333335758653E-2</v>
      </c>
    </row>
    <row r="1205" spans="1:20" x14ac:dyDescent="0.25">
      <c r="A1205">
        <v>1213</v>
      </c>
      <c r="B1205" t="s">
        <v>268</v>
      </c>
      <c r="C1205" s="1">
        <v>0.33333333333333331</v>
      </c>
      <c r="D1205" s="2">
        <v>46147</v>
      </c>
      <c r="E1205" t="s">
        <v>147</v>
      </c>
      <c r="F1205" t="s">
        <v>18</v>
      </c>
      <c r="G1205" t="s">
        <v>2113</v>
      </c>
      <c r="H1205" s="1"/>
      <c r="I1205" s="1"/>
      <c r="J1205" s="2"/>
      <c r="P1205" t="s">
        <v>33</v>
      </c>
      <c r="Q1205" s="1">
        <f>SEGUIMIENTO_TPM_xlsx[[#This Row],[HORA FIN  INTERVENCIÓN]]-SEGUIMIENTO_TPM_xlsx[[#This Row],[HORA INICIO INTERVENCIÓN]]</f>
        <v>0</v>
      </c>
      <c r="R1205" s="20">
        <f>(SEGUIMIENTO_TPM_xlsx[[#This Row],[HORA REPORTE]]+SEGUIMIENTO_TPM_xlsx[[#This Row],[FECHA DE REPORTE]])</f>
        <v>46147.333333333336</v>
      </c>
      <c r="S1205" s="20">
        <f>(SEGUIMIENTO_TPM_xlsx[[#This Row],[FECHA DE INTERVENCÓN]]+SEGUIMIENTO_TPM_xlsx[[#This Row],[HORA FIN  INTERVENCIÓN]])</f>
        <v>0</v>
      </c>
      <c r="T1205" s="11">
        <f>(SEGUIMIENTO_TPM_xlsx[[#This Row],[FECHA Y HORA FINAL]]-SEGUIMIENTO_TPM_xlsx[[#This Row],[FECHA Y HORA INICIO]])</f>
        <v>-46147.333333333336</v>
      </c>
    </row>
    <row r="1206" spans="1:20" x14ac:dyDescent="0.25">
      <c r="A1206">
        <v>1214</v>
      </c>
      <c r="C1206" s="1"/>
      <c r="D1206" s="2"/>
      <c r="H1206" s="1"/>
      <c r="I1206" s="1"/>
      <c r="J1206" s="2"/>
      <c r="Q1206" s="1">
        <f>SEGUIMIENTO_TPM_xlsx[[#This Row],[HORA FIN  INTERVENCIÓN]]-SEGUIMIENTO_TPM_xlsx[[#This Row],[HORA INICIO INTERVENCIÓN]]</f>
        <v>0</v>
      </c>
      <c r="R1206" s="20">
        <f>(SEGUIMIENTO_TPM_xlsx[[#This Row],[HORA REPORTE]]+SEGUIMIENTO_TPM_xlsx[[#This Row],[FECHA DE REPORTE]])</f>
        <v>0</v>
      </c>
      <c r="S1206" s="20">
        <f>(SEGUIMIENTO_TPM_xlsx[[#This Row],[FECHA DE INTERVENCÓN]]+SEGUIMIENTO_TPM_xlsx[[#This Row],[HORA FIN  INTERVENCIÓN]])</f>
        <v>0</v>
      </c>
      <c r="T1206" s="11">
        <f>(SEGUIMIENTO_TPM_xlsx[[#This Row],[FECHA Y HORA FINAL]]-SEGUIMIENTO_TPM_xlsx[[#This Row],[FECHA Y HORA INICIO]])</f>
        <v>0</v>
      </c>
    </row>
    <row r="1207" spans="1:20" x14ac:dyDescent="0.25">
      <c r="A1207">
        <v>1215</v>
      </c>
      <c r="B1207" t="s">
        <v>2121</v>
      </c>
      <c r="C1207" s="1">
        <v>0.54166666666666663</v>
      </c>
      <c r="D1207" s="2">
        <v>46147</v>
      </c>
      <c r="E1207" t="s">
        <v>17</v>
      </c>
      <c r="F1207" t="s">
        <v>18</v>
      </c>
      <c r="G1207" t="s">
        <v>2122</v>
      </c>
      <c r="H1207" s="1">
        <v>0.54166666666666663</v>
      </c>
      <c r="I1207" s="1">
        <v>0.66666666666666663</v>
      </c>
      <c r="J1207" s="2">
        <v>46147</v>
      </c>
      <c r="K1207" t="s">
        <v>25</v>
      </c>
      <c r="L1207" t="s">
        <v>2123</v>
      </c>
      <c r="M1207" t="s">
        <v>22</v>
      </c>
      <c r="N1207" t="s">
        <v>22</v>
      </c>
      <c r="O1207" t="s">
        <v>112</v>
      </c>
      <c r="P1207" t="s">
        <v>23</v>
      </c>
      <c r="Q1207" s="1">
        <f>SEGUIMIENTO_TPM_xlsx[[#This Row],[HORA FIN  INTERVENCIÓN]]-SEGUIMIENTO_TPM_xlsx[[#This Row],[HORA INICIO INTERVENCIÓN]]</f>
        <v>0.125</v>
      </c>
      <c r="R1207" s="20">
        <f>(SEGUIMIENTO_TPM_xlsx[[#This Row],[HORA REPORTE]]+SEGUIMIENTO_TPM_xlsx[[#This Row],[FECHA DE REPORTE]])</f>
        <v>46147.541666666664</v>
      </c>
      <c r="S1207" s="20">
        <f>(SEGUIMIENTO_TPM_xlsx[[#This Row],[FECHA DE INTERVENCÓN]]+SEGUIMIENTO_TPM_xlsx[[#This Row],[HORA FIN  INTERVENCIÓN]])</f>
        <v>46147.666666666664</v>
      </c>
      <c r="T1207" s="11">
        <f>(SEGUIMIENTO_TPM_xlsx[[#This Row],[FECHA Y HORA FINAL]]-SEGUIMIENTO_TPM_xlsx[[#This Row],[FECHA Y HORA INICIO]])</f>
        <v>0.125</v>
      </c>
    </row>
    <row r="1208" spans="1:20" x14ac:dyDescent="0.25">
      <c r="A1208">
        <v>1216</v>
      </c>
      <c r="B1208" t="s">
        <v>2124</v>
      </c>
      <c r="C1208" s="1">
        <v>0.625</v>
      </c>
      <c r="D1208" s="2">
        <v>46147</v>
      </c>
      <c r="E1208" t="s">
        <v>109</v>
      </c>
      <c r="F1208" t="s">
        <v>18</v>
      </c>
      <c r="G1208" t="s">
        <v>2125</v>
      </c>
      <c r="H1208" s="1">
        <v>0.70833333333333337</v>
      </c>
      <c r="I1208" s="1">
        <v>0.74652777777777779</v>
      </c>
      <c r="J1208" s="2">
        <v>46147</v>
      </c>
      <c r="K1208" t="s">
        <v>25</v>
      </c>
      <c r="L1208" t="s">
        <v>2126</v>
      </c>
      <c r="M1208" t="s">
        <v>2127</v>
      </c>
      <c r="N1208" t="s">
        <v>22</v>
      </c>
      <c r="O1208" t="s">
        <v>112</v>
      </c>
      <c r="P1208" t="s">
        <v>33</v>
      </c>
      <c r="Q1208" s="1">
        <f>SEGUIMIENTO_TPM_xlsx[[#This Row],[HORA FIN  INTERVENCIÓN]]-SEGUIMIENTO_TPM_xlsx[[#This Row],[HORA INICIO INTERVENCIÓN]]</f>
        <v>3.819444444444442E-2</v>
      </c>
      <c r="R1208" s="20">
        <f>(SEGUIMIENTO_TPM_xlsx[[#This Row],[HORA REPORTE]]+SEGUIMIENTO_TPM_xlsx[[#This Row],[FECHA DE REPORTE]])</f>
        <v>46147.625</v>
      </c>
      <c r="S1208" s="20">
        <f>(SEGUIMIENTO_TPM_xlsx[[#This Row],[FECHA DE INTERVENCÓN]]+SEGUIMIENTO_TPM_xlsx[[#This Row],[HORA FIN  INTERVENCIÓN]])</f>
        <v>46147.746527777781</v>
      </c>
      <c r="T1208" s="11">
        <f>(SEGUIMIENTO_TPM_xlsx[[#This Row],[FECHA Y HORA FINAL]]-SEGUIMIENTO_TPM_xlsx[[#This Row],[FECHA Y HORA INICIO]])</f>
        <v>0.12152777778101154</v>
      </c>
    </row>
    <row r="1209" spans="1:20" x14ac:dyDescent="0.25">
      <c r="A1209">
        <v>1217</v>
      </c>
      <c r="B1209" t="s">
        <v>124</v>
      </c>
      <c r="C1209" s="1">
        <v>0.70138888888888884</v>
      </c>
      <c r="D1209" s="2">
        <v>46147</v>
      </c>
      <c r="E1209" t="s">
        <v>185</v>
      </c>
      <c r="F1209" t="s">
        <v>18</v>
      </c>
      <c r="G1209" t="s">
        <v>2128</v>
      </c>
      <c r="H1209" s="1">
        <v>0.70138888888888884</v>
      </c>
      <c r="I1209" s="1">
        <v>0.72916666666666663</v>
      </c>
      <c r="J1209" s="2">
        <v>46147</v>
      </c>
      <c r="K1209" t="s">
        <v>25</v>
      </c>
      <c r="L1209" t="s">
        <v>2129</v>
      </c>
      <c r="M1209" t="s">
        <v>22</v>
      </c>
      <c r="N1209" t="s">
        <v>22</v>
      </c>
      <c r="O1209" t="s">
        <v>112</v>
      </c>
      <c r="P1209" t="s">
        <v>23</v>
      </c>
      <c r="Q1209" s="1">
        <f>SEGUIMIENTO_TPM_xlsx[[#This Row],[HORA FIN  INTERVENCIÓN]]-SEGUIMIENTO_TPM_xlsx[[#This Row],[HORA INICIO INTERVENCIÓN]]</f>
        <v>2.777777777777779E-2</v>
      </c>
      <c r="R1209" s="20">
        <f>(SEGUIMIENTO_TPM_xlsx[[#This Row],[HORA REPORTE]]+SEGUIMIENTO_TPM_xlsx[[#This Row],[FECHA DE REPORTE]])</f>
        <v>46147.701388888891</v>
      </c>
      <c r="S1209" s="20">
        <f>(SEGUIMIENTO_TPM_xlsx[[#This Row],[FECHA DE INTERVENCÓN]]+SEGUIMIENTO_TPM_xlsx[[#This Row],[HORA FIN  INTERVENCIÓN]])</f>
        <v>46147.729166666664</v>
      </c>
      <c r="T1209" s="11">
        <f>(SEGUIMIENTO_TPM_xlsx[[#This Row],[FECHA Y HORA FINAL]]-SEGUIMIENTO_TPM_xlsx[[#This Row],[FECHA Y HORA INICIO]])</f>
        <v>2.7777777773735579E-2</v>
      </c>
    </row>
    <row r="1210" spans="1:20" x14ac:dyDescent="0.25">
      <c r="A1210">
        <v>1218</v>
      </c>
      <c r="B1210" t="s">
        <v>124</v>
      </c>
      <c r="C1210" s="1">
        <v>0.82638888888888884</v>
      </c>
      <c r="D1210" s="2">
        <v>46147</v>
      </c>
      <c r="E1210" t="s">
        <v>185</v>
      </c>
      <c r="F1210" t="s">
        <v>18</v>
      </c>
      <c r="G1210" t="s">
        <v>2130</v>
      </c>
      <c r="H1210" s="1">
        <v>0.82708333333333328</v>
      </c>
      <c r="I1210" s="1">
        <v>0.85763888888888884</v>
      </c>
      <c r="J1210" s="2">
        <v>46147</v>
      </c>
      <c r="K1210" t="s">
        <v>48</v>
      </c>
      <c r="L1210" t="s">
        <v>2131</v>
      </c>
      <c r="M1210" t="s">
        <v>2132</v>
      </c>
      <c r="N1210" t="s">
        <v>22</v>
      </c>
      <c r="O1210" t="s">
        <v>661</v>
      </c>
      <c r="P1210" t="s">
        <v>23</v>
      </c>
      <c r="Q1210" s="1">
        <f>SEGUIMIENTO_TPM_xlsx[[#This Row],[HORA FIN  INTERVENCIÓN]]-SEGUIMIENTO_TPM_xlsx[[#This Row],[HORA INICIO INTERVENCIÓN]]</f>
        <v>3.0555555555555558E-2</v>
      </c>
      <c r="R1210" s="20">
        <f>(SEGUIMIENTO_TPM_xlsx[[#This Row],[HORA REPORTE]]+SEGUIMIENTO_TPM_xlsx[[#This Row],[FECHA DE REPORTE]])</f>
        <v>46147.826388888891</v>
      </c>
      <c r="S1210" s="20">
        <f>(SEGUIMIENTO_TPM_xlsx[[#This Row],[FECHA DE INTERVENCÓN]]+SEGUIMIENTO_TPM_xlsx[[#This Row],[HORA FIN  INTERVENCIÓN]])</f>
        <v>46147.857638888891</v>
      </c>
      <c r="T1210" s="11">
        <f>(SEGUIMIENTO_TPM_xlsx[[#This Row],[FECHA Y HORA FINAL]]-SEGUIMIENTO_TPM_xlsx[[#This Row],[FECHA Y HORA INICIO]])</f>
        <v>3.125E-2</v>
      </c>
    </row>
    <row r="1211" spans="1:20" x14ac:dyDescent="0.25">
      <c r="A1211">
        <v>1219</v>
      </c>
      <c r="B1211" t="s">
        <v>206</v>
      </c>
      <c r="C1211" s="1">
        <v>0.13333333333333333</v>
      </c>
      <c r="D1211" s="2">
        <v>46148</v>
      </c>
      <c r="E1211" t="s">
        <v>94</v>
      </c>
      <c r="F1211" t="s">
        <v>18</v>
      </c>
      <c r="G1211" t="s">
        <v>2133</v>
      </c>
      <c r="H1211" s="1">
        <v>0.13541666666666666</v>
      </c>
      <c r="I1211" s="1">
        <v>0.16666666666666666</v>
      </c>
      <c r="J1211" s="2">
        <v>46148</v>
      </c>
      <c r="K1211" t="s">
        <v>48</v>
      </c>
      <c r="L1211" t="s">
        <v>2134</v>
      </c>
      <c r="M1211" t="s">
        <v>22</v>
      </c>
      <c r="N1211" t="s">
        <v>22</v>
      </c>
      <c r="O1211" t="s">
        <v>661</v>
      </c>
      <c r="P1211" t="s">
        <v>23</v>
      </c>
      <c r="Q1211" s="1">
        <f>SEGUIMIENTO_TPM_xlsx[[#This Row],[HORA FIN  INTERVENCIÓN]]-SEGUIMIENTO_TPM_xlsx[[#This Row],[HORA INICIO INTERVENCIÓN]]</f>
        <v>3.125E-2</v>
      </c>
      <c r="R1211" s="20">
        <f>(SEGUIMIENTO_TPM_xlsx[[#This Row],[HORA REPORTE]]+SEGUIMIENTO_TPM_xlsx[[#This Row],[FECHA DE REPORTE]])</f>
        <v>46148.133333333331</v>
      </c>
      <c r="S1211" s="20">
        <f>(SEGUIMIENTO_TPM_xlsx[[#This Row],[FECHA DE INTERVENCÓN]]+SEGUIMIENTO_TPM_xlsx[[#This Row],[HORA FIN  INTERVENCIÓN]])</f>
        <v>46148.166666666664</v>
      </c>
      <c r="T1211" s="11">
        <f>(SEGUIMIENTO_TPM_xlsx[[#This Row],[FECHA Y HORA FINAL]]-SEGUIMIENTO_TPM_xlsx[[#This Row],[FECHA Y HORA INICIO]])</f>
        <v>3.3333333332848269E-2</v>
      </c>
    </row>
    <row r="1212" spans="1:20" x14ac:dyDescent="0.25">
      <c r="A1212">
        <v>1220</v>
      </c>
      <c r="C1212" s="1"/>
      <c r="D1212" s="2"/>
      <c r="H1212" s="1"/>
      <c r="I1212" s="1"/>
      <c r="J1212" s="2"/>
      <c r="Q1212" s="1">
        <f>SEGUIMIENTO_TPM_xlsx[[#This Row],[HORA FIN  INTERVENCIÓN]]-SEGUIMIENTO_TPM_xlsx[[#This Row],[HORA INICIO INTERVENCIÓN]]</f>
        <v>0</v>
      </c>
      <c r="R1212" s="20">
        <f>(SEGUIMIENTO_TPM_xlsx[[#This Row],[HORA REPORTE]]+SEGUIMIENTO_TPM_xlsx[[#This Row],[FECHA DE REPORTE]])</f>
        <v>0</v>
      </c>
      <c r="S1212" s="20">
        <f>(SEGUIMIENTO_TPM_xlsx[[#This Row],[FECHA DE INTERVENCÓN]]+SEGUIMIENTO_TPM_xlsx[[#This Row],[HORA FIN  INTERVENCIÓN]])</f>
        <v>0</v>
      </c>
      <c r="T1212" s="11">
        <f>(SEGUIMIENTO_TPM_xlsx[[#This Row],[FECHA Y HORA FINAL]]-SEGUIMIENTO_TPM_xlsx[[#This Row],[FECHA Y HORA INICIO]])</f>
        <v>0</v>
      </c>
    </row>
    <row r="1213" spans="1:20" x14ac:dyDescent="0.25">
      <c r="A1213">
        <v>1221</v>
      </c>
      <c r="C1213" s="1"/>
      <c r="D1213" s="2"/>
      <c r="H1213" s="1"/>
      <c r="I1213" s="1"/>
      <c r="J1213" s="2"/>
      <c r="Q1213" s="1">
        <f>SEGUIMIENTO_TPM_xlsx[[#This Row],[HORA FIN  INTERVENCIÓN]]-SEGUIMIENTO_TPM_xlsx[[#This Row],[HORA INICIO INTERVENCIÓN]]</f>
        <v>0</v>
      </c>
      <c r="R1213" s="20">
        <f>(SEGUIMIENTO_TPM_xlsx[[#This Row],[HORA REPORTE]]+SEGUIMIENTO_TPM_xlsx[[#This Row],[FECHA DE REPORTE]])</f>
        <v>0</v>
      </c>
      <c r="S1213" s="20">
        <f>(SEGUIMIENTO_TPM_xlsx[[#This Row],[FECHA DE INTERVENCÓN]]+SEGUIMIENTO_TPM_xlsx[[#This Row],[HORA FIN  INTERVENCIÓN]])</f>
        <v>0</v>
      </c>
      <c r="T1213" s="11">
        <f>(SEGUIMIENTO_TPM_xlsx[[#This Row],[FECHA Y HORA FINAL]]-SEGUIMIENTO_TPM_xlsx[[#This Row],[FECHA Y HORA INICIO]])</f>
        <v>0</v>
      </c>
    </row>
    <row r="1214" spans="1:20" x14ac:dyDescent="0.25">
      <c r="A1214">
        <v>1222</v>
      </c>
      <c r="B1214" t="s">
        <v>103</v>
      </c>
      <c r="C1214" s="1">
        <v>0.80902777777777779</v>
      </c>
      <c r="D1214" s="2">
        <v>46148</v>
      </c>
      <c r="E1214" t="s">
        <v>104</v>
      </c>
      <c r="F1214" t="s">
        <v>18</v>
      </c>
      <c r="G1214" t="s">
        <v>2135</v>
      </c>
      <c r="H1214" s="1">
        <v>0.875</v>
      </c>
      <c r="I1214" s="1">
        <v>0.9375</v>
      </c>
      <c r="J1214" s="2">
        <v>46148</v>
      </c>
      <c r="K1214" t="s">
        <v>20</v>
      </c>
      <c r="L1214" t="s">
        <v>2136</v>
      </c>
      <c r="M1214" t="s">
        <v>22</v>
      </c>
      <c r="N1214" t="s">
        <v>22</v>
      </c>
      <c r="O1214" t="s">
        <v>661</v>
      </c>
      <c r="P1214" t="s">
        <v>33</v>
      </c>
      <c r="Q1214" s="1">
        <f>SEGUIMIENTO_TPM_xlsx[[#This Row],[HORA FIN  INTERVENCIÓN]]-SEGUIMIENTO_TPM_xlsx[[#This Row],[HORA INICIO INTERVENCIÓN]]</f>
        <v>6.25E-2</v>
      </c>
      <c r="R1214" s="20">
        <f>(SEGUIMIENTO_TPM_xlsx[[#This Row],[HORA REPORTE]]+SEGUIMIENTO_TPM_xlsx[[#This Row],[FECHA DE REPORTE]])</f>
        <v>46148.809027777781</v>
      </c>
      <c r="S1214" s="20">
        <f>(SEGUIMIENTO_TPM_xlsx[[#This Row],[FECHA DE INTERVENCÓN]]+SEGUIMIENTO_TPM_xlsx[[#This Row],[HORA FIN  INTERVENCIÓN]])</f>
        <v>46148.9375</v>
      </c>
      <c r="T1214" s="11">
        <f>(SEGUIMIENTO_TPM_xlsx[[#This Row],[FECHA Y HORA FINAL]]-SEGUIMIENTO_TPM_xlsx[[#This Row],[FECHA Y HORA INICIO]])</f>
        <v>0.12847222221898846</v>
      </c>
    </row>
    <row r="1215" spans="1:20" x14ac:dyDescent="0.25">
      <c r="A1215">
        <v>1223</v>
      </c>
      <c r="B1215" t="s">
        <v>103</v>
      </c>
      <c r="C1215" s="1">
        <v>0.5</v>
      </c>
      <c r="D1215" s="2">
        <v>46148</v>
      </c>
      <c r="E1215" t="s">
        <v>147</v>
      </c>
      <c r="F1215" t="s">
        <v>18</v>
      </c>
      <c r="G1215" t="s">
        <v>2137</v>
      </c>
      <c r="H1215" s="1">
        <v>0.51388888888888884</v>
      </c>
      <c r="I1215" s="1">
        <v>6.5972222222222224E-2</v>
      </c>
      <c r="J1215" s="2">
        <v>46148</v>
      </c>
      <c r="K1215" t="s">
        <v>20</v>
      </c>
      <c r="L1215" t="s">
        <v>2138</v>
      </c>
      <c r="M1215" t="s">
        <v>22</v>
      </c>
      <c r="N1215" t="s">
        <v>22</v>
      </c>
      <c r="O1215" t="s">
        <v>661</v>
      </c>
      <c r="P1215" t="s">
        <v>33</v>
      </c>
      <c r="Q1215" s="1">
        <f>SEGUIMIENTO_TPM_xlsx[[#This Row],[HORA FIN  INTERVENCIÓN]]-SEGUIMIENTO_TPM_xlsx[[#This Row],[HORA INICIO INTERVENCIÓN]]</f>
        <v>-0.44791666666666663</v>
      </c>
      <c r="R1215" s="20">
        <f>(SEGUIMIENTO_TPM_xlsx[[#This Row],[HORA REPORTE]]+SEGUIMIENTO_TPM_xlsx[[#This Row],[FECHA DE REPORTE]])</f>
        <v>46148.5</v>
      </c>
      <c r="S1215" s="20">
        <f>(SEGUIMIENTO_TPM_xlsx[[#This Row],[FECHA DE INTERVENCÓN]]+SEGUIMIENTO_TPM_xlsx[[#This Row],[HORA FIN  INTERVENCIÓN]])</f>
        <v>46148.065972222219</v>
      </c>
      <c r="T1215" s="11">
        <f>(SEGUIMIENTO_TPM_xlsx[[#This Row],[FECHA Y HORA FINAL]]-SEGUIMIENTO_TPM_xlsx[[#This Row],[FECHA Y HORA INICIO]])</f>
        <v>-0.43402777778101154</v>
      </c>
    </row>
    <row r="1216" spans="1:20" x14ac:dyDescent="0.25">
      <c r="A1216">
        <v>1224</v>
      </c>
      <c r="B1216" t="s">
        <v>120</v>
      </c>
      <c r="C1216" s="1">
        <v>0.97361111111111109</v>
      </c>
      <c r="D1216" s="2">
        <v>46150</v>
      </c>
      <c r="E1216" t="s">
        <v>207</v>
      </c>
      <c r="F1216" t="s">
        <v>18</v>
      </c>
      <c r="G1216" t="s">
        <v>2145</v>
      </c>
      <c r="H1216" s="1">
        <v>0.97916666666666663</v>
      </c>
      <c r="I1216" s="1">
        <v>2.0833333333333332E-2</v>
      </c>
      <c r="J1216" s="2">
        <v>46151</v>
      </c>
      <c r="K1216" t="s">
        <v>25</v>
      </c>
      <c r="L1216" t="s">
        <v>2146</v>
      </c>
      <c r="M1216" t="s">
        <v>22</v>
      </c>
      <c r="N1216" t="s">
        <v>22</v>
      </c>
      <c r="O1216" t="s">
        <v>112</v>
      </c>
      <c r="P1216" t="s">
        <v>23</v>
      </c>
      <c r="Q1216" s="1">
        <f>SEGUIMIENTO_TPM_xlsx[[#This Row],[HORA FIN  INTERVENCIÓN]]-SEGUIMIENTO_TPM_xlsx[[#This Row],[HORA INICIO INTERVENCIÓN]]</f>
        <v>-0.95833333333333326</v>
      </c>
      <c r="R1216" s="20">
        <f>(SEGUIMIENTO_TPM_xlsx[[#This Row],[HORA REPORTE]]+SEGUIMIENTO_TPM_xlsx[[#This Row],[FECHA DE REPORTE]])</f>
        <v>46150.973611111112</v>
      </c>
      <c r="S1216" s="20">
        <f>(SEGUIMIENTO_TPM_xlsx[[#This Row],[FECHA DE INTERVENCÓN]]+SEGUIMIENTO_TPM_xlsx[[#This Row],[HORA FIN  INTERVENCIÓN]])</f>
        <v>46151.020833333336</v>
      </c>
      <c r="T1216" s="11">
        <f>(SEGUIMIENTO_TPM_xlsx[[#This Row],[FECHA Y HORA FINAL]]-SEGUIMIENTO_TPM_xlsx[[#This Row],[FECHA Y HORA INICIO]])</f>
        <v>4.7222222223354038E-2</v>
      </c>
    </row>
    <row r="1217" spans="1:20" x14ac:dyDescent="0.25">
      <c r="A1217">
        <v>1225</v>
      </c>
      <c r="C1217" s="1"/>
      <c r="D1217" s="2"/>
      <c r="H1217" s="1"/>
      <c r="I1217" s="1"/>
      <c r="J1217" s="2"/>
      <c r="Q1217" s="1">
        <f>SEGUIMIENTO_TPM_xlsx[[#This Row],[HORA FIN  INTERVENCIÓN]]-SEGUIMIENTO_TPM_xlsx[[#This Row],[HORA INICIO INTERVENCIÓN]]</f>
        <v>0</v>
      </c>
      <c r="R1217" s="20">
        <f>(SEGUIMIENTO_TPM_xlsx[[#This Row],[HORA REPORTE]]+SEGUIMIENTO_TPM_xlsx[[#This Row],[FECHA DE REPORTE]])</f>
        <v>0</v>
      </c>
      <c r="S1217" s="20">
        <f>(SEGUIMIENTO_TPM_xlsx[[#This Row],[FECHA DE INTERVENCÓN]]+SEGUIMIENTO_TPM_xlsx[[#This Row],[HORA FIN  INTERVENCIÓN]])</f>
        <v>0</v>
      </c>
      <c r="T1217" s="11">
        <f>(SEGUIMIENTO_TPM_xlsx[[#This Row],[FECHA Y HORA FINAL]]-SEGUIMIENTO_TPM_xlsx[[#This Row],[FECHA Y HORA INICIO]])</f>
        <v>0</v>
      </c>
    </row>
    <row r="1218" spans="1:20" x14ac:dyDescent="0.25">
      <c r="A1218">
        <v>1226</v>
      </c>
      <c r="B1218" t="s">
        <v>120</v>
      </c>
      <c r="C1218" s="1">
        <v>0.60416666666666663</v>
      </c>
      <c r="D1218" s="2">
        <v>46149</v>
      </c>
      <c r="E1218" t="s">
        <v>116</v>
      </c>
      <c r="F1218" t="s">
        <v>650</v>
      </c>
      <c r="G1218" t="s">
        <v>2139</v>
      </c>
      <c r="H1218" s="1">
        <v>0.60416666666666663</v>
      </c>
      <c r="I1218" s="1">
        <v>0.61805555555555558</v>
      </c>
      <c r="J1218" s="2">
        <v>46149</v>
      </c>
      <c r="K1218" t="s">
        <v>25</v>
      </c>
      <c r="L1218" t="s">
        <v>2140</v>
      </c>
      <c r="M1218" t="s">
        <v>22</v>
      </c>
      <c r="N1218" t="s">
        <v>22</v>
      </c>
      <c r="O1218" t="s">
        <v>108</v>
      </c>
      <c r="P1218" t="s">
        <v>23</v>
      </c>
      <c r="Q1218" s="1">
        <f>SEGUIMIENTO_TPM_xlsx[[#This Row],[HORA FIN  INTERVENCIÓN]]-SEGUIMIENTO_TPM_xlsx[[#This Row],[HORA INICIO INTERVENCIÓN]]</f>
        <v>1.3888888888888951E-2</v>
      </c>
      <c r="R1218" s="20">
        <f>(SEGUIMIENTO_TPM_xlsx[[#This Row],[HORA REPORTE]]+SEGUIMIENTO_TPM_xlsx[[#This Row],[FECHA DE REPORTE]])</f>
        <v>46149.604166666664</v>
      </c>
      <c r="S1218" s="20">
        <f>(SEGUIMIENTO_TPM_xlsx[[#This Row],[FECHA DE INTERVENCÓN]]+SEGUIMIENTO_TPM_xlsx[[#This Row],[HORA FIN  INTERVENCIÓN]])</f>
        <v>46149.618055555555</v>
      </c>
      <c r="T1218" s="11">
        <f>(SEGUIMIENTO_TPM_xlsx[[#This Row],[FECHA Y HORA FINAL]]-SEGUIMIENTO_TPM_xlsx[[#This Row],[FECHA Y HORA INICIO]])</f>
        <v>1.3888888890505768E-2</v>
      </c>
    </row>
    <row r="1219" spans="1:20" x14ac:dyDescent="0.25">
      <c r="A1219">
        <v>1227</v>
      </c>
      <c r="B1219" t="s">
        <v>526</v>
      </c>
      <c r="C1219" s="1">
        <v>0.5</v>
      </c>
      <c r="D1219" s="2">
        <v>46149</v>
      </c>
      <c r="E1219" t="s">
        <v>188</v>
      </c>
      <c r="F1219" t="s">
        <v>18</v>
      </c>
      <c r="G1219" t="s">
        <v>2141</v>
      </c>
      <c r="H1219" s="1">
        <v>0.5</v>
      </c>
      <c r="I1219" s="1">
        <v>0.625</v>
      </c>
      <c r="J1219" s="2">
        <v>46149</v>
      </c>
      <c r="K1219" t="s">
        <v>25</v>
      </c>
      <c r="L1219" t="s">
        <v>2142</v>
      </c>
      <c r="M1219" t="s">
        <v>22</v>
      </c>
      <c r="N1219" t="s">
        <v>22</v>
      </c>
      <c r="O1219" t="s">
        <v>108</v>
      </c>
      <c r="P1219" t="s">
        <v>23</v>
      </c>
      <c r="Q1219" s="1">
        <f>SEGUIMIENTO_TPM_xlsx[[#This Row],[HORA FIN  INTERVENCIÓN]]-SEGUIMIENTO_TPM_xlsx[[#This Row],[HORA INICIO INTERVENCIÓN]]</f>
        <v>0.125</v>
      </c>
      <c r="R1219" s="20">
        <f>(SEGUIMIENTO_TPM_xlsx[[#This Row],[HORA REPORTE]]+SEGUIMIENTO_TPM_xlsx[[#This Row],[FECHA DE REPORTE]])</f>
        <v>46149.5</v>
      </c>
      <c r="S1219" s="20">
        <f>(SEGUIMIENTO_TPM_xlsx[[#This Row],[FECHA DE INTERVENCÓN]]+SEGUIMIENTO_TPM_xlsx[[#This Row],[HORA FIN  INTERVENCIÓN]])</f>
        <v>46149.625</v>
      </c>
      <c r="T1219" s="11">
        <f>(SEGUIMIENTO_TPM_xlsx[[#This Row],[FECHA Y HORA FINAL]]-SEGUIMIENTO_TPM_xlsx[[#This Row],[FECHA Y HORA INICIO]])</f>
        <v>0.125</v>
      </c>
    </row>
    <row r="1220" spans="1:20" x14ac:dyDescent="0.25">
      <c r="A1220">
        <v>1228</v>
      </c>
      <c r="B1220" t="s">
        <v>199</v>
      </c>
      <c r="C1220" s="1">
        <v>0.27083333333333331</v>
      </c>
      <c r="D1220" s="2">
        <v>46150</v>
      </c>
      <c r="E1220" t="s">
        <v>91</v>
      </c>
      <c r="F1220" t="s">
        <v>18</v>
      </c>
      <c r="G1220" t="s">
        <v>2147</v>
      </c>
      <c r="H1220" s="1">
        <v>0.27083333333333331</v>
      </c>
      <c r="I1220" s="1">
        <v>0.375</v>
      </c>
      <c r="J1220" s="2">
        <v>46150</v>
      </c>
      <c r="K1220" t="s">
        <v>25</v>
      </c>
      <c r="L1220" t="s">
        <v>2148</v>
      </c>
      <c r="M1220" t="s">
        <v>22</v>
      </c>
      <c r="N1220" t="s">
        <v>22</v>
      </c>
      <c r="O1220" t="s">
        <v>108</v>
      </c>
      <c r="P1220" t="s">
        <v>23</v>
      </c>
      <c r="Q1220" s="1">
        <f>SEGUIMIENTO_TPM_xlsx[[#This Row],[HORA FIN  INTERVENCIÓN]]-SEGUIMIENTO_TPM_xlsx[[#This Row],[HORA INICIO INTERVENCIÓN]]</f>
        <v>0.10416666666666669</v>
      </c>
      <c r="R1220" s="20">
        <f>(SEGUIMIENTO_TPM_xlsx[[#This Row],[HORA REPORTE]]+SEGUIMIENTO_TPM_xlsx[[#This Row],[FECHA DE REPORTE]])</f>
        <v>46150.270833333336</v>
      </c>
      <c r="S1220" s="20">
        <f>(SEGUIMIENTO_TPM_xlsx[[#This Row],[FECHA DE INTERVENCÓN]]+SEGUIMIENTO_TPM_xlsx[[#This Row],[HORA FIN  INTERVENCIÓN]])</f>
        <v>46150.375</v>
      </c>
      <c r="T1220" s="11">
        <f>(SEGUIMIENTO_TPM_xlsx[[#This Row],[FECHA Y HORA FINAL]]-SEGUIMIENTO_TPM_xlsx[[#This Row],[FECHA Y HORA INICIO]])</f>
        <v>0.10416666666424135</v>
      </c>
    </row>
    <row r="1221" spans="1:20" x14ac:dyDescent="0.25">
      <c r="A1221">
        <v>1229</v>
      </c>
      <c r="B1221" t="s">
        <v>108</v>
      </c>
      <c r="C1221" s="1">
        <v>0.41666666666666669</v>
      </c>
      <c r="D1221" s="2">
        <v>46150</v>
      </c>
      <c r="E1221" t="s">
        <v>91</v>
      </c>
      <c r="F1221" t="s">
        <v>18</v>
      </c>
      <c r="G1221" t="s">
        <v>2149</v>
      </c>
      <c r="H1221" s="1"/>
      <c r="I1221" s="1"/>
      <c r="J1221" s="2"/>
      <c r="P1221" t="s">
        <v>33</v>
      </c>
      <c r="Q1221" s="1">
        <f>SEGUIMIENTO_TPM_xlsx[[#This Row],[HORA FIN  INTERVENCIÓN]]-SEGUIMIENTO_TPM_xlsx[[#This Row],[HORA INICIO INTERVENCIÓN]]</f>
        <v>0</v>
      </c>
      <c r="R1221" s="20">
        <f>(SEGUIMIENTO_TPM_xlsx[[#This Row],[HORA REPORTE]]+SEGUIMIENTO_TPM_xlsx[[#This Row],[FECHA DE REPORTE]])</f>
        <v>46150.416666666664</v>
      </c>
      <c r="S1221" s="20">
        <f>(SEGUIMIENTO_TPM_xlsx[[#This Row],[FECHA DE INTERVENCÓN]]+SEGUIMIENTO_TPM_xlsx[[#This Row],[HORA FIN  INTERVENCIÓN]])</f>
        <v>0</v>
      </c>
      <c r="T1221" s="11">
        <f>(SEGUIMIENTO_TPM_xlsx[[#This Row],[FECHA Y HORA FINAL]]-SEGUIMIENTO_TPM_xlsx[[#This Row],[FECHA Y HORA INICIO]])</f>
        <v>-46150.416666666664</v>
      </c>
    </row>
    <row r="1222" spans="1:20" x14ac:dyDescent="0.25">
      <c r="A1222">
        <v>1230</v>
      </c>
      <c r="C1222" s="1"/>
      <c r="D1222" s="2"/>
      <c r="H1222" s="1"/>
      <c r="I1222" s="1"/>
      <c r="J1222" s="2"/>
      <c r="Q1222" s="1">
        <f>SEGUIMIENTO_TPM_xlsx[[#This Row],[HORA FIN  INTERVENCIÓN]]-SEGUIMIENTO_TPM_xlsx[[#This Row],[HORA INICIO INTERVENCIÓN]]</f>
        <v>0</v>
      </c>
      <c r="R1222" s="20">
        <f>(SEGUIMIENTO_TPM_xlsx[[#This Row],[HORA REPORTE]]+SEGUIMIENTO_TPM_xlsx[[#This Row],[FECHA DE REPORTE]])</f>
        <v>0</v>
      </c>
      <c r="S1222" s="20">
        <f>(SEGUIMIENTO_TPM_xlsx[[#This Row],[FECHA DE INTERVENCÓN]]+SEGUIMIENTO_TPM_xlsx[[#This Row],[HORA FIN  INTERVENCIÓN]])</f>
        <v>0</v>
      </c>
      <c r="T1222" s="11">
        <f>(SEGUIMIENTO_TPM_xlsx[[#This Row],[FECHA Y HORA FINAL]]-SEGUIMIENTO_TPM_xlsx[[#This Row],[FECHA Y HORA INICIO]])</f>
        <v>0</v>
      </c>
    </row>
    <row r="1223" spans="1:20" x14ac:dyDescent="0.25">
      <c r="A1223">
        <v>1231</v>
      </c>
      <c r="B1223" t="s">
        <v>120</v>
      </c>
      <c r="C1223" s="1">
        <v>0.16319444444444445</v>
      </c>
      <c r="D1223" s="2">
        <v>46151</v>
      </c>
      <c r="E1223" t="s">
        <v>207</v>
      </c>
      <c r="F1223" t="s">
        <v>18</v>
      </c>
      <c r="G1223" t="s">
        <v>2150</v>
      </c>
      <c r="H1223" s="1">
        <v>0.16319444444444445</v>
      </c>
      <c r="I1223" s="1">
        <v>0.18402777777777779</v>
      </c>
      <c r="J1223" s="2">
        <v>46151</v>
      </c>
      <c r="K1223" t="s">
        <v>25</v>
      </c>
      <c r="L1223" t="s">
        <v>2151</v>
      </c>
      <c r="M1223" t="s">
        <v>2152</v>
      </c>
      <c r="N1223" t="s">
        <v>22</v>
      </c>
      <c r="O1223" t="s">
        <v>112</v>
      </c>
      <c r="P1223" t="s">
        <v>23</v>
      </c>
      <c r="Q1223" s="1">
        <f>SEGUIMIENTO_TPM_xlsx[[#This Row],[HORA FIN  INTERVENCIÓN]]-SEGUIMIENTO_TPM_xlsx[[#This Row],[HORA INICIO INTERVENCIÓN]]</f>
        <v>2.0833333333333343E-2</v>
      </c>
      <c r="R1223" s="20">
        <f>(SEGUIMIENTO_TPM_xlsx[[#This Row],[HORA REPORTE]]+SEGUIMIENTO_TPM_xlsx[[#This Row],[FECHA DE REPORTE]])</f>
        <v>46151.163194444445</v>
      </c>
      <c r="S1223" s="20">
        <f>(SEGUIMIENTO_TPM_xlsx[[#This Row],[FECHA DE INTERVENCÓN]]+SEGUIMIENTO_TPM_xlsx[[#This Row],[HORA FIN  INTERVENCIÓN]])</f>
        <v>46151.184027777781</v>
      </c>
      <c r="T1223" s="11">
        <f>(SEGUIMIENTO_TPM_xlsx[[#This Row],[FECHA Y HORA FINAL]]-SEGUIMIENTO_TPM_xlsx[[#This Row],[FECHA Y HORA INICIO]])</f>
        <v>2.0833333335758653E-2</v>
      </c>
    </row>
    <row r="1224" spans="1:20" x14ac:dyDescent="0.25">
      <c r="A1224">
        <v>1232</v>
      </c>
      <c r="B1224" t="s">
        <v>103</v>
      </c>
      <c r="C1224" s="1">
        <v>0.70833333333333337</v>
      </c>
      <c r="D1224" s="2">
        <v>46151</v>
      </c>
      <c r="E1224" t="s">
        <v>188</v>
      </c>
      <c r="F1224" t="s">
        <v>18</v>
      </c>
      <c r="G1224" t="s">
        <v>2153</v>
      </c>
      <c r="H1224" s="1">
        <v>0.70833333333333337</v>
      </c>
      <c r="I1224" s="1">
        <v>0.83333333333333337</v>
      </c>
      <c r="J1224" s="2">
        <v>46151</v>
      </c>
      <c r="K1224" t="s">
        <v>20</v>
      </c>
      <c r="L1224" t="s">
        <v>2154</v>
      </c>
      <c r="M1224" t="s">
        <v>22</v>
      </c>
      <c r="N1224" t="s">
        <v>22</v>
      </c>
      <c r="O1224" t="s">
        <v>108</v>
      </c>
      <c r="P1224" t="s">
        <v>23</v>
      </c>
      <c r="Q1224" s="1">
        <f>SEGUIMIENTO_TPM_xlsx[[#This Row],[HORA FIN  INTERVENCIÓN]]-SEGUIMIENTO_TPM_xlsx[[#This Row],[HORA INICIO INTERVENCIÓN]]</f>
        <v>0.125</v>
      </c>
      <c r="R1224" s="20">
        <f>(SEGUIMIENTO_TPM_xlsx[[#This Row],[HORA REPORTE]]+SEGUIMIENTO_TPM_xlsx[[#This Row],[FECHA DE REPORTE]])</f>
        <v>46151.708333333336</v>
      </c>
      <c r="S1224" s="20">
        <f>(SEGUIMIENTO_TPM_xlsx[[#This Row],[FECHA DE INTERVENCÓN]]+SEGUIMIENTO_TPM_xlsx[[#This Row],[HORA FIN  INTERVENCIÓN]])</f>
        <v>46151.833333333336</v>
      </c>
      <c r="T1224" s="11">
        <f>(SEGUIMIENTO_TPM_xlsx[[#This Row],[FECHA Y HORA FINAL]]-SEGUIMIENTO_TPM_xlsx[[#This Row],[FECHA Y HORA INICIO]])</f>
        <v>0.125</v>
      </c>
    </row>
    <row r="1225" spans="1:20" x14ac:dyDescent="0.25">
      <c r="A1225">
        <v>1233</v>
      </c>
      <c r="B1225" t="s">
        <v>103</v>
      </c>
      <c r="C1225" s="1">
        <v>0</v>
      </c>
      <c r="D1225" s="2">
        <v>46151</v>
      </c>
      <c r="E1225" t="s">
        <v>147</v>
      </c>
      <c r="F1225" t="s">
        <v>18</v>
      </c>
      <c r="G1225" t="s">
        <v>2155</v>
      </c>
      <c r="H1225" s="1">
        <v>0</v>
      </c>
      <c r="I1225" s="1">
        <v>8.3333333333333329E-2</v>
      </c>
      <c r="J1225" s="2">
        <v>46151</v>
      </c>
      <c r="K1225" t="s">
        <v>20</v>
      </c>
      <c r="L1225" t="s">
        <v>2156</v>
      </c>
      <c r="M1225" t="s">
        <v>2157</v>
      </c>
      <c r="N1225" t="s">
        <v>2158</v>
      </c>
      <c r="O1225" t="s">
        <v>108</v>
      </c>
      <c r="P1225" t="s">
        <v>33</v>
      </c>
      <c r="Q1225" s="1">
        <f>SEGUIMIENTO_TPM_xlsx[[#This Row],[HORA FIN  INTERVENCIÓN]]-SEGUIMIENTO_TPM_xlsx[[#This Row],[HORA INICIO INTERVENCIÓN]]</f>
        <v>8.3333333333333329E-2</v>
      </c>
      <c r="R1225" s="20">
        <f>(SEGUIMIENTO_TPM_xlsx[[#This Row],[HORA REPORTE]]+SEGUIMIENTO_TPM_xlsx[[#This Row],[FECHA DE REPORTE]])</f>
        <v>46151</v>
      </c>
      <c r="S1225" s="20">
        <f>(SEGUIMIENTO_TPM_xlsx[[#This Row],[FECHA DE INTERVENCÓN]]+SEGUIMIENTO_TPM_xlsx[[#This Row],[HORA FIN  INTERVENCIÓN]])</f>
        <v>46151.083333333336</v>
      </c>
      <c r="T1225" s="11">
        <f>(SEGUIMIENTO_TPM_xlsx[[#This Row],[FECHA Y HORA FINAL]]-SEGUIMIENTO_TPM_xlsx[[#This Row],[FECHA Y HORA INICIO]])</f>
        <v>8.3333333335758653E-2</v>
      </c>
    </row>
    <row r="1226" spans="1:20" x14ac:dyDescent="0.25">
      <c r="A1226">
        <v>1234</v>
      </c>
      <c r="B1226" t="s">
        <v>695</v>
      </c>
      <c r="C1226" s="1">
        <v>0.125</v>
      </c>
      <c r="D1226" s="2">
        <v>46152</v>
      </c>
      <c r="E1226" t="s">
        <v>17</v>
      </c>
      <c r="F1226" t="s">
        <v>18</v>
      </c>
      <c r="G1226" t="s">
        <v>2159</v>
      </c>
      <c r="H1226" s="1">
        <v>0.125</v>
      </c>
      <c r="I1226" s="1">
        <v>0.15277777777777779</v>
      </c>
      <c r="J1226" s="2">
        <v>46152</v>
      </c>
      <c r="K1226" t="s">
        <v>25</v>
      </c>
      <c r="L1226" t="s">
        <v>2160</v>
      </c>
      <c r="M1226" t="s">
        <v>2161</v>
      </c>
      <c r="N1226" t="s">
        <v>22</v>
      </c>
      <c r="O1226" t="s">
        <v>108</v>
      </c>
      <c r="P1226" t="s">
        <v>33</v>
      </c>
      <c r="Q1226" s="1">
        <f>SEGUIMIENTO_TPM_xlsx[[#This Row],[HORA FIN  INTERVENCIÓN]]-SEGUIMIENTO_TPM_xlsx[[#This Row],[HORA INICIO INTERVENCIÓN]]</f>
        <v>2.777777777777779E-2</v>
      </c>
      <c r="R1226" s="20">
        <f>(SEGUIMIENTO_TPM_xlsx[[#This Row],[HORA REPORTE]]+SEGUIMIENTO_TPM_xlsx[[#This Row],[FECHA DE REPORTE]])</f>
        <v>46152.125</v>
      </c>
      <c r="S1226" s="20">
        <f>(SEGUIMIENTO_TPM_xlsx[[#This Row],[FECHA DE INTERVENCÓN]]+SEGUIMIENTO_TPM_xlsx[[#This Row],[HORA FIN  INTERVENCIÓN]])</f>
        <v>46152.152777777781</v>
      </c>
      <c r="T1226" s="11">
        <f>(SEGUIMIENTO_TPM_xlsx[[#This Row],[FECHA Y HORA FINAL]]-SEGUIMIENTO_TPM_xlsx[[#This Row],[FECHA Y HORA INICIO]])</f>
        <v>2.7777777781011537E-2</v>
      </c>
    </row>
    <row r="1227" spans="1:20" x14ac:dyDescent="0.25">
      <c r="A1227">
        <v>1235</v>
      </c>
      <c r="C1227" s="1"/>
      <c r="D1227" s="2"/>
      <c r="H1227" s="1"/>
      <c r="I1227" s="1"/>
      <c r="J1227" s="2"/>
      <c r="Q1227" s="1">
        <f>SEGUIMIENTO_TPM_xlsx[[#This Row],[HORA FIN  INTERVENCIÓN]]-SEGUIMIENTO_TPM_xlsx[[#This Row],[HORA INICIO INTERVENCIÓN]]</f>
        <v>0</v>
      </c>
      <c r="R1227" s="20">
        <f>(SEGUIMIENTO_TPM_xlsx[[#This Row],[HORA REPORTE]]+SEGUIMIENTO_TPM_xlsx[[#This Row],[FECHA DE REPORTE]])</f>
        <v>0</v>
      </c>
      <c r="S1227" s="20">
        <f>(SEGUIMIENTO_TPM_xlsx[[#This Row],[FECHA DE INTERVENCÓN]]+SEGUIMIENTO_TPM_xlsx[[#This Row],[HORA FIN  INTERVENCIÓN]])</f>
        <v>0</v>
      </c>
      <c r="T1227" s="11">
        <f>(SEGUIMIENTO_TPM_xlsx[[#This Row],[FECHA Y HORA FINAL]]-SEGUIMIENTO_TPM_xlsx[[#This Row],[FECHA Y HORA INICIO]])</f>
        <v>0</v>
      </c>
    </row>
    <row r="1228" spans="1:20" x14ac:dyDescent="0.25">
      <c r="A1228">
        <v>1236</v>
      </c>
      <c r="C1228" s="1"/>
      <c r="D1228" s="2"/>
      <c r="H1228" s="1"/>
      <c r="I1228" s="1"/>
      <c r="J1228" s="2"/>
      <c r="Q1228" s="1">
        <f>SEGUIMIENTO_TPM_xlsx[[#This Row],[HORA FIN  INTERVENCIÓN]]-SEGUIMIENTO_TPM_xlsx[[#This Row],[HORA INICIO INTERVENCIÓN]]</f>
        <v>0</v>
      </c>
      <c r="R1228" s="20">
        <f>(SEGUIMIENTO_TPM_xlsx[[#This Row],[HORA REPORTE]]+SEGUIMIENTO_TPM_xlsx[[#This Row],[FECHA DE REPORTE]])</f>
        <v>0</v>
      </c>
      <c r="S1228" s="20">
        <f>(SEGUIMIENTO_TPM_xlsx[[#This Row],[FECHA DE INTERVENCÓN]]+SEGUIMIENTO_TPM_xlsx[[#This Row],[HORA FIN  INTERVENCIÓN]])</f>
        <v>0</v>
      </c>
      <c r="T1228" s="11">
        <f>(SEGUIMIENTO_TPM_xlsx[[#This Row],[FECHA Y HORA FINAL]]-SEGUIMIENTO_TPM_xlsx[[#This Row],[FECHA Y HORA INICIO]])</f>
        <v>0</v>
      </c>
    </row>
    <row r="1229" spans="1:20" x14ac:dyDescent="0.25">
      <c r="A1229">
        <v>1237</v>
      </c>
      <c r="C1229" s="1"/>
      <c r="D1229" s="2"/>
      <c r="H1229" s="1"/>
      <c r="I1229" s="1"/>
      <c r="J1229" s="2"/>
      <c r="Q1229" s="1">
        <f>SEGUIMIENTO_TPM_xlsx[[#This Row],[HORA FIN  INTERVENCIÓN]]-SEGUIMIENTO_TPM_xlsx[[#This Row],[HORA INICIO INTERVENCIÓN]]</f>
        <v>0</v>
      </c>
      <c r="R1229" s="20">
        <f>(SEGUIMIENTO_TPM_xlsx[[#This Row],[HORA REPORTE]]+SEGUIMIENTO_TPM_xlsx[[#This Row],[FECHA DE REPORTE]])</f>
        <v>0</v>
      </c>
      <c r="S1229" s="20">
        <f>(SEGUIMIENTO_TPM_xlsx[[#This Row],[FECHA DE INTERVENCÓN]]+SEGUIMIENTO_TPM_xlsx[[#This Row],[HORA FIN  INTERVENCIÓN]])</f>
        <v>0</v>
      </c>
      <c r="T1229" s="11">
        <f>(SEGUIMIENTO_TPM_xlsx[[#This Row],[FECHA Y HORA FINAL]]-SEGUIMIENTO_TPM_xlsx[[#This Row],[FECHA Y HORA INICIO]])</f>
        <v>0</v>
      </c>
    </row>
    <row r="1230" spans="1:20" x14ac:dyDescent="0.25">
      <c r="A1230">
        <v>1238</v>
      </c>
      <c r="C1230" s="1"/>
      <c r="D1230" s="2"/>
      <c r="H1230" s="1"/>
      <c r="I1230" s="1"/>
      <c r="J1230" s="2"/>
      <c r="Q1230" s="1">
        <f>SEGUIMIENTO_TPM_xlsx[[#This Row],[HORA FIN  INTERVENCIÓN]]-SEGUIMIENTO_TPM_xlsx[[#This Row],[HORA INICIO INTERVENCIÓN]]</f>
        <v>0</v>
      </c>
      <c r="R1230" s="20">
        <f>(SEGUIMIENTO_TPM_xlsx[[#This Row],[HORA REPORTE]]+SEGUIMIENTO_TPM_xlsx[[#This Row],[FECHA DE REPORTE]])</f>
        <v>0</v>
      </c>
      <c r="S1230" s="20">
        <f>(SEGUIMIENTO_TPM_xlsx[[#This Row],[FECHA DE INTERVENCÓN]]+SEGUIMIENTO_TPM_xlsx[[#This Row],[HORA FIN  INTERVENCIÓN]])</f>
        <v>0</v>
      </c>
      <c r="T1230" s="11">
        <f>(SEGUIMIENTO_TPM_xlsx[[#This Row],[FECHA Y HORA FINAL]]-SEGUIMIENTO_TPM_xlsx[[#This Row],[FECHA Y HORA INICIO]])</f>
        <v>0</v>
      </c>
    </row>
    <row r="1231" spans="1:20" x14ac:dyDescent="0.25">
      <c r="A1231">
        <v>1239</v>
      </c>
      <c r="C1231" s="1"/>
      <c r="D1231" s="2"/>
      <c r="H1231" s="1"/>
      <c r="I1231" s="1"/>
      <c r="J1231" s="2"/>
      <c r="Q1231" s="1">
        <f>SEGUIMIENTO_TPM_xlsx[[#This Row],[HORA FIN  INTERVENCIÓN]]-SEGUIMIENTO_TPM_xlsx[[#This Row],[HORA INICIO INTERVENCIÓN]]</f>
        <v>0</v>
      </c>
      <c r="R1231" s="20">
        <f>(SEGUIMIENTO_TPM_xlsx[[#This Row],[HORA REPORTE]]+SEGUIMIENTO_TPM_xlsx[[#This Row],[FECHA DE REPORTE]])</f>
        <v>0</v>
      </c>
      <c r="S1231" s="20">
        <f>(SEGUIMIENTO_TPM_xlsx[[#This Row],[FECHA DE INTERVENCÓN]]+SEGUIMIENTO_TPM_xlsx[[#This Row],[HORA FIN  INTERVENCIÓN]])</f>
        <v>0</v>
      </c>
      <c r="T1231" s="11">
        <f>(SEGUIMIENTO_TPM_xlsx[[#This Row],[FECHA Y HORA FINAL]]-SEGUIMIENTO_TPM_xlsx[[#This Row],[FECHA Y HORA INICIO]])</f>
        <v>0</v>
      </c>
    </row>
    <row r="1232" spans="1:20" x14ac:dyDescent="0.25">
      <c r="A1232">
        <v>1240</v>
      </c>
      <c r="C1232" s="1"/>
      <c r="D1232" s="2"/>
      <c r="H1232" s="1"/>
      <c r="I1232" s="1"/>
      <c r="J1232" s="2"/>
      <c r="Q1232" s="1">
        <f>SEGUIMIENTO_TPM_xlsx[[#This Row],[HORA FIN  INTERVENCIÓN]]-SEGUIMIENTO_TPM_xlsx[[#This Row],[HORA INICIO INTERVENCIÓN]]</f>
        <v>0</v>
      </c>
      <c r="R1232" s="20">
        <f>(SEGUIMIENTO_TPM_xlsx[[#This Row],[HORA REPORTE]]+SEGUIMIENTO_TPM_xlsx[[#This Row],[FECHA DE REPORTE]])</f>
        <v>0</v>
      </c>
      <c r="S1232" s="20">
        <f>(SEGUIMIENTO_TPM_xlsx[[#This Row],[FECHA DE INTERVENCÓN]]+SEGUIMIENTO_TPM_xlsx[[#This Row],[HORA FIN  INTERVENCIÓN]])</f>
        <v>0</v>
      </c>
      <c r="T1232" s="11">
        <f>(SEGUIMIENTO_TPM_xlsx[[#This Row],[FECHA Y HORA FINAL]]-SEGUIMIENTO_TPM_xlsx[[#This Row],[FECHA Y HORA INICIO]])</f>
        <v>0</v>
      </c>
    </row>
    <row r="1233" spans="1:20" x14ac:dyDescent="0.25">
      <c r="A1233">
        <v>1241</v>
      </c>
      <c r="C1233" s="1"/>
      <c r="D1233" s="2"/>
      <c r="H1233" s="1"/>
      <c r="I1233" s="1"/>
      <c r="J1233" s="2"/>
      <c r="Q1233" s="1">
        <f>SEGUIMIENTO_TPM_xlsx[[#This Row],[HORA FIN  INTERVENCIÓN]]-SEGUIMIENTO_TPM_xlsx[[#This Row],[HORA INICIO INTERVENCIÓN]]</f>
        <v>0</v>
      </c>
      <c r="R1233" s="20">
        <f>(SEGUIMIENTO_TPM_xlsx[[#This Row],[HORA REPORTE]]+SEGUIMIENTO_TPM_xlsx[[#This Row],[FECHA DE REPORTE]])</f>
        <v>0</v>
      </c>
      <c r="S1233" s="20">
        <f>(SEGUIMIENTO_TPM_xlsx[[#This Row],[FECHA DE INTERVENCÓN]]+SEGUIMIENTO_TPM_xlsx[[#This Row],[HORA FIN  INTERVENCIÓN]])</f>
        <v>0</v>
      </c>
      <c r="T1233" s="11">
        <f>(SEGUIMIENTO_TPM_xlsx[[#This Row],[FECHA Y HORA FINAL]]-SEGUIMIENTO_TPM_xlsx[[#This Row],[FECHA Y HORA INICIO]])</f>
        <v>0</v>
      </c>
    </row>
    <row r="1234" spans="1:20" x14ac:dyDescent="0.25">
      <c r="A1234">
        <v>1242</v>
      </c>
      <c r="C1234" s="1"/>
      <c r="D1234" s="2"/>
      <c r="H1234" s="1"/>
      <c r="I1234" s="1"/>
      <c r="J1234" s="2"/>
      <c r="Q1234" s="1">
        <f>SEGUIMIENTO_TPM_xlsx[[#This Row],[HORA FIN  INTERVENCIÓN]]-SEGUIMIENTO_TPM_xlsx[[#This Row],[HORA INICIO INTERVENCIÓN]]</f>
        <v>0</v>
      </c>
      <c r="R1234" s="20">
        <f>(SEGUIMIENTO_TPM_xlsx[[#This Row],[HORA REPORTE]]+SEGUIMIENTO_TPM_xlsx[[#This Row],[FECHA DE REPORTE]])</f>
        <v>0</v>
      </c>
      <c r="S1234" s="20">
        <f>(SEGUIMIENTO_TPM_xlsx[[#This Row],[FECHA DE INTERVENCÓN]]+SEGUIMIENTO_TPM_xlsx[[#This Row],[HORA FIN  INTERVENCIÓN]])</f>
        <v>0</v>
      </c>
      <c r="T1234" s="11">
        <f>(SEGUIMIENTO_TPM_xlsx[[#This Row],[FECHA Y HORA FINAL]]-SEGUIMIENTO_TPM_xlsx[[#This Row],[FECHA Y HORA INICIO]])</f>
        <v>0</v>
      </c>
    </row>
    <row r="1235" spans="1:20" x14ac:dyDescent="0.25">
      <c r="A1235">
        <v>1243</v>
      </c>
      <c r="C1235" s="1"/>
      <c r="D1235" s="2"/>
      <c r="H1235" s="1"/>
      <c r="I1235" s="1"/>
      <c r="J1235" s="2"/>
      <c r="Q1235" s="1">
        <f>SEGUIMIENTO_TPM_xlsx[[#This Row],[HORA FIN  INTERVENCIÓN]]-SEGUIMIENTO_TPM_xlsx[[#This Row],[HORA INICIO INTERVENCIÓN]]</f>
        <v>0</v>
      </c>
      <c r="R1235" s="20">
        <f>(SEGUIMIENTO_TPM_xlsx[[#This Row],[HORA REPORTE]]+SEGUIMIENTO_TPM_xlsx[[#This Row],[FECHA DE REPORTE]])</f>
        <v>0</v>
      </c>
      <c r="S1235" s="20">
        <f>(SEGUIMIENTO_TPM_xlsx[[#This Row],[FECHA DE INTERVENCÓN]]+SEGUIMIENTO_TPM_xlsx[[#This Row],[HORA FIN  INTERVENCIÓN]])</f>
        <v>0</v>
      </c>
      <c r="T1235" s="11">
        <f>(SEGUIMIENTO_TPM_xlsx[[#This Row],[FECHA Y HORA FINAL]]-SEGUIMIENTO_TPM_xlsx[[#This Row],[FECHA Y HORA INICIO]])</f>
        <v>0</v>
      </c>
    </row>
    <row r="1236" spans="1:20" x14ac:dyDescent="0.25">
      <c r="A1236">
        <v>1244</v>
      </c>
      <c r="C1236" s="1"/>
      <c r="D1236" s="2"/>
      <c r="H1236" s="1"/>
      <c r="I1236" s="1"/>
      <c r="J1236" s="2"/>
      <c r="Q1236" s="1">
        <f>SEGUIMIENTO_TPM_xlsx[[#This Row],[HORA FIN  INTERVENCIÓN]]-SEGUIMIENTO_TPM_xlsx[[#This Row],[HORA INICIO INTERVENCIÓN]]</f>
        <v>0</v>
      </c>
      <c r="R1236" s="20">
        <f>(SEGUIMIENTO_TPM_xlsx[[#This Row],[HORA REPORTE]]+SEGUIMIENTO_TPM_xlsx[[#This Row],[FECHA DE REPORTE]])</f>
        <v>0</v>
      </c>
      <c r="S1236" s="20">
        <f>(SEGUIMIENTO_TPM_xlsx[[#This Row],[FECHA DE INTERVENCÓN]]+SEGUIMIENTO_TPM_xlsx[[#This Row],[HORA FIN  INTERVENCIÓN]])</f>
        <v>0</v>
      </c>
      <c r="T1236" s="11">
        <f>(SEGUIMIENTO_TPM_xlsx[[#This Row],[FECHA Y HORA FINAL]]-SEGUIMIENTO_TPM_xlsx[[#This Row],[FECHA Y HORA INICIO]])</f>
        <v>0</v>
      </c>
    </row>
    <row r="1237" spans="1:20" x14ac:dyDescent="0.25">
      <c r="A1237">
        <v>1245</v>
      </c>
      <c r="C1237" s="1"/>
      <c r="D1237" s="2"/>
      <c r="H1237" s="1"/>
      <c r="I1237" s="1"/>
      <c r="J1237" s="2"/>
      <c r="Q1237" s="1">
        <f>SEGUIMIENTO_TPM_xlsx[[#This Row],[HORA FIN  INTERVENCIÓN]]-SEGUIMIENTO_TPM_xlsx[[#This Row],[HORA INICIO INTERVENCIÓN]]</f>
        <v>0</v>
      </c>
      <c r="R1237" s="20">
        <f>(SEGUIMIENTO_TPM_xlsx[[#This Row],[HORA REPORTE]]+SEGUIMIENTO_TPM_xlsx[[#This Row],[FECHA DE REPORTE]])</f>
        <v>0</v>
      </c>
      <c r="S1237" s="20">
        <f>(SEGUIMIENTO_TPM_xlsx[[#This Row],[FECHA DE INTERVENCÓN]]+SEGUIMIENTO_TPM_xlsx[[#This Row],[HORA FIN  INTERVENCIÓN]])</f>
        <v>0</v>
      </c>
      <c r="T1237" s="11">
        <f>(SEGUIMIENTO_TPM_xlsx[[#This Row],[FECHA Y HORA FINAL]]-SEGUIMIENTO_TPM_xlsx[[#This Row],[FECHA Y HORA INICIO]])</f>
        <v>0</v>
      </c>
    </row>
    <row r="1238" spans="1:20" x14ac:dyDescent="0.25">
      <c r="A1238">
        <v>1246</v>
      </c>
      <c r="C1238" s="1"/>
      <c r="D1238" s="2"/>
      <c r="H1238" s="1"/>
      <c r="I1238" s="1"/>
      <c r="J1238" s="2"/>
      <c r="Q1238" s="1">
        <f>SEGUIMIENTO_TPM_xlsx[[#This Row],[HORA FIN  INTERVENCIÓN]]-SEGUIMIENTO_TPM_xlsx[[#This Row],[HORA INICIO INTERVENCIÓN]]</f>
        <v>0</v>
      </c>
      <c r="R1238" s="20">
        <f>(SEGUIMIENTO_TPM_xlsx[[#This Row],[HORA REPORTE]]+SEGUIMIENTO_TPM_xlsx[[#This Row],[FECHA DE REPORTE]])</f>
        <v>0</v>
      </c>
      <c r="S1238" s="20">
        <f>(SEGUIMIENTO_TPM_xlsx[[#This Row],[FECHA DE INTERVENCÓN]]+SEGUIMIENTO_TPM_xlsx[[#This Row],[HORA FIN  INTERVENCIÓN]])</f>
        <v>0</v>
      </c>
      <c r="T1238" s="11">
        <f>(SEGUIMIENTO_TPM_xlsx[[#This Row],[FECHA Y HORA FINAL]]-SEGUIMIENTO_TPM_xlsx[[#This Row],[FECHA Y HORA INICIO]])</f>
        <v>0</v>
      </c>
    </row>
    <row r="1239" spans="1:20" x14ac:dyDescent="0.25">
      <c r="A1239">
        <v>1247</v>
      </c>
      <c r="C1239" s="1"/>
      <c r="D1239" s="2"/>
      <c r="H1239" s="1"/>
      <c r="I1239" s="1"/>
      <c r="J1239" s="2"/>
      <c r="Q1239" s="1">
        <f>SEGUIMIENTO_TPM_xlsx[[#This Row],[HORA FIN  INTERVENCIÓN]]-SEGUIMIENTO_TPM_xlsx[[#This Row],[HORA INICIO INTERVENCIÓN]]</f>
        <v>0</v>
      </c>
      <c r="R1239" s="20">
        <f>(SEGUIMIENTO_TPM_xlsx[[#This Row],[HORA REPORTE]]+SEGUIMIENTO_TPM_xlsx[[#This Row],[FECHA DE REPORTE]])</f>
        <v>0</v>
      </c>
      <c r="S1239" s="20">
        <f>(SEGUIMIENTO_TPM_xlsx[[#This Row],[FECHA DE INTERVENCÓN]]+SEGUIMIENTO_TPM_xlsx[[#This Row],[HORA FIN  INTERVENCIÓN]])</f>
        <v>0</v>
      </c>
      <c r="T1239" s="11">
        <f>(SEGUIMIENTO_TPM_xlsx[[#This Row],[FECHA Y HORA FINAL]]-SEGUIMIENTO_TPM_xlsx[[#This Row],[FECHA Y HORA INICIO]])</f>
        <v>0</v>
      </c>
    </row>
    <row r="1240" spans="1:20" x14ac:dyDescent="0.25">
      <c r="A1240">
        <v>1248</v>
      </c>
      <c r="C1240" s="1"/>
      <c r="D1240" s="2"/>
      <c r="H1240" s="1"/>
      <c r="I1240" s="1"/>
      <c r="J1240" s="2"/>
      <c r="Q1240" s="1">
        <f>SEGUIMIENTO_TPM_xlsx[[#This Row],[HORA FIN  INTERVENCIÓN]]-SEGUIMIENTO_TPM_xlsx[[#This Row],[HORA INICIO INTERVENCIÓN]]</f>
        <v>0</v>
      </c>
      <c r="R1240" s="20">
        <f>(SEGUIMIENTO_TPM_xlsx[[#This Row],[HORA REPORTE]]+SEGUIMIENTO_TPM_xlsx[[#This Row],[FECHA DE REPORTE]])</f>
        <v>0</v>
      </c>
      <c r="S1240" s="20">
        <f>(SEGUIMIENTO_TPM_xlsx[[#This Row],[FECHA DE INTERVENCÓN]]+SEGUIMIENTO_TPM_xlsx[[#This Row],[HORA FIN  INTERVENCIÓN]])</f>
        <v>0</v>
      </c>
      <c r="T1240" s="11">
        <f>(SEGUIMIENTO_TPM_xlsx[[#This Row],[FECHA Y HORA FINAL]]-SEGUIMIENTO_TPM_xlsx[[#This Row],[FECHA Y HORA INICIO]])</f>
        <v>0</v>
      </c>
    </row>
    <row r="1241" spans="1:20" x14ac:dyDescent="0.25">
      <c r="A1241">
        <v>1249</v>
      </c>
      <c r="C1241" s="1"/>
      <c r="D1241" s="2"/>
      <c r="H1241" s="1"/>
      <c r="I1241" s="1"/>
      <c r="J1241" s="2"/>
      <c r="Q1241" s="1">
        <f>SEGUIMIENTO_TPM_xlsx[[#This Row],[HORA FIN  INTERVENCIÓN]]-SEGUIMIENTO_TPM_xlsx[[#This Row],[HORA INICIO INTERVENCIÓN]]</f>
        <v>0</v>
      </c>
      <c r="R1241" s="20">
        <f>(SEGUIMIENTO_TPM_xlsx[[#This Row],[HORA REPORTE]]+SEGUIMIENTO_TPM_xlsx[[#This Row],[FECHA DE REPORTE]])</f>
        <v>0</v>
      </c>
      <c r="S1241" s="20">
        <f>(SEGUIMIENTO_TPM_xlsx[[#This Row],[FECHA DE INTERVENCÓN]]+SEGUIMIENTO_TPM_xlsx[[#This Row],[HORA FIN  INTERVENCIÓN]])</f>
        <v>0</v>
      </c>
      <c r="T1241" s="11">
        <f>(SEGUIMIENTO_TPM_xlsx[[#This Row],[FECHA Y HORA FINAL]]-SEGUIMIENTO_TPM_xlsx[[#This Row],[FECHA Y HORA INICIO]])</f>
        <v>0</v>
      </c>
    </row>
    <row r="1242" spans="1:20" x14ac:dyDescent="0.25">
      <c r="A1242">
        <v>1250</v>
      </c>
      <c r="C1242" s="1"/>
      <c r="D1242" s="2"/>
      <c r="H1242" s="1"/>
      <c r="I1242" s="1"/>
      <c r="J1242" s="2"/>
      <c r="Q1242" s="1">
        <f>SEGUIMIENTO_TPM_xlsx[[#This Row],[HORA FIN  INTERVENCIÓN]]-SEGUIMIENTO_TPM_xlsx[[#This Row],[HORA INICIO INTERVENCIÓN]]</f>
        <v>0</v>
      </c>
      <c r="R1242" s="20">
        <f>(SEGUIMIENTO_TPM_xlsx[[#This Row],[HORA REPORTE]]+SEGUIMIENTO_TPM_xlsx[[#This Row],[FECHA DE REPORTE]])</f>
        <v>0</v>
      </c>
      <c r="S1242" s="20">
        <f>(SEGUIMIENTO_TPM_xlsx[[#This Row],[FECHA DE INTERVENCÓN]]+SEGUIMIENTO_TPM_xlsx[[#This Row],[HORA FIN  INTERVENCIÓN]])</f>
        <v>0</v>
      </c>
      <c r="T1242" s="11">
        <f>(SEGUIMIENTO_TPM_xlsx[[#This Row],[FECHA Y HORA FINAL]]-SEGUIMIENTO_TPM_xlsx[[#This Row],[FECHA Y HORA INICIO]])</f>
        <v>0</v>
      </c>
    </row>
    <row r="1243" spans="1:20" x14ac:dyDescent="0.25">
      <c r="A1243">
        <v>1251</v>
      </c>
      <c r="C1243" s="1"/>
      <c r="D1243" s="2"/>
      <c r="H1243" s="1"/>
      <c r="I1243" s="1"/>
      <c r="J1243" s="2"/>
      <c r="Q1243" s="1">
        <f>SEGUIMIENTO_TPM_xlsx[[#This Row],[HORA FIN  INTERVENCIÓN]]-SEGUIMIENTO_TPM_xlsx[[#This Row],[HORA INICIO INTERVENCIÓN]]</f>
        <v>0</v>
      </c>
      <c r="R1243" s="20">
        <f>(SEGUIMIENTO_TPM_xlsx[[#This Row],[HORA REPORTE]]+SEGUIMIENTO_TPM_xlsx[[#This Row],[FECHA DE REPORTE]])</f>
        <v>0</v>
      </c>
      <c r="S1243" s="20">
        <f>(SEGUIMIENTO_TPM_xlsx[[#This Row],[FECHA DE INTERVENCÓN]]+SEGUIMIENTO_TPM_xlsx[[#This Row],[HORA FIN  INTERVENCIÓN]])</f>
        <v>0</v>
      </c>
      <c r="T1243" s="11">
        <f>(SEGUIMIENTO_TPM_xlsx[[#This Row],[FECHA Y HORA FINAL]]-SEGUIMIENTO_TPM_xlsx[[#This Row],[FECHA Y HORA INICIO]])</f>
        <v>0</v>
      </c>
    </row>
    <row r="1244" spans="1:20" x14ac:dyDescent="0.25">
      <c r="A1244">
        <v>1252</v>
      </c>
      <c r="C1244" s="1"/>
      <c r="D1244" s="2"/>
      <c r="H1244" s="1"/>
      <c r="I1244" s="1"/>
      <c r="J1244" s="2"/>
      <c r="Q1244" s="1">
        <f>SEGUIMIENTO_TPM_xlsx[[#This Row],[HORA FIN  INTERVENCIÓN]]-SEGUIMIENTO_TPM_xlsx[[#This Row],[HORA INICIO INTERVENCIÓN]]</f>
        <v>0</v>
      </c>
      <c r="R1244" s="20">
        <f>(SEGUIMIENTO_TPM_xlsx[[#This Row],[HORA REPORTE]]+SEGUIMIENTO_TPM_xlsx[[#This Row],[FECHA DE REPORTE]])</f>
        <v>0</v>
      </c>
      <c r="S1244" s="20">
        <f>(SEGUIMIENTO_TPM_xlsx[[#This Row],[FECHA DE INTERVENCÓN]]+SEGUIMIENTO_TPM_xlsx[[#This Row],[HORA FIN  INTERVENCIÓN]])</f>
        <v>0</v>
      </c>
      <c r="T1244" s="11">
        <f>(SEGUIMIENTO_TPM_xlsx[[#This Row],[FECHA Y HORA FINAL]]-SEGUIMIENTO_TPM_xlsx[[#This Row],[FECHA Y HORA INICIO]])</f>
        <v>0</v>
      </c>
    </row>
    <row r="1245" spans="1:20" x14ac:dyDescent="0.25">
      <c r="A1245">
        <v>1253</v>
      </c>
      <c r="C1245" s="1"/>
      <c r="D1245" s="2"/>
      <c r="H1245" s="1"/>
      <c r="I1245" s="1"/>
      <c r="J1245" s="2"/>
      <c r="Q1245" s="1">
        <f>SEGUIMIENTO_TPM_xlsx[[#This Row],[HORA FIN  INTERVENCIÓN]]-SEGUIMIENTO_TPM_xlsx[[#This Row],[HORA INICIO INTERVENCIÓN]]</f>
        <v>0</v>
      </c>
      <c r="R1245" s="20">
        <f>(SEGUIMIENTO_TPM_xlsx[[#This Row],[HORA REPORTE]]+SEGUIMIENTO_TPM_xlsx[[#This Row],[FECHA DE REPORTE]])</f>
        <v>0</v>
      </c>
      <c r="S1245" s="20">
        <f>(SEGUIMIENTO_TPM_xlsx[[#This Row],[FECHA DE INTERVENCÓN]]+SEGUIMIENTO_TPM_xlsx[[#This Row],[HORA FIN  INTERVENCIÓN]])</f>
        <v>0</v>
      </c>
      <c r="T1245" s="11">
        <f>(SEGUIMIENTO_TPM_xlsx[[#This Row],[FECHA Y HORA FINAL]]-SEGUIMIENTO_TPM_xlsx[[#This Row],[FECHA Y HORA INICIO]])</f>
        <v>0</v>
      </c>
    </row>
    <row r="1246" spans="1:20" x14ac:dyDescent="0.25">
      <c r="A1246">
        <v>1254</v>
      </c>
      <c r="C1246" s="1"/>
      <c r="D1246" s="2"/>
      <c r="H1246" s="1"/>
      <c r="I1246" s="1"/>
      <c r="J1246" s="2"/>
      <c r="Q1246" s="1">
        <f>SEGUIMIENTO_TPM_xlsx[[#This Row],[HORA FIN  INTERVENCIÓN]]-SEGUIMIENTO_TPM_xlsx[[#This Row],[HORA INICIO INTERVENCIÓN]]</f>
        <v>0</v>
      </c>
      <c r="R1246" s="20">
        <f>(SEGUIMIENTO_TPM_xlsx[[#This Row],[HORA REPORTE]]+SEGUIMIENTO_TPM_xlsx[[#This Row],[FECHA DE REPORTE]])</f>
        <v>0</v>
      </c>
      <c r="S1246" s="20">
        <f>(SEGUIMIENTO_TPM_xlsx[[#This Row],[FECHA DE INTERVENCÓN]]+SEGUIMIENTO_TPM_xlsx[[#This Row],[HORA FIN  INTERVENCIÓN]])</f>
        <v>0</v>
      </c>
      <c r="T1246" s="11">
        <f>(SEGUIMIENTO_TPM_xlsx[[#This Row],[FECHA Y HORA FINAL]]-SEGUIMIENTO_TPM_xlsx[[#This Row],[FECHA Y HORA INICIO]])</f>
        <v>0</v>
      </c>
    </row>
    <row r="1247" spans="1:20" x14ac:dyDescent="0.25">
      <c r="A1247">
        <v>1255</v>
      </c>
      <c r="C1247" s="1"/>
      <c r="D1247" s="2"/>
      <c r="H1247" s="1"/>
      <c r="I1247" s="1"/>
      <c r="J1247" s="2"/>
      <c r="Q1247" s="1">
        <f>SEGUIMIENTO_TPM_xlsx[[#This Row],[HORA FIN  INTERVENCIÓN]]-SEGUIMIENTO_TPM_xlsx[[#This Row],[HORA INICIO INTERVENCIÓN]]</f>
        <v>0</v>
      </c>
      <c r="R1247" s="20">
        <f>(SEGUIMIENTO_TPM_xlsx[[#This Row],[HORA REPORTE]]+SEGUIMIENTO_TPM_xlsx[[#This Row],[FECHA DE REPORTE]])</f>
        <v>0</v>
      </c>
      <c r="S1247" s="20">
        <f>(SEGUIMIENTO_TPM_xlsx[[#This Row],[FECHA DE INTERVENCÓN]]+SEGUIMIENTO_TPM_xlsx[[#This Row],[HORA FIN  INTERVENCIÓN]])</f>
        <v>0</v>
      </c>
      <c r="T1247" s="11">
        <f>(SEGUIMIENTO_TPM_xlsx[[#This Row],[FECHA Y HORA FINAL]]-SEGUIMIENTO_TPM_xlsx[[#This Row],[FECHA Y HORA INICIO]])</f>
        <v>0</v>
      </c>
    </row>
    <row r="1248" spans="1:20" x14ac:dyDescent="0.25">
      <c r="A1248">
        <v>1256</v>
      </c>
      <c r="C1248" s="1"/>
      <c r="D1248" s="2"/>
      <c r="H1248" s="1"/>
      <c r="I1248" s="1"/>
      <c r="J1248" s="2"/>
      <c r="Q1248" s="1">
        <f>SEGUIMIENTO_TPM_xlsx[[#This Row],[HORA FIN  INTERVENCIÓN]]-SEGUIMIENTO_TPM_xlsx[[#This Row],[HORA INICIO INTERVENCIÓN]]</f>
        <v>0</v>
      </c>
      <c r="R1248" s="20">
        <f>(SEGUIMIENTO_TPM_xlsx[[#This Row],[HORA REPORTE]]+SEGUIMIENTO_TPM_xlsx[[#This Row],[FECHA DE REPORTE]])</f>
        <v>0</v>
      </c>
      <c r="S1248" s="20">
        <f>(SEGUIMIENTO_TPM_xlsx[[#This Row],[FECHA DE INTERVENCÓN]]+SEGUIMIENTO_TPM_xlsx[[#This Row],[HORA FIN  INTERVENCIÓN]])</f>
        <v>0</v>
      </c>
      <c r="T1248" s="11">
        <f>(SEGUIMIENTO_TPM_xlsx[[#This Row],[FECHA Y HORA FINAL]]-SEGUIMIENTO_TPM_xlsx[[#This Row],[FECHA Y HORA INICIO]])</f>
        <v>0</v>
      </c>
    </row>
    <row r="1249" spans="1:20" x14ac:dyDescent="0.25">
      <c r="A1249">
        <v>1257</v>
      </c>
      <c r="C1249" s="1"/>
      <c r="D1249" s="2"/>
      <c r="H1249" s="1"/>
      <c r="I1249" s="1"/>
      <c r="J1249" s="2"/>
      <c r="Q1249" s="1">
        <f>SEGUIMIENTO_TPM_xlsx[[#This Row],[HORA FIN  INTERVENCIÓN]]-SEGUIMIENTO_TPM_xlsx[[#This Row],[HORA INICIO INTERVENCIÓN]]</f>
        <v>0</v>
      </c>
      <c r="R1249" s="20">
        <f>(SEGUIMIENTO_TPM_xlsx[[#This Row],[HORA REPORTE]]+SEGUIMIENTO_TPM_xlsx[[#This Row],[FECHA DE REPORTE]])</f>
        <v>0</v>
      </c>
      <c r="S1249" s="20">
        <f>(SEGUIMIENTO_TPM_xlsx[[#This Row],[FECHA DE INTERVENCÓN]]+SEGUIMIENTO_TPM_xlsx[[#This Row],[HORA FIN  INTERVENCIÓN]])</f>
        <v>0</v>
      </c>
      <c r="T1249" s="11">
        <f>(SEGUIMIENTO_TPM_xlsx[[#This Row],[FECHA Y HORA FINAL]]-SEGUIMIENTO_TPM_xlsx[[#This Row],[FECHA Y HORA INICIO]])</f>
        <v>0</v>
      </c>
    </row>
    <row r="1250" spans="1:20" x14ac:dyDescent="0.25">
      <c r="A1250">
        <v>1258</v>
      </c>
      <c r="C1250" s="1"/>
      <c r="D1250" s="2"/>
      <c r="H1250" s="1"/>
      <c r="I1250" s="1"/>
      <c r="J1250" s="2"/>
      <c r="Q1250" s="1">
        <f>SEGUIMIENTO_TPM_xlsx[[#This Row],[HORA FIN  INTERVENCIÓN]]-SEGUIMIENTO_TPM_xlsx[[#This Row],[HORA INICIO INTERVENCIÓN]]</f>
        <v>0</v>
      </c>
      <c r="R1250" s="20">
        <f>(SEGUIMIENTO_TPM_xlsx[[#This Row],[HORA REPORTE]]+SEGUIMIENTO_TPM_xlsx[[#This Row],[FECHA DE REPORTE]])</f>
        <v>0</v>
      </c>
      <c r="S1250" s="20">
        <f>(SEGUIMIENTO_TPM_xlsx[[#This Row],[FECHA DE INTERVENCÓN]]+SEGUIMIENTO_TPM_xlsx[[#This Row],[HORA FIN  INTERVENCIÓN]])</f>
        <v>0</v>
      </c>
      <c r="T1250" s="11">
        <f>(SEGUIMIENTO_TPM_xlsx[[#This Row],[FECHA Y HORA FINAL]]-SEGUIMIENTO_TPM_xlsx[[#This Row],[FECHA Y HORA INICIO]])</f>
        <v>0</v>
      </c>
    </row>
    <row r="1251" spans="1:20" x14ac:dyDescent="0.25">
      <c r="A1251">
        <v>1259</v>
      </c>
      <c r="C1251" s="1"/>
      <c r="D1251" s="2"/>
      <c r="H1251" s="1"/>
      <c r="I1251" s="1"/>
      <c r="J1251" s="2"/>
      <c r="Q1251" s="1">
        <f>SEGUIMIENTO_TPM_xlsx[[#This Row],[HORA FIN  INTERVENCIÓN]]-SEGUIMIENTO_TPM_xlsx[[#This Row],[HORA INICIO INTERVENCIÓN]]</f>
        <v>0</v>
      </c>
      <c r="R1251" s="20">
        <f>(SEGUIMIENTO_TPM_xlsx[[#This Row],[HORA REPORTE]]+SEGUIMIENTO_TPM_xlsx[[#This Row],[FECHA DE REPORTE]])</f>
        <v>0</v>
      </c>
      <c r="S1251" s="20">
        <f>(SEGUIMIENTO_TPM_xlsx[[#This Row],[FECHA DE INTERVENCÓN]]+SEGUIMIENTO_TPM_xlsx[[#This Row],[HORA FIN  INTERVENCIÓN]])</f>
        <v>0</v>
      </c>
      <c r="T1251" s="11">
        <f>(SEGUIMIENTO_TPM_xlsx[[#This Row],[FECHA Y HORA FINAL]]-SEGUIMIENTO_TPM_xlsx[[#This Row],[FECHA Y HORA INICIO]])</f>
        <v>0</v>
      </c>
    </row>
    <row r="1252" spans="1:20" x14ac:dyDescent="0.25">
      <c r="A1252">
        <v>1260</v>
      </c>
      <c r="C1252" s="1"/>
      <c r="D1252" s="2"/>
      <c r="H1252" s="1"/>
      <c r="I1252" s="1"/>
      <c r="J1252" s="2"/>
      <c r="Q1252" s="1">
        <f>SEGUIMIENTO_TPM_xlsx[[#This Row],[HORA FIN  INTERVENCIÓN]]-SEGUIMIENTO_TPM_xlsx[[#This Row],[HORA INICIO INTERVENCIÓN]]</f>
        <v>0</v>
      </c>
      <c r="R1252" s="20">
        <f>(SEGUIMIENTO_TPM_xlsx[[#This Row],[HORA REPORTE]]+SEGUIMIENTO_TPM_xlsx[[#This Row],[FECHA DE REPORTE]])</f>
        <v>0</v>
      </c>
      <c r="S1252" s="20">
        <f>(SEGUIMIENTO_TPM_xlsx[[#This Row],[FECHA DE INTERVENCÓN]]+SEGUIMIENTO_TPM_xlsx[[#This Row],[HORA FIN  INTERVENCIÓN]])</f>
        <v>0</v>
      </c>
      <c r="T1252" s="11">
        <f>(SEGUIMIENTO_TPM_xlsx[[#This Row],[FECHA Y HORA FINAL]]-SEGUIMIENTO_TPM_xlsx[[#This Row],[FECHA Y HORA INICIO]])</f>
        <v>0</v>
      </c>
    </row>
    <row r="1253" spans="1:20" x14ac:dyDescent="0.25">
      <c r="A1253">
        <v>1261</v>
      </c>
      <c r="C1253" s="1"/>
      <c r="D1253" s="2"/>
      <c r="H1253" s="1"/>
      <c r="I1253" s="1"/>
      <c r="J1253" s="2"/>
      <c r="Q1253" s="1">
        <f>SEGUIMIENTO_TPM_xlsx[[#This Row],[HORA FIN  INTERVENCIÓN]]-SEGUIMIENTO_TPM_xlsx[[#This Row],[HORA INICIO INTERVENCIÓN]]</f>
        <v>0</v>
      </c>
      <c r="R1253" s="20">
        <f>(SEGUIMIENTO_TPM_xlsx[[#This Row],[HORA REPORTE]]+SEGUIMIENTO_TPM_xlsx[[#This Row],[FECHA DE REPORTE]])</f>
        <v>0</v>
      </c>
      <c r="S1253" s="20">
        <f>(SEGUIMIENTO_TPM_xlsx[[#This Row],[FECHA DE INTERVENCÓN]]+SEGUIMIENTO_TPM_xlsx[[#This Row],[HORA FIN  INTERVENCIÓN]])</f>
        <v>0</v>
      </c>
      <c r="T1253" s="11">
        <f>(SEGUIMIENTO_TPM_xlsx[[#This Row],[FECHA Y HORA FINAL]]-SEGUIMIENTO_TPM_xlsx[[#This Row],[FECHA Y HORA INICIO]])</f>
        <v>0</v>
      </c>
    </row>
    <row r="1254" spans="1:20" x14ac:dyDescent="0.25">
      <c r="A1254">
        <v>1262</v>
      </c>
      <c r="C1254" s="1"/>
      <c r="D1254" s="2"/>
      <c r="H1254" s="1"/>
      <c r="I1254" s="1"/>
      <c r="J1254" s="2"/>
      <c r="Q1254" s="1">
        <f>SEGUIMIENTO_TPM_xlsx[[#This Row],[HORA FIN  INTERVENCIÓN]]-SEGUIMIENTO_TPM_xlsx[[#This Row],[HORA INICIO INTERVENCIÓN]]</f>
        <v>0</v>
      </c>
      <c r="R1254" s="20">
        <f>(SEGUIMIENTO_TPM_xlsx[[#This Row],[HORA REPORTE]]+SEGUIMIENTO_TPM_xlsx[[#This Row],[FECHA DE REPORTE]])</f>
        <v>0</v>
      </c>
      <c r="S1254" s="20">
        <f>(SEGUIMIENTO_TPM_xlsx[[#This Row],[FECHA DE INTERVENCÓN]]+SEGUIMIENTO_TPM_xlsx[[#This Row],[HORA FIN  INTERVENCIÓN]])</f>
        <v>0</v>
      </c>
      <c r="T1254" s="11">
        <f>(SEGUIMIENTO_TPM_xlsx[[#This Row],[FECHA Y HORA FINAL]]-SEGUIMIENTO_TPM_xlsx[[#This Row],[FECHA Y HORA INICIO]])</f>
        <v>0</v>
      </c>
    </row>
    <row r="1255" spans="1:20" x14ac:dyDescent="0.25">
      <c r="A1255">
        <v>1263</v>
      </c>
      <c r="C1255" s="1"/>
      <c r="D1255" s="2"/>
      <c r="H1255" s="1"/>
      <c r="I1255" s="1"/>
      <c r="J1255" s="2"/>
      <c r="Q1255" s="1">
        <f>SEGUIMIENTO_TPM_xlsx[[#This Row],[HORA FIN  INTERVENCIÓN]]-SEGUIMIENTO_TPM_xlsx[[#This Row],[HORA INICIO INTERVENCIÓN]]</f>
        <v>0</v>
      </c>
      <c r="R1255" s="20">
        <f>(SEGUIMIENTO_TPM_xlsx[[#This Row],[HORA REPORTE]]+SEGUIMIENTO_TPM_xlsx[[#This Row],[FECHA DE REPORTE]])</f>
        <v>0</v>
      </c>
      <c r="S1255" s="20">
        <f>(SEGUIMIENTO_TPM_xlsx[[#This Row],[FECHA DE INTERVENCÓN]]+SEGUIMIENTO_TPM_xlsx[[#This Row],[HORA FIN  INTERVENCIÓN]])</f>
        <v>0</v>
      </c>
      <c r="T1255" s="11">
        <f>(SEGUIMIENTO_TPM_xlsx[[#This Row],[FECHA Y HORA FINAL]]-SEGUIMIENTO_TPM_xlsx[[#This Row],[FECHA Y HORA INICIO]])</f>
        <v>0</v>
      </c>
    </row>
    <row r="1256" spans="1:20" x14ac:dyDescent="0.25">
      <c r="A1256">
        <v>1264</v>
      </c>
      <c r="C1256" s="1"/>
      <c r="D1256" s="2"/>
      <c r="H1256" s="1"/>
      <c r="I1256" s="1"/>
      <c r="J1256" s="2"/>
      <c r="Q1256" s="1">
        <f>SEGUIMIENTO_TPM_xlsx[[#This Row],[HORA FIN  INTERVENCIÓN]]-SEGUIMIENTO_TPM_xlsx[[#This Row],[HORA INICIO INTERVENCIÓN]]</f>
        <v>0</v>
      </c>
      <c r="R1256" s="20">
        <f>(SEGUIMIENTO_TPM_xlsx[[#This Row],[HORA REPORTE]]+SEGUIMIENTO_TPM_xlsx[[#This Row],[FECHA DE REPORTE]])</f>
        <v>0</v>
      </c>
      <c r="S1256" s="20">
        <f>(SEGUIMIENTO_TPM_xlsx[[#This Row],[FECHA DE INTERVENCÓN]]+SEGUIMIENTO_TPM_xlsx[[#This Row],[HORA FIN  INTERVENCIÓN]])</f>
        <v>0</v>
      </c>
      <c r="T1256" s="11">
        <f>(SEGUIMIENTO_TPM_xlsx[[#This Row],[FECHA Y HORA FINAL]]-SEGUIMIENTO_TPM_xlsx[[#This Row],[FECHA Y HORA INICIO]])</f>
        <v>0</v>
      </c>
    </row>
    <row r="1257" spans="1:20" x14ac:dyDescent="0.25">
      <c r="A1257">
        <v>1265</v>
      </c>
      <c r="C1257" s="1"/>
      <c r="D1257" s="2"/>
      <c r="H1257" s="1"/>
      <c r="I1257" s="1"/>
      <c r="J1257" s="2"/>
      <c r="Q1257" s="1">
        <f>SEGUIMIENTO_TPM_xlsx[[#This Row],[HORA FIN  INTERVENCIÓN]]-SEGUIMIENTO_TPM_xlsx[[#This Row],[HORA INICIO INTERVENCIÓN]]</f>
        <v>0</v>
      </c>
      <c r="R1257" s="20">
        <f>(SEGUIMIENTO_TPM_xlsx[[#This Row],[HORA REPORTE]]+SEGUIMIENTO_TPM_xlsx[[#This Row],[FECHA DE REPORTE]])</f>
        <v>0</v>
      </c>
      <c r="S1257" s="20">
        <f>(SEGUIMIENTO_TPM_xlsx[[#This Row],[FECHA DE INTERVENCÓN]]+SEGUIMIENTO_TPM_xlsx[[#This Row],[HORA FIN  INTERVENCIÓN]])</f>
        <v>0</v>
      </c>
      <c r="T1257" s="11">
        <f>(SEGUIMIENTO_TPM_xlsx[[#This Row],[FECHA Y HORA FINAL]]-SEGUIMIENTO_TPM_xlsx[[#This Row],[FECHA Y HORA INICIO]])</f>
        <v>0</v>
      </c>
    </row>
    <row r="1258" spans="1:20" x14ac:dyDescent="0.25">
      <c r="A1258">
        <v>1266</v>
      </c>
      <c r="C1258" s="1"/>
      <c r="D1258" s="2"/>
      <c r="H1258" s="1"/>
      <c r="I1258" s="1"/>
      <c r="J1258" s="2"/>
      <c r="Q1258" s="1">
        <f>SEGUIMIENTO_TPM_xlsx[[#This Row],[HORA FIN  INTERVENCIÓN]]-SEGUIMIENTO_TPM_xlsx[[#This Row],[HORA INICIO INTERVENCIÓN]]</f>
        <v>0</v>
      </c>
      <c r="R1258" s="20">
        <f>(SEGUIMIENTO_TPM_xlsx[[#This Row],[HORA REPORTE]]+SEGUIMIENTO_TPM_xlsx[[#This Row],[FECHA DE REPORTE]])</f>
        <v>0</v>
      </c>
      <c r="S1258" s="20">
        <f>(SEGUIMIENTO_TPM_xlsx[[#This Row],[FECHA DE INTERVENCÓN]]+SEGUIMIENTO_TPM_xlsx[[#This Row],[HORA FIN  INTERVENCIÓN]])</f>
        <v>0</v>
      </c>
      <c r="T1258" s="11">
        <f>(SEGUIMIENTO_TPM_xlsx[[#This Row],[FECHA Y HORA FINAL]]-SEGUIMIENTO_TPM_xlsx[[#This Row],[FECHA Y HORA INICIO]])</f>
        <v>0</v>
      </c>
    </row>
    <row r="1259" spans="1:20" x14ac:dyDescent="0.25">
      <c r="A1259">
        <v>1267</v>
      </c>
      <c r="C1259" s="1"/>
      <c r="D1259" s="2"/>
      <c r="H1259" s="1"/>
      <c r="I1259" s="1"/>
      <c r="J1259" s="2"/>
      <c r="Q1259" s="1">
        <f>SEGUIMIENTO_TPM_xlsx[[#This Row],[HORA FIN  INTERVENCIÓN]]-SEGUIMIENTO_TPM_xlsx[[#This Row],[HORA INICIO INTERVENCIÓN]]</f>
        <v>0</v>
      </c>
      <c r="R1259" s="20">
        <f>(SEGUIMIENTO_TPM_xlsx[[#This Row],[HORA REPORTE]]+SEGUIMIENTO_TPM_xlsx[[#This Row],[FECHA DE REPORTE]])</f>
        <v>0</v>
      </c>
      <c r="S1259" s="20">
        <f>(SEGUIMIENTO_TPM_xlsx[[#This Row],[FECHA DE INTERVENCÓN]]+SEGUIMIENTO_TPM_xlsx[[#This Row],[HORA FIN  INTERVENCIÓN]])</f>
        <v>0</v>
      </c>
      <c r="T1259" s="11">
        <f>(SEGUIMIENTO_TPM_xlsx[[#This Row],[FECHA Y HORA FINAL]]-SEGUIMIENTO_TPM_xlsx[[#This Row],[FECHA Y HORA INICIO]])</f>
        <v>0</v>
      </c>
    </row>
    <row r="1260" spans="1:20" x14ac:dyDescent="0.25">
      <c r="A1260">
        <v>1268</v>
      </c>
      <c r="C1260" s="1"/>
      <c r="D1260" s="2"/>
      <c r="H1260" s="1"/>
      <c r="I1260" s="1"/>
      <c r="J1260" s="2"/>
      <c r="Q1260" s="1">
        <f>SEGUIMIENTO_TPM_xlsx[[#This Row],[HORA FIN  INTERVENCIÓN]]-SEGUIMIENTO_TPM_xlsx[[#This Row],[HORA INICIO INTERVENCIÓN]]</f>
        <v>0</v>
      </c>
      <c r="R1260" s="20">
        <f>(SEGUIMIENTO_TPM_xlsx[[#This Row],[HORA REPORTE]]+SEGUIMIENTO_TPM_xlsx[[#This Row],[FECHA DE REPORTE]])</f>
        <v>0</v>
      </c>
      <c r="S1260" s="20">
        <f>(SEGUIMIENTO_TPM_xlsx[[#This Row],[FECHA DE INTERVENCÓN]]+SEGUIMIENTO_TPM_xlsx[[#This Row],[HORA FIN  INTERVENCIÓN]])</f>
        <v>0</v>
      </c>
      <c r="T1260" s="11">
        <f>(SEGUIMIENTO_TPM_xlsx[[#This Row],[FECHA Y HORA FINAL]]-SEGUIMIENTO_TPM_xlsx[[#This Row],[FECHA Y HORA INICIO]])</f>
        <v>0</v>
      </c>
    </row>
    <row r="1261" spans="1:20" x14ac:dyDescent="0.25">
      <c r="A1261">
        <v>1269</v>
      </c>
      <c r="C1261" s="1"/>
      <c r="D1261" s="2"/>
      <c r="H1261" s="1"/>
      <c r="I1261" s="1"/>
      <c r="J1261" s="2"/>
      <c r="Q1261" s="1">
        <f>SEGUIMIENTO_TPM_xlsx[[#This Row],[HORA FIN  INTERVENCIÓN]]-SEGUIMIENTO_TPM_xlsx[[#This Row],[HORA INICIO INTERVENCIÓN]]</f>
        <v>0</v>
      </c>
      <c r="R1261" s="20">
        <f>(SEGUIMIENTO_TPM_xlsx[[#This Row],[HORA REPORTE]]+SEGUIMIENTO_TPM_xlsx[[#This Row],[FECHA DE REPORTE]])</f>
        <v>0</v>
      </c>
      <c r="S1261" s="20">
        <f>(SEGUIMIENTO_TPM_xlsx[[#This Row],[FECHA DE INTERVENCÓN]]+SEGUIMIENTO_TPM_xlsx[[#This Row],[HORA FIN  INTERVENCIÓN]])</f>
        <v>0</v>
      </c>
      <c r="T1261" s="11">
        <f>(SEGUIMIENTO_TPM_xlsx[[#This Row],[FECHA Y HORA FINAL]]-SEGUIMIENTO_TPM_xlsx[[#This Row],[FECHA Y HORA INICIO]])</f>
        <v>0</v>
      </c>
    </row>
    <row r="1262" spans="1:20" x14ac:dyDescent="0.25">
      <c r="A1262">
        <v>1270</v>
      </c>
      <c r="C1262" s="1"/>
      <c r="D1262" s="2"/>
      <c r="H1262" s="1"/>
      <c r="I1262" s="1"/>
      <c r="J1262" s="2"/>
      <c r="Q1262" s="1">
        <f>SEGUIMIENTO_TPM_xlsx[[#This Row],[HORA FIN  INTERVENCIÓN]]-SEGUIMIENTO_TPM_xlsx[[#This Row],[HORA INICIO INTERVENCIÓN]]</f>
        <v>0</v>
      </c>
      <c r="R1262" s="20">
        <f>(SEGUIMIENTO_TPM_xlsx[[#This Row],[HORA REPORTE]]+SEGUIMIENTO_TPM_xlsx[[#This Row],[FECHA DE REPORTE]])</f>
        <v>0</v>
      </c>
      <c r="S1262" s="20">
        <f>(SEGUIMIENTO_TPM_xlsx[[#This Row],[FECHA DE INTERVENCÓN]]+SEGUIMIENTO_TPM_xlsx[[#This Row],[HORA FIN  INTERVENCIÓN]])</f>
        <v>0</v>
      </c>
      <c r="T1262" s="11">
        <f>(SEGUIMIENTO_TPM_xlsx[[#This Row],[FECHA Y HORA FINAL]]-SEGUIMIENTO_TPM_xlsx[[#This Row],[FECHA Y HORA INICIO]])</f>
        <v>0</v>
      </c>
    </row>
    <row r="1263" spans="1:20" x14ac:dyDescent="0.25">
      <c r="A1263">
        <v>1271</v>
      </c>
      <c r="C1263" s="1"/>
      <c r="D1263" s="2"/>
      <c r="H1263" s="1"/>
      <c r="I1263" s="1"/>
      <c r="J1263" s="2"/>
      <c r="Q1263" s="1">
        <f>SEGUIMIENTO_TPM_xlsx[[#This Row],[HORA FIN  INTERVENCIÓN]]-SEGUIMIENTO_TPM_xlsx[[#This Row],[HORA INICIO INTERVENCIÓN]]</f>
        <v>0</v>
      </c>
      <c r="R1263" s="20">
        <f>(SEGUIMIENTO_TPM_xlsx[[#This Row],[HORA REPORTE]]+SEGUIMIENTO_TPM_xlsx[[#This Row],[FECHA DE REPORTE]])</f>
        <v>0</v>
      </c>
      <c r="S1263" s="20">
        <f>(SEGUIMIENTO_TPM_xlsx[[#This Row],[FECHA DE INTERVENCÓN]]+SEGUIMIENTO_TPM_xlsx[[#This Row],[HORA FIN  INTERVENCIÓN]])</f>
        <v>0</v>
      </c>
      <c r="T1263" s="11">
        <f>(SEGUIMIENTO_TPM_xlsx[[#This Row],[FECHA Y HORA FINAL]]-SEGUIMIENTO_TPM_xlsx[[#This Row],[FECHA Y HORA INICIO]])</f>
        <v>0</v>
      </c>
    </row>
    <row r="1264" spans="1:20" x14ac:dyDescent="0.25">
      <c r="A1264">
        <v>1272</v>
      </c>
      <c r="C1264" s="1"/>
      <c r="D1264" s="2"/>
      <c r="H1264" s="1"/>
      <c r="I1264" s="1"/>
      <c r="J1264" s="2"/>
      <c r="Q1264" s="1">
        <f>SEGUIMIENTO_TPM_xlsx[[#This Row],[HORA FIN  INTERVENCIÓN]]-SEGUIMIENTO_TPM_xlsx[[#This Row],[HORA INICIO INTERVENCIÓN]]</f>
        <v>0</v>
      </c>
      <c r="R1264" s="20">
        <f>(SEGUIMIENTO_TPM_xlsx[[#This Row],[HORA REPORTE]]+SEGUIMIENTO_TPM_xlsx[[#This Row],[FECHA DE REPORTE]])</f>
        <v>0</v>
      </c>
      <c r="S1264" s="20">
        <f>(SEGUIMIENTO_TPM_xlsx[[#This Row],[FECHA DE INTERVENCÓN]]+SEGUIMIENTO_TPM_xlsx[[#This Row],[HORA FIN  INTERVENCIÓN]])</f>
        <v>0</v>
      </c>
      <c r="T1264" s="11">
        <f>(SEGUIMIENTO_TPM_xlsx[[#This Row],[FECHA Y HORA FINAL]]-SEGUIMIENTO_TPM_xlsx[[#This Row],[FECHA Y HORA INICIO]])</f>
        <v>0</v>
      </c>
    </row>
    <row r="1265" spans="1:20" x14ac:dyDescent="0.25">
      <c r="A1265">
        <v>1273</v>
      </c>
      <c r="C1265" s="1"/>
      <c r="D1265" s="2"/>
      <c r="H1265" s="1"/>
      <c r="I1265" s="1"/>
      <c r="J1265" s="2"/>
      <c r="Q1265" s="1">
        <f>SEGUIMIENTO_TPM_xlsx[[#This Row],[HORA FIN  INTERVENCIÓN]]-SEGUIMIENTO_TPM_xlsx[[#This Row],[HORA INICIO INTERVENCIÓN]]</f>
        <v>0</v>
      </c>
      <c r="R1265" s="20">
        <f>(SEGUIMIENTO_TPM_xlsx[[#This Row],[HORA REPORTE]]+SEGUIMIENTO_TPM_xlsx[[#This Row],[FECHA DE REPORTE]])</f>
        <v>0</v>
      </c>
      <c r="S1265" s="20">
        <f>(SEGUIMIENTO_TPM_xlsx[[#This Row],[FECHA DE INTERVENCÓN]]+SEGUIMIENTO_TPM_xlsx[[#This Row],[HORA FIN  INTERVENCIÓN]])</f>
        <v>0</v>
      </c>
      <c r="T1265" s="11">
        <f>(SEGUIMIENTO_TPM_xlsx[[#This Row],[FECHA Y HORA FINAL]]-SEGUIMIENTO_TPM_xlsx[[#This Row],[FECHA Y HORA INICIO]])</f>
        <v>0</v>
      </c>
    </row>
    <row r="1266" spans="1:20" x14ac:dyDescent="0.25">
      <c r="A1266">
        <v>1274</v>
      </c>
      <c r="C1266" s="1"/>
      <c r="D1266" s="2"/>
      <c r="H1266" s="1"/>
      <c r="I1266" s="1"/>
      <c r="J1266" s="2"/>
      <c r="Q1266" s="1">
        <f>SEGUIMIENTO_TPM_xlsx[[#This Row],[HORA FIN  INTERVENCIÓN]]-SEGUIMIENTO_TPM_xlsx[[#This Row],[HORA INICIO INTERVENCIÓN]]</f>
        <v>0</v>
      </c>
      <c r="R1266" s="20">
        <f>(SEGUIMIENTO_TPM_xlsx[[#This Row],[HORA REPORTE]]+SEGUIMIENTO_TPM_xlsx[[#This Row],[FECHA DE REPORTE]])</f>
        <v>0</v>
      </c>
      <c r="S1266" s="20">
        <f>(SEGUIMIENTO_TPM_xlsx[[#This Row],[FECHA DE INTERVENCÓN]]+SEGUIMIENTO_TPM_xlsx[[#This Row],[HORA FIN  INTERVENCIÓN]])</f>
        <v>0</v>
      </c>
      <c r="T1266" s="11">
        <f>(SEGUIMIENTO_TPM_xlsx[[#This Row],[FECHA Y HORA FINAL]]-SEGUIMIENTO_TPM_xlsx[[#This Row],[FECHA Y HORA INICIO]])</f>
        <v>0</v>
      </c>
    </row>
    <row r="1267" spans="1:20" x14ac:dyDescent="0.25">
      <c r="A1267">
        <v>1275</v>
      </c>
      <c r="C1267" s="1"/>
      <c r="D1267" s="2"/>
      <c r="H1267" s="1"/>
      <c r="I1267" s="1"/>
      <c r="J1267" s="2"/>
      <c r="Q1267" s="1">
        <f>SEGUIMIENTO_TPM_xlsx[[#This Row],[HORA FIN  INTERVENCIÓN]]-SEGUIMIENTO_TPM_xlsx[[#This Row],[HORA INICIO INTERVENCIÓN]]</f>
        <v>0</v>
      </c>
      <c r="R1267" s="20">
        <f>(SEGUIMIENTO_TPM_xlsx[[#This Row],[HORA REPORTE]]+SEGUIMIENTO_TPM_xlsx[[#This Row],[FECHA DE REPORTE]])</f>
        <v>0</v>
      </c>
      <c r="S1267" s="20">
        <f>(SEGUIMIENTO_TPM_xlsx[[#This Row],[FECHA DE INTERVENCÓN]]+SEGUIMIENTO_TPM_xlsx[[#This Row],[HORA FIN  INTERVENCIÓN]])</f>
        <v>0</v>
      </c>
      <c r="T1267" s="11">
        <f>(SEGUIMIENTO_TPM_xlsx[[#This Row],[FECHA Y HORA FINAL]]-SEGUIMIENTO_TPM_xlsx[[#This Row],[FECHA Y HORA INICIO]])</f>
        <v>0</v>
      </c>
    </row>
    <row r="1268" spans="1:20" x14ac:dyDescent="0.25">
      <c r="A1268">
        <v>1276</v>
      </c>
      <c r="C1268" s="1"/>
      <c r="D1268" s="2"/>
      <c r="H1268" s="1"/>
      <c r="I1268" s="1"/>
      <c r="J1268" s="2"/>
      <c r="Q1268" s="1">
        <f>SEGUIMIENTO_TPM_xlsx[[#This Row],[HORA FIN  INTERVENCIÓN]]-SEGUIMIENTO_TPM_xlsx[[#This Row],[HORA INICIO INTERVENCIÓN]]</f>
        <v>0</v>
      </c>
      <c r="R1268" s="20">
        <f>(SEGUIMIENTO_TPM_xlsx[[#This Row],[HORA REPORTE]]+SEGUIMIENTO_TPM_xlsx[[#This Row],[FECHA DE REPORTE]])</f>
        <v>0</v>
      </c>
      <c r="S1268" s="20">
        <f>(SEGUIMIENTO_TPM_xlsx[[#This Row],[FECHA DE INTERVENCÓN]]+SEGUIMIENTO_TPM_xlsx[[#This Row],[HORA FIN  INTERVENCIÓN]])</f>
        <v>0</v>
      </c>
      <c r="T1268" s="11">
        <f>(SEGUIMIENTO_TPM_xlsx[[#This Row],[FECHA Y HORA FINAL]]-SEGUIMIENTO_TPM_xlsx[[#This Row],[FECHA Y HORA INICIO]])</f>
        <v>0</v>
      </c>
    </row>
    <row r="1269" spans="1:20" x14ac:dyDescent="0.25">
      <c r="A1269">
        <v>1277</v>
      </c>
      <c r="C1269" s="1"/>
      <c r="D1269" s="2"/>
      <c r="H1269" s="1"/>
      <c r="I1269" s="1"/>
      <c r="J1269" s="2"/>
      <c r="Q1269" s="1">
        <f>SEGUIMIENTO_TPM_xlsx[[#This Row],[HORA FIN  INTERVENCIÓN]]-SEGUIMIENTO_TPM_xlsx[[#This Row],[HORA INICIO INTERVENCIÓN]]</f>
        <v>0</v>
      </c>
      <c r="R1269" s="20">
        <f>(SEGUIMIENTO_TPM_xlsx[[#This Row],[HORA REPORTE]]+SEGUIMIENTO_TPM_xlsx[[#This Row],[FECHA DE REPORTE]])</f>
        <v>0</v>
      </c>
      <c r="S1269" s="20">
        <f>(SEGUIMIENTO_TPM_xlsx[[#This Row],[FECHA DE INTERVENCÓN]]+SEGUIMIENTO_TPM_xlsx[[#This Row],[HORA FIN  INTERVENCIÓN]])</f>
        <v>0</v>
      </c>
      <c r="T1269" s="11">
        <f>(SEGUIMIENTO_TPM_xlsx[[#This Row],[FECHA Y HORA FINAL]]-SEGUIMIENTO_TPM_xlsx[[#This Row],[FECHA Y HORA INICIO]])</f>
        <v>0</v>
      </c>
    </row>
    <row r="1270" spans="1:20" x14ac:dyDescent="0.25">
      <c r="A1270">
        <v>1278</v>
      </c>
      <c r="C1270" s="1"/>
      <c r="D1270" s="2"/>
      <c r="H1270" s="1"/>
      <c r="I1270" s="1"/>
      <c r="J1270" s="2"/>
      <c r="Q1270" s="1">
        <f>SEGUIMIENTO_TPM_xlsx[[#This Row],[HORA FIN  INTERVENCIÓN]]-SEGUIMIENTO_TPM_xlsx[[#This Row],[HORA INICIO INTERVENCIÓN]]</f>
        <v>0</v>
      </c>
      <c r="R1270" s="20">
        <f>(SEGUIMIENTO_TPM_xlsx[[#This Row],[HORA REPORTE]]+SEGUIMIENTO_TPM_xlsx[[#This Row],[FECHA DE REPORTE]])</f>
        <v>0</v>
      </c>
      <c r="S1270" s="20">
        <f>(SEGUIMIENTO_TPM_xlsx[[#This Row],[FECHA DE INTERVENCÓN]]+SEGUIMIENTO_TPM_xlsx[[#This Row],[HORA FIN  INTERVENCIÓN]])</f>
        <v>0</v>
      </c>
      <c r="T1270" s="11">
        <f>(SEGUIMIENTO_TPM_xlsx[[#This Row],[FECHA Y HORA FINAL]]-SEGUIMIENTO_TPM_xlsx[[#This Row],[FECHA Y HORA INICIO]])</f>
        <v>0</v>
      </c>
    </row>
    <row r="1271" spans="1:20" x14ac:dyDescent="0.25">
      <c r="A1271">
        <v>1279</v>
      </c>
      <c r="C1271" s="1"/>
      <c r="D1271" s="2"/>
      <c r="H1271" s="1"/>
      <c r="I1271" s="1"/>
      <c r="J1271" s="2"/>
      <c r="Q1271" s="1">
        <f>SEGUIMIENTO_TPM_xlsx[[#This Row],[HORA FIN  INTERVENCIÓN]]-SEGUIMIENTO_TPM_xlsx[[#This Row],[HORA INICIO INTERVENCIÓN]]</f>
        <v>0</v>
      </c>
      <c r="R1271" s="20">
        <f>(SEGUIMIENTO_TPM_xlsx[[#This Row],[HORA REPORTE]]+SEGUIMIENTO_TPM_xlsx[[#This Row],[FECHA DE REPORTE]])</f>
        <v>0</v>
      </c>
      <c r="S1271" s="20">
        <f>(SEGUIMIENTO_TPM_xlsx[[#This Row],[FECHA DE INTERVENCÓN]]+SEGUIMIENTO_TPM_xlsx[[#This Row],[HORA FIN  INTERVENCIÓN]])</f>
        <v>0</v>
      </c>
      <c r="T1271" s="11">
        <f>(SEGUIMIENTO_TPM_xlsx[[#This Row],[FECHA Y HORA FINAL]]-SEGUIMIENTO_TPM_xlsx[[#This Row],[FECHA Y HORA INICIO]])</f>
        <v>0</v>
      </c>
    </row>
    <row r="1272" spans="1:20" x14ac:dyDescent="0.25">
      <c r="A1272">
        <v>1280</v>
      </c>
      <c r="C1272" s="1"/>
      <c r="D1272" s="2"/>
      <c r="H1272" s="1"/>
      <c r="I1272" s="1"/>
      <c r="J1272" s="2"/>
      <c r="Q1272" s="1">
        <f>SEGUIMIENTO_TPM_xlsx[[#This Row],[HORA FIN  INTERVENCIÓN]]-SEGUIMIENTO_TPM_xlsx[[#This Row],[HORA INICIO INTERVENCIÓN]]</f>
        <v>0</v>
      </c>
      <c r="R1272" s="20">
        <f>(SEGUIMIENTO_TPM_xlsx[[#This Row],[HORA REPORTE]]+SEGUIMIENTO_TPM_xlsx[[#This Row],[FECHA DE REPORTE]])</f>
        <v>0</v>
      </c>
      <c r="S1272" s="20">
        <f>(SEGUIMIENTO_TPM_xlsx[[#This Row],[FECHA DE INTERVENCÓN]]+SEGUIMIENTO_TPM_xlsx[[#This Row],[HORA FIN  INTERVENCIÓN]])</f>
        <v>0</v>
      </c>
      <c r="T1272" s="11">
        <f>(SEGUIMIENTO_TPM_xlsx[[#This Row],[FECHA Y HORA FINAL]]-SEGUIMIENTO_TPM_xlsx[[#This Row],[FECHA Y HORA INICIO]])</f>
        <v>0</v>
      </c>
    </row>
    <row r="1273" spans="1:20" x14ac:dyDescent="0.25">
      <c r="A1273">
        <v>1281</v>
      </c>
      <c r="C1273" s="1"/>
      <c r="D1273" s="2"/>
      <c r="H1273" s="1"/>
      <c r="I1273" s="1"/>
      <c r="J1273" s="2"/>
      <c r="Q1273" s="1">
        <f>SEGUIMIENTO_TPM_xlsx[[#This Row],[HORA FIN  INTERVENCIÓN]]-SEGUIMIENTO_TPM_xlsx[[#This Row],[HORA INICIO INTERVENCIÓN]]</f>
        <v>0</v>
      </c>
      <c r="R1273" s="20">
        <f>(SEGUIMIENTO_TPM_xlsx[[#This Row],[HORA REPORTE]]+SEGUIMIENTO_TPM_xlsx[[#This Row],[FECHA DE REPORTE]])</f>
        <v>0</v>
      </c>
      <c r="S1273" s="20">
        <f>(SEGUIMIENTO_TPM_xlsx[[#This Row],[FECHA DE INTERVENCÓN]]+SEGUIMIENTO_TPM_xlsx[[#This Row],[HORA FIN  INTERVENCIÓN]])</f>
        <v>0</v>
      </c>
      <c r="T1273" s="11">
        <f>(SEGUIMIENTO_TPM_xlsx[[#This Row],[FECHA Y HORA FINAL]]-SEGUIMIENTO_TPM_xlsx[[#This Row],[FECHA Y HORA INICIO]])</f>
        <v>0</v>
      </c>
    </row>
    <row r="1274" spans="1:20" x14ac:dyDescent="0.25">
      <c r="A1274">
        <v>1282</v>
      </c>
      <c r="C1274" s="1"/>
      <c r="D1274" s="2"/>
      <c r="H1274" s="1"/>
      <c r="I1274" s="1"/>
      <c r="J1274" s="2"/>
      <c r="Q1274" s="1">
        <f>SEGUIMIENTO_TPM_xlsx[[#This Row],[HORA FIN  INTERVENCIÓN]]-SEGUIMIENTO_TPM_xlsx[[#This Row],[HORA INICIO INTERVENCIÓN]]</f>
        <v>0</v>
      </c>
      <c r="R1274" s="20">
        <f>(SEGUIMIENTO_TPM_xlsx[[#This Row],[HORA REPORTE]]+SEGUIMIENTO_TPM_xlsx[[#This Row],[FECHA DE REPORTE]])</f>
        <v>0</v>
      </c>
      <c r="S1274" s="20">
        <f>(SEGUIMIENTO_TPM_xlsx[[#This Row],[FECHA DE INTERVENCÓN]]+SEGUIMIENTO_TPM_xlsx[[#This Row],[HORA FIN  INTERVENCIÓN]])</f>
        <v>0</v>
      </c>
      <c r="T1274" s="11">
        <f>(SEGUIMIENTO_TPM_xlsx[[#This Row],[FECHA Y HORA FINAL]]-SEGUIMIENTO_TPM_xlsx[[#This Row],[FECHA Y HORA INICIO]])</f>
        <v>0</v>
      </c>
    </row>
    <row r="1275" spans="1:20" x14ac:dyDescent="0.25">
      <c r="A1275">
        <v>1283</v>
      </c>
      <c r="C1275" s="1"/>
      <c r="D1275" s="2"/>
      <c r="H1275" s="1"/>
      <c r="I1275" s="1"/>
      <c r="J1275" s="2"/>
      <c r="Q1275" s="1">
        <f>SEGUIMIENTO_TPM_xlsx[[#This Row],[HORA FIN  INTERVENCIÓN]]-SEGUIMIENTO_TPM_xlsx[[#This Row],[HORA INICIO INTERVENCIÓN]]</f>
        <v>0</v>
      </c>
      <c r="R1275" s="20">
        <f>(SEGUIMIENTO_TPM_xlsx[[#This Row],[HORA REPORTE]]+SEGUIMIENTO_TPM_xlsx[[#This Row],[FECHA DE REPORTE]])</f>
        <v>0</v>
      </c>
      <c r="S1275" s="20">
        <f>(SEGUIMIENTO_TPM_xlsx[[#This Row],[FECHA DE INTERVENCÓN]]+SEGUIMIENTO_TPM_xlsx[[#This Row],[HORA FIN  INTERVENCIÓN]])</f>
        <v>0</v>
      </c>
      <c r="T1275" s="11">
        <f>(SEGUIMIENTO_TPM_xlsx[[#This Row],[FECHA Y HORA FINAL]]-SEGUIMIENTO_TPM_xlsx[[#This Row],[FECHA Y HORA INICIO]])</f>
        <v>0</v>
      </c>
    </row>
    <row r="1276" spans="1:20" x14ac:dyDescent="0.25">
      <c r="A1276">
        <v>1284</v>
      </c>
      <c r="C1276" s="1"/>
      <c r="D1276" s="2"/>
      <c r="H1276" s="1"/>
      <c r="I1276" s="1"/>
      <c r="J1276" s="2"/>
      <c r="Q1276" s="1">
        <f>SEGUIMIENTO_TPM_xlsx[[#This Row],[HORA FIN  INTERVENCIÓN]]-SEGUIMIENTO_TPM_xlsx[[#This Row],[HORA INICIO INTERVENCIÓN]]</f>
        <v>0</v>
      </c>
      <c r="R1276" s="20">
        <f>(SEGUIMIENTO_TPM_xlsx[[#This Row],[HORA REPORTE]]+SEGUIMIENTO_TPM_xlsx[[#This Row],[FECHA DE REPORTE]])</f>
        <v>0</v>
      </c>
      <c r="S1276" s="20">
        <f>(SEGUIMIENTO_TPM_xlsx[[#This Row],[FECHA DE INTERVENCÓN]]+SEGUIMIENTO_TPM_xlsx[[#This Row],[HORA FIN  INTERVENCIÓN]])</f>
        <v>0</v>
      </c>
      <c r="T1276" s="11">
        <f>(SEGUIMIENTO_TPM_xlsx[[#This Row],[FECHA Y HORA FINAL]]-SEGUIMIENTO_TPM_xlsx[[#This Row],[FECHA Y HORA INICIO]])</f>
        <v>0</v>
      </c>
    </row>
    <row r="1277" spans="1:20" x14ac:dyDescent="0.25">
      <c r="A1277">
        <v>1285</v>
      </c>
      <c r="C1277" s="1"/>
      <c r="D1277" s="2"/>
      <c r="H1277" s="1"/>
      <c r="I1277" s="1"/>
      <c r="J1277" s="2"/>
      <c r="Q1277" s="1">
        <f>SEGUIMIENTO_TPM_xlsx[[#This Row],[HORA FIN  INTERVENCIÓN]]-SEGUIMIENTO_TPM_xlsx[[#This Row],[HORA INICIO INTERVENCIÓN]]</f>
        <v>0</v>
      </c>
      <c r="R1277" s="20">
        <f>(SEGUIMIENTO_TPM_xlsx[[#This Row],[HORA REPORTE]]+SEGUIMIENTO_TPM_xlsx[[#This Row],[FECHA DE REPORTE]])</f>
        <v>0</v>
      </c>
      <c r="S1277" s="20">
        <f>(SEGUIMIENTO_TPM_xlsx[[#This Row],[FECHA DE INTERVENCÓN]]+SEGUIMIENTO_TPM_xlsx[[#This Row],[HORA FIN  INTERVENCIÓN]])</f>
        <v>0</v>
      </c>
      <c r="T1277" s="11">
        <f>(SEGUIMIENTO_TPM_xlsx[[#This Row],[FECHA Y HORA FINAL]]-SEGUIMIENTO_TPM_xlsx[[#This Row],[FECHA Y HORA INICIO]])</f>
        <v>0</v>
      </c>
    </row>
    <row r="1278" spans="1:20" x14ac:dyDescent="0.25">
      <c r="A1278">
        <v>1286</v>
      </c>
      <c r="C1278" s="1"/>
      <c r="D1278" s="2"/>
      <c r="H1278" s="1"/>
      <c r="I1278" s="1"/>
      <c r="J1278" s="2"/>
      <c r="Q1278" s="1">
        <f>SEGUIMIENTO_TPM_xlsx[[#This Row],[HORA FIN  INTERVENCIÓN]]-SEGUIMIENTO_TPM_xlsx[[#This Row],[HORA INICIO INTERVENCIÓN]]</f>
        <v>0</v>
      </c>
      <c r="R1278" s="20">
        <f>(SEGUIMIENTO_TPM_xlsx[[#This Row],[HORA REPORTE]]+SEGUIMIENTO_TPM_xlsx[[#This Row],[FECHA DE REPORTE]])</f>
        <v>0</v>
      </c>
      <c r="S1278" s="20">
        <f>(SEGUIMIENTO_TPM_xlsx[[#This Row],[FECHA DE INTERVENCÓN]]+SEGUIMIENTO_TPM_xlsx[[#This Row],[HORA FIN  INTERVENCIÓN]])</f>
        <v>0</v>
      </c>
      <c r="T1278" s="11">
        <f>(SEGUIMIENTO_TPM_xlsx[[#This Row],[FECHA Y HORA FINAL]]-SEGUIMIENTO_TPM_xlsx[[#This Row],[FECHA Y HORA INICIO]])</f>
        <v>0</v>
      </c>
    </row>
    <row r="1279" spans="1:20" x14ac:dyDescent="0.25">
      <c r="A1279">
        <v>1287</v>
      </c>
      <c r="C1279" s="1"/>
      <c r="D1279" s="2"/>
      <c r="H1279" s="1"/>
      <c r="I1279" s="1"/>
      <c r="J1279" s="2"/>
      <c r="Q1279" s="1">
        <f>SEGUIMIENTO_TPM_xlsx[[#This Row],[HORA FIN  INTERVENCIÓN]]-SEGUIMIENTO_TPM_xlsx[[#This Row],[HORA INICIO INTERVENCIÓN]]</f>
        <v>0</v>
      </c>
      <c r="R1279" s="20">
        <f>(SEGUIMIENTO_TPM_xlsx[[#This Row],[HORA REPORTE]]+SEGUIMIENTO_TPM_xlsx[[#This Row],[FECHA DE REPORTE]])</f>
        <v>0</v>
      </c>
      <c r="S1279" s="20">
        <f>(SEGUIMIENTO_TPM_xlsx[[#This Row],[FECHA DE INTERVENCÓN]]+SEGUIMIENTO_TPM_xlsx[[#This Row],[HORA FIN  INTERVENCIÓN]])</f>
        <v>0</v>
      </c>
      <c r="T1279" s="11">
        <f>(SEGUIMIENTO_TPM_xlsx[[#This Row],[FECHA Y HORA FINAL]]-SEGUIMIENTO_TPM_xlsx[[#This Row],[FECHA Y HORA INICIO]])</f>
        <v>0</v>
      </c>
    </row>
    <row r="1280" spans="1:20" x14ac:dyDescent="0.25">
      <c r="A1280">
        <v>1288</v>
      </c>
      <c r="C1280" s="1"/>
      <c r="D1280" s="2"/>
      <c r="H1280" s="1"/>
      <c r="I1280" s="1"/>
      <c r="J1280" s="2"/>
      <c r="Q1280" s="1">
        <f>SEGUIMIENTO_TPM_xlsx[[#This Row],[HORA FIN  INTERVENCIÓN]]-SEGUIMIENTO_TPM_xlsx[[#This Row],[HORA INICIO INTERVENCIÓN]]</f>
        <v>0</v>
      </c>
      <c r="R1280" s="20">
        <f>(SEGUIMIENTO_TPM_xlsx[[#This Row],[HORA REPORTE]]+SEGUIMIENTO_TPM_xlsx[[#This Row],[FECHA DE REPORTE]])</f>
        <v>0</v>
      </c>
      <c r="S1280" s="20">
        <f>(SEGUIMIENTO_TPM_xlsx[[#This Row],[FECHA DE INTERVENCÓN]]+SEGUIMIENTO_TPM_xlsx[[#This Row],[HORA FIN  INTERVENCIÓN]])</f>
        <v>0</v>
      </c>
      <c r="T1280" s="11">
        <f>(SEGUIMIENTO_TPM_xlsx[[#This Row],[FECHA Y HORA FINAL]]-SEGUIMIENTO_TPM_xlsx[[#This Row],[FECHA Y HORA INICIO]])</f>
        <v>0</v>
      </c>
    </row>
    <row r="1281" spans="1:20" x14ac:dyDescent="0.25">
      <c r="A1281">
        <v>1289</v>
      </c>
      <c r="C1281" s="1"/>
      <c r="D1281" s="2"/>
      <c r="H1281" s="1"/>
      <c r="I1281" s="1"/>
      <c r="J1281" s="2"/>
      <c r="Q1281" s="1">
        <f>SEGUIMIENTO_TPM_xlsx[[#This Row],[HORA FIN  INTERVENCIÓN]]-SEGUIMIENTO_TPM_xlsx[[#This Row],[HORA INICIO INTERVENCIÓN]]</f>
        <v>0</v>
      </c>
      <c r="R1281" s="20">
        <f>(SEGUIMIENTO_TPM_xlsx[[#This Row],[HORA REPORTE]]+SEGUIMIENTO_TPM_xlsx[[#This Row],[FECHA DE REPORTE]])</f>
        <v>0</v>
      </c>
      <c r="S1281" s="20">
        <f>(SEGUIMIENTO_TPM_xlsx[[#This Row],[FECHA DE INTERVENCÓN]]+SEGUIMIENTO_TPM_xlsx[[#This Row],[HORA FIN  INTERVENCIÓN]])</f>
        <v>0</v>
      </c>
      <c r="T1281" s="11">
        <f>(SEGUIMIENTO_TPM_xlsx[[#This Row],[FECHA Y HORA FINAL]]-SEGUIMIENTO_TPM_xlsx[[#This Row],[FECHA Y HORA INICIO]])</f>
        <v>0</v>
      </c>
    </row>
    <row r="1282" spans="1:20" x14ac:dyDescent="0.25">
      <c r="A1282">
        <v>1290</v>
      </c>
      <c r="C1282" s="1"/>
      <c r="D1282" s="2"/>
      <c r="H1282" s="1"/>
      <c r="I1282" s="1"/>
      <c r="J1282" s="2"/>
      <c r="Q1282" s="1">
        <f>SEGUIMIENTO_TPM_xlsx[[#This Row],[HORA FIN  INTERVENCIÓN]]-SEGUIMIENTO_TPM_xlsx[[#This Row],[HORA INICIO INTERVENCIÓN]]</f>
        <v>0</v>
      </c>
      <c r="R1282" s="20">
        <f>(SEGUIMIENTO_TPM_xlsx[[#This Row],[HORA REPORTE]]+SEGUIMIENTO_TPM_xlsx[[#This Row],[FECHA DE REPORTE]])</f>
        <v>0</v>
      </c>
      <c r="S1282" s="20">
        <f>(SEGUIMIENTO_TPM_xlsx[[#This Row],[FECHA DE INTERVENCÓN]]+SEGUIMIENTO_TPM_xlsx[[#This Row],[HORA FIN  INTERVENCIÓN]])</f>
        <v>0</v>
      </c>
      <c r="T1282" s="11">
        <f>(SEGUIMIENTO_TPM_xlsx[[#This Row],[FECHA Y HORA FINAL]]-SEGUIMIENTO_TPM_xlsx[[#This Row],[FECHA Y HORA INICIO]])</f>
        <v>0</v>
      </c>
    </row>
    <row r="1283" spans="1:20" x14ac:dyDescent="0.25">
      <c r="A1283">
        <v>1291</v>
      </c>
      <c r="C1283" s="1"/>
      <c r="D1283" s="2"/>
      <c r="H1283" s="1"/>
      <c r="I1283" s="1"/>
      <c r="J1283" s="2"/>
      <c r="Q1283" s="1">
        <f>SEGUIMIENTO_TPM_xlsx[[#This Row],[HORA FIN  INTERVENCIÓN]]-SEGUIMIENTO_TPM_xlsx[[#This Row],[HORA INICIO INTERVENCIÓN]]</f>
        <v>0</v>
      </c>
      <c r="R1283" s="20">
        <f>(SEGUIMIENTO_TPM_xlsx[[#This Row],[HORA REPORTE]]+SEGUIMIENTO_TPM_xlsx[[#This Row],[FECHA DE REPORTE]])</f>
        <v>0</v>
      </c>
      <c r="S1283" s="20">
        <f>(SEGUIMIENTO_TPM_xlsx[[#This Row],[FECHA DE INTERVENCÓN]]+SEGUIMIENTO_TPM_xlsx[[#This Row],[HORA FIN  INTERVENCIÓN]])</f>
        <v>0</v>
      </c>
      <c r="T1283" s="11">
        <f>(SEGUIMIENTO_TPM_xlsx[[#This Row],[FECHA Y HORA FINAL]]-SEGUIMIENTO_TPM_xlsx[[#This Row],[FECHA Y HORA INICIO]])</f>
        <v>0</v>
      </c>
    </row>
    <row r="1284" spans="1:20" x14ac:dyDescent="0.25">
      <c r="A1284">
        <v>1292</v>
      </c>
      <c r="C1284" s="1"/>
      <c r="D1284" s="2"/>
      <c r="H1284" s="1"/>
      <c r="I1284" s="1"/>
      <c r="J1284" s="2"/>
      <c r="Q1284" s="1">
        <f>SEGUIMIENTO_TPM_xlsx[[#This Row],[HORA FIN  INTERVENCIÓN]]-SEGUIMIENTO_TPM_xlsx[[#This Row],[HORA INICIO INTERVENCIÓN]]</f>
        <v>0</v>
      </c>
      <c r="R1284" s="20">
        <f>(SEGUIMIENTO_TPM_xlsx[[#This Row],[HORA REPORTE]]+SEGUIMIENTO_TPM_xlsx[[#This Row],[FECHA DE REPORTE]])</f>
        <v>0</v>
      </c>
      <c r="S1284" s="20">
        <f>(SEGUIMIENTO_TPM_xlsx[[#This Row],[FECHA DE INTERVENCÓN]]+SEGUIMIENTO_TPM_xlsx[[#This Row],[HORA FIN  INTERVENCIÓN]])</f>
        <v>0</v>
      </c>
      <c r="T1284" s="11">
        <f>(SEGUIMIENTO_TPM_xlsx[[#This Row],[FECHA Y HORA FINAL]]-SEGUIMIENTO_TPM_xlsx[[#This Row],[FECHA Y HORA INICIO]])</f>
        <v>0</v>
      </c>
    </row>
    <row r="1285" spans="1:20" x14ac:dyDescent="0.25">
      <c r="A1285">
        <v>1293</v>
      </c>
      <c r="C1285" s="1"/>
      <c r="D1285" s="2"/>
      <c r="H1285" s="1"/>
      <c r="I1285" s="1"/>
      <c r="J1285" s="2"/>
      <c r="Q1285" s="1">
        <f>SEGUIMIENTO_TPM_xlsx[[#This Row],[HORA FIN  INTERVENCIÓN]]-SEGUIMIENTO_TPM_xlsx[[#This Row],[HORA INICIO INTERVENCIÓN]]</f>
        <v>0</v>
      </c>
      <c r="R1285" s="20">
        <f>(SEGUIMIENTO_TPM_xlsx[[#This Row],[HORA REPORTE]]+SEGUIMIENTO_TPM_xlsx[[#This Row],[FECHA DE REPORTE]])</f>
        <v>0</v>
      </c>
      <c r="S1285" s="20">
        <f>(SEGUIMIENTO_TPM_xlsx[[#This Row],[FECHA DE INTERVENCÓN]]+SEGUIMIENTO_TPM_xlsx[[#This Row],[HORA FIN  INTERVENCIÓN]])</f>
        <v>0</v>
      </c>
      <c r="T1285" s="11">
        <f>(SEGUIMIENTO_TPM_xlsx[[#This Row],[FECHA Y HORA FINAL]]-SEGUIMIENTO_TPM_xlsx[[#This Row],[FECHA Y HORA INICIO]])</f>
        <v>0</v>
      </c>
    </row>
    <row r="1286" spans="1:20" x14ac:dyDescent="0.25">
      <c r="A1286">
        <v>1294</v>
      </c>
      <c r="C1286" s="1"/>
      <c r="D1286" s="2"/>
      <c r="H1286" s="1"/>
      <c r="I1286" s="1"/>
      <c r="J1286" s="2"/>
      <c r="Q1286" s="1">
        <f>SEGUIMIENTO_TPM_xlsx[[#This Row],[HORA FIN  INTERVENCIÓN]]-SEGUIMIENTO_TPM_xlsx[[#This Row],[HORA INICIO INTERVENCIÓN]]</f>
        <v>0</v>
      </c>
      <c r="R1286" s="20">
        <f>(SEGUIMIENTO_TPM_xlsx[[#This Row],[HORA REPORTE]]+SEGUIMIENTO_TPM_xlsx[[#This Row],[FECHA DE REPORTE]])</f>
        <v>0</v>
      </c>
      <c r="S1286" s="20">
        <f>(SEGUIMIENTO_TPM_xlsx[[#This Row],[FECHA DE INTERVENCÓN]]+SEGUIMIENTO_TPM_xlsx[[#This Row],[HORA FIN  INTERVENCIÓN]])</f>
        <v>0</v>
      </c>
      <c r="T1286" s="11">
        <f>(SEGUIMIENTO_TPM_xlsx[[#This Row],[FECHA Y HORA FINAL]]-SEGUIMIENTO_TPM_xlsx[[#This Row],[FECHA Y HORA INICIO]])</f>
        <v>0</v>
      </c>
    </row>
    <row r="1287" spans="1:20" x14ac:dyDescent="0.25">
      <c r="A1287">
        <v>1295</v>
      </c>
      <c r="C1287" s="1"/>
      <c r="D1287" s="2"/>
      <c r="H1287" s="1"/>
      <c r="I1287" s="1"/>
      <c r="J1287" s="2"/>
      <c r="Q1287" s="1">
        <f>SEGUIMIENTO_TPM_xlsx[[#This Row],[HORA FIN  INTERVENCIÓN]]-SEGUIMIENTO_TPM_xlsx[[#This Row],[HORA INICIO INTERVENCIÓN]]</f>
        <v>0</v>
      </c>
      <c r="R1287" s="20">
        <f>(SEGUIMIENTO_TPM_xlsx[[#This Row],[HORA REPORTE]]+SEGUIMIENTO_TPM_xlsx[[#This Row],[FECHA DE REPORTE]])</f>
        <v>0</v>
      </c>
      <c r="S1287" s="20">
        <f>(SEGUIMIENTO_TPM_xlsx[[#This Row],[FECHA DE INTERVENCÓN]]+SEGUIMIENTO_TPM_xlsx[[#This Row],[HORA FIN  INTERVENCIÓN]])</f>
        <v>0</v>
      </c>
      <c r="T1287" s="11">
        <f>(SEGUIMIENTO_TPM_xlsx[[#This Row],[FECHA Y HORA FINAL]]-SEGUIMIENTO_TPM_xlsx[[#This Row],[FECHA Y HORA INICIO]])</f>
        <v>0</v>
      </c>
    </row>
    <row r="1288" spans="1:20" x14ac:dyDescent="0.25">
      <c r="A1288">
        <v>1296</v>
      </c>
      <c r="C1288" s="1"/>
      <c r="D1288" s="2"/>
      <c r="H1288" s="1"/>
      <c r="I1288" s="1"/>
      <c r="J1288" s="2"/>
      <c r="Q1288" s="1">
        <f>SEGUIMIENTO_TPM_xlsx[[#This Row],[HORA FIN  INTERVENCIÓN]]-SEGUIMIENTO_TPM_xlsx[[#This Row],[HORA INICIO INTERVENCIÓN]]</f>
        <v>0</v>
      </c>
      <c r="R1288" s="20">
        <f>(SEGUIMIENTO_TPM_xlsx[[#This Row],[HORA REPORTE]]+SEGUIMIENTO_TPM_xlsx[[#This Row],[FECHA DE REPORTE]])</f>
        <v>0</v>
      </c>
      <c r="S1288" s="20">
        <f>(SEGUIMIENTO_TPM_xlsx[[#This Row],[FECHA DE INTERVENCÓN]]+SEGUIMIENTO_TPM_xlsx[[#This Row],[HORA FIN  INTERVENCIÓN]])</f>
        <v>0</v>
      </c>
      <c r="T1288" s="11">
        <f>(SEGUIMIENTO_TPM_xlsx[[#This Row],[FECHA Y HORA FINAL]]-SEGUIMIENTO_TPM_xlsx[[#This Row],[FECHA Y HORA INICIO]])</f>
        <v>0</v>
      </c>
    </row>
    <row r="1289" spans="1:20" x14ac:dyDescent="0.25">
      <c r="A1289">
        <v>1297</v>
      </c>
      <c r="C1289" s="1"/>
      <c r="D1289" s="2"/>
      <c r="H1289" s="1"/>
      <c r="I1289" s="1"/>
      <c r="J1289" s="2"/>
      <c r="Q1289" s="1">
        <f>SEGUIMIENTO_TPM_xlsx[[#This Row],[HORA FIN  INTERVENCIÓN]]-SEGUIMIENTO_TPM_xlsx[[#This Row],[HORA INICIO INTERVENCIÓN]]</f>
        <v>0</v>
      </c>
      <c r="R1289" s="20">
        <f>(SEGUIMIENTO_TPM_xlsx[[#This Row],[HORA REPORTE]]+SEGUIMIENTO_TPM_xlsx[[#This Row],[FECHA DE REPORTE]])</f>
        <v>0</v>
      </c>
      <c r="S1289" s="20">
        <f>(SEGUIMIENTO_TPM_xlsx[[#This Row],[FECHA DE INTERVENCÓN]]+SEGUIMIENTO_TPM_xlsx[[#This Row],[HORA FIN  INTERVENCIÓN]])</f>
        <v>0</v>
      </c>
      <c r="T1289" s="11">
        <f>(SEGUIMIENTO_TPM_xlsx[[#This Row],[FECHA Y HORA FINAL]]-SEGUIMIENTO_TPM_xlsx[[#This Row],[FECHA Y HORA INICIO]])</f>
        <v>0</v>
      </c>
    </row>
    <row r="1290" spans="1:20" x14ac:dyDescent="0.25">
      <c r="A1290">
        <v>1298</v>
      </c>
      <c r="C1290" s="1"/>
      <c r="D1290" s="2"/>
      <c r="H1290" s="1"/>
      <c r="I1290" s="1"/>
      <c r="J1290" s="2"/>
      <c r="Q1290" s="1">
        <f>SEGUIMIENTO_TPM_xlsx[[#This Row],[HORA FIN  INTERVENCIÓN]]-SEGUIMIENTO_TPM_xlsx[[#This Row],[HORA INICIO INTERVENCIÓN]]</f>
        <v>0</v>
      </c>
      <c r="R1290" s="20">
        <f>(SEGUIMIENTO_TPM_xlsx[[#This Row],[HORA REPORTE]]+SEGUIMIENTO_TPM_xlsx[[#This Row],[FECHA DE REPORTE]])</f>
        <v>0</v>
      </c>
      <c r="S1290" s="20">
        <f>(SEGUIMIENTO_TPM_xlsx[[#This Row],[FECHA DE INTERVENCÓN]]+SEGUIMIENTO_TPM_xlsx[[#This Row],[HORA FIN  INTERVENCIÓN]])</f>
        <v>0</v>
      </c>
      <c r="T1290" s="11">
        <f>(SEGUIMIENTO_TPM_xlsx[[#This Row],[FECHA Y HORA FINAL]]-SEGUIMIENTO_TPM_xlsx[[#This Row],[FECHA Y HORA INICIO]])</f>
        <v>0</v>
      </c>
    </row>
    <row r="1291" spans="1:20" x14ac:dyDescent="0.25">
      <c r="A1291">
        <v>1299</v>
      </c>
      <c r="C1291" s="1"/>
      <c r="D1291" s="2"/>
      <c r="H1291" s="1"/>
      <c r="I1291" s="1"/>
      <c r="J1291" s="2"/>
      <c r="Q1291" s="1">
        <f>SEGUIMIENTO_TPM_xlsx[[#This Row],[HORA FIN  INTERVENCIÓN]]-SEGUIMIENTO_TPM_xlsx[[#This Row],[HORA INICIO INTERVENCIÓN]]</f>
        <v>0</v>
      </c>
      <c r="R1291" s="20">
        <f>(SEGUIMIENTO_TPM_xlsx[[#This Row],[HORA REPORTE]]+SEGUIMIENTO_TPM_xlsx[[#This Row],[FECHA DE REPORTE]])</f>
        <v>0</v>
      </c>
      <c r="S1291" s="20">
        <f>(SEGUIMIENTO_TPM_xlsx[[#This Row],[FECHA DE INTERVENCÓN]]+SEGUIMIENTO_TPM_xlsx[[#This Row],[HORA FIN  INTERVENCIÓN]])</f>
        <v>0</v>
      </c>
      <c r="T1291" s="11">
        <f>(SEGUIMIENTO_TPM_xlsx[[#This Row],[FECHA Y HORA FINAL]]-SEGUIMIENTO_TPM_xlsx[[#This Row],[FECHA Y HORA INICIO]])</f>
        <v>0</v>
      </c>
    </row>
    <row r="1292" spans="1:20" x14ac:dyDescent="0.25">
      <c r="A1292">
        <v>1300</v>
      </c>
      <c r="C1292" s="1"/>
      <c r="D1292" s="2"/>
      <c r="H1292" s="1"/>
      <c r="I1292" s="1"/>
      <c r="J1292" s="2"/>
      <c r="Q1292" s="1">
        <f>SEGUIMIENTO_TPM_xlsx[[#This Row],[HORA FIN  INTERVENCIÓN]]-SEGUIMIENTO_TPM_xlsx[[#This Row],[HORA INICIO INTERVENCIÓN]]</f>
        <v>0</v>
      </c>
      <c r="R1292" s="20">
        <f>(SEGUIMIENTO_TPM_xlsx[[#This Row],[HORA REPORTE]]+SEGUIMIENTO_TPM_xlsx[[#This Row],[FECHA DE REPORTE]])</f>
        <v>0</v>
      </c>
      <c r="S1292" s="20">
        <f>(SEGUIMIENTO_TPM_xlsx[[#This Row],[FECHA DE INTERVENCÓN]]+SEGUIMIENTO_TPM_xlsx[[#This Row],[HORA FIN  INTERVENCIÓN]])</f>
        <v>0</v>
      </c>
      <c r="T1292" s="11">
        <f>(SEGUIMIENTO_TPM_xlsx[[#This Row],[FECHA Y HORA FINAL]]-SEGUIMIENTO_TPM_xlsx[[#This Row],[FECHA Y HORA INICIO]])</f>
        <v>0</v>
      </c>
    </row>
    <row r="1293" spans="1:20" x14ac:dyDescent="0.25">
      <c r="A1293" t="s">
        <v>0</v>
      </c>
      <c r="B1293" t="s">
        <v>1</v>
      </c>
      <c r="C1293" s="1"/>
      <c r="D1293" s="2"/>
      <c r="E1293" t="s">
        <v>4</v>
      </c>
      <c r="F1293" t="s">
        <v>5</v>
      </c>
      <c r="G1293" t="s">
        <v>6</v>
      </c>
      <c r="H1293" s="1"/>
      <c r="I1293" s="1"/>
      <c r="J1293" s="2"/>
      <c r="K1293" t="s">
        <v>10</v>
      </c>
      <c r="L1293" t="s">
        <v>11</v>
      </c>
      <c r="M1293" t="s">
        <v>12</v>
      </c>
      <c r="N1293" t="s">
        <v>13</v>
      </c>
      <c r="O1293" t="s">
        <v>14</v>
      </c>
      <c r="P1293" t="s">
        <v>15</v>
      </c>
      <c r="Q1293" s="1">
        <f>SEGUIMIENTO_TPM_xlsx[[#This Row],[HORA FIN  INTERVENCIÓN]]-SEGUIMIENTO_TPM_xlsx[[#This Row],[HORA INICIO INTERVENCIÓN]]</f>
        <v>0</v>
      </c>
      <c r="R1293" s="20">
        <f>(SEGUIMIENTO_TPM_xlsx[[#This Row],[HORA REPORTE]]+SEGUIMIENTO_TPM_xlsx[[#This Row],[FECHA DE REPORTE]])</f>
        <v>0</v>
      </c>
      <c r="S1293" s="20">
        <f>(SEGUIMIENTO_TPM_xlsx[[#This Row],[FECHA DE INTERVENCÓN]]+SEGUIMIENTO_TPM_xlsx[[#This Row],[HORA FIN  INTERVENCIÓN]])</f>
        <v>0</v>
      </c>
      <c r="T1293" s="11">
        <f>(SEGUIMIENTO_TPM_xlsx[[#This Row],[FECHA Y HORA FINAL]]-SEGUIMIENTO_TPM_xlsx[[#This Row],[FECHA Y HORA INICIO]])</f>
        <v>0</v>
      </c>
    </row>
    <row r="1294" spans="1:20" x14ac:dyDescent="0.25">
      <c r="A1294" t="s">
        <v>0</v>
      </c>
      <c r="B1294" t="s">
        <v>1</v>
      </c>
      <c r="C1294" s="1"/>
      <c r="D1294" s="2"/>
      <c r="E1294" t="s">
        <v>4</v>
      </c>
      <c r="F1294" t="s">
        <v>5</v>
      </c>
      <c r="G1294" t="s">
        <v>6</v>
      </c>
      <c r="H1294" s="1"/>
      <c r="I1294" s="1"/>
      <c r="J1294" s="2"/>
      <c r="K1294" t="s">
        <v>10</v>
      </c>
      <c r="L1294" t="s">
        <v>11</v>
      </c>
      <c r="M1294" t="s">
        <v>12</v>
      </c>
      <c r="N1294" t="s">
        <v>13</v>
      </c>
      <c r="O1294" t="s">
        <v>14</v>
      </c>
      <c r="P1294" t="s">
        <v>15</v>
      </c>
      <c r="Q1294" s="1">
        <f>SEGUIMIENTO_TPM_xlsx[[#This Row],[HORA FIN  INTERVENCIÓN]]-SEGUIMIENTO_TPM_xlsx[[#This Row],[HORA INICIO INTERVENCIÓN]]</f>
        <v>0</v>
      </c>
      <c r="R1294" s="20">
        <f>(SEGUIMIENTO_TPM_xlsx[[#This Row],[HORA REPORTE]]+SEGUIMIENTO_TPM_xlsx[[#This Row],[FECHA DE REPORTE]])</f>
        <v>0</v>
      </c>
      <c r="S1294" s="20">
        <f>(SEGUIMIENTO_TPM_xlsx[[#This Row],[FECHA DE INTERVENCÓN]]+SEGUIMIENTO_TPM_xlsx[[#This Row],[HORA FIN  INTERVENCIÓN]])</f>
        <v>0</v>
      </c>
      <c r="T1294" s="11">
        <f>(SEGUIMIENTO_TPM_xlsx[[#This Row],[FECHA Y HORA FINAL]]-SEGUIMIENTO_TPM_xlsx[[#This Row],[FECHA Y HORA INICIO]])</f>
        <v>0</v>
      </c>
    </row>
    <row r="1295" spans="1:20" x14ac:dyDescent="0.25">
      <c r="A1295" t="s">
        <v>0</v>
      </c>
      <c r="B1295" t="s">
        <v>1</v>
      </c>
      <c r="C1295" s="1"/>
      <c r="D1295" s="2"/>
      <c r="E1295" t="s">
        <v>4</v>
      </c>
      <c r="F1295" t="s">
        <v>5</v>
      </c>
      <c r="G1295" t="s">
        <v>6</v>
      </c>
      <c r="H1295" s="1"/>
      <c r="I1295" s="1"/>
      <c r="J1295" s="2"/>
      <c r="K1295" t="s">
        <v>10</v>
      </c>
      <c r="L1295" t="s">
        <v>11</v>
      </c>
      <c r="M1295" t="s">
        <v>12</v>
      </c>
      <c r="N1295" t="s">
        <v>13</v>
      </c>
      <c r="O1295" t="s">
        <v>14</v>
      </c>
      <c r="P1295" t="s">
        <v>15</v>
      </c>
      <c r="Q1295" s="1">
        <f>SEGUIMIENTO_TPM_xlsx[[#This Row],[HORA FIN  INTERVENCIÓN]]-SEGUIMIENTO_TPM_xlsx[[#This Row],[HORA INICIO INTERVENCIÓN]]</f>
        <v>0</v>
      </c>
      <c r="R1295" s="20">
        <f>(SEGUIMIENTO_TPM_xlsx[[#This Row],[HORA REPORTE]]+SEGUIMIENTO_TPM_xlsx[[#This Row],[FECHA DE REPORTE]])</f>
        <v>0</v>
      </c>
      <c r="S1295" s="20">
        <f>(SEGUIMIENTO_TPM_xlsx[[#This Row],[FECHA DE INTERVENCÓN]]+SEGUIMIENTO_TPM_xlsx[[#This Row],[HORA FIN  INTERVENCIÓN]])</f>
        <v>0</v>
      </c>
      <c r="T1295" s="11">
        <f>(SEGUIMIENTO_TPM_xlsx[[#This Row],[FECHA Y HORA FINAL]]-SEGUIMIENTO_TPM_xlsx[[#This Row],[FECHA Y HORA INICIO]])</f>
        <v>0</v>
      </c>
    </row>
    <row r="1296" spans="1:20" x14ac:dyDescent="0.25">
      <c r="A1296" t="s">
        <v>0</v>
      </c>
      <c r="B1296" t="s">
        <v>1</v>
      </c>
      <c r="C1296" s="1"/>
      <c r="D1296" s="2"/>
      <c r="E1296" t="s">
        <v>4</v>
      </c>
      <c r="F1296" t="s">
        <v>5</v>
      </c>
      <c r="G1296" t="s">
        <v>6</v>
      </c>
      <c r="H1296" s="1"/>
      <c r="I1296" s="1"/>
      <c r="J1296" s="2"/>
      <c r="K1296" t="s">
        <v>10</v>
      </c>
      <c r="L1296" t="s">
        <v>11</v>
      </c>
      <c r="M1296" t="s">
        <v>12</v>
      </c>
      <c r="N1296" t="s">
        <v>13</v>
      </c>
      <c r="O1296" t="s">
        <v>14</v>
      </c>
      <c r="P1296" t="s">
        <v>15</v>
      </c>
      <c r="Q1296" s="1">
        <f>SEGUIMIENTO_TPM_xlsx[[#This Row],[HORA FIN  INTERVENCIÓN]]-SEGUIMIENTO_TPM_xlsx[[#This Row],[HORA INICIO INTERVENCIÓN]]</f>
        <v>0</v>
      </c>
      <c r="R1296" s="20">
        <f>(SEGUIMIENTO_TPM_xlsx[[#This Row],[HORA REPORTE]]+SEGUIMIENTO_TPM_xlsx[[#This Row],[FECHA DE REPORTE]])</f>
        <v>0</v>
      </c>
      <c r="S1296" s="20">
        <f>(SEGUIMIENTO_TPM_xlsx[[#This Row],[FECHA DE INTERVENCÓN]]+SEGUIMIENTO_TPM_xlsx[[#This Row],[HORA FIN  INTERVENCIÓN]])</f>
        <v>0</v>
      </c>
      <c r="T1296" s="11">
        <f>(SEGUIMIENTO_TPM_xlsx[[#This Row],[FECHA Y HORA FINAL]]-SEGUIMIENTO_TPM_xlsx[[#This Row],[FECHA Y HORA INICIO]])</f>
        <v>0</v>
      </c>
    </row>
    <row r="1297" spans="1:20" x14ac:dyDescent="0.25">
      <c r="A1297" t="s">
        <v>0</v>
      </c>
      <c r="B1297" t="s">
        <v>1</v>
      </c>
      <c r="C1297" s="1"/>
      <c r="D1297" s="2"/>
      <c r="E1297" t="s">
        <v>4</v>
      </c>
      <c r="F1297" t="s">
        <v>5</v>
      </c>
      <c r="G1297" t="s">
        <v>6</v>
      </c>
      <c r="H1297" s="1"/>
      <c r="I1297" s="1"/>
      <c r="J1297" s="2"/>
      <c r="K1297" t="s">
        <v>10</v>
      </c>
      <c r="L1297" t="s">
        <v>11</v>
      </c>
      <c r="M1297" t="s">
        <v>12</v>
      </c>
      <c r="N1297" t="s">
        <v>13</v>
      </c>
      <c r="O1297" t="s">
        <v>14</v>
      </c>
      <c r="P1297" t="s">
        <v>15</v>
      </c>
      <c r="Q1297" s="1">
        <f>SEGUIMIENTO_TPM_xlsx[[#This Row],[HORA FIN  INTERVENCIÓN]]-SEGUIMIENTO_TPM_xlsx[[#This Row],[HORA INICIO INTERVENCIÓN]]</f>
        <v>0</v>
      </c>
      <c r="R1297" s="20">
        <f>(SEGUIMIENTO_TPM_xlsx[[#This Row],[HORA REPORTE]]+SEGUIMIENTO_TPM_xlsx[[#This Row],[FECHA DE REPORTE]])</f>
        <v>0</v>
      </c>
      <c r="S1297" s="20">
        <f>(SEGUIMIENTO_TPM_xlsx[[#This Row],[FECHA DE INTERVENCÓN]]+SEGUIMIENTO_TPM_xlsx[[#This Row],[HORA FIN  INTERVENCIÓN]])</f>
        <v>0</v>
      </c>
      <c r="T1297" s="11">
        <f>(SEGUIMIENTO_TPM_xlsx[[#This Row],[FECHA Y HORA FINAL]]-SEGUIMIENTO_TPM_xlsx[[#This Row],[FECHA Y HORA INICIO]])</f>
        <v>0</v>
      </c>
    </row>
    <row r="1298" spans="1:20" x14ac:dyDescent="0.25">
      <c r="A1298" t="s">
        <v>0</v>
      </c>
      <c r="B1298" t="s">
        <v>1</v>
      </c>
      <c r="C1298" s="1"/>
      <c r="D1298" s="2"/>
      <c r="E1298" t="s">
        <v>4</v>
      </c>
      <c r="F1298" t="s">
        <v>5</v>
      </c>
      <c r="G1298" t="s">
        <v>6</v>
      </c>
      <c r="H1298" s="1"/>
      <c r="I1298" s="1"/>
      <c r="J1298" s="2"/>
      <c r="K1298" t="s">
        <v>10</v>
      </c>
      <c r="L1298" t="s">
        <v>11</v>
      </c>
      <c r="M1298" t="s">
        <v>12</v>
      </c>
      <c r="N1298" t="s">
        <v>13</v>
      </c>
      <c r="O1298" t="s">
        <v>14</v>
      </c>
      <c r="P1298" t="s">
        <v>15</v>
      </c>
      <c r="Q1298" s="1">
        <f>SEGUIMIENTO_TPM_xlsx[[#This Row],[HORA FIN  INTERVENCIÓN]]-SEGUIMIENTO_TPM_xlsx[[#This Row],[HORA INICIO INTERVENCIÓN]]</f>
        <v>0</v>
      </c>
      <c r="R1298" s="20">
        <f>(SEGUIMIENTO_TPM_xlsx[[#This Row],[HORA REPORTE]]+SEGUIMIENTO_TPM_xlsx[[#This Row],[FECHA DE REPORTE]])</f>
        <v>0</v>
      </c>
      <c r="S1298" s="20">
        <f>(SEGUIMIENTO_TPM_xlsx[[#This Row],[FECHA DE INTERVENCÓN]]+SEGUIMIENTO_TPM_xlsx[[#This Row],[HORA FIN  INTERVENCIÓN]])</f>
        <v>0</v>
      </c>
      <c r="T1298" s="11">
        <f>(SEGUIMIENTO_TPM_xlsx[[#This Row],[FECHA Y HORA FINAL]]-SEGUIMIENTO_TPM_xlsx[[#This Row],[FECHA Y HORA INICIO]])</f>
        <v>0</v>
      </c>
    </row>
    <row r="1299" spans="1:20" x14ac:dyDescent="0.25">
      <c r="A1299" t="s">
        <v>0</v>
      </c>
      <c r="B1299" t="s">
        <v>1</v>
      </c>
      <c r="C1299" s="1"/>
      <c r="D1299" s="2"/>
      <c r="E1299" t="s">
        <v>4</v>
      </c>
      <c r="F1299" t="s">
        <v>5</v>
      </c>
      <c r="G1299" t="s">
        <v>6</v>
      </c>
      <c r="H1299" s="1"/>
      <c r="I1299" s="1"/>
      <c r="J1299" s="2"/>
      <c r="K1299" t="s">
        <v>10</v>
      </c>
      <c r="L1299" t="s">
        <v>11</v>
      </c>
      <c r="M1299" t="s">
        <v>12</v>
      </c>
      <c r="N1299" t="s">
        <v>13</v>
      </c>
      <c r="O1299" t="s">
        <v>14</v>
      </c>
      <c r="P1299" t="s">
        <v>15</v>
      </c>
      <c r="Q1299" s="1">
        <f>SEGUIMIENTO_TPM_xlsx[[#This Row],[HORA FIN  INTERVENCIÓN]]-SEGUIMIENTO_TPM_xlsx[[#This Row],[HORA INICIO INTERVENCIÓN]]</f>
        <v>0</v>
      </c>
      <c r="R1299" s="20">
        <f>(SEGUIMIENTO_TPM_xlsx[[#This Row],[HORA REPORTE]]+SEGUIMIENTO_TPM_xlsx[[#This Row],[FECHA DE REPORTE]])</f>
        <v>0</v>
      </c>
      <c r="S1299" s="20">
        <f>(SEGUIMIENTO_TPM_xlsx[[#This Row],[FECHA DE INTERVENCÓN]]+SEGUIMIENTO_TPM_xlsx[[#This Row],[HORA FIN  INTERVENCIÓN]])</f>
        <v>0</v>
      </c>
      <c r="T1299" s="11">
        <f>(SEGUIMIENTO_TPM_xlsx[[#This Row],[FECHA Y HORA FINAL]]-SEGUIMIENTO_TPM_xlsx[[#This Row],[FECHA Y HORA INICIO]])</f>
        <v>0</v>
      </c>
    </row>
    <row r="1300" spans="1:20" x14ac:dyDescent="0.25">
      <c r="A1300" t="s">
        <v>0</v>
      </c>
      <c r="B1300" t="s">
        <v>1</v>
      </c>
      <c r="C1300" s="1"/>
      <c r="D1300" s="2"/>
      <c r="E1300" t="s">
        <v>4</v>
      </c>
      <c r="F1300" t="s">
        <v>5</v>
      </c>
      <c r="G1300" t="s">
        <v>6</v>
      </c>
      <c r="H1300" s="1"/>
      <c r="I1300" s="1"/>
      <c r="J1300" s="2"/>
      <c r="K1300" t="s">
        <v>10</v>
      </c>
      <c r="L1300" t="s">
        <v>11</v>
      </c>
      <c r="M1300" t="s">
        <v>12</v>
      </c>
      <c r="N1300" t="s">
        <v>13</v>
      </c>
      <c r="O1300" t="s">
        <v>14</v>
      </c>
      <c r="P1300" t="s">
        <v>15</v>
      </c>
      <c r="Q1300" s="1">
        <f>SEGUIMIENTO_TPM_xlsx[[#This Row],[HORA FIN  INTERVENCIÓN]]-SEGUIMIENTO_TPM_xlsx[[#This Row],[HORA INICIO INTERVENCIÓN]]</f>
        <v>0</v>
      </c>
      <c r="R1300" s="20">
        <f>(SEGUIMIENTO_TPM_xlsx[[#This Row],[HORA REPORTE]]+SEGUIMIENTO_TPM_xlsx[[#This Row],[FECHA DE REPORTE]])</f>
        <v>0</v>
      </c>
      <c r="S1300" s="20">
        <f>(SEGUIMIENTO_TPM_xlsx[[#This Row],[FECHA DE INTERVENCÓN]]+SEGUIMIENTO_TPM_xlsx[[#This Row],[HORA FIN  INTERVENCIÓN]])</f>
        <v>0</v>
      </c>
      <c r="T1300" s="11">
        <f>(SEGUIMIENTO_TPM_xlsx[[#This Row],[FECHA Y HORA FINAL]]-SEGUIMIENTO_TPM_xlsx[[#This Row],[FECHA Y HORA INICIO]])</f>
        <v>0</v>
      </c>
    </row>
    <row r="1301" spans="1:20" x14ac:dyDescent="0.25">
      <c r="A1301" t="s">
        <v>0</v>
      </c>
      <c r="B1301" t="s">
        <v>1</v>
      </c>
      <c r="C1301" s="1"/>
      <c r="D1301" s="2"/>
      <c r="E1301" t="s">
        <v>4</v>
      </c>
      <c r="F1301" t="s">
        <v>5</v>
      </c>
      <c r="G1301" t="s">
        <v>6</v>
      </c>
      <c r="H1301" s="1"/>
      <c r="I1301" s="1"/>
      <c r="J1301" s="2"/>
      <c r="K1301" t="s">
        <v>10</v>
      </c>
      <c r="L1301" t="s">
        <v>11</v>
      </c>
      <c r="M1301" t="s">
        <v>12</v>
      </c>
      <c r="N1301" t="s">
        <v>13</v>
      </c>
      <c r="O1301" t="s">
        <v>14</v>
      </c>
      <c r="P1301" t="s">
        <v>15</v>
      </c>
      <c r="Q1301" s="1">
        <f>SEGUIMIENTO_TPM_xlsx[[#This Row],[HORA FIN  INTERVENCIÓN]]-SEGUIMIENTO_TPM_xlsx[[#This Row],[HORA INICIO INTERVENCIÓN]]</f>
        <v>0</v>
      </c>
      <c r="R1301" s="20">
        <f>(SEGUIMIENTO_TPM_xlsx[[#This Row],[HORA REPORTE]]+SEGUIMIENTO_TPM_xlsx[[#This Row],[FECHA DE REPORTE]])</f>
        <v>0</v>
      </c>
      <c r="S1301" s="20">
        <f>(SEGUIMIENTO_TPM_xlsx[[#This Row],[FECHA DE INTERVENCÓN]]+SEGUIMIENTO_TPM_xlsx[[#This Row],[HORA FIN  INTERVENCIÓN]])</f>
        <v>0</v>
      </c>
      <c r="T1301" s="11">
        <f>(SEGUIMIENTO_TPM_xlsx[[#This Row],[FECHA Y HORA FINAL]]-SEGUIMIENTO_TPM_xlsx[[#This Row],[FECHA Y HORA INICIO]])</f>
        <v>0</v>
      </c>
    </row>
    <row r="1302" spans="1:20" x14ac:dyDescent="0.25">
      <c r="A1302" t="s">
        <v>0</v>
      </c>
      <c r="B1302" t="s">
        <v>1</v>
      </c>
      <c r="C1302" s="1"/>
      <c r="D1302" s="2"/>
      <c r="E1302" t="s">
        <v>4</v>
      </c>
      <c r="F1302" t="s">
        <v>5</v>
      </c>
      <c r="G1302" t="s">
        <v>6</v>
      </c>
      <c r="H1302" s="1"/>
      <c r="I1302" s="1"/>
      <c r="J1302" s="2"/>
      <c r="K1302" t="s">
        <v>10</v>
      </c>
      <c r="L1302" t="s">
        <v>11</v>
      </c>
      <c r="M1302" t="s">
        <v>12</v>
      </c>
      <c r="N1302" t="s">
        <v>13</v>
      </c>
      <c r="O1302" t="s">
        <v>14</v>
      </c>
      <c r="P1302" t="s">
        <v>15</v>
      </c>
      <c r="Q1302" s="1">
        <f>SEGUIMIENTO_TPM_xlsx[[#This Row],[HORA FIN  INTERVENCIÓN]]-SEGUIMIENTO_TPM_xlsx[[#This Row],[HORA INICIO INTERVENCIÓN]]</f>
        <v>0</v>
      </c>
      <c r="R1302" s="20">
        <f>(SEGUIMIENTO_TPM_xlsx[[#This Row],[HORA REPORTE]]+SEGUIMIENTO_TPM_xlsx[[#This Row],[FECHA DE REPORTE]])</f>
        <v>0</v>
      </c>
      <c r="S1302" s="20">
        <f>(SEGUIMIENTO_TPM_xlsx[[#This Row],[FECHA DE INTERVENCÓN]]+SEGUIMIENTO_TPM_xlsx[[#This Row],[HORA FIN  INTERVENCIÓN]])</f>
        <v>0</v>
      </c>
      <c r="T1302" s="11">
        <f>(SEGUIMIENTO_TPM_xlsx[[#This Row],[FECHA Y HORA FINAL]]-SEGUIMIENTO_TPM_xlsx[[#This Row],[FECHA Y HORA INICIO]])</f>
        <v>0</v>
      </c>
    </row>
    <row r="1303" spans="1:20" x14ac:dyDescent="0.25">
      <c r="A1303" t="s">
        <v>0</v>
      </c>
      <c r="B1303" t="s">
        <v>1</v>
      </c>
      <c r="C1303" s="1"/>
      <c r="D1303" s="2"/>
      <c r="E1303" t="s">
        <v>4</v>
      </c>
      <c r="F1303" t="s">
        <v>5</v>
      </c>
      <c r="G1303" t="s">
        <v>6</v>
      </c>
      <c r="H1303" s="1"/>
      <c r="I1303" s="1"/>
      <c r="J1303" s="2"/>
      <c r="K1303" t="s">
        <v>10</v>
      </c>
      <c r="L1303" t="s">
        <v>11</v>
      </c>
      <c r="M1303" t="s">
        <v>12</v>
      </c>
      <c r="N1303" t="s">
        <v>13</v>
      </c>
      <c r="O1303" t="s">
        <v>14</v>
      </c>
      <c r="P1303" t="s">
        <v>15</v>
      </c>
      <c r="Q1303" s="1">
        <f>SEGUIMIENTO_TPM_xlsx[[#This Row],[HORA FIN  INTERVENCIÓN]]-SEGUIMIENTO_TPM_xlsx[[#This Row],[HORA INICIO INTERVENCIÓN]]</f>
        <v>0</v>
      </c>
      <c r="R1303" s="20">
        <f>(SEGUIMIENTO_TPM_xlsx[[#This Row],[HORA REPORTE]]+SEGUIMIENTO_TPM_xlsx[[#This Row],[FECHA DE REPORTE]])</f>
        <v>0</v>
      </c>
      <c r="S1303" s="20">
        <f>(SEGUIMIENTO_TPM_xlsx[[#This Row],[FECHA DE INTERVENCÓN]]+SEGUIMIENTO_TPM_xlsx[[#This Row],[HORA FIN  INTERVENCIÓN]])</f>
        <v>0</v>
      </c>
      <c r="T1303" s="11">
        <f>(SEGUIMIENTO_TPM_xlsx[[#This Row],[FECHA Y HORA FINAL]]-SEGUIMIENTO_TPM_xlsx[[#This Row],[FECHA Y HORA INICIO]])</f>
        <v>0</v>
      </c>
    </row>
    <row r="1304" spans="1:20" x14ac:dyDescent="0.25">
      <c r="A1304" t="s">
        <v>0</v>
      </c>
      <c r="B1304" t="s">
        <v>1</v>
      </c>
      <c r="C1304" s="1"/>
      <c r="D1304" s="2"/>
      <c r="E1304" t="s">
        <v>4</v>
      </c>
      <c r="F1304" t="s">
        <v>5</v>
      </c>
      <c r="G1304" t="s">
        <v>6</v>
      </c>
      <c r="H1304" s="1"/>
      <c r="I1304" s="1"/>
      <c r="J1304" s="2"/>
      <c r="K1304" t="s">
        <v>10</v>
      </c>
      <c r="L1304" t="s">
        <v>11</v>
      </c>
      <c r="M1304" t="s">
        <v>12</v>
      </c>
      <c r="N1304" t="s">
        <v>13</v>
      </c>
      <c r="O1304" t="s">
        <v>14</v>
      </c>
      <c r="P1304" t="s">
        <v>15</v>
      </c>
      <c r="Q1304" s="1">
        <f>SEGUIMIENTO_TPM_xlsx[[#This Row],[HORA FIN  INTERVENCIÓN]]-SEGUIMIENTO_TPM_xlsx[[#This Row],[HORA INICIO INTERVENCIÓN]]</f>
        <v>0</v>
      </c>
      <c r="R1304" s="20">
        <f>(SEGUIMIENTO_TPM_xlsx[[#This Row],[HORA REPORTE]]+SEGUIMIENTO_TPM_xlsx[[#This Row],[FECHA DE REPORTE]])</f>
        <v>0</v>
      </c>
      <c r="S1304" s="20">
        <f>(SEGUIMIENTO_TPM_xlsx[[#This Row],[FECHA DE INTERVENCÓN]]+SEGUIMIENTO_TPM_xlsx[[#This Row],[HORA FIN  INTERVENCIÓN]])</f>
        <v>0</v>
      </c>
      <c r="T1304" s="11">
        <f>(SEGUIMIENTO_TPM_xlsx[[#This Row],[FECHA Y HORA FINAL]]-SEGUIMIENTO_TPM_xlsx[[#This Row],[FECHA Y HORA INICIO]])</f>
        <v>0</v>
      </c>
    </row>
    <row r="1305" spans="1:20" x14ac:dyDescent="0.25">
      <c r="A1305" t="s">
        <v>0</v>
      </c>
      <c r="B1305" t="s">
        <v>1</v>
      </c>
      <c r="C1305" s="1"/>
      <c r="D1305" s="2"/>
      <c r="E1305" t="s">
        <v>4</v>
      </c>
      <c r="F1305" t="s">
        <v>5</v>
      </c>
      <c r="G1305" t="s">
        <v>6</v>
      </c>
      <c r="H1305" s="1"/>
      <c r="I1305" s="1"/>
      <c r="J1305" s="2"/>
      <c r="K1305" t="s">
        <v>10</v>
      </c>
      <c r="L1305" t="s">
        <v>11</v>
      </c>
      <c r="M1305" t="s">
        <v>12</v>
      </c>
      <c r="N1305" t="s">
        <v>13</v>
      </c>
      <c r="O1305" t="s">
        <v>14</v>
      </c>
      <c r="P1305" t="s">
        <v>15</v>
      </c>
      <c r="Q1305" s="1">
        <f>SEGUIMIENTO_TPM_xlsx[[#This Row],[HORA FIN  INTERVENCIÓN]]-SEGUIMIENTO_TPM_xlsx[[#This Row],[HORA INICIO INTERVENCIÓN]]</f>
        <v>0</v>
      </c>
      <c r="R1305" s="20">
        <f>(SEGUIMIENTO_TPM_xlsx[[#This Row],[HORA REPORTE]]+SEGUIMIENTO_TPM_xlsx[[#This Row],[FECHA DE REPORTE]])</f>
        <v>0</v>
      </c>
      <c r="S1305" s="20">
        <f>(SEGUIMIENTO_TPM_xlsx[[#This Row],[FECHA DE INTERVENCÓN]]+SEGUIMIENTO_TPM_xlsx[[#This Row],[HORA FIN  INTERVENCIÓN]])</f>
        <v>0</v>
      </c>
      <c r="T1305" s="11">
        <f>(SEGUIMIENTO_TPM_xlsx[[#This Row],[FECHA Y HORA FINAL]]-SEGUIMIENTO_TPM_xlsx[[#This Row],[FECHA Y HORA INICIO]])</f>
        <v>0</v>
      </c>
    </row>
    <row r="1306" spans="1:20" x14ac:dyDescent="0.25">
      <c r="A1306" t="s">
        <v>1313</v>
      </c>
      <c r="B1306" t="s">
        <v>113</v>
      </c>
      <c r="C1306" s="1">
        <v>0.86041666666666672</v>
      </c>
      <c r="D1306" s="2">
        <v>46074</v>
      </c>
      <c r="E1306" t="s">
        <v>91</v>
      </c>
      <c r="F1306" t="s">
        <v>18</v>
      </c>
      <c r="G1306" t="s">
        <v>1314</v>
      </c>
      <c r="H1306" s="1">
        <v>0.86111111111111116</v>
      </c>
      <c r="I1306" s="1">
        <v>0.92361111111111116</v>
      </c>
      <c r="J1306" s="2">
        <v>46074</v>
      </c>
      <c r="K1306" t="s">
        <v>20</v>
      </c>
      <c r="L1306" t="s">
        <v>1315</v>
      </c>
      <c r="M1306" t="s">
        <v>1316</v>
      </c>
      <c r="N1306" t="s">
        <v>22</v>
      </c>
      <c r="O1306" t="s">
        <v>44</v>
      </c>
      <c r="P1306" t="s">
        <v>23</v>
      </c>
      <c r="Q1306" s="1">
        <f>SEGUIMIENTO_TPM_xlsx[[#This Row],[HORA FIN  INTERVENCIÓN]]-SEGUIMIENTO_TPM_xlsx[[#This Row],[HORA INICIO INTERVENCIÓN]]</f>
        <v>6.25E-2</v>
      </c>
      <c r="R1306" s="20">
        <f>(SEGUIMIENTO_TPM_xlsx[[#This Row],[HORA REPORTE]]+SEGUIMIENTO_TPM_xlsx[[#This Row],[FECHA DE REPORTE]])</f>
        <v>46074.86041666667</v>
      </c>
      <c r="S1306" s="20">
        <f>(SEGUIMIENTO_TPM_xlsx[[#This Row],[FECHA DE INTERVENCÓN]]+SEGUIMIENTO_TPM_xlsx[[#This Row],[HORA FIN  INTERVENCIÓN]])</f>
        <v>46074.923611111109</v>
      </c>
      <c r="T1306" s="11">
        <f>(SEGUIMIENTO_TPM_xlsx[[#This Row],[FECHA Y HORA FINAL]]-SEGUIMIENTO_TPM_xlsx[[#This Row],[FECHA Y HORA INICIO]])</f>
        <v>6.3194444439432118E-2</v>
      </c>
    </row>
    <row r="1307" spans="1:20" x14ac:dyDescent="0.25">
      <c r="A1307" t="s">
        <v>1341</v>
      </c>
      <c r="B1307" t="s">
        <v>279</v>
      </c>
      <c r="C1307" s="1">
        <v>0.26041666666666669</v>
      </c>
      <c r="D1307" s="2">
        <v>45986</v>
      </c>
      <c r="E1307" t="s">
        <v>17</v>
      </c>
      <c r="F1307" t="s">
        <v>18</v>
      </c>
      <c r="G1307" t="s">
        <v>1342</v>
      </c>
      <c r="H1307" s="1"/>
      <c r="I1307" s="1"/>
      <c r="J1307" s="2"/>
      <c r="P1307" t="s">
        <v>33</v>
      </c>
      <c r="Q1307" s="1">
        <f>SEGUIMIENTO_TPM_xlsx[[#This Row],[HORA FIN  INTERVENCIÓN]]-SEGUIMIENTO_TPM_xlsx[[#This Row],[HORA INICIO INTERVENCIÓN]]</f>
        <v>0</v>
      </c>
      <c r="R1307" s="20">
        <f>(SEGUIMIENTO_TPM_xlsx[[#This Row],[HORA REPORTE]]+SEGUIMIENTO_TPM_xlsx[[#This Row],[FECHA DE REPORTE]])</f>
        <v>45986.260416666664</v>
      </c>
      <c r="S1307" s="20">
        <f>(SEGUIMIENTO_TPM_xlsx[[#This Row],[FECHA DE INTERVENCÓN]]+SEGUIMIENTO_TPM_xlsx[[#This Row],[HORA FIN  INTERVENCIÓN]])</f>
        <v>0</v>
      </c>
      <c r="T1307" s="11">
        <f>(SEGUIMIENTO_TPM_xlsx[[#This Row],[FECHA Y HORA FINAL]]-SEGUIMIENTO_TPM_xlsx[[#This Row],[FECHA Y HORA INICIO]])</f>
        <v>-45986.260416666664</v>
      </c>
    </row>
    <row r="1308" spans="1:20" x14ac:dyDescent="0.25">
      <c r="A1308" t="s">
        <v>1793</v>
      </c>
      <c r="C1308" s="1"/>
      <c r="D1308" s="2"/>
      <c r="H1308" s="1"/>
      <c r="I1308" s="1"/>
      <c r="J1308" s="2"/>
      <c r="Q1308" s="1">
        <f>SEGUIMIENTO_TPM_xlsx[[#This Row],[HORA FIN  INTERVENCIÓN]]-SEGUIMIENTO_TPM_xlsx[[#This Row],[HORA INICIO INTERVENCIÓN]]</f>
        <v>0</v>
      </c>
      <c r="R1308" s="20">
        <f>(SEGUIMIENTO_TPM_xlsx[[#This Row],[HORA REPORTE]]+SEGUIMIENTO_TPM_xlsx[[#This Row],[FECHA DE REPORTE]])</f>
        <v>0</v>
      </c>
      <c r="S1308" s="20">
        <f>(SEGUIMIENTO_TPM_xlsx[[#This Row],[FECHA DE INTERVENCÓN]]+SEGUIMIENTO_TPM_xlsx[[#This Row],[HORA FIN  INTERVENCIÓN]])</f>
        <v>0</v>
      </c>
      <c r="T1308" s="11">
        <f>(SEGUIMIENTO_TPM_xlsx[[#This Row],[FECHA Y HORA FINAL]]-SEGUIMIENTO_TPM_xlsx[[#This Row],[FECHA Y HORA INICIO]])</f>
        <v>0</v>
      </c>
    </row>
    <row r="1309" spans="1:20" x14ac:dyDescent="0.25">
      <c r="A1309" t="s">
        <v>1794</v>
      </c>
      <c r="C1309" s="1"/>
      <c r="D1309" s="2"/>
      <c r="H1309" s="1"/>
      <c r="I1309" s="1"/>
      <c r="J1309" s="2"/>
      <c r="Q1309" s="1">
        <f>SEGUIMIENTO_TPM_xlsx[[#This Row],[HORA FIN  INTERVENCIÓN]]-SEGUIMIENTO_TPM_xlsx[[#This Row],[HORA INICIO INTERVENCIÓN]]</f>
        <v>0</v>
      </c>
      <c r="R1309" s="20">
        <f>(SEGUIMIENTO_TPM_xlsx[[#This Row],[HORA REPORTE]]+SEGUIMIENTO_TPM_xlsx[[#This Row],[FECHA DE REPORTE]])</f>
        <v>0</v>
      </c>
      <c r="S1309" s="20">
        <f>(SEGUIMIENTO_TPM_xlsx[[#This Row],[FECHA DE INTERVENCÓN]]+SEGUIMIENTO_TPM_xlsx[[#This Row],[HORA FIN  INTERVENCIÓN]])</f>
        <v>0</v>
      </c>
      <c r="T1309" s="11">
        <f>(SEGUIMIENTO_TPM_xlsx[[#This Row],[FECHA Y HORA FINAL]]-SEGUIMIENTO_TPM_xlsx[[#This Row],[FECHA Y HORA INICIO]])</f>
        <v>0</v>
      </c>
    </row>
    <row r="1310" spans="1:20" x14ac:dyDescent="0.25">
      <c r="A1310" t="s">
        <v>1795</v>
      </c>
      <c r="C1310" s="1"/>
      <c r="D1310" s="2"/>
      <c r="H1310" s="1"/>
      <c r="I1310" s="1"/>
      <c r="J1310" s="2"/>
      <c r="Q1310" s="1">
        <f>SEGUIMIENTO_TPM_xlsx[[#This Row],[HORA FIN  INTERVENCIÓN]]-SEGUIMIENTO_TPM_xlsx[[#This Row],[HORA INICIO INTERVENCIÓN]]</f>
        <v>0</v>
      </c>
      <c r="R1310" s="20">
        <f>(SEGUIMIENTO_TPM_xlsx[[#This Row],[HORA REPORTE]]+SEGUIMIENTO_TPM_xlsx[[#This Row],[FECHA DE REPORTE]])</f>
        <v>0</v>
      </c>
      <c r="S1310" s="20">
        <f>(SEGUIMIENTO_TPM_xlsx[[#This Row],[FECHA DE INTERVENCÓN]]+SEGUIMIENTO_TPM_xlsx[[#This Row],[HORA FIN  INTERVENCIÓN]])</f>
        <v>0</v>
      </c>
      <c r="T1310" s="11">
        <f>(SEGUIMIENTO_TPM_xlsx[[#This Row],[FECHA Y HORA FINAL]]-SEGUIMIENTO_TPM_xlsx[[#This Row],[FECHA Y HORA INICIO]])</f>
        <v>0</v>
      </c>
    </row>
    <row r="1311" spans="1:20" x14ac:dyDescent="0.25">
      <c r="A1311" t="s">
        <v>1796</v>
      </c>
      <c r="C1311" s="1"/>
      <c r="D1311" s="2"/>
      <c r="H1311" s="1"/>
      <c r="I1311" s="1"/>
      <c r="J1311" s="2"/>
      <c r="Q1311" s="1">
        <f>SEGUIMIENTO_TPM_xlsx[[#This Row],[HORA FIN  INTERVENCIÓN]]-SEGUIMIENTO_TPM_xlsx[[#This Row],[HORA INICIO INTERVENCIÓN]]</f>
        <v>0</v>
      </c>
      <c r="R1311" s="20">
        <f>(SEGUIMIENTO_TPM_xlsx[[#This Row],[HORA REPORTE]]+SEGUIMIENTO_TPM_xlsx[[#This Row],[FECHA DE REPORTE]])</f>
        <v>0</v>
      </c>
      <c r="S1311" s="20">
        <f>(SEGUIMIENTO_TPM_xlsx[[#This Row],[FECHA DE INTERVENCÓN]]+SEGUIMIENTO_TPM_xlsx[[#This Row],[HORA FIN  INTERVENCIÓN]])</f>
        <v>0</v>
      </c>
      <c r="T1311" s="11">
        <f>(SEGUIMIENTO_TPM_xlsx[[#This Row],[FECHA Y HORA FINAL]]-SEGUIMIENTO_TPM_xlsx[[#This Row],[FECHA Y HORA INICIO]])</f>
        <v>0</v>
      </c>
    </row>
    <row r="1312" spans="1:20" x14ac:dyDescent="0.25">
      <c r="A1312" t="s">
        <v>1797</v>
      </c>
      <c r="C1312" s="1"/>
      <c r="D1312" s="2"/>
      <c r="H1312" s="1"/>
      <c r="I1312" s="1"/>
      <c r="J1312" s="2"/>
      <c r="Q1312" s="1">
        <f>SEGUIMIENTO_TPM_xlsx[[#This Row],[HORA FIN  INTERVENCIÓN]]-SEGUIMIENTO_TPM_xlsx[[#This Row],[HORA INICIO INTERVENCIÓN]]</f>
        <v>0</v>
      </c>
      <c r="R1312" s="20">
        <f>(SEGUIMIENTO_TPM_xlsx[[#This Row],[HORA REPORTE]]+SEGUIMIENTO_TPM_xlsx[[#This Row],[FECHA DE REPORTE]])</f>
        <v>0</v>
      </c>
      <c r="S1312" s="20">
        <f>(SEGUIMIENTO_TPM_xlsx[[#This Row],[FECHA DE INTERVENCÓN]]+SEGUIMIENTO_TPM_xlsx[[#This Row],[HORA FIN  INTERVENCIÓN]])</f>
        <v>0</v>
      </c>
      <c r="T1312" s="11">
        <f>(SEGUIMIENTO_TPM_xlsx[[#This Row],[FECHA Y HORA FINAL]]-SEGUIMIENTO_TPM_xlsx[[#This Row],[FECHA Y HORA INICIO]])</f>
        <v>0</v>
      </c>
    </row>
    <row r="1313" spans="1:20" x14ac:dyDescent="0.25">
      <c r="A1313" t="s">
        <v>1798</v>
      </c>
      <c r="C1313" s="1"/>
      <c r="D1313" s="2"/>
      <c r="H1313" s="1"/>
      <c r="I1313" s="1"/>
      <c r="J1313" s="2"/>
      <c r="Q1313" s="1">
        <f>SEGUIMIENTO_TPM_xlsx[[#This Row],[HORA FIN  INTERVENCIÓN]]-SEGUIMIENTO_TPM_xlsx[[#This Row],[HORA INICIO INTERVENCIÓN]]</f>
        <v>0</v>
      </c>
      <c r="R1313" s="20">
        <f>(SEGUIMIENTO_TPM_xlsx[[#This Row],[HORA REPORTE]]+SEGUIMIENTO_TPM_xlsx[[#This Row],[FECHA DE REPORTE]])</f>
        <v>0</v>
      </c>
      <c r="S1313" s="20">
        <f>(SEGUIMIENTO_TPM_xlsx[[#This Row],[FECHA DE INTERVENCÓN]]+SEGUIMIENTO_TPM_xlsx[[#This Row],[HORA FIN  INTERVENCIÓN]])</f>
        <v>0</v>
      </c>
      <c r="T1313" s="11">
        <f>(SEGUIMIENTO_TPM_xlsx[[#This Row],[FECHA Y HORA FINAL]]-SEGUIMIENTO_TPM_xlsx[[#This Row],[FECHA Y HORA INICIO]])</f>
        <v>0</v>
      </c>
    </row>
    <row r="1314" spans="1:20" x14ac:dyDescent="0.25">
      <c r="A1314" t="s">
        <v>1799</v>
      </c>
      <c r="B1314" t="s">
        <v>93</v>
      </c>
      <c r="C1314" s="1">
        <v>0.39583333333333331</v>
      </c>
      <c r="D1314" s="2">
        <v>46111</v>
      </c>
      <c r="E1314" t="s">
        <v>116</v>
      </c>
      <c r="F1314" t="s">
        <v>18</v>
      </c>
      <c r="G1314" t="s">
        <v>1908</v>
      </c>
      <c r="H1314" s="1">
        <v>0.39583333333333331</v>
      </c>
      <c r="I1314" s="1">
        <v>0.41666666666666669</v>
      </c>
      <c r="J1314" s="2">
        <v>46111</v>
      </c>
      <c r="K1314" t="s">
        <v>25</v>
      </c>
      <c r="L1314" t="s">
        <v>1909</v>
      </c>
      <c r="M1314" t="s">
        <v>1910</v>
      </c>
      <c r="N1314" t="s">
        <v>22</v>
      </c>
      <c r="O1314" t="s">
        <v>112</v>
      </c>
      <c r="P1314" t="s">
        <v>23</v>
      </c>
      <c r="Q1314" s="1">
        <f>SEGUIMIENTO_TPM_xlsx[[#This Row],[HORA FIN  INTERVENCIÓN]]-SEGUIMIENTO_TPM_xlsx[[#This Row],[HORA INICIO INTERVENCIÓN]]</f>
        <v>2.083333333333337E-2</v>
      </c>
      <c r="R1314" s="20">
        <f>(SEGUIMIENTO_TPM_xlsx[[#This Row],[HORA REPORTE]]+SEGUIMIENTO_TPM_xlsx[[#This Row],[FECHA DE REPORTE]])</f>
        <v>46111.395833333336</v>
      </c>
      <c r="S1314" s="20">
        <f>(SEGUIMIENTO_TPM_xlsx[[#This Row],[FECHA DE INTERVENCÓN]]+SEGUIMIENTO_TPM_xlsx[[#This Row],[HORA FIN  INTERVENCIÓN]])</f>
        <v>46111.416666666664</v>
      </c>
      <c r="T1314" s="11">
        <f>(SEGUIMIENTO_TPM_xlsx[[#This Row],[FECHA Y HORA FINAL]]-SEGUIMIENTO_TPM_xlsx[[#This Row],[FECHA Y HORA INICIO]])</f>
        <v>2.0833333328482695E-2</v>
      </c>
    </row>
    <row r="1315" spans="1:20" x14ac:dyDescent="0.25">
      <c r="A1315" t="s">
        <v>1800</v>
      </c>
      <c r="C1315" s="1"/>
      <c r="D1315" s="2"/>
      <c r="H1315" s="1"/>
      <c r="I1315" s="1"/>
      <c r="J1315" s="2"/>
      <c r="Q1315" s="1">
        <f>SEGUIMIENTO_TPM_xlsx[[#This Row],[HORA FIN  INTERVENCIÓN]]-SEGUIMIENTO_TPM_xlsx[[#This Row],[HORA INICIO INTERVENCIÓN]]</f>
        <v>0</v>
      </c>
      <c r="R1315" s="20">
        <f>(SEGUIMIENTO_TPM_xlsx[[#This Row],[HORA REPORTE]]+SEGUIMIENTO_TPM_xlsx[[#This Row],[FECHA DE REPORTE]])</f>
        <v>0</v>
      </c>
      <c r="S1315" s="20">
        <f>(SEGUIMIENTO_TPM_xlsx[[#This Row],[FECHA DE INTERVENCÓN]]+SEGUIMIENTO_TPM_xlsx[[#This Row],[HORA FIN  INTERVENCIÓN]])</f>
        <v>0</v>
      </c>
      <c r="T1315" s="11">
        <f>(SEGUIMIENTO_TPM_xlsx[[#This Row],[FECHA Y HORA FINAL]]-SEGUIMIENTO_TPM_xlsx[[#This Row],[FECHA Y HORA INICIO]])</f>
        <v>0</v>
      </c>
    </row>
    <row r="1316" spans="1:20" x14ac:dyDescent="0.25">
      <c r="A1316" t="s">
        <v>1801</v>
      </c>
      <c r="C1316" s="1"/>
      <c r="D1316" s="2"/>
      <c r="H1316" s="1"/>
      <c r="I1316" s="1"/>
      <c r="J1316" s="2"/>
      <c r="Q1316" s="1">
        <f>SEGUIMIENTO_TPM_xlsx[[#This Row],[HORA FIN  INTERVENCIÓN]]-SEGUIMIENTO_TPM_xlsx[[#This Row],[HORA INICIO INTERVENCIÓN]]</f>
        <v>0</v>
      </c>
      <c r="R1316" s="20">
        <f>(SEGUIMIENTO_TPM_xlsx[[#This Row],[HORA REPORTE]]+SEGUIMIENTO_TPM_xlsx[[#This Row],[FECHA DE REPORTE]])</f>
        <v>0</v>
      </c>
      <c r="S1316" s="20">
        <f>(SEGUIMIENTO_TPM_xlsx[[#This Row],[FECHA DE INTERVENCÓN]]+SEGUIMIENTO_TPM_xlsx[[#This Row],[HORA FIN  INTERVENCIÓN]])</f>
        <v>0</v>
      </c>
      <c r="T1316" s="11">
        <f>(SEGUIMIENTO_TPM_xlsx[[#This Row],[FECHA Y HORA FINAL]]-SEGUIMIENTO_TPM_xlsx[[#This Row],[FECHA Y HORA INICIO]])</f>
        <v>0</v>
      </c>
    </row>
    <row r="1317" spans="1:20" x14ac:dyDescent="0.25">
      <c r="A1317" t="s">
        <v>1802</v>
      </c>
      <c r="B1317" t="s">
        <v>103</v>
      </c>
      <c r="C1317" s="1">
        <v>0.49305555555555558</v>
      </c>
      <c r="D1317" s="2">
        <v>46122</v>
      </c>
      <c r="E1317" t="s">
        <v>188</v>
      </c>
      <c r="F1317" t="s">
        <v>18</v>
      </c>
      <c r="G1317" t="s">
        <v>1803</v>
      </c>
      <c r="H1317" s="1">
        <v>0.49652777777777779</v>
      </c>
      <c r="I1317" s="1">
        <v>0.50694444444444442</v>
      </c>
      <c r="J1317" s="2">
        <v>46122</v>
      </c>
      <c r="K1317" t="s">
        <v>20</v>
      </c>
      <c r="L1317" t="s">
        <v>1804</v>
      </c>
      <c r="M1317" t="s">
        <v>1805</v>
      </c>
      <c r="N1317" t="s">
        <v>22</v>
      </c>
      <c r="O1317" t="s">
        <v>661</v>
      </c>
      <c r="P1317" t="s">
        <v>23</v>
      </c>
      <c r="Q1317" s="1">
        <f>SEGUIMIENTO_TPM_xlsx[[#This Row],[HORA FIN  INTERVENCIÓN]]-SEGUIMIENTO_TPM_xlsx[[#This Row],[HORA INICIO INTERVENCIÓN]]</f>
        <v>1.041666666666663E-2</v>
      </c>
      <c r="R1317" s="20">
        <f>(SEGUIMIENTO_TPM_xlsx[[#This Row],[HORA REPORTE]]+SEGUIMIENTO_TPM_xlsx[[#This Row],[FECHA DE REPORTE]])</f>
        <v>46122.493055555555</v>
      </c>
      <c r="S1317" s="20">
        <f>(SEGUIMIENTO_TPM_xlsx[[#This Row],[FECHA DE INTERVENCÓN]]+SEGUIMIENTO_TPM_xlsx[[#This Row],[HORA FIN  INTERVENCIÓN]])</f>
        <v>46122.506944444445</v>
      </c>
      <c r="T1317" s="11">
        <f>(SEGUIMIENTO_TPM_xlsx[[#This Row],[FECHA Y HORA FINAL]]-SEGUIMIENTO_TPM_xlsx[[#This Row],[FECHA Y HORA INICIO]])</f>
        <v>1.3888888890505768E-2</v>
      </c>
    </row>
    <row r="1318" spans="1:20" x14ac:dyDescent="0.25">
      <c r="A1318" t="s">
        <v>1806</v>
      </c>
      <c r="B1318" t="s">
        <v>199</v>
      </c>
      <c r="C1318" s="1">
        <v>0.26041666666666669</v>
      </c>
      <c r="D1318" s="2">
        <v>46122</v>
      </c>
      <c r="E1318" t="s">
        <v>91</v>
      </c>
      <c r="F1318" t="s">
        <v>18</v>
      </c>
      <c r="G1318" t="s">
        <v>1911</v>
      </c>
      <c r="H1318" s="1">
        <v>0.27083333333333331</v>
      </c>
      <c r="I1318" s="1">
        <v>0.28125</v>
      </c>
      <c r="J1318" s="2">
        <v>46122</v>
      </c>
      <c r="K1318" t="s">
        <v>20</v>
      </c>
      <c r="L1318" t="s">
        <v>1912</v>
      </c>
      <c r="M1318" t="s">
        <v>22</v>
      </c>
      <c r="N1318" t="s">
        <v>22</v>
      </c>
      <c r="O1318" t="s">
        <v>661</v>
      </c>
      <c r="P1318" t="s">
        <v>23</v>
      </c>
      <c r="Q1318" s="1">
        <f>SEGUIMIENTO_TPM_xlsx[[#This Row],[HORA FIN  INTERVENCIÓN]]-SEGUIMIENTO_TPM_xlsx[[#This Row],[HORA INICIO INTERVENCIÓN]]</f>
        <v>1.0416666666666685E-2</v>
      </c>
      <c r="R1318" s="20">
        <f>(SEGUIMIENTO_TPM_xlsx[[#This Row],[HORA REPORTE]]+SEGUIMIENTO_TPM_xlsx[[#This Row],[FECHA DE REPORTE]])</f>
        <v>46122.260416666664</v>
      </c>
      <c r="S1318" s="20">
        <f>(SEGUIMIENTO_TPM_xlsx[[#This Row],[FECHA DE INTERVENCÓN]]+SEGUIMIENTO_TPM_xlsx[[#This Row],[HORA FIN  INTERVENCIÓN]])</f>
        <v>46122.28125</v>
      </c>
      <c r="T1318" s="11">
        <f>(SEGUIMIENTO_TPM_xlsx[[#This Row],[FECHA Y HORA FINAL]]-SEGUIMIENTO_TPM_xlsx[[#This Row],[FECHA Y HORA INICIO]])</f>
        <v>2.0833333335758653E-2</v>
      </c>
    </row>
    <row r="1319" spans="1:20" x14ac:dyDescent="0.25">
      <c r="A1319" t="s">
        <v>1807</v>
      </c>
      <c r="C1319" s="1"/>
      <c r="D1319" s="2"/>
      <c r="H1319" s="1"/>
      <c r="I1319" s="1"/>
      <c r="J1319" s="2"/>
      <c r="Q1319" s="1">
        <f>SEGUIMIENTO_TPM_xlsx[[#This Row],[HORA FIN  INTERVENCIÓN]]-SEGUIMIENTO_TPM_xlsx[[#This Row],[HORA INICIO INTERVENCIÓN]]</f>
        <v>0</v>
      </c>
      <c r="R1319" s="20">
        <f>(SEGUIMIENTO_TPM_xlsx[[#This Row],[HORA REPORTE]]+SEGUIMIENTO_TPM_xlsx[[#This Row],[FECHA DE REPORTE]])</f>
        <v>0</v>
      </c>
      <c r="S1319" s="20">
        <f>(SEGUIMIENTO_TPM_xlsx[[#This Row],[FECHA DE INTERVENCÓN]]+SEGUIMIENTO_TPM_xlsx[[#This Row],[HORA FIN  INTERVENCIÓN]])</f>
        <v>0</v>
      </c>
      <c r="T1319" s="11">
        <f>(SEGUIMIENTO_TPM_xlsx[[#This Row],[FECHA Y HORA FINAL]]-SEGUIMIENTO_TPM_xlsx[[#This Row],[FECHA Y HORA INICIO]])</f>
        <v>0</v>
      </c>
    </row>
    <row r="1320" spans="1:20" x14ac:dyDescent="0.25">
      <c r="A1320" t="s">
        <v>1808</v>
      </c>
      <c r="B1320" t="s">
        <v>661</v>
      </c>
      <c r="C1320" s="1">
        <v>0.68402777777777779</v>
      </c>
      <c r="D1320" s="2">
        <v>46111</v>
      </c>
      <c r="E1320" t="s">
        <v>147</v>
      </c>
      <c r="F1320" t="s">
        <v>18</v>
      </c>
      <c r="G1320" t="s">
        <v>1913</v>
      </c>
      <c r="H1320" s="1"/>
      <c r="I1320" s="1"/>
      <c r="J1320" s="2"/>
      <c r="L1320" t="s">
        <v>1914</v>
      </c>
      <c r="P1320" t="s">
        <v>33</v>
      </c>
      <c r="Q1320" s="1">
        <f>SEGUIMIENTO_TPM_xlsx[[#This Row],[HORA FIN  INTERVENCIÓN]]-SEGUIMIENTO_TPM_xlsx[[#This Row],[HORA INICIO INTERVENCIÓN]]</f>
        <v>0</v>
      </c>
      <c r="R1320" s="20">
        <f>(SEGUIMIENTO_TPM_xlsx[[#This Row],[HORA REPORTE]]+SEGUIMIENTO_TPM_xlsx[[#This Row],[FECHA DE REPORTE]])</f>
        <v>46111.684027777781</v>
      </c>
      <c r="S1320" s="20">
        <f>(SEGUIMIENTO_TPM_xlsx[[#This Row],[FECHA DE INTERVENCÓN]]+SEGUIMIENTO_TPM_xlsx[[#This Row],[HORA FIN  INTERVENCIÓN]])</f>
        <v>0</v>
      </c>
      <c r="T1320" s="11">
        <f>(SEGUIMIENTO_TPM_xlsx[[#This Row],[FECHA Y HORA FINAL]]-SEGUIMIENTO_TPM_xlsx[[#This Row],[FECHA Y HORA INICIO]])</f>
        <v>-46111.684027777781</v>
      </c>
    </row>
    <row r="1321" spans="1:20" x14ac:dyDescent="0.25">
      <c r="A1321" t="s">
        <v>1809</v>
      </c>
      <c r="C1321" s="1"/>
      <c r="D1321" s="2"/>
      <c r="H1321" s="1"/>
      <c r="I1321" s="1"/>
      <c r="J1321" s="2"/>
      <c r="Q1321" s="1">
        <f>SEGUIMIENTO_TPM_xlsx[[#This Row],[HORA FIN  INTERVENCIÓN]]-SEGUIMIENTO_TPM_xlsx[[#This Row],[HORA INICIO INTERVENCIÓN]]</f>
        <v>0</v>
      </c>
      <c r="R1321" s="20">
        <f>(SEGUIMIENTO_TPM_xlsx[[#This Row],[HORA REPORTE]]+SEGUIMIENTO_TPM_xlsx[[#This Row],[FECHA DE REPORTE]])</f>
        <v>0</v>
      </c>
      <c r="S1321" s="20">
        <f>(SEGUIMIENTO_TPM_xlsx[[#This Row],[FECHA DE INTERVENCÓN]]+SEGUIMIENTO_TPM_xlsx[[#This Row],[HORA FIN  INTERVENCIÓN]])</f>
        <v>0</v>
      </c>
      <c r="T1321" s="11">
        <f>(SEGUIMIENTO_TPM_xlsx[[#This Row],[FECHA Y HORA FINAL]]-SEGUIMIENTO_TPM_xlsx[[#This Row],[FECHA Y HORA INICIO]])</f>
        <v>0</v>
      </c>
    </row>
    <row r="1322" spans="1:20" x14ac:dyDescent="0.25">
      <c r="A1322" t="s">
        <v>1810</v>
      </c>
      <c r="C1322" s="1"/>
      <c r="D1322" s="2"/>
      <c r="H1322" s="1"/>
      <c r="I1322" s="1"/>
      <c r="J1322" s="2"/>
      <c r="Q1322" s="1">
        <f>SEGUIMIENTO_TPM_xlsx[[#This Row],[HORA FIN  INTERVENCIÓN]]-SEGUIMIENTO_TPM_xlsx[[#This Row],[HORA INICIO INTERVENCIÓN]]</f>
        <v>0</v>
      </c>
      <c r="R1322" s="20">
        <f>(SEGUIMIENTO_TPM_xlsx[[#This Row],[HORA REPORTE]]+SEGUIMIENTO_TPM_xlsx[[#This Row],[FECHA DE REPORTE]])</f>
        <v>0</v>
      </c>
      <c r="S1322" s="20">
        <f>(SEGUIMIENTO_TPM_xlsx[[#This Row],[FECHA DE INTERVENCÓN]]+SEGUIMIENTO_TPM_xlsx[[#This Row],[HORA FIN  INTERVENCIÓN]])</f>
        <v>0</v>
      </c>
      <c r="T1322" s="11">
        <f>(SEGUIMIENTO_TPM_xlsx[[#This Row],[FECHA Y HORA FINAL]]-SEGUIMIENTO_TPM_xlsx[[#This Row],[FECHA Y HORA INICIO]])</f>
        <v>0</v>
      </c>
    </row>
    <row r="1323" spans="1:20" x14ac:dyDescent="0.25">
      <c r="A1323" t="s">
        <v>1811</v>
      </c>
      <c r="C1323" s="1"/>
      <c r="D1323" s="2"/>
      <c r="H1323" s="1"/>
      <c r="I1323" s="1"/>
      <c r="J1323" s="2"/>
      <c r="Q1323" s="1">
        <f>SEGUIMIENTO_TPM_xlsx[[#This Row],[HORA FIN  INTERVENCIÓN]]-SEGUIMIENTO_TPM_xlsx[[#This Row],[HORA INICIO INTERVENCIÓN]]</f>
        <v>0</v>
      </c>
      <c r="R1323" s="20">
        <f>(SEGUIMIENTO_TPM_xlsx[[#This Row],[HORA REPORTE]]+SEGUIMIENTO_TPM_xlsx[[#This Row],[FECHA DE REPORTE]])</f>
        <v>0</v>
      </c>
      <c r="S1323" s="20">
        <f>(SEGUIMIENTO_TPM_xlsx[[#This Row],[FECHA DE INTERVENCÓN]]+SEGUIMIENTO_TPM_xlsx[[#This Row],[HORA FIN  INTERVENCIÓN]])</f>
        <v>0</v>
      </c>
      <c r="T1323" s="11">
        <f>(SEGUIMIENTO_TPM_xlsx[[#This Row],[FECHA Y HORA FINAL]]-SEGUIMIENTO_TPM_xlsx[[#This Row],[FECHA Y HORA INICIO]])</f>
        <v>0</v>
      </c>
    </row>
    <row r="1324" spans="1:20" x14ac:dyDescent="0.25">
      <c r="A1324" t="s">
        <v>1812</v>
      </c>
      <c r="C1324" s="1"/>
      <c r="D1324" s="2"/>
      <c r="H1324" s="1"/>
      <c r="I1324" s="1"/>
      <c r="J1324" s="2"/>
      <c r="Q1324" s="1">
        <f>SEGUIMIENTO_TPM_xlsx[[#This Row],[HORA FIN  INTERVENCIÓN]]-SEGUIMIENTO_TPM_xlsx[[#This Row],[HORA INICIO INTERVENCIÓN]]</f>
        <v>0</v>
      </c>
      <c r="R1324" s="20">
        <f>(SEGUIMIENTO_TPM_xlsx[[#This Row],[HORA REPORTE]]+SEGUIMIENTO_TPM_xlsx[[#This Row],[FECHA DE REPORTE]])</f>
        <v>0</v>
      </c>
      <c r="S1324" s="20">
        <f>(SEGUIMIENTO_TPM_xlsx[[#This Row],[FECHA DE INTERVENCÓN]]+SEGUIMIENTO_TPM_xlsx[[#This Row],[HORA FIN  INTERVENCIÓN]])</f>
        <v>0</v>
      </c>
      <c r="T1324" s="11">
        <f>(SEGUIMIENTO_TPM_xlsx[[#This Row],[FECHA Y HORA FINAL]]-SEGUIMIENTO_TPM_xlsx[[#This Row],[FECHA Y HORA INICIO]])</f>
        <v>0</v>
      </c>
    </row>
    <row r="1325" spans="1:20" x14ac:dyDescent="0.25">
      <c r="A1325" t="s">
        <v>1813</v>
      </c>
      <c r="C1325" s="1"/>
      <c r="D1325" s="2"/>
      <c r="H1325" s="1"/>
      <c r="I1325" s="1"/>
      <c r="J1325" s="2"/>
      <c r="Q1325" s="1">
        <f>SEGUIMIENTO_TPM_xlsx[[#This Row],[HORA FIN  INTERVENCIÓN]]-SEGUIMIENTO_TPM_xlsx[[#This Row],[HORA INICIO INTERVENCIÓN]]</f>
        <v>0</v>
      </c>
      <c r="R1325" s="20">
        <f>(SEGUIMIENTO_TPM_xlsx[[#This Row],[HORA REPORTE]]+SEGUIMIENTO_TPM_xlsx[[#This Row],[FECHA DE REPORTE]])</f>
        <v>0</v>
      </c>
      <c r="S1325" s="20">
        <f>(SEGUIMIENTO_TPM_xlsx[[#This Row],[FECHA DE INTERVENCÓN]]+SEGUIMIENTO_TPM_xlsx[[#This Row],[HORA FIN  INTERVENCIÓN]])</f>
        <v>0</v>
      </c>
      <c r="T1325" s="11">
        <f>(SEGUIMIENTO_TPM_xlsx[[#This Row],[FECHA Y HORA FINAL]]-SEGUIMIENTO_TPM_xlsx[[#This Row],[FECHA Y HORA INICIO]])</f>
        <v>0</v>
      </c>
    </row>
    <row r="1326" spans="1:20" x14ac:dyDescent="0.25">
      <c r="A1326" t="s">
        <v>1814</v>
      </c>
      <c r="C1326" s="1"/>
      <c r="D1326" s="2"/>
      <c r="H1326" s="1"/>
      <c r="I1326" s="1"/>
      <c r="J1326" s="2"/>
      <c r="Q1326" s="1">
        <f>SEGUIMIENTO_TPM_xlsx[[#This Row],[HORA FIN  INTERVENCIÓN]]-SEGUIMIENTO_TPM_xlsx[[#This Row],[HORA INICIO INTERVENCIÓN]]</f>
        <v>0</v>
      </c>
      <c r="R1326" s="20">
        <f>(SEGUIMIENTO_TPM_xlsx[[#This Row],[HORA REPORTE]]+SEGUIMIENTO_TPM_xlsx[[#This Row],[FECHA DE REPORTE]])</f>
        <v>0</v>
      </c>
      <c r="S1326" s="20">
        <f>(SEGUIMIENTO_TPM_xlsx[[#This Row],[FECHA DE INTERVENCÓN]]+SEGUIMIENTO_TPM_xlsx[[#This Row],[HORA FIN  INTERVENCIÓN]])</f>
        <v>0</v>
      </c>
      <c r="T1326" s="11">
        <f>(SEGUIMIENTO_TPM_xlsx[[#This Row],[FECHA Y HORA FINAL]]-SEGUIMIENTO_TPM_xlsx[[#This Row],[FECHA Y HORA INICIO]])</f>
        <v>0</v>
      </c>
    </row>
    <row r="1327" spans="1:20" x14ac:dyDescent="0.25">
      <c r="A1327" t="s">
        <v>1815</v>
      </c>
      <c r="B1327" t="s">
        <v>1515</v>
      </c>
      <c r="C1327" s="1">
        <v>0.77777777777777779</v>
      </c>
      <c r="D1327" s="2">
        <v>46120</v>
      </c>
      <c r="E1327" t="s">
        <v>143</v>
      </c>
      <c r="F1327" t="s">
        <v>18</v>
      </c>
      <c r="G1327" t="s">
        <v>1915</v>
      </c>
      <c r="H1327" s="1">
        <v>0.77777777777777779</v>
      </c>
      <c r="I1327" s="1">
        <v>4.1666666666666664E-2</v>
      </c>
      <c r="J1327" s="2">
        <v>46121</v>
      </c>
      <c r="K1327" t="s">
        <v>25</v>
      </c>
      <c r="L1327" t="s">
        <v>1916</v>
      </c>
      <c r="M1327" t="s">
        <v>1917</v>
      </c>
      <c r="N1327" t="s">
        <v>22</v>
      </c>
      <c r="O1327" t="s">
        <v>112</v>
      </c>
      <c r="P1327" t="s">
        <v>23</v>
      </c>
      <c r="Q1327" s="1">
        <f>SEGUIMIENTO_TPM_xlsx[[#This Row],[HORA FIN  INTERVENCIÓN]]-SEGUIMIENTO_TPM_xlsx[[#This Row],[HORA INICIO INTERVENCIÓN]]</f>
        <v>-0.73611111111111116</v>
      </c>
      <c r="R1327" s="20">
        <f>(SEGUIMIENTO_TPM_xlsx[[#This Row],[HORA REPORTE]]+SEGUIMIENTO_TPM_xlsx[[#This Row],[FECHA DE REPORTE]])</f>
        <v>46120.777777777781</v>
      </c>
      <c r="S1327" s="20">
        <f>(SEGUIMIENTO_TPM_xlsx[[#This Row],[FECHA DE INTERVENCÓN]]+SEGUIMIENTO_TPM_xlsx[[#This Row],[HORA FIN  INTERVENCIÓN]])</f>
        <v>46121.041666666664</v>
      </c>
      <c r="T1327" s="11">
        <f>(SEGUIMIENTO_TPM_xlsx[[#This Row],[FECHA Y HORA FINAL]]-SEGUIMIENTO_TPM_xlsx[[#This Row],[FECHA Y HORA INICIO]])</f>
        <v>0.26388888888322981</v>
      </c>
    </row>
    <row r="1328" spans="1:20" x14ac:dyDescent="0.25">
      <c r="A1328" t="s">
        <v>1816</v>
      </c>
      <c r="B1328" t="s">
        <v>206</v>
      </c>
      <c r="C1328" s="1">
        <v>0.14305555555555555</v>
      </c>
      <c r="D1328" s="2">
        <v>46113</v>
      </c>
      <c r="E1328" t="s">
        <v>116</v>
      </c>
      <c r="F1328" t="s">
        <v>18</v>
      </c>
      <c r="G1328" t="s">
        <v>1918</v>
      </c>
      <c r="H1328" s="1">
        <v>0.14374999999999999</v>
      </c>
      <c r="I1328" s="1">
        <v>0.16666666666666666</v>
      </c>
      <c r="J1328" s="2">
        <v>46113</v>
      </c>
      <c r="K1328" t="s">
        <v>20</v>
      </c>
      <c r="L1328" t="s">
        <v>1919</v>
      </c>
      <c r="M1328" t="s">
        <v>22</v>
      </c>
      <c r="N1328" t="s">
        <v>22</v>
      </c>
      <c r="O1328" t="s">
        <v>661</v>
      </c>
      <c r="P1328" t="s">
        <v>23</v>
      </c>
      <c r="Q1328" s="1">
        <f>SEGUIMIENTO_TPM_xlsx[[#This Row],[HORA FIN  INTERVENCIÓN]]-SEGUIMIENTO_TPM_xlsx[[#This Row],[HORA INICIO INTERVENCIÓN]]</f>
        <v>2.2916666666666669E-2</v>
      </c>
      <c r="R1328" s="20">
        <f>(SEGUIMIENTO_TPM_xlsx[[#This Row],[HORA REPORTE]]+SEGUIMIENTO_TPM_xlsx[[#This Row],[FECHA DE REPORTE]])</f>
        <v>46113.143055555556</v>
      </c>
      <c r="S1328" s="20">
        <f>(SEGUIMIENTO_TPM_xlsx[[#This Row],[FECHA DE INTERVENCÓN]]+SEGUIMIENTO_TPM_xlsx[[#This Row],[HORA FIN  INTERVENCIÓN]])</f>
        <v>46113.166666666664</v>
      </c>
      <c r="T1328" s="11">
        <f>(SEGUIMIENTO_TPM_xlsx[[#This Row],[FECHA Y HORA FINAL]]-SEGUIMIENTO_TPM_xlsx[[#This Row],[FECHA Y HORA INICIO]])</f>
        <v>2.361111110803904E-2</v>
      </c>
    </row>
    <row r="1329" spans="1:20" x14ac:dyDescent="0.25">
      <c r="A1329" t="s">
        <v>1817</v>
      </c>
      <c r="B1329" t="s">
        <v>206</v>
      </c>
      <c r="C1329" s="1">
        <v>0.20833333333333334</v>
      </c>
      <c r="D1329" s="2">
        <v>46115</v>
      </c>
      <c r="E1329" t="s">
        <v>185</v>
      </c>
      <c r="F1329" t="s">
        <v>18</v>
      </c>
      <c r="G1329" t="s">
        <v>1920</v>
      </c>
      <c r="H1329" s="1">
        <v>0.20833333333333334</v>
      </c>
      <c r="I1329" s="1">
        <v>0.21875</v>
      </c>
      <c r="J1329" s="2">
        <v>46115</v>
      </c>
      <c r="K1329" t="s">
        <v>48</v>
      </c>
      <c r="L1329" t="s">
        <v>1921</v>
      </c>
      <c r="M1329" t="s">
        <v>1922</v>
      </c>
      <c r="N1329" t="s">
        <v>22</v>
      </c>
      <c r="O1329" t="s">
        <v>108</v>
      </c>
      <c r="P1329" t="s">
        <v>23</v>
      </c>
      <c r="Q1329" s="1">
        <f>SEGUIMIENTO_TPM_xlsx[[#This Row],[HORA FIN  INTERVENCIÓN]]-SEGUIMIENTO_TPM_xlsx[[#This Row],[HORA INICIO INTERVENCIÓN]]</f>
        <v>1.0416666666666657E-2</v>
      </c>
      <c r="R1329" s="20">
        <f>(SEGUIMIENTO_TPM_xlsx[[#This Row],[HORA REPORTE]]+SEGUIMIENTO_TPM_xlsx[[#This Row],[FECHA DE REPORTE]])</f>
        <v>46115.208333333336</v>
      </c>
      <c r="S1329" s="20">
        <f>(SEGUIMIENTO_TPM_xlsx[[#This Row],[FECHA DE INTERVENCÓN]]+SEGUIMIENTO_TPM_xlsx[[#This Row],[HORA FIN  INTERVENCIÓN]])</f>
        <v>46115.21875</v>
      </c>
      <c r="T1329" s="11">
        <f>(SEGUIMIENTO_TPM_xlsx[[#This Row],[FECHA Y HORA FINAL]]-SEGUIMIENTO_TPM_xlsx[[#This Row],[FECHA Y HORA INICIO]])</f>
        <v>1.0416666664241347E-2</v>
      </c>
    </row>
    <row r="1330" spans="1:20" x14ac:dyDescent="0.25">
      <c r="A1330" t="s">
        <v>1818</v>
      </c>
      <c r="C1330" s="1"/>
      <c r="D1330" s="2"/>
      <c r="H1330" s="1"/>
      <c r="I1330" s="1"/>
      <c r="J1330" s="2"/>
      <c r="Q1330" s="1">
        <f>SEGUIMIENTO_TPM_xlsx[[#This Row],[HORA FIN  INTERVENCIÓN]]-SEGUIMIENTO_TPM_xlsx[[#This Row],[HORA INICIO INTERVENCIÓN]]</f>
        <v>0</v>
      </c>
      <c r="R1330" s="20">
        <f>(SEGUIMIENTO_TPM_xlsx[[#This Row],[HORA REPORTE]]+SEGUIMIENTO_TPM_xlsx[[#This Row],[FECHA DE REPORTE]])</f>
        <v>0</v>
      </c>
      <c r="S1330" s="20">
        <f>(SEGUIMIENTO_TPM_xlsx[[#This Row],[FECHA DE INTERVENCÓN]]+SEGUIMIENTO_TPM_xlsx[[#This Row],[HORA FIN  INTERVENCIÓN]])</f>
        <v>0</v>
      </c>
      <c r="T1330" s="11">
        <f>(SEGUIMIENTO_TPM_xlsx[[#This Row],[FECHA Y HORA FINAL]]-SEGUIMIENTO_TPM_xlsx[[#This Row],[FECHA Y HORA INICIO]])</f>
        <v>0</v>
      </c>
    </row>
    <row r="1331" spans="1:20" x14ac:dyDescent="0.25">
      <c r="A1331" t="s">
        <v>1819</v>
      </c>
      <c r="C1331" s="1"/>
      <c r="D1331" s="2"/>
      <c r="H1331" s="1"/>
      <c r="I1331" s="1"/>
      <c r="J1331" s="2"/>
      <c r="Q1331" s="1">
        <f>SEGUIMIENTO_TPM_xlsx[[#This Row],[HORA FIN  INTERVENCIÓN]]-SEGUIMIENTO_TPM_xlsx[[#This Row],[HORA INICIO INTERVENCIÓN]]</f>
        <v>0</v>
      </c>
      <c r="R1331" s="20">
        <f>(SEGUIMIENTO_TPM_xlsx[[#This Row],[HORA REPORTE]]+SEGUIMIENTO_TPM_xlsx[[#This Row],[FECHA DE REPORTE]])</f>
        <v>0</v>
      </c>
      <c r="S1331" s="20">
        <f>(SEGUIMIENTO_TPM_xlsx[[#This Row],[FECHA DE INTERVENCÓN]]+SEGUIMIENTO_TPM_xlsx[[#This Row],[HORA FIN  INTERVENCIÓN]])</f>
        <v>0</v>
      </c>
      <c r="T1331" s="11">
        <f>(SEGUIMIENTO_TPM_xlsx[[#This Row],[FECHA Y HORA FINAL]]-SEGUIMIENTO_TPM_xlsx[[#This Row],[FECHA Y HORA INICIO]])</f>
        <v>0</v>
      </c>
    </row>
    <row r="1332" spans="1:20" x14ac:dyDescent="0.25">
      <c r="A1332" t="s">
        <v>1820</v>
      </c>
      <c r="C1332" s="1"/>
      <c r="D1332" s="2"/>
      <c r="H1332" s="1"/>
      <c r="I1332" s="1"/>
      <c r="J1332" s="2"/>
      <c r="Q1332" s="1">
        <f>SEGUIMIENTO_TPM_xlsx[[#This Row],[HORA FIN  INTERVENCIÓN]]-SEGUIMIENTO_TPM_xlsx[[#This Row],[HORA INICIO INTERVENCIÓN]]</f>
        <v>0</v>
      </c>
      <c r="R1332" s="20">
        <f>(SEGUIMIENTO_TPM_xlsx[[#This Row],[HORA REPORTE]]+SEGUIMIENTO_TPM_xlsx[[#This Row],[FECHA DE REPORTE]])</f>
        <v>0</v>
      </c>
      <c r="S1332" s="20">
        <f>(SEGUIMIENTO_TPM_xlsx[[#This Row],[FECHA DE INTERVENCÓN]]+SEGUIMIENTO_TPM_xlsx[[#This Row],[HORA FIN  INTERVENCIÓN]])</f>
        <v>0</v>
      </c>
      <c r="T1332" s="11">
        <f>(SEGUIMIENTO_TPM_xlsx[[#This Row],[FECHA Y HORA FINAL]]-SEGUIMIENTO_TPM_xlsx[[#This Row],[FECHA Y HORA INICIO]])</f>
        <v>0</v>
      </c>
    </row>
    <row r="1333" spans="1:20" x14ac:dyDescent="0.25">
      <c r="A1333" t="s">
        <v>1821</v>
      </c>
      <c r="C1333" s="1"/>
      <c r="D1333" s="2"/>
      <c r="H1333" s="1"/>
      <c r="I1333" s="1"/>
      <c r="J1333" s="2"/>
      <c r="Q1333" s="1">
        <f>SEGUIMIENTO_TPM_xlsx[[#This Row],[HORA FIN  INTERVENCIÓN]]-SEGUIMIENTO_TPM_xlsx[[#This Row],[HORA INICIO INTERVENCIÓN]]</f>
        <v>0</v>
      </c>
      <c r="R1333" s="20">
        <f>(SEGUIMIENTO_TPM_xlsx[[#This Row],[HORA REPORTE]]+SEGUIMIENTO_TPM_xlsx[[#This Row],[FECHA DE REPORTE]])</f>
        <v>0</v>
      </c>
      <c r="S1333" s="20">
        <f>(SEGUIMIENTO_TPM_xlsx[[#This Row],[FECHA DE INTERVENCÓN]]+SEGUIMIENTO_TPM_xlsx[[#This Row],[HORA FIN  INTERVENCIÓN]])</f>
        <v>0</v>
      </c>
      <c r="T1333" s="11">
        <f>(SEGUIMIENTO_TPM_xlsx[[#This Row],[FECHA Y HORA FINAL]]-SEGUIMIENTO_TPM_xlsx[[#This Row],[FECHA Y HORA INICIO]])</f>
        <v>0</v>
      </c>
    </row>
    <row r="1334" spans="1:20" x14ac:dyDescent="0.25">
      <c r="A1334" t="s">
        <v>1822</v>
      </c>
      <c r="C1334" s="1"/>
      <c r="D1334" s="2"/>
      <c r="H1334" s="1"/>
      <c r="I1334" s="1"/>
      <c r="J1334" s="2"/>
      <c r="Q1334" s="1">
        <f>SEGUIMIENTO_TPM_xlsx[[#This Row],[HORA FIN  INTERVENCIÓN]]-SEGUIMIENTO_TPM_xlsx[[#This Row],[HORA INICIO INTERVENCIÓN]]</f>
        <v>0</v>
      </c>
      <c r="R1334" s="20">
        <f>(SEGUIMIENTO_TPM_xlsx[[#This Row],[HORA REPORTE]]+SEGUIMIENTO_TPM_xlsx[[#This Row],[FECHA DE REPORTE]])</f>
        <v>0</v>
      </c>
      <c r="S1334" s="20">
        <f>(SEGUIMIENTO_TPM_xlsx[[#This Row],[FECHA DE INTERVENCÓN]]+SEGUIMIENTO_TPM_xlsx[[#This Row],[HORA FIN  INTERVENCIÓN]])</f>
        <v>0</v>
      </c>
      <c r="T1334" s="11">
        <f>(SEGUIMIENTO_TPM_xlsx[[#This Row],[FECHA Y HORA FINAL]]-SEGUIMIENTO_TPM_xlsx[[#This Row],[FECHA Y HORA INICIO]])</f>
        <v>0</v>
      </c>
    </row>
    <row r="1335" spans="1:20" x14ac:dyDescent="0.25">
      <c r="A1335" t="s">
        <v>1823</v>
      </c>
      <c r="C1335" s="1"/>
      <c r="D1335" s="2"/>
      <c r="H1335" s="1"/>
      <c r="I1335" s="1"/>
      <c r="J1335" s="2"/>
      <c r="Q1335" s="1">
        <f>SEGUIMIENTO_TPM_xlsx[[#This Row],[HORA FIN  INTERVENCIÓN]]-SEGUIMIENTO_TPM_xlsx[[#This Row],[HORA INICIO INTERVENCIÓN]]</f>
        <v>0</v>
      </c>
      <c r="R1335" s="20">
        <f>(SEGUIMIENTO_TPM_xlsx[[#This Row],[HORA REPORTE]]+SEGUIMIENTO_TPM_xlsx[[#This Row],[FECHA DE REPORTE]])</f>
        <v>0</v>
      </c>
      <c r="S1335" s="20">
        <f>(SEGUIMIENTO_TPM_xlsx[[#This Row],[FECHA DE INTERVENCÓN]]+SEGUIMIENTO_TPM_xlsx[[#This Row],[HORA FIN  INTERVENCIÓN]])</f>
        <v>0</v>
      </c>
      <c r="T1335" s="11">
        <f>(SEGUIMIENTO_TPM_xlsx[[#This Row],[FECHA Y HORA FINAL]]-SEGUIMIENTO_TPM_xlsx[[#This Row],[FECHA Y HORA INICIO]])</f>
        <v>0</v>
      </c>
    </row>
    <row r="1336" spans="1:20" x14ac:dyDescent="0.25">
      <c r="A1336" t="s">
        <v>1824</v>
      </c>
      <c r="C1336" s="1"/>
      <c r="D1336" s="2"/>
      <c r="H1336" s="1"/>
      <c r="I1336" s="1"/>
      <c r="J1336" s="2"/>
      <c r="Q1336" s="1">
        <f>SEGUIMIENTO_TPM_xlsx[[#This Row],[HORA FIN  INTERVENCIÓN]]-SEGUIMIENTO_TPM_xlsx[[#This Row],[HORA INICIO INTERVENCIÓN]]</f>
        <v>0</v>
      </c>
      <c r="R1336" s="20">
        <f>(SEGUIMIENTO_TPM_xlsx[[#This Row],[HORA REPORTE]]+SEGUIMIENTO_TPM_xlsx[[#This Row],[FECHA DE REPORTE]])</f>
        <v>0</v>
      </c>
      <c r="S1336" s="20">
        <f>(SEGUIMIENTO_TPM_xlsx[[#This Row],[FECHA DE INTERVENCÓN]]+SEGUIMIENTO_TPM_xlsx[[#This Row],[HORA FIN  INTERVENCIÓN]])</f>
        <v>0</v>
      </c>
      <c r="T1336" s="11">
        <f>(SEGUIMIENTO_TPM_xlsx[[#This Row],[FECHA Y HORA FINAL]]-SEGUIMIENTO_TPM_xlsx[[#This Row],[FECHA Y HORA INICIO]])</f>
        <v>0</v>
      </c>
    </row>
    <row r="1337" spans="1:20" x14ac:dyDescent="0.25">
      <c r="A1337" t="s">
        <v>1825</v>
      </c>
      <c r="C1337" s="1"/>
      <c r="D1337" s="2"/>
      <c r="H1337" s="1"/>
      <c r="I1337" s="1"/>
      <c r="J1337" s="2"/>
      <c r="Q1337" s="1">
        <f>SEGUIMIENTO_TPM_xlsx[[#This Row],[HORA FIN  INTERVENCIÓN]]-SEGUIMIENTO_TPM_xlsx[[#This Row],[HORA INICIO INTERVENCIÓN]]</f>
        <v>0</v>
      </c>
      <c r="R1337" s="20">
        <f>(SEGUIMIENTO_TPM_xlsx[[#This Row],[HORA REPORTE]]+SEGUIMIENTO_TPM_xlsx[[#This Row],[FECHA DE REPORTE]])</f>
        <v>0</v>
      </c>
      <c r="S1337" s="20">
        <f>(SEGUIMIENTO_TPM_xlsx[[#This Row],[FECHA DE INTERVENCÓN]]+SEGUIMIENTO_TPM_xlsx[[#This Row],[HORA FIN  INTERVENCIÓN]])</f>
        <v>0</v>
      </c>
      <c r="T1337" s="11">
        <f>(SEGUIMIENTO_TPM_xlsx[[#This Row],[FECHA Y HORA FINAL]]-SEGUIMIENTO_TPM_xlsx[[#This Row],[FECHA Y HORA INICIO]])</f>
        <v>0</v>
      </c>
    </row>
    <row r="1338" spans="1:20" x14ac:dyDescent="0.25">
      <c r="A1338" t="s">
        <v>1826</v>
      </c>
      <c r="C1338" s="1"/>
      <c r="D1338" s="2"/>
      <c r="H1338" s="1"/>
      <c r="I1338" s="1"/>
      <c r="J1338" s="2"/>
      <c r="Q1338" s="1">
        <f>SEGUIMIENTO_TPM_xlsx[[#This Row],[HORA FIN  INTERVENCIÓN]]-SEGUIMIENTO_TPM_xlsx[[#This Row],[HORA INICIO INTERVENCIÓN]]</f>
        <v>0</v>
      </c>
      <c r="R1338" s="20">
        <f>(SEGUIMIENTO_TPM_xlsx[[#This Row],[HORA REPORTE]]+SEGUIMIENTO_TPM_xlsx[[#This Row],[FECHA DE REPORTE]])</f>
        <v>0</v>
      </c>
      <c r="S1338" s="20">
        <f>(SEGUIMIENTO_TPM_xlsx[[#This Row],[FECHA DE INTERVENCÓN]]+SEGUIMIENTO_TPM_xlsx[[#This Row],[HORA FIN  INTERVENCIÓN]])</f>
        <v>0</v>
      </c>
      <c r="T1338" s="11">
        <f>(SEGUIMIENTO_TPM_xlsx[[#This Row],[FECHA Y HORA FINAL]]-SEGUIMIENTO_TPM_xlsx[[#This Row],[FECHA Y HORA INICIO]])</f>
        <v>0</v>
      </c>
    </row>
    <row r="1339" spans="1:20" x14ac:dyDescent="0.25">
      <c r="A1339" t="s">
        <v>1827</v>
      </c>
      <c r="B1339" t="s">
        <v>176</v>
      </c>
      <c r="C1339" s="1">
        <v>0.5</v>
      </c>
      <c r="D1339" s="2">
        <v>46115</v>
      </c>
      <c r="E1339" t="s">
        <v>185</v>
      </c>
      <c r="F1339" t="s">
        <v>18</v>
      </c>
      <c r="G1339" t="s">
        <v>2114</v>
      </c>
      <c r="H1339" s="1"/>
      <c r="I1339" s="1"/>
      <c r="J1339" s="2"/>
      <c r="P1339" t="s">
        <v>33</v>
      </c>
      <c r="Q1339" s="1">
        <f>SEGUIMIENTO_TPM_xlsx[[#This Row],[HORA FIN  INTERVENCIÓN]]-SEGUIMIENTO_TPM_xlsx[[#This Row],[HORA INICIO INTERVENCIÓN]]</f>
        <v>0</v>
      </c>
      <c r="R1339" s="20">
        <f>(SEGUIMIENTO_TPM_xlsx[[#This Row],[HORA REPORTE]]+SEGUIMIENTO_TPM_xlsx[[#This Row],[FECHA DE REPORTE]])</f>
        <v>46115.5</v>
      </c>
      <c r="S1339" s="20">
        <f>(SEGUIMIENTO_TPM_xlsx[[#This Row],[FECHA DE INTERVENCÓN]]+SEGUIMIENTO_TPM_xlsx[[#This Row],[HORA FIN  INTERVENCIÓN]])</f>
        <v>0</v>
      </c>
      <c r="T1339" s="11">
        <f>(SEGUIMIENTO_TPM_xlsx[[#This Row],[FECHA Y HORA FINAL]]-SEGUIMIENTO_TPM_xlsx[[#This Row],[FECHA Y HORA INICIO]])</f>
        <v>-46115.5</v>
      </c>
    </row>
    <row r="1340" spans="1:20" x14ac:dyDescent="0.25">
      <c r="A1340" t="s">
        <v>1828</v>
      </c>
      <c r="B1340" t="s">
        <v>176</v>
      </c>
      <c r="C1340" s="1">
        <v>0.38194444444444442</v>
      </c>
      <c r="D1340" s="2">
        <v>46116</v>
      </c>
      <c r="E1340" t="s">
        <v>116</v>
      </c>
      <c r="F1340" t="s">
        <v>18</v>
      </c>
      <c r="G1340" t="s">
        <v>1584</v>
      </c>
      <c r="H1340" s="1">
        <v>0.39791666666666664</v>
      </c>
      <c r="I1340" s="1">
        <v>0.40416666666666667</v>
      </c>
      <c r="J1340" s="2">
        <v>46116</v>
      </c>
      <c r="K1340" t="s">
        <v>25</v>
      </c>
      <c r="L1340" t="s">
        <v>1923</v>
      </c>
      <c r="M1340" t="s">
        <v>22</v>
      </c>
      <c r="N1340" t="s">
        <v>22</v>
      </c>
      <c r="O1340" t="s">
        <v>661</v>
      </c>
      <c r="P1340" t="s">
        <v>23</v>
      </c>
      <c r="Q1340" s="1">
        <f>SEGUIMIENTO_TPM_xlsx[[#This Row],[HORA FIN  INTERVENCIÓN]]-SEGUIMIENTO_TPM_xlsx[[#This Row],[HORA INICIO INTERVENCIÓN]]</f>
        <v>6.2500000000000333E-3</v>
      </c>
      <c r="R1340" s="20">
        <f>(SEGUIMIENTO_TPM_xlsx[[#This Row],[HORA REPORTE]]+SEGUIMIENTO_TPM_xlsx[[#This Row],[FECHA DE REPORTE]])</f>
        <v>46116.381944444445</v>
      </c>
      <c r="S1340" s="20">
        <f>(SEGUIMIENTO_TPM_xlsx[[#This Row],[FECHA DE INTERVENCÓN]]+SEGUIMIENTO_TPM_xlsx[[#This Row],[HORA FIN  INTERVENCIÓN]])</f>
        <v>46116.404166666667</v>
      </c>
      <c r="T1340" s="11">
        <f>(SEGUIMIENTO_TPM_xlsx[[#This Row],[FECHA Y HORA FINAL]]-SEGUIMIENTO_TPM_xlsx[[#This Row],[FECHA Y HORA INICIO]])</f>
        <v>2.2222222221898846E-2</v>
      </c>
    </row>
    <row r="1341" spans="1:20" x14ac:dyDescent="0.25">
      <c r="A1341" t="s">
        <v>1829</v>
      </c>
      <c r="C1341" s="1"/>
      <c r="D1341" s="2"/>
      <c r="H1341" s="1"/>
      <c r="I1341" s="1"/>
      <c r="J1341" s="2"/>
      <c r="Q1341" s="1">
        <f>SEGUIMIENTO_TPM_xlsx[[#This Row],[HORA FIN  INTERVENCIÓN]]-SEGUIMIENTO_TPM_xlsx[[#This Row],[HORA INICIO INTERVENCIÓN]]</f>
        <v>0</v>
      </c>
      <c r="R1341" s="20">
        <f>(SEGUIMIENTO_TPM_xlsx[[#This Row],[HORA REPORTE]]+SEGUIMIENTO_TPM_xlsx[[#This Row],[FECHA DE REPORTE]])</f>
        <v>0</v>
      </c>
      <c r="S1341" s="20">
        <f>(SEGUIMIENTO_TPM_xlsx[[#This Row],[FECHA DE INTERVENCÓN]]+SEGUIMIENTO_TPM_xlsx[[#This Row],[HORA FIN  INTERVENCIÓN]])</f>
        <v>0</v>
      </c>
      <c r="T1341" s="11">
        <f>(SEGUIMIENTO_TPM_xlsx[[#This Row],[FECHA Y HORA FINAL]]-SEGUIMIENTO_TPM_xlsx[[#This Row],[FECHA Y HORA INICIO]])</f>
        <v>0</v>
      </c>
    </row>
    <row r="1342" spans="1:20" x14ac:dyDescent="0.25">
      <c r="A1342" t="s">
        <v>1830</v>
      </c>
      <c r="C1342" s="1"/>
      <c r="D1342" s="2"/>
      <c r="H1342" s="1"/>
      <c r="I1342" s="1"/>
      <c r="J1342" s="2"/>
      <c r="Q1342" s="1">
        <f>SEGUIMIENTO_TPM_xlsx[[#This Row],[HORA FIN  INTERVENCIÓN]]-SEGUIMIENTO_TPM_xlsx[[#This Row],[HORA INICIO INTERVENCIÓN]]</f>
        <v>0</v>
      </c>
      <c r="R1342" s="20">
        <f>(SEGUIMIENTO_TPM_xlsx[[#This Row],[HORA REPORTE]]+SEGUIMIENTO_TPM_xlsx[[#This Row],[FECHA DE REPORTE]])</f>
        <v>0</v>
      </c>
      <c r="S1342" s="20">
        <f>(SEGUIMIENTO_TPM_xlsx[[#This Row],[FECHA DE INTERVENCÓN]]+SEGUIMIENTO_TPM_xlsx[[#This Row],[HORA FIN  INTERVENCIÓN]])</f>
        <v>0</v>
      </c>
      <c r="T1342" s="11">
        <f>(SEGUIMIENTO_TPM_xlsx[[#This Row],[FECHA Y HORA FINAL]]-SEGUIMIENTO_TPM_xlsx[[#This Row],[FECHA Y HORA INICIO]])</f>
        <v>0</v>
      </c>
    </row>
    <row r="1343" spans="1:20" x14ac:dyDescent="0.25">
      <c r="A1343" t="s">
        <v>1831</v>
      </c>
      <c r="C1343" s="1"/>
      <c r="D1343" s="2"/>
      <c r="H1343" s="1"/>
      <c r="I1343" s="1"/>
      <c r="J1343" s="2"/>
      <c r="Q1343" s="1">
        <f>SEGUIMIENTO_TPM_xlsx[[#This Row],[HORA FIN  INTERVENCIÓN]]-SEGUIMIENTO_TPM_xlsx[[#This Row],[HORA INICIO INTERVENCIÓN]]</f>
        <v>0</v>
      </c>
      <c r="R1343" s="20">
        <f>(SEGUIMIENTO_TPM_xlsx[[#This Row],[HORA REPORTE]]+SEGUIMIENTO_TPM_xlsx[[#This Row],[FECHA DE REPORTE]])</f>
        <v>0</v>
      </c>
      <c r="S1343" s="20">
        <f>(SEGUIMIENTO_TPM_xlsx[[#This Row],[FECHA DE INTERVENCÓN]]+SEGUIMIENTO_TPM_xlsx[[#This Row],[HORA FIN  INTERVENCIÓN]])</f>
        <v>0</v>
      </c>
      <c r="T1343" s="11">
        <f>(SEGUIMIENTO_TPM_xlsx[[#This Row],[FECHA Y HORA FINAL]]-SEGUIMIENTO_TPM_xlsx[[#This Row],[FECHA Y HORA INICIO]])</f>
        <v>0</v>
      </c>
    </row>
    <row r="1344" spans="1:20" x14ac:dyDescent="0.25">
      <c r="A1344" t="s">
        <v>1832</v>
      </c>
      <c r="B1344" t="s">
        <v>317</v>
      </c>
      <c r="C1344" s="1">
        <v>0.76388888888888884</v>
      </c>
      <c r="D1344" s="2">
        <v>46116</v>
      </c>
      <c r="E1344" t="s">
        <v>188</v>
      </c>
      <c r="F1344" t="s">
        <v>18</v>
      </c>
      <c r="G1344" t="s">
        <v>1924</v>
      </c>
      <c r="H1344" s="1"/>
      <c r="I1344" s="1"/>
      <c r="J1344" s="2"/>
      <c r="L1344" t="s">
        <v>1925</v>
      </c>
      <c r="P1344" t="s">
        <v>33</v>
      </c>
      <c r="Q1344" s="1">
        <f>SEGUIMIENTO_TPM_xlsx[[#This Row],[HORA FIN  INTERVENCIÓN]]-SEGUIMIENTO_TPM_xlsx[[#This Row],[HORA INICIO INTERVENCIÓN]]</f>
        <v>0</v>
      </c>
      <c r="R1344" s="20">
        <f>(SEGUIMIENTO_TPM_xlsx[[#This Row],[HORA REPORTE]]+SEGUIMIENTO_TPM_xlsx[[#This Row],[FECHA DE REPORTE]])</f>
        <v>46116.763888888891</v>
      </c>
      <c r="S1344" s="20">
        <f>(SEGUIMIENTO_TPM_xlsx[[#This Row],[FECHA DE INTERVENCÓN]]+SEGUIMIENTO_TPM_xlsx[[#This Row],[HORA FIN  INTERVENCIÓN]])</f>
        <v>0</v>
      </c>
      <c r="T1344" s="11">
        <f>(SEGUIMIENTO_TPM_xlsx[[#This Row],[FECHA Y HORA FINAL]]-SEGUIMIENTO_TPM_xlsx[[#This Row],[FECHA Y HORA INICIO]])</f>
        <v>-46116.763888888891</v>
      </c>
    </row>
    <row r="1345" spans="1:20" x14ac:dyDescent="0.25">
      <c r="A1345" t="s">
        <v>1833</v>
      </c>
      <c r="B1345" t="s">
        <v>164</v>
      </c>
      <c r="C1345" s="1">
        <v>0.83888888888888891</v>
      </c>
      <c r="D1345" s="2">
        <v>46115</v>
      </c>
      <c r="E1345" t="s">
        <v>143</v>
      </c>
      <c r="F1345" t="s">
        <v>18</v>
      </c>
      <c r="G1345" t="s">
        <v>1926</v>
      </c>
      <c r="H1345" s="1">
        <v>0.83888888888888891</v>
      </c>
      <c r="I1345" s="1">
        <v>0.85416666666666663</v>
      </c>
      <c r="J1345" s="2">
        <v>46115</v>
      </c>
      <c r="K1345" t="s">
        <v>25</v>
      </c>
      <c r="L1345" t="s">
        <v>1927</v>
      </c>
      <c r="M1345" t="s">
        <v>1928</v>
      </c>
      <c r="N1345" t="s">
        <v>22</v>
      </c>
      <c r="O1345" t="s">
        <v>108</v>
      </c>
      <c r="P1345" t="s">
        <v>23</v>
      </c>
      <c r="Q1345" s="1">
        <f>SEGUIMIENTO_TPM_xlsx[[#This Row],[HORA FIN  INTERVENCIÓN]]-SEGUIMIENTO_TPM_xlsx[[#This Row],[HORA INICIO INTERVENCIÓN]]</f>
        <v>1.5277777777777724E-2</v>
      </c>
      <c r="R1345" s="20">
        <f>(SEGUIMIENTO_TPM_xlsx[[#This Row],[HORA REPORTE]]+SEGUIMIENTO_TPM_xlsx[[#This Row],[FECHA DE REPORTE]])</f>
        <v>46115.838888888888</v>
      </c>
      <c r="S1345" s="20">
        <f>(SEGUIMIENTO_TPM_xlsx[[#This Row],[FECHA DE INTERVENCÓN]]+SEGUIMIENTO_TPM_xlsx[[#This Row],[HORA FIN  INTERVENCIÓN]])</f>
        <v>46115.854166666664</v>
      </c>
      <c r="T1345" s="11">
        <f>(SEGUIMIENTO_TPM_xlsx[[#This Row],[FECHA Y HORA FINAL]]-SEGUIMIENTO_TPM_xlsx[[#This Row],[FECHA Y HORA INICIO]])</f>
        <v>1.5277777776645962E-2</v>
      </c>
    </row>
    <row r="1346" spans="1:20" x14ac:dyDescent="0.25">
      <c r="A1346" t="s">
        <v>1834</v>
      </c>
      <c r="B1346" t="s">
        <v>164</v>
      </c>
      <c r="C1346" s="1">
        <v>0.875</v>
      </c>
      <c r="D1346" s="2">
        <v>46117</v>
      </c>
      <c r="E1346" t="s">
        <v>143</v>
      </c>
      <c r="F1346" t="s">
        <v>18</v>
      </c>
      <c r="G1346" t="s">
        <v>1929</v>
      </c>
      <c r="H1346" s="1">
        <v>0.875</v>
      </c>
      <c r="I1346" s="1">
        <v>0.89583333333333337</v>
      </c>
      <c r="J1346" s="2">
        <v>46117</v>
      </c>
      <c r="K1346" t="s">
        <v>25</v>
      </c>
      <c r="L1346" t="s">
        <v>1930</v>
      </c>
      <c r="M1346" t="s">
        <v>1931</v>
      </c>
      <c r="N1346" t="s">
        <v>22</v>
      </c>
      <c r="O1346" t="s">
        <v>112</v>
      </c>
      <c r="P1346" t="s">
        <v>23</v>
      </c>
      <c r="Q1346" s="1">
        <f>SEGUIMIENTO_TPM_xlsx[[#This Row],[HORA FIN  INTERVENCIÓN]]-SEGUIMIENTO_TPM_xlsx[[#This Row],[HORA INICIO INTERVENCIÓN]]</f>
        <v>2.083333333333337E-2</v>
      </c>
      <c r="R1346" s="20">
        <f>(SEGUIMIENTO_TPM_xlsx[[#This Row],[HORA REPORTE]]+SEGUIMIENTO_TPM_xlsx[[#This Row],[FECHA DE REPORTE]])</f>
        <v>46117.875</v>
      </c>
      <c r="S1346" s="20">
        <f>(SEGUIMIENTO_TPM_xlsx[[#This Row],[FECHA DE INTERVENCÓN]]+SEGUIMIENTO_TPM_xlsx[[#This Row],[HORA FIN  INTERVENCIÓN]])</f>
        <v>46117.895833333336</v>
      </c>
      <c r="T1346" s="11">
        <f>(SEGUIMIENTO_TPM_xlsx[[#This Row],[FECHA Y HORA FINAL]]-SEGUIMIENTO_TPM_xlsx[[#This Row],[FECHA Y HORA INICIO]])</f>
        <v>2.0833333335758653E-2</v>
      </c>
    </row>
    <row r="1347" spans="1:20" x14ac:dyDescent="0.25">
      <c r="A1347" t="s">
        <v>1835</v>
      </c>
      <c r="B1347" t="s">
        <v>385</v>
      </c>
      <c r="C1347" s="1">
        <v>4.1666666666666664E-2</v>
      </c>
      <c r="D1347" s="2">
        <v>46119</v>
      </c>
      <c r="E1347" t="s">
        <v>116</v>
      </c>
      <c r="F1347" t="s">
        <v>18</v>
      </c>
      <c r="G1347" t="s">
        <v>1932</v>
      </c>
      <c r="H1347" s="1">
        <v>4.8611111111111112E-2</v>
      </c>
      <c r="I1347" s="1">
        <v>7.6388888888888895E-2</v>
      </c>
      <c r="J1347" s="2">
        <v>46119</v>
      </c>
      <c r="K1347" t="s">
        <v>25</v>
      </c>
      <c r="L1347" t="s">
        <v>1933</v>
      </c>
      <c r="M1347" t="s">
        <v>22</v>
      </c>
      <c r="N1347" t="s">
        <v>22</v>
      </c>
      <c r="O1347" t="s">
        <v>661</v>
      </c>
      <c r="P1347" t="s">
        <v>23</v>
      </c>
      <c r="Q1347" s="1">
        <f>SEGUIMIENTO_TPM_xlsx[[#This Row],[HORA FIN  INTERVENCIÓN]]-SEGUIMIENTO_TPM_xlsx[[#This Row],[HORA INICIO INTERVENCIÓN]]</f>
        <v>2.7777777777777783E-2</v>
      </c>
      <c r="R1347" s="20">
        <f>(SEGUIMIENTO_TPM_xlsx[[#This Row],[HORA REPORTE]]+SEGUIMIENTO_TPM_xlsx[[#This Row],[FECHA DE REPORTE]])</f>
        <v>46119.041666666664</v>
      </c>
      <c r="S1347" s="20">
        <f>(SEGUIMIENTO_TPM_xlsx[[#This Row],[FECHA DE INTERVENCÓN]]+SEGUIMIENTO_TPM_xlsx[[#This Row],[HORA FIN  INTERVENCIÓN]])</f>
        <v>46119.076388888891</v>
      </c>
      <c r="T1347" s="11">
        <f>(SEGUIMIENTO_TPM_xlsx[[#This Row],[FECHA Y HORA FINAL]]-SEGUIMIENTO_TPM_xlsx[[#This Row],[FECHA Y HORA INICIO]])</f>
        <v>3.4722222226264421E-2</v>
      </c>
    </row>
    <row r="1348" spans="1:20" x14ac:dyDescent="0.25">
      <c r="A1348" t="s">
        <v>1836</v>
      </c>
      <c r="B1348" t="s">
        <v>164</v>
      </c>
      <c r="C1348" s="1">
        <v>0.6875</v>
      </c>
      <c r="D1348" s="2">
        <v>46119</v>
      </c>
      <c r="E1348" t="s">
        <v>143</v>
      </c>
      <c r="F1348" t="s">
        <v>18</v>
      </c>
      <c r="G1348" t="s">
        <v>1934</v>
      </c>
      <c r="H1348" s="1">
        <v>0.6875</v>
      </c>
      <c r="I1348" s="1">
        <v>0.71736111111111112</v>
      </c>
      <c r="J1348" s="2">
        <v>46119</v>
      </c>
      <c r="K1348" t="s">
        <v>25</v>
      </c>
      <c r="L1348" t="s">
        <v>1935</v>
      </c>
      <c r="M1348" t="s">
        <v>22</v>
      </c>
      <c r="N1348" t="s">
        <v>22</v>
      </c>
      <c r="O1348" t="s">
        <v>112</v>
      </c>
      <c r="P1348" t="s">
        <v>23</v>
      </c>
      <c r="Q1348" s="1">
        <f>SEGUIMIENTO_TPM_xlsx[[#This Row],[HORA FIN  INTERVENCIÓN]]-SEGUIMIENTO_TPM_xlsx[[#This Row],[HORA INICIO INTERVENCIÓN]]</f>
        <v>2.9861111111111116E-2</v>
      </c>
      <c r="R1348" s="20">
        <f>(SEGUIMIENTO_TPM_xlsx[[#This Row],[HORA REPORTE]]+SEGUIMIENTO_TPM_xlsx[[#This Row],[FECHA DE REPORTE]])</f>
        <v>46119.6875</v>
      </c>
      <c r="S1348" s="20">
        <f>(SEGUIMIENTO_TPM_xlsx[[#This Row],[FECHA DE INTERVENCÓN]]+SEGUIMIENTO_TPM_xlsx[[#This Row],[HORA FIN  INTERVENCIÓN]])</f>
        <v>46119.717361111114</v>
      </c>
      <c r="T1348" s="11">
        <f>(SEGUIMIENTO_TPM_xlsx[[#This Row],[FECHA Y HORA FINAL]]-SEGUIMIENTO_TPM_xlsx[[#This Row],[FECHA Y HORA INICIO]])</f>
        <v>2.9861111113859806E-2</v>
      </c>
    </row>
    <row r="1349" spans="1:20" x14ac:dyDescent="0.25">
      <c r="A1349" t="s">
        <v>1837</v>
      </c>
      <c r="B1349" t="s">
        <v>161</v>
      </c>
      <c r="C1349" s="1">
        <v>0.27500000000000002</v>
      </c>
      <c r="D1349" s="2">
        <v>46120</v>
      </c>
      <c r="E1349" t="s">
        <v>154</v>
      </c>
      <c r="F1349" t="s">
        <v>18</v>
      </c>
      <c r="G1349" t="s">
        <v>1619</v>
      </c>
      <c r="H1349" s="1">
        <v>0.27500000000000002</v>
      </c>
      <c r="I1349" s="1">
        <v>0.375</v>
      </c>
      <c r="J1349" s="2">
        <v>46120</v>
      </c>
      <c r="K1349" t="s">
        <v>20</v>
      </c>
      <c r="L1349" t="s">
        <v>1936</v>
      </c>
      <c r="M1349" t="s">
        <v>22</v>
      </c>
      <c r="N1349" t="s">
        <v>22</v>
      </c>
      <c r="O1349" t="s">
        <v>108</v>
      </c>
      <c r="P1349" t="s">
        <v>23</v>
      </c>
      <c r="Q1349" s="1">
        <f>SEGUIMIENTO_TPM_xlsx[[#This Row],[HORA FIN  INTERVENCIÓN]]-SEGUIMIENTO_TPM_xlsx[[#This Row],[HORA INICIO INTERVENCIÓN]]</f>
        <v>9.9999999999999978E-2</v>
      </c>
      <c r="R1349" s="20">
        <f>(SEGUIMIENTO_TPM_xlsx[[#This Row],[HORA REPORTE]]+SEGUIMIENTO_TPM_xlsx[[#This Row],[FECHA DE REPORTE]])</f>
        <v>46120.275000000001</v>
      </c>
      <c r="S1349" s="20">
        <f>(SEGUIMIENTO_TPM_xlsx[[#This Row],[FECHA DE INTERVENCÓN]]+SEGUIMIENTO_TPM_xlsx[[#This Row],[HORA FIN  INTERVENCIÓN]])</f>
        <v>46120.375</v>
      </c>
      <c r="T1349" s="11">
        <f>(SEGUIMIENTO_TPM_xlsx[[#This Row],[FECHA Y HORA FINAL]]-SEGUIMIENTO_TPM_xlsx[[#This Row],[FECHA Y HORA INICIO]])</f>
        <v>9.9999999998544808E-2</v>
      </c>
    </row>
    <row r="1350" spans="1:20" x14ac:dyDescent="0.25">
      <c r="A1350" t="s">
        <v>1838</v>
      </c>
      <c r="C1350" s="1"/>
      <c r="D1350" s="2"/>
      <c r="H1350" s="1"/>
      <c r="I1350" s="1"/>
      <c r="J1350" s="2"/>
      <c r="Q1350" s="1">
        <f>SEGUIMIENTO_TPM_xlsx[[#This Row],[HORA FIN  INTERVENCIÓN]]-SEGUIMIENTO_TPM_xlsx[[#This Row],[HORA INICIO INTERVENCIÓN]]</f>
        <v>0</v>
      </c>
      <c r="R1350" s="20">
        <f>(SEGUIMIENTO_TPM_xlsx[[#This Row],[HORA REPORTE]]+SEGUIMIENTO_TPM_xlsx[[#This Row],[FECHA DE REPORTE]])</f>
        <v>0</v>
      </c>
      <c r="S1350" s="20">
        <f>(SEGUIMIENTO_TPM_xlsx[[#This Row],[FECHA DE INTERVENCÓN]]+SEGUIMIENTO_TPM_xlsx[[#This Row],[HORA FIN  INTERVENCIÓN]])</f>
        <v>0</v>
      </c>
      <c r="T1350" s="11">
        <f>(SEGUIMIENTO_TPM_xlsx[[#This Row],[FECHA Y HORA FINAL]]-SEGUIMIENTO_TPM_xlsx[[#This Row],[FECHA Y HORA INICIO]])</f>
        <v>0</v>
      </c>
    </row>
    <row r="1351" spans="1:20" x14ac:dyDescent="0.25">
      <c r="A1351" t="s">
        <v>1839</v>
      </c>
      <c r="C1351" s="1"/>
      <c r="D1351" s="2"/>
      <c r="H1351" s="1"/>
      <c r="I1351" s="1"/>
      <c r="J1351" s="2"/>
      <c r="Q1351" s="1">
        <f>SEGUIMIENTO_TPM_xlsx[[#This Row],[HORA FIN  INTERVENCIÓN]]-SEGUIMIENTO_TPM_xlsx[[#This Row],[HORA INICIO INTERVENCIÓN]]</f>
        <v>0</v>
      </c>
      <c r="R1351" s="20">
        <f>(SEGUIMIENTO_TPM_xlsx[[#This Row],[HORA REPORTE]]+SEGUIMIENTO_TPM_xlsx[[#This Row],[FECHA DE REPORTE]])</f>
        <v>0</v>
      </c>
      <c r="S1351" s="20">
        <f>(SEGUIMIENTO_TPM_xlsx[[#This Row],[FECHA DE INTERVENCÓN]]+SEGUIMIENTO_TPM_xlsx[[#This Row],[HORA FIN  INTERVENCIÓN]])</f>
        <v>0</v>
      </c>
      <c r="T1351" s="11">
        <f>(SEGUIMIENTO_TPM_xlsx[[#This Row],[FECHA Y HORA FINAL]]-SEGUIMIENTO_TPM_xlsx[[#This Row],[FECHA Y HORA INICIO]])</f>
        <v>0</v>
      </c>
    </row>
    <row r="1352" spans="1:20" x14ac:dyDescent="0.25">
      <c r="A1352" t="s">
        <v>1840</v>
      </c>
      <c r="C1352" s="1"/>
      <c r="D1352" s="2"/>
      <c r="H1352" s="1"/>
      <c r="I1352" s="1"/>
      <c r="J1352" s="2"/>
      <c r="Q1352" s="1">
        <f>SEGUIMIENTO_TPM_xlsx[[#This Row],[HORA FIN  INTERVENCIÓN]]-SEGUIMIENTO_TPM_xlsx[[#This Row],[HORA INICIO INTERVENCIÓN]]</f>
        <v>0</v>
      </c>
      <c r="R1352" s="20">
        <f>(SEGUIMIENTO_TPM_xlsx[[#This Row],[HORA REPORTE]]+SEGUIMIENTO_TPM_xlsx[[#This Row],[FECHA DE REPORTE]])</f>
        <v>0</v>
      </c>
      <c r="S1352" s="20">
        <f>(SEGUIMIENTO_TPM_xlsx[[#This Row],[FECHA DE INTERVENCÓN]]+SEGUIMIENTO_TPM_xlsx[[#This Row],[HORA FIN  INTERVENCIÓN]])</f>
        <v>0</v>
      </c>
      <c r="T1352" s="11">
        <f>(SEGUIMIENTO_TPM_xlsx[[#This Row],[FECHA Y HORA FINAL]]-SEGUIMIENTO_TPM_xlsx[[#This Row],[FECHA Y HORA INICIO]])</f>
        <v>0</v>
      </c>
    </row>
    <row r="1353" spans="1:20" x14ac:dyDescent="0.25">
      <c r="A1353" t="s">
        <v>1841</v>
      </c>
      <c r="B1353" t="s">
        <v>385</v>
      </c>
      <c r="C1353" s="1">
        <v>4.1666666666666664E-2</v>
      </c>
      <c r="D1353" s="2">
        <v>46122</v>
      </c>
      <c r="E1353" t="s">
        <v>116</v>
      </c>
      <c r="F1353" t="s">
        <v>18</v>
      </c>
      <c r="G1353" t="s">
        <v>1937</v>
      </c>
      <c r="H1353" s="1">
        <v>4.1666666666666664E-2</v>
      </c>
      <c r="I1353" s="1">
        <v>0.10416666666666667</v>
      </c>
      <c r="J1353" s="2">
        <v>46122</v>
      </c>
      <c r="K1353" t="s">
        <v>25</v>
      </c>
      <c r="L1353" t="s">
        <v>1938</v>
      </c>
      <c r="M1353" t="s">
        <v>22</v>
      </c>
      <c r="N1353" t="s">
        <v>22</v>
      </c>
      <c r="O1353" t="s">
        <v>112</v>
      </c>
      <c r="P1353" t="s">
        <v>23</v>
      </c>
      <c r="Q1353" s="1">
        <f>SEGUIMIENTO_TPM_xlsx[[#This Row],[HORA FIN  INTERVENCIÓN]]-SEGUIMIENTO_TPM_xlsx[[#This Row],[HORA INICIO INTERVENCIÓN]]</f>
        <v>6.25E-2</v>
      </c>
      <c r="R1353" s="20">
        <f>(SEGUIMIENTO_TPM_xlsx[[#This Row],[HORA REPORTE]]+SEGUIMIENTO_TPM_xlsx[[#This Row],[FECHA DE REPORTE]])</f>
        <v>46122.041666666664</v>
      </c>
      <c r="S1353" s="20">
        <f>(SEGUIMIENTO_TPM_xlsx[[#This Row],[FECHA DE INTERVENCÓN]]+SEGUIMIENTO_TPM_xlsx[[#This Row],[HORA FIN  INTERVENCIÓN]])</f>
        <v>46122.104166666664</v>
      </c>
      <c r="T1353" s="11">
        <f>(SEGUIMIENTO_TPM_xlsx[[#This Row],[FECHA Y HORA FINAL]]-SEGUIMIENTO_TPM_xlsx[[#This Row],[FECHA Y HORA INICIO]])</f>
        <v>6.25E-2</v>
      </c>
    </row>
    <row r="1354" spans="1:20" x14ac:dyDescent="0.25">
      <c r="A1354" t="s">
        <v>1842</v>
      </c>
      <c r="B1354" t="s">
        <v>103</v>
      </c>
      <c r="C1354" s="1">
        <v>0.55763888888888891</v>
      </c>
      <c r="D1354" s="2">
        <v>46119</v>
      </c>
      <c r="E1354" t="s">
        <v>188</v>
      </c>
      <c r="F1354" t="s">
        <v>18</v>
      </c>
      <c r="G1354" t="s">
        <v>1939</v>
      </c>
      <c r="H1354" s="1">
        <v>0.5625</v>
      </c>
      <c r="I1354" s="1">
        <v>0.57638888888888884</v>
      </c>
      <c r="J1354" s="2">
        <v>46119</v>
      </c>
      <c r="K1354" t="s">
        <v>20</v>
      </c>
      <c r="L1354" t="s">
        <v>1940</v>
      </c>
      <c r="M1354" t="s">
        <v>22</v>
      </c>
      <c r="N1354" t="s">
        <v>22</v>
      </c>
      <c r="O1354" t="s">
        <v>268</v>
      </c>
      <c r="P1354" t="s">
        <v>23</v>
      </c>
      <c r="Q1354" s="1">
        <f>SEGUIMIENTO_TPM_xlsx[[#This Row],[HORA FIN  INTERVENCIÓN]]-SEGUIMIENTO_TPM_xlsx[[#This Row],[HORA INICIO INTERVENCIÓN]]</f>
        <v>1.388888888888884E-2</v>
      </c>
      <c r="R1354" s="20">
        <f>(SEGUIMIENTO_TPM_xlsx[[#This Row],[HORA REPORTE]]+SEGUIMIENTO_TPM_xlsx[[#This Row],[FECHA DE REPORTE]])</f>
        <v>46119.557638888888</v>
      </c>
      <c r="S1354" s="20">
        <f>(SEGUIMIENTO_TPM_xlsx[[#This Row],[FECHA DE INTERVENCÓN]]+SEGUIMIENTO_TPM_xlsx[[#This Row],[HORA FIN  INTERVENCIÓN]])</f>
        <v>46119.576388888891</v>
      </c>
      <c r="T1354" s="11">
        <f>(SEGUIMIENTO_TPM_xlsx[[#This Row],[FECHA Y HORA FINAL]]-SEGUIMIENTO_TPM_xlsx[[#This Row],[FECHA Y HORA INICIO]])</f>
        <v>1.8750000002910383E-2</v>
      </c>
    </row>
    <row r="1355" spans="1:20" x14ac:dyDescent="0.25">
      <c r="A1355" t="s">
        <v>1843</v>
      </c>
      <c r="B1355" t="s">
        <v>16</v>
      </c>
      <c r="C1355" s="1">
        <v>0.80208333333333337</v>
      </c>
      <c r="D1355" s="2">
        <v>46121</v>
      </c>
      <c r="E1355" t="s">
        <v>116</v>
      </c>
      <c r="F1355" t="s">
        <v>18</v>
      </c>
      <c r="G1355" t="s">
        <v>1941</v>
      </c>
      <c r="H1355" s="1">
        <v>0.80208333333333337</v>
      </c>
      <c r="I1355" s="1">
        <v>0.84027777777777779</v>
      </c>
      <c r="J1355" s="2">
        <v>46121</v>
      </c>
      <c r="K1355" t="s">
        <v>25</v>
      </c>
      <c r="L1355" t="s">
        <v>1942</v>
      </c>
      <c r="M1355" t="s">
        <v>22</v>
      </c>
      <c r="N1355" t="s">
        <v>22</v>
      </c>
      <c r="O1355" t="s">
        <v>112</v>
      </c>
      <c r="P1355" t="s">
        <v>23</v>
      </c>
      <c r="Q1355" s="1">
        <f>SEGUIMIENTO_TPM_xlsx[[#This Row],[HORA FIN  INTERVENCIÓN]]-SEGUIMIENTO_TPM_xlsx[[#This Row],[HORA INICIO INTERVENCIÓN]]</f>
        <v>3.819444444444442E-2</v>
      </c>
      <c r="R1355" s="20">
        <f>(SEGUIMIENTO_TPM_xlsx[[#This Row],[HORA REPORTE]]+SEGUIMIENTO_TPM_xlsx[[#This Row],[FECHA DE REPORTE]])</f>
        <v>46121.802083333336</v>
      </c>
      <c r="S1355" s="20">
        <f>(SEGUIMIENTO_TPM_xlsx[[#This Row],[FECHA DE INTERVENCÓN]]+SEGUIMIENTO_TPM_xlsx[[#This Row],[HORA FIN  INTERVENCIÓN]])</f>
        <v>46121.840277777781</v>
      </c>
      <c r="T1355" s="11">
        <f>(SEGUIMIENTO_TPM_xlsx[[#This Row],[FECHA Y HORA FINAL]]-SEGUIMIENTO_TPM_xlsx[[#This Row],[FECHA Y HORA INICIO]])</f>
        <v>3.8194444445252884E-2</v>
      </c>
    </row>
    <row r="1356" spans="1:20" x14ac:dyDescent="0.25">
      <c r="A1356" t="s">
        <v>1844</v>
      </c>
      <c r="B1356" t="s">
        <v>184</v>
      </c>
      <c r="C1356" s="1">
        <v>0.25</v>
      </c>
      <c r="D1356" s="2">
        <v>46112</v>
      </c>
      <c r="E1356" t="s">
        <v>1943</v>
      </c>
      <c r="F1356" t="s">
        <v>18</v>
      </c>
      <c r="G1356" t="s">
        <v>1944</v>
      </c>
      <c r="H1356" s="1">
        <v>0.2638888888888889</v>
      </c>
      <c r="I1356" s="1">
        <v>0.30902777777777779</v>
      </c>
      <c r="J1356" s="2"/>
      <c r="K1356" t="s">
        <v>25</v>
      </c>
      <c r="L1356" t="s">
        <v>1945</v>
      </c>
      <c r="M1356" t="s">
        <v>1946</v>
      </c>
      <c r="N1356" t="s">
        <v>22</v>
      </c>
      <c r="O1356" t="s">
        <v>112</v>
      </c>
      <c r="P1356" t="s">
        <v>23</v>
      </c>
      <c r="Q1356" s="1">
        <f>SEGUIMIENTO_TPM_xlsx[[#This Row],[HORA FIN  INTERVENCIÓN]]-SEGUIMIENTO_TPM_xlsx[[#This Row],[HORA INICIO INTERVENCIÓN]]</f>
        <v>4.5138888888888895E-2</v>
      </c>
      <c r="R1356" s="20">
        <f>(SEGUIMIENTO_TPM_xlsx[[#This Row],[HORA REPORTE]]+SEGUIMIENTO_TPM_xlsx[[#This Row],[FECHA DE REPORTE]])</f>
        <v>46112.25</v>
      </c>
      <c r="S1356" s="20">
        <f>(SEGUIMIENTO_TPM_xlsx[[#This Row],[FECHA DE INTERVENCÓN]]+SEGUIMIENTO_TPM_xlsx[[#This Row],[HORA FIN  INTERVENCIÓN]])</f>
        <v>0.30902777777777779</v>
      </c>
      <c r="T1356" s="11">
        <f>(SEGUIMIENTO_TPM_xlsx[[#This Row],[FECHA Y HORA FINAL]]-SEGUIMIENTO_TPM_xlsx[[#This Row],[FECHA Y HORA INICIO]])</f>
        <v>-46111.940972222219</v>
      </c>
    </row>
    <row r="1357" spans="1:20" x14ac:dyDescent="0.25">
      <c r="A1357" t="s">
        <v>1845</v>
      </c>
      <c r="C1357" s="1"/>
      <c r="D1357" s="2"/>
      <c r="H1357" s="1"/>
      <c r="I1357" s="1"/>
      <c r="J1357" s="2"/>
      <c r="Q1357" s="1">
        <f>SEGUIMIENTO_TPM_xlsx[[#This Row],[HORA FIN  INTERVENCIÓN]]-SEGUIMIENTO_TPM_xlsx[[#This Row],[HORA INICIO INTERVENCIÓN]]</f>
        <v>0</v>
      </c>
      <c r="R1357" s="20">
        <f>(SEGUIMIENTO_TPM_xlsx[[#This Row],[HORA REPORTE]]+SEGUIMIENTO_TPM_xlsx[[#This Row],[FECHA DE REPORTE]])</f>
        <v>0</v>
      </c>
      <c r="S1357" s="20">
        <f>(SEGUIMIENTO_TPM_xlsx[[#This Row],[FECHA DE INTERVENCÓN]]+SEGUIMIENTO_TPM_xlsx[[#This Row],[HORA FIN  INTERVENCIÓN]])</f>
        <v>0</v>
      </c>
      <c r="T1357" s="11">
        <f>(SEGUIMIENTO_TPM_xlsx[[#This Row],[FECHA Y HORA FINAL]]-SEGUIMIENTO_TPM_xlsx[[#This Row],[FECHA Y HORA INICIO]])</f>
        <v>0</v>
      </c>
    </row>
    <row r="1358" spans="1:20" x14ac:dyDescent="0.25">
      <c r="A1358" t="s">
        <v>1846</v>
      </c>
      <c r="C1358" s="1"/>
      <c r="D1358" s="2"/>
      <c r="H1358" s="1"/>
      <c r="I1358" s="1"/>
      <c r="J1358" s="2"/>
      <c r="Q1358" s="1">
        <f>SEGUIMIENTO_TPM_xlsx[[#This Row],[HORA FIN  INTERVENCIÓN]]-SEGUIMIENTO_TPM_xlsx[[#This Row],[HORA INICIO INTERVENCIÓN]]</f>
        <v>0</v>
      </c>
      <c r="R1358" s="20">
        <f>(SEGUIMIENTO_TPM_xlsx[[#This Row],[HORA REPORTE]]+SEGUIMIENTO_TPM_xlsx[[#This Row],[FECHA DE REPORTE]])</f>
        <v>0</v>
      </c>
      <c r="S1358" s="20">
        <f>(SEGUIMIENTO_TPM_xlsx[[#This Row],[FECHA DE INTERVENCÓN]]+SEGUIMIENTO_TPM_xlsx[[#This Row],[HORA FIN  INTERVENCIÓN]])</f>
        <v>0</v>
      </c>
      <c r="T1358" s="11">
        <f>(SEGUIMIENTO_TPM_xlsx[[#This Row],[FECHA Y HORA FINAL]]-SEGUIMIENTO_TPM_xlsx[[#This Row],[FECHA Y HORA INICIO]])</f>
        <v>0</v>
      </c>
    </row>
    <row r="1359" spans="1:20" x14ac:dyDescent="0.25">
      <c r="A1359" t="s">
        <v>1847</v>
      </c>
      <c r="C1359" s="1"/>
      <c r="D1359" s="2"/>
      <c r="H1359" s="1"/>
      <c r="I1359" s="1"/>
      <c r="J1359" s="2"/>
      <c r="Q1359" s="1">
        <f>SEGUIMIENTO_TPM_xlsx[[#This Row],[HORA FIN  INTERVENCIÓN]]-SEGUIMIENTO_TPM_xlsx[[#This Row],[HORA INICIO INTERVENCIÓN]]</f>
        <v>0</v>
      </c>
      <c r="R1359" s="20">
        <f>(SEGUIMIENTO_TPM_xlsx[[#This Row],[HORA REPORTE]]+SEGUIMIENTO_TPM_xlsx[[#This Row],[FECHA DE REPORTE]])</f>
        <v>0</v>
      </c>
      <c r="S1359" s="20">
        <f>(SEGUIMIENTO_TPM_xlsx[[#This Row],[FECHA DE INTERVENCÓN]]+SEGUIMIENTO_TPM_xlsx[[#This Row],[HORA FIN  INTERVENCIÓN]])</f>
        <v>0</v>
      </c>
      <c r="T1359" s="11">
        <f>(SEGUIMIENTO_TPM_xlsx[[#This Row],[FECHA Y HORA FINAL]]-SEGUIMIENTO_TPM_xlsx[[#This Row],[FECHA Y HORA INICIO]])</f>
        <v>0</v>
      </c>
    </row>
    <row r="1360" spans="1:20" x14ac:dyDescent="0.25">
      <c r="A1360" t="s">
        <v>1848</v>
      </c>
      <c r="C1360" s="1"/>
      <c r="D1360" s="2"/>
      <c r="H1360" s="1"/>
      <c r="I1360" s="1"/>
      <c r="J1360" s="2"/>
      <c r="Q1360" s="1">
        <f>SEGUIMIENTO_TPM_xlsx[[#This Row],[HORA FIN  INTERVENCIÓN]]-SEGUIMIENTO_TPM_xlsx[[#This Row],[HORA INICIO INTERVENCIÓN]]</f>
        <v>0</v>
      </c>
      <c r="R1360" s="20">
        <f>(SEGUIMIENTO_TPM_xlsx[[#This Row],[HORA REPORTE]]+SEGUIMIENTO_TPM_xlsx[[#This Row],[FECHA DE REPORTE]])</f>
        <v>0</v>
      </c>
      <c r="S1360" s="20">
        <f>(SEGUIMIENTO_TPM_xlsx[[#This Row],[FECHA DE INTERVENCÓN]]+SEGUIMIENTO_TPM_xlsx[[#This Row],[HORA FIN  INTERVENCIÓN]])</f>
        <v>0</v>
      </c>
      <c r="T1360" s="11">
        <f>(SEGUIMIENTO_TPM_xlsx[[#This Row],[FECHA Y HORA FINAL]]-SEGUIMIENTO_TPM_xlsx[[#This Row],[FECHA Y HORA INICIO]])</f>
        <v>0</v>
      </c>
    </row>
    <row r="1361" spans="1:20" x14ac:dyDescent="0.25">
      <c r="A1361" t="s">
        <v>1849</v>
      </c>
      <c r="C1361" s="1"/>
      <c r="D1361" s="2"/>
      <c r="H1361" s="1"/>
      <c r="I1361" s="1"/>
      <c r="J1361" s="2"/>
      <c r="Q1361" s="1">
        <f>SEGUIMIENTO_TPM_xlsx[[#This Row],[HORA FIN  INTERVENCIÓN]]-SEGUIMIENTO_TPM_xlsx[[#This Row],[HORA INICIO INTERVENCIÓN]]</f>
        <v>0</v>
      </c>
      <c r="R1361" s="20">
        <f>(SEGUIMIENTO_TPM_xlsx[[#This Row],[HORA REPORTE]]+SEGUIMIENTO_TPM_xlsx[[#This Row],[FECHA DE REPORTE]])</f>
        <v>0</v>
      </c>
      <c r="S1361" s="20">
        <f>(SEGUIMIENTO_TPM_xlsx[[#This Row],[FECHA DE INTERVENCÓN]]+SEGUIMIENTO_TPM_xlsx[[#This Row],[HORA FIN  INTERVENCIÓN]])</f>
        <v>0</v>
      </c>
      <c r="T1361" s="11">
        <f>(SEGUIMIENTO_TPM_xlsx[[#This Row],[FECHA Y HORA FINAL]]-SEGUIMIENTO_TPM_xlsx[[#This Row],[FECHA Y HORA INICIO]])</f>
        <v>0</v>
      </c>
    </row>
    <row r="1362" spans="1:20" x14ac:dyDescent="0.25">
      <c r="A1362" t="s">
        <v>1850</v>
      </c>
      <c r="C1362" s="1"/>
      <c r="D1362" s="2"/>
      <c r="H1362" s="1"/>
      <c r="I1362" s="1"/>
      <c r="J1362" s="2"/>
      <c r="Q1362" s="1">
        <f>SEGUIMIENTO_TPM_xlsx[[#This Row],[HORA FIN  INTERVENCIÓN]]-SEGUIMIENTO_TPM_xlsx[[#This Row],[HORA INICIO INTERVENCIÓN]]</f>
        <v>0</v>
      </c>
      <c r="R1362" s="20">
        <f>(SEGUIMIENTO_TPM_xlsx[[#This Row],[HORA REPORTE]]+SEGUIMIENTO_TPM_xlsx[[#This Row],[FECHA DE REPORTE]])</f>
        <v>0</v>
      </c>
      <c r="S1362" s="20">
        <f>(SEGUIMIENTO_TPM_xlsx[[#This Row],[FECHA DE INTERVENCÓN]]+SEGUIMIENTO_TPM_xlsx[[#This Row],[HORA FIN  INTERVENCIÓN]])</f>
        <v>0</v>
      </c>
      <c r="T1362" s="11">
        <f>(SEGUIMIENTO_TPM_xlsx[[#This Row],[FECHA Y HORA FINAL]]-SEGUIMIENTO_TPM_xlsx[[#This Row],[FECHA Y HORA INICIO]])</f>
        <v>0</v>
      </c>
    </row>
    <row r="1363" spans="1:20" x14ac:dyDescent="0.25">
      <c r="A1363" t="s">
        <v>1851</v>
      </c>
      <c r="C1363" s="1"/>
      <c r="D1363" s="2"/>
      <c r="H1363" s="1"/>
      <c r="I1363" s="1"/>
      <c r="J1363" s="2"/>
      <c r="Q1363" s="1">
        <f>SEGUIMIENTO_TPM_xlsx[[#This Row],[HORA FIN  INTERVENCIÓN]]-SEGUIMIENTO_TPM_xlsx[[#This Row],[HORA INICIO INTERVENCIÓN]]</f>
        <v>0</v>
      </c>
      <c r="R1363" s="20">
        <f>(SEGUIMIENTO_TPM_xlsx[[#This Row],[HORA REPORTE]]+SEGUIMIENTO_TPM_xlsx[[#This Row],[FECHA DE REPORTE]])</f>
        <v>0</v>
      </c>
      <c r="S1363" s="20">
        <f>(SEGUIMIENTO_TPM_xlsx[[#This Row],[FECHA DE INTERVENCÓN]]+SEGUIMIENTO_TPM_xlsx[[#This Row],[HORA FIN  INTERVENCIÓN]])</f>
        <v>0</v>
      </c>
      <c r="T1363" s="11">
        <f>(SEGUIMIENTO_TPM_xlsx[[#This Row],[FECHA Y HORA FINAL]]-SEGUIMIENTO_TPM_xlsx[[#This Row],[FECHA Y HORA INICIO]])</f>
        <v>0</v>
      </c>
    </row>
    <row r="1364" spans="1:20" x14ac:dyDescent="0.25">
      <c r="A1364" t="s">
        <v>1852</v>
      </c>
      <c r="C1364" s="1"/>
      <c r="D1364" s="2"/>
      <c r="H1364" s="1"/>
      <c r="I1364" s="1"/>
      <c r="J1364" s="2"/>
      <c r="Q1364" s="1">
        <f>SEGUIMIENTO_TPM_xlsx[[#This Row],[HORA FIN  INTERVENCIÓN]]-SEGUIMIENTO_TPM_xlsx[[#This Row],[HORA INICIO INTERVENCIÓN]]</f>
        <v>0</v>
      </c>
      <c r="R1364" s="20">
        <f>(SEGUIMIENTO_TPM_xlsx[[#This Row],[HORA REPORTE]]+SEGUIMIENTO_TPM_xlsx[[#This Row],[FECHA DE REPORTE]])</f>
        <v>0</v>
      </c>
      <c r="S1364" s="20">
        <f>(SEGUIMIENTO_TPM_xlsx[[#This Row],[FECHA DE INTERVENCÓN]]+SEGUIMIENTO_TPM_xlsx[[#This Row],[HORA FIN  INTERVENCIÓN]])</f>
        <v>0</v>
      </c>
      <c r="T1364" s="11">
        <f>(SEGUIMIENTO_TPM_xlsx[[#This Row],[FECHA Y HORA FINAL]]-SEGUIMIENTO_TPM_xlsx[[#This Row],[FECHA Y HORA INICIO]])</f>
        <v>0</v>
      </c>
    </row>
    <row r="1365" spans="1:20" x14ac:dyDescent="0.25">
      <c r="A1365" t="s">
        <v>1853</v>
      </c>
      <c r="C1365" s="1"/>
      <c r="D1365" s="2"/>
      <c r="H1365" s="1"/>
      <c r="I1365" s="1"/>
      <c r="J1365" s="2"/>
      <c r="Q1365" s="1">
        <f>SEGUIMIENTO_TPM_xlsx[[#This Row],[HORA FIN  INTERVENCIÓN]]-SEGUIMIENTO_TPM_xlsx[[#This Row],[HORA INICIO INTERVENCIÓN]]</f>
        <v>0</v>
      </c>
      <c r="R1365" s="20">
        <f>(SEGUIMIENTO_TPM_xlsx[[#This Row],[HORA REPORTE]]+SEGUIMIENTO_TPM_xlsx[[#This Row],[FECHA DE REPORTE]])</f>
        <v>0</v>
      </c>
      <c r="S1365" s="20">
        <f>(SEGUIMIENTO_TPM_xlsx[[#This Row],[FECHA DE INTERVENCÓN]]+SEGUIMIENTO_TPM_xlsx[[#This Row],[HORA FIN  INTERVENCIÓN]])</f>
        <v>0</v>
      </c>
      <c r="T1365" s="11">
        <f>(SEGUIMIENTO_TPM_xlsx[[#This Row],[FECHA Y HORA FINAL]]-SEGUIMIENTO_TPM_xlsx[[#This Row],[FECHA Y HORA INICIO]])</f>
        <v>0</v>
      </c>
    </row>
    <row r="1366" spans="1:20" x14ac:dyDescent="0.25">
      <c r="A1366" t="s">
        <v>1854</v>
      </c>
      <c r="C1366" s="1"/>
      <c r="D1366" s="2"/>
      <c r="H1366" s="1"/>
      <c r="I1366" s="1"/>
      <c r="J1366" s="2"/>
      <c r="Q1366" s="1">
        <f>SEGUIMIENTO_TPM_xlsx[[#This Row],[HORA FIN  INTERVENCIÓN]]-SEGUIMIENTO_TPM_xlsx[[#This Row],[HORA INICIO INTERVENCIÓN]]</f>
        <v>0</v>
      </c>
      <c r="R1366" s="20">
        <f>(SEGUIMIENTO_TPM_xlsx[[#This Row],[HORA REPORTE]]+SEGUIMIENTO_TPM_xlsx[[#This Row],[FECHA DE REPORTE]])</f>
        <v>0</v>
      </c>
      <c r="S1366" s="20">
        <f>(SEGUIMIENTO_TPM_xlsx[[#This Row],[FECHA DE INTERVENCÓN]]+SEGUIMIENTO_TPM_xlsx[[#This Row],[HORA FIN  INTERVENCIÓN]])</f>
        <v>0</v>
      </c>
      <c r="T1366" s="11">
        <f>(SEGUIMIENTO_TPM_xlsx[[#This Row],[FECHA Y HORA FINAL]]-SEGUIMIENTO_TPM_xlsx[[#This Row],[FECHA Y HORA INICIO]])</f>
        <v>0</v>
      </c>
    </row>
    <row r="1367" spans="1:20" x14ac:dyDescent="0.25">
      <c r="A1367" t="s">
        <v>1855</v>
      </c>
      <c r="C1367" s="1"/>
      <c r="D1367" s="2"/>
      <c r="H1367" s="1"/>
      <c r="I1367" s="1"/>
      <c r="J1367" s="2"/>
      <c r="Q1367" s="1">
        <f>SEGUIMIENTO_TPM_xlsx[[#This Row],[HORA FIN  INTERVENCIÓN]]-SEGUIMIENTO_TPM_xlsx[[#This Row],[HORA INICIO INTERVENCIÓN]]</f>
        <v>0</v>
      </c>
      <c r="R1367" s="20">
        <f>(SEGUIMIENTO_TPM_xlsx[[#This Row],[HORA REPORTE]]+SEGUIMIENTO_TPM_xlsx[[#This Row],[FECHA DE REPORTE]])</f>
        <v>0</v>
      </c>
      <c r="S1367" s="20">
        <f>(SEGUIMIENTO_TPM_xlsx[[#This Row],[FECHA DE INTERVENCÓN]]+SEGUIMIENTO_TPM_xlsx[[#This Row],[HORA FIN  INTERVENCIÓN]])</f>
        <v>0</v>
      </c>
      <c r="T1367" s="11">
        <f>(SEGUIMIENTO_TPM_xlsx[[#This Row],[FECHA Y HORA FINAL]]-SEGUIMIENTO_TPM_xlsx[[#This Row],[FECHA Y HORA INICIO]])</f>
        <v>0</v>
      </c>
    </row>
    <row r="1368" spans="1:20" x14ac:dyDescent="0.25">
      <c r="A1368" t="s">
        <v>1856</v>
      </c>
      <c r="C1368" s="1"/>
      <c r="D1368" s="2"/>
      <c r="H1368" s="1"/>
      <c r="I1368" s="1"/>
      <c r="J1368" s="2"/>
      <c r="Q1368" s="1">
        <f>SEGUIMIENTO_TPM_xlsx[[#This Row],[HORA FIN  INTERVENCIÓN]]-SEGUIMIENTO_TPM_xlsx[[#This Row],[HORA INICIO INTERVENCIÓN]]</f>
        <v>0</v>
      </c>
      <c r="R1368" s="20">
        <f>(SEGUIMIENTO_TPM_xlsx[[#This Row],[HORA REPORTE]]+SEGUIMIENTO_TPM_xlsx[[#This Row],[FECHA DE REPORTE]])</f>
        <v>0</v>
      </c>
      <c r="S1368" s="20">
        <f>(SEGUIMIENTO_TPM_xlsx[[#This Row],[FECHA DE INTERVENCÓN]]+SEGUIMIENTO_TPM_xlsx[[#This Row],[HORA FIN  INTERVENCIÓN]])</f>
        <v>0</v>
      </c>
      <c r="T1368" s="11">
        <f>(SEGUIMIENTO_TPM_xlsx[[#This Row],[FECHA Y HORA FINAL]]-SEGUIMIENTO_TPM_xlsx[[#This Row],[FECHA Y HORA INICIO]])</f>
        <v>0</v>
      </c>
    </row>
    <row r="1369" spans="1:20" x14ac:dyDescent="0.25">
      <c r="A1369" t="s">
        <v>1857</v>
      </c>
      <c r="C1369" s="1"/>
      <c r="D1369" s="2"/>
      <c r="H1369" s="1"/>
      <c r="I1369" s="1"/>
      <c r="J1369" s="2"/>
      <c r="Q1369" s="1">
        <f>SEGUIMIENTO_TPM_xlsx[[#This Row],[HORA FIN  INTERVENCIÓN]]-SEGUIMIENTO_TPM_xlsx[[#This Row],[HORA INICIO INTERVENCIÓN]]</f>
        <v>0</v>
      </c>
      <c r="R1369" s="20">
        <f>(SEGUIMIENTO_TPM_xlsx[[#This Row],[HORA REPORTE]]+SEGUIMIENTO_TPM_xlsx[[#This Row],[FECHA DE REPORTE]])</f>
        <v>0</v>
      </c>
      <c r="S1369" s="20">
        <f>(SEGUIMIENTO_TPM_xlsx[[#This Row],[FECHA DE INTERVENCÓN]]+SEGUIMIENTO_TPM_xlsx[[#This Row],[HORA FIN  INTERVENCIÓN]])</f>
        <v>0</v>
      </c>
      <c r="T1369" s="11">
        <f>(SEGUIMIENTO_TPM_xlsx[[#This Row],[FECHA Y HORA FINAL]]-SEGUIMIENTO_TPM_xlsx[[#This Row],[FECHA Y HORA INICIO]])</f>
        <v>0</v>
      </c>
    </row>
    <row r="1370" spans="1:20" x14ac:dyDescent="0.25">
      <c r="A1370" t="s">
        <v>1858</v>
      </c>
      <c r="C1370" s="1"/>
      <c r="D1370" s="2"/>
      <c r="H1370" s="1"/>
      <c r="I1370" s="1"/>
      <c r="J1370" s="2"/>
      <c r="Q1370" s="1">
        <f>SEGUIMIENTO_TPM_xlsx[[#This Row],[HORA FIN  INTERVENCIÓN]]-SEGUIMIENTO_TPM_xlsx[[#This Row],[HORA INICIO INTERVENCIÓN]]</f>
        <v>0</v>
      </c>
      <c r="R1370" s="20">
        <f>(SEGUIMIENTO_TPM_xlsx[[#This Row],[HORA REPORTE]]+SEGUIMIENTO_TPM_xlsx[[#This Row],[FECHA DE REPORTE]])</f>
        <v>0</v>
      </c>
      <c r="S1370" s="20">
        <f>(SEGUIMIENTO_TPM_xlsx[[#This Row],[FECHA DE INTERVENCÓN]]+SEGUIMIENTO_TPM_xlsx[[#This Row],[HORA FIN  INTERVENCIÓN]])</f>
        <v>0</v>
      </c>
      <c r="T1370" s="11">
        <f>(SEGUIMIENTO_TPM_xlsx[[#This Row],[FECHA Y HORA FINAL]]-SEGUIMIENTO_TPM_xlsx[[#This Row],[FECHA Y HORA INICIO]])</f>
        <v>0</v>
      </c>
    </row>
    <row r="1371" spans="1:20" x14ac:dyDescent="0.25">
      <c r="A1371" t="s">
        <v>1859</v>
      </c>
      <c r="C1371" s="1"/>
      <c r="D1371" s="2"/>
      <c r="H1371" s="1"/>
      <c r="I1371" s="1"/>
      <c r="J1371" s="2"/>
      <c r="Q1371" s="1">
        <f>SEGUIMIENTO_TPM_xlsx[[#This Row],[HORA FIN  INTERVENCIÓN]]-SEGUIMIENTO_TPM_xlsx[[#This Row],[HORA INICIO INTERVENCIÓN]]</f>
        <v>0</v>
      </c>
      <c r="R1371" s="20">
        <f>(SEGUIMIENTO_TPM_xlsx[[#This Row],[HORA REPORTE]]+SEGUIMIENTO_TPM_xlsx[[#This Row],[FECHA DE REPORTE]])</f>
        <v>0</v>
      </c>
      <c r="S1371" s="20">
        <f>(SEGUIMIENTO_TPM_xlsx[[#This Row],[FECHA DE INTERVENCÓN]]+SEGUIMIENTO_TPM_xlsx[[#This Row],[HORA FIN  INTERVENCIÓN]])</f>
        <v>0</v>
      </c>
      <c r="T1371" s="11">
        <f>(SEGUIMIENTO_TPM_xlsx[[#This Row],[FECHA Y HORA FINAL]]-SEGUIMIENTO_TPM_xlsx[[#This Row],[FECHA Y HORA INICIO]])</f>
        <v>0</v>
      </c>
    </row>
    <row r="1372" spans="1:20" x14ac:dyDescent="0.25">
      <c r="A1372" t="s">
        <v>1860</v>
      </c>
      <c r="C1372" s="1"/>
      <c r="D1372" s="2"/>
      <c r="H1372" s="1"/>
      <c r="I1372" s="1"/>
      <c r="J1372" s="2"/>
      <c r="Q1372" s="1">
        <f>SEGUIMIENTO_TPM_xlsx[[#This Row],[HORA FIN  INTERVENCIÓN]]-SEGUIMIENTO_TPM_xlsx[[#This Row],[HORA INICIO INTERVENCIÓN]]</f>
        <v>0</v>
      </c>
      <c r="R1372" s="20">
        <f>(SEGUIMIENTO_TPM_xlsx[[#This Row],[HORA REPORTE]]+SEGUIMIENTO_TPM_xlsx[[#This Row],[FECHA DE REPORTE]])</f>
        <v>0</v>
      </c>
      <c r="S1372" s="20">
        <f>(SEGUIMIENTO_TPM_xlsx[[#This Row],[FECHA DE INTERVENCÓN]]+SEGUIMIENTO_TPM_xlsx[[#This Row],[HORA FIN  INTERVENCIÓN]])</f>
        <v>0</v>
      </c>
      <c r="T1372" s="11">
        <f>(SEGUIMIENTO_TPM_xlsx[[#This Row],[FECHA Y HORA FINAL]]-SEGUIMIENTO_TPM_xlsx[[#This Row],[FECHA Y HORA INICIO]])</f>
        <v>0</v>
      </c>
    </row>
    <row r="1373" spans="1:20" x14ac:dyDescent="0.25">
      <c r="A1373" t="s">
        <v>1861</v>
      </c>
      <c r="C1373" s="1"/>
      <c r="D1373" s="2"/>
      <c r="H1373" s="1"/>
      <c r="I1373" s="1"/>
      <c r="J1373" s="2"/>
      <c r="Q1373" s="1">
        <f>SEGUIMIENTO_TPM_xlsx[[#This Row],[HORA FIN  INTERVENCIÓN]]-SEGUIMIENTO_TPM_xlsx[[#This Row],[HORA INICIO INTERVENCIÓN]]</f>
        <v>0</v>
      </c>
      <c r="R1373" s="20">
        <f>(SEGUIMIENTO_TPM_xlsx[[#This Row],[HORA REPORTE]]+SEGUIMIENTO_TPM_xlsx[[#This Row],[FECHA DE REPORTE]])</f>
        <v>0</v>
      </c>
      <c r="S1373" s="20">
        <f>(SEGUIMIENTO_TPM_xlsx[[#This Row],[FECHA DE INTERVENCÓN]]+SEGUIMIENTO_TPM_xlsx[[#This Row],[HORA FIN  INTERVENCIÓN]])</f>
        <v>0</v>
      </c>
      <c r="T1373" s="11">
        <f>(SEGUIMIENTO_TPM_xlsx[[#This Row],[FECHA Y HORA FINAL]]-SEGUIMIENTO_TPM_xlsx[[#This Row],[FECHA Y HORA INICIO]])</f>
        <v>0</v>
      </c>
    </row>
    <row r="1374" spans="1:20" x14ac:dyDescent="0.25">
      <c r="A1374" t="s">
        <v>1862</v>
      </c>
      <c r="C1374" s="1"/>
      <c r="D1374" s="2"/>
      <c r="H1374" s="1"/>
      <c r="I1374" s="1"/>
      <c r="J1374" s="2"/>
      <c r="Q1374" s="1">
        <f>SEGUIMIENTO_TPM_xlsx[[#This Row],[HORA FIN  INTERVENCIÓN]]-SEGUIMIENTO_TPM_xlsx[[#This Row],[HORA INICIO INTERVENCIÓN]]</f>
        <v>0</v>
      </c>
      <c r="R1374" s="20">
        <f>(SEGUIMIENTO_TPM_xlsx[[#This Row],[HORA REPORTE]]+SEGUIMIENTO_TPM_xlsx[[#This Row],[FECHA DE REPORTE]])</f>
        <v>0</v>
      </c>
      <c r="S1374" s="20">
        <f>(SEGUIMIENTO_TPM_xlsx[[#This Row],[FECHA DE INTERVENCÓN]]+SEGUIMIENTO_TPM_xlsx[[#This Row],[HORA FIN  INTERVENCIÓN]])</f>
        <v>0</v>
      </c>
      <c r="T1374" s="11">
        <f>(SEGUIMIENTO_TPM_xlsx[[#This Row],[FECHA Y HORA FINAL]]-SEGUIMIENTO_TPM_xlsx[[#This Row],[FECHA Y HORA INICIO]])</f>
        <v>0</v>
      </c>
    </row>
    <row r="1375" spans="1:20" x14ac:dyDescent="0.25">
      <c r="A1375" t="s">
        <v>1863</v>
      </c>
      <c r="C1375" s="1"/>
      <c r="D1375" s="2"/>
      <c r="H1375" s="1"/>
      <c r="I1375" s="1"/>
      <c r="J1375" s="2"/>
      <c r="Q1375" s="1">
        <f>SEGUIMIENTO_TPM_xlsx[[#This Row],[HORA FIN  INTERVENCIÓN]]-SEGUIMIENTO_TPM_xlsx[[#This Row],[HORA INICIO INTERVENCIÓN]]</f>
        <v>0</v>
      </c>
      <c r="R1375" s="20">
        <f>(SEGUIMIENTO_TPM_xlsx[[#This Row],[HORA REPORTE]]+SEGUIMIENTO_TPM_xlsx[[#This Row],[FECHA DE REPORTE]])</f>
        <v>0</v>
      </c>
      <c r="S1375" s="20">
        <f>(SEGUIMIENTO_TPM_xlsx[[#This Row],[FECHA DE INTERVENCÓN]]+SEGUIMIENTO_TPM_xlsx[[#This Row],[HORA FIN  INTERVENCIÓN]])</f>
        <v>0</v>
      </c>
      <c r="T1375" s="11">
        <f>(SEGUIMIENTO_TPM_xlsx[[#This Row],[FECHA Y HORA FINAL]]-SEGUIMIENTO_TPM_xlsx[[#This Row],[FECHA Y HORA INICIO]])</f>
        <v>0</v>
      </c>
    </row>
    <row r="1376" spans="1:20" x14ac:dyDescent="0.25">
      <c r="A1376" t="s">
        <v>1864</v>
      </c>
      <c r="C1376" s="1"/>
      <c r="D1376" s="2"/>
      <c r="H1376" s="1"/>
      <c r="I1376" s="1"/>
      <c r="J1376" s="2"/>
      <c r="Q1376" s="1">
        <f>SEGUIMIENTO_TPM_xlsx[[#This Row],[HORA FIN  INTERVENCIÓN]]-SEGUIMIENTO_TPM_xlsx[[#This Row],[HORA INICIO INTERVENCIÓN]]</f>
        <v>0</v>
      </c>
      <c r="R1376" s="20">
        <f>(SEGUIMIENTO_TPM_xlsx[[#This Row],[HORA REPORTE]]+SEGUIMIENTO_TPM_xlsx[[#This Row],[FECHA DE REPORTE]])</f>
        <v>0</v>
      </c>
      <c r="S1376" s="20">
        <f>(SEGUIMIENTO_TPM_xlsx[[#This Row],[FECHA DE INTERVENCÓN]]+SEGUIMIENTO_TPM_xlsx[[#This Row],[HORA FIN  INTERVENCIÓN]])</f>
        <v>0</v>
      </c>
      <c r="T1376" s="11">
        <f>(SEGUIMIENTO_TPM_xlsx[[#This Row],[FECHA Y HORA FINAL]]-SEGUIMIENTO_TPM_xlsx[[#This Row],[FECHA Y HORA INICIO]])</f>
        <v>0</v>
      </c>
    </row>
    <row r="1377" spans="1:20" x14ac:dyDescent="0.25">
      <c r="A1377" t="s">
        <v>1865</v>
      </c>
      <c r="C1377" s="1"/>
      <c r="D1377" s="2"/>
      <c r="H1377" s="1"/>
      <c r="I1377" s="1"/>
      <c r="J1377" s="2"/>
      <c r="Q1377" s="1">
        <f>SEGUIMIENTO_TPM_xlsx[[#This Row],[HORA FIN  INTERVENCIÓN]]-SEGUIMIENTO_TPM_xlsx[[#This Row],[HORA INICIO INTERVENCIÓN]]</f>
        <v>0</v>
      </c>
      <c r="R1377" s="20">
        <f>(SEGUIMIENTO_TPM_xlsx[[#This Row],[HORA REPORTE]]+SEGUIMIENTO_TPM_xlsx[[#This Row],[FECHA DE REPORTE]])</f>
        <v>0</v>
      </c>
      <c r="S1377" s="20">
        <f>(SEGUIMIENTO_TPM_xlsx[[#This Row],[FECHA DE INTERVENCÓN]]+SEGUIMIENTO_TPM_xlsx[[#This Row],[HORA FIN  INTERVENCIÓN]])</f>
        <v>0</v>
      </c>
      <c r="T1377" s="11">
        <f>(SEGUIMIENTO_TPM_xlsx[[#This Row],[FECHA Y HORA FINAL]]-SEGUIMIENTO_TPM_xlsx[[#This Row],[FECHA Y HORA INICIO]])</f>
        <v>0</v>
      </c>
    </row>
    <row r="1378" spans="1:20" x14ac:dyDescent="0.25">
      <c r="A1378" t="s">
        <v>1866</v>
      </c>
      <c r="C1378" s="1"/>
      <c r="D1378" s="2"/>
      <c r="H1378" s="1"/>
      <c r="I1378" s="1"/>
      <c r="J1378" s="2"/>
      <c r="Q1378" s="1">
        <f>SEGUIMIENTO_TPM_xlsx[[#This Row],[HORA FIN  INTERVENCIÓN]]-SEGUIMIENTO_TPM_xlsx[[#This Row],[HORA INICIO INTERVENCIÓN]]</f>
        <v>0</v>
      </c>
      <c r="R1378" s="20">
        <f>(SEGUIMIENTO_TPM_xlsx[[#This Row],[HORA REPORTE]]+SEGUIMIENTO_TPM_xlsx[[#This Row],[FECHA DE REPORTE]])</f>
        <v>0</v>
      </c>
      <c r="S1378" s="20">
        <f>(SEGUIMIENTO_TPM_xlsx[[#This Row],[FECHA DE INTERVENCÓN]]+SEGUIMIENTO_TPM_xlsx[[#This Row],[HORA FIN  INTERVENCIÓN]])</f>
        <v>0</v>
      </c>
      <c r="T1378" s="11">
        <f>(SEGUIMIENTO_TPM_xlsx[[#This Row],[FECHA Y HORA FINAL]]-SEGUIMIENTO_TPM_xlsx[[#This Row],[FECHA Y HORA INICIO]])</f>
        <v>0</v>
      </c>
    </row>
    <row r="1379" spans="1:20" x14ac:dyDescent="0.25">
      <c r="A1379" t="s">
        <v>1867</v>
      </c>
      <c r="C1379" s="1"/>
      <c r="D1379" s="2"/>
      <c r="H1379" s="1"/>
      <c r="I1379" s="1"/>
      <c r="J1379" s="2"/>
      <c r="Q1379" s="1">
        <f>SEGUIMIENTO_TPM_xlsx[[#This Row],[HORA FIN  INTERVENCIÓN]]-SEGUIMIENTO_TPM_xlsx[[#This Row],[HORA INICIO INTERVENCIÓN]]</f>
        <v>0</v>
      </c>
      <c r="R1379" s="20">
        <f>(SEGUIMIENTO_TPM_xlsx[[#This Row],[HORA REPORTE]]+SEGUIMIENTO_TPM_xlsx[[#This Row],[FECHA DE REPORTE]])</f>
        <v>0</v>
      </c>
      <c r="S1379" s="20">
        <f>(SEGUIMIENTO_TPM_xlsx[[#This Row],[FECHA DE INTERVENCÓN]]+SEGUIMIENTO_TPM_xlsx[[#This Row],[HORA FIN  INTERVENCIÓN]])</f>
        <v>0</v>
      </c>
      <c r="T1379" s="11">
        <f>(SEGUIMIENTO_TPM_xlsx[[#This Row],[FECHA Y HORA FINAL]]-SEGUIMIENTO_TPM_xlsx[[#This Row],[FECHA Y HORA INICIO]])</f>
        <v>0</v>
      </c>
    </row>
    <row r="1380" spans="1:20" x14ac:dyDescent="0.25">
      <c r="A1380" t="s">
        <v>1868</v>
      </c>
      <c r="C1380" s="1"/>
      <c r="D1380" s="2"/>
      <c r="H1380" s="1"/>
      <c r="I1380" s="1"/>
      <c r="J1380" s="2"/>
      <c r="Q1380" s="1">
        <f>SEGUIMIENTO_TPM_xlsx[[#This Row],[HORA FIN  INTERVENCIÓN]]-SEGUIMIENTO_TPM_xlsx[[#This Row],[HORA INICIO INTERVENCIÓN]]</f>
        <v>0</v>
      </c>
      <c r="R1380" s="20">
        <f>(SEGUIMIENTO_TPM_xlsx[[#This Row],[HORA REPORTE]]+SEGUIMIENTO_TPM_xlsx[[#This Row],[FECHA DE REPORTE]])</f>
        <v>0</v>
      </c>
      <c r="S1380" s="20">
        <f>(SEGUIMIENTO_TPM_xlsx[[#This Row],[FECHA DE INTERVENCÓN]]+SEGUIMIENTO_TPM_xlsx[[#This Row],[HORA FIN  INTERVENCIÓN]])</f>
        <v>0</v>
      </c>
      <c r="T1380" s="11">
        <f>(SEGUIMIENTO_TPM_xlsx[[#This Row],[FECHA Y HORA FINAL]]-SEGUIMIENTO_TPM_xlsx[[#This Row],[FECHA Y HORA INICIO]])</f>
        <v>0</v>
      </c>
    </row>
    <row r="1381" spans="1:20" x14ac:dyDescent="0.25">
      <c r="A1381" t="s">
        <v>1869</v>
      </c>
      <c r="C1381" s="1"/>
      <c r="D1381" s="2"/>
      <c r="H1381" s="1"/>
      <c r="I1381" s="1"/>
      <c r="J1381" s="2"/>
      <c r="Q1381" s="1">
        <f>SEGUIMIENTO_TPM_xlsx[[#This Row],[HORA FIN  INTERVENCIÓN]]-SEGUIMIENTO_TPM_xlsx[[#This Row],[HORA INICIO INTERVENCIÓN]]</f>
        <v>0</v>
      </c>
      <c r="R1381" s="20">
        <f>(SEGUIMIENTO_TPM_xlsx[[#This Row],[HORA REPORTE]]+SEGUIMIENTO_TPM_xlsx[[#This Row],[FECHA DE REPORTE]])</f>
        <v>0</v>
      </c>
      <c r="S1381" s="20">
        <f>(SEGUIMIENTO_TPM_xlsx[[#This Row],[FECHA DE INTERVENCÓN]]+SEGUIMIENTO_TPM_xlsx[[#This Row],[HORA FIN  INTERVENCIÓN]])</f>
        <v>0</v>
      </c>
      <c r="T1381" s="11">
        <f>(SEGUIMIENTO_TPM_xlsx[[#This Row],[FECHA Y HORA FINAL]]-SEGUIMIENTO_TPM_xlsx[[#This Row],[FECHA Y HORA INICIO]])</f>
        <v>0</v>
      </c>
    </row>
    <row r="1382" spans="1:20" x14ac:dyDescent="0.25">
      <c r="A1382" t="s">
        <v>1870</v>
      </c>
      <c r="C1382" s="1"/>
      <c r="D1382" s="2"/>
      <c r="H1382" s="1"/>
      <c r="I1382" s="1"/>
      <c r="J1382" s="2"/>
      <c r="Q1382" s="1">
        <f>SEGUIMIENTO_TPM_xlsx[[#This Row],[HORA FIN  INTERVENCIÓN]]-SEGUIMIENTO_TPM_xlsx[[#This Row],[HORA INICIO INTERVENCIÓN]]</f>
        <v>0</v>
      </c>
      <c r="R1382" s="20">
        <f>(SEGUIMIENTO_TPM_xlsx[[#This Row],[HORA REPORTE]]+SEGUIMIENTO_TPM_xlsx[[#This Row],[FECHA DE REPORTE]])</f>
        <v>0</v>
      </c>
      <c r="S1382" s="20">
        <f>(SEGUIMIENTO_TPM_xlsx[[#This Row],[FECHA DE INTERVENCÓN]]+SEGUIMIENTO_TPM_xlsx[[#This Row],[HORA FIN  INTERVENCIÓN]])</f>
        <v>0</v>
      </c>
      <c r="T1382" s="11">
        <f>(SEGUIMIENTO_TPM_xlsx[[#This Row],[FECHA Y HORA FINAL]]-SEGUIMIENTO_TPM_xlsx[[#This Row],[FECHA Y HORA INICIO]])</f>
        <v>0</v>
      </c>
    </row>
    <row r="1383" spans="1:20" x14ac:dyDescent="0.25">
      <c r="A1383" t="s">
        <v>1871</v>
      </c>
      <c r="C1383" s="1"/>
      <c r="D1383" s="2"/>
      <c r="H1383" s="1"/>
      <c r="I1383" s="1"/>
      <c r="J1383" s="2"/>
      <c r="Q1383" s="1">
        <f>SEGUIMIENTO_TPM_xlsx[[#This Row],[HORA FIN  INTERVENCIÓN]]-SEGUIMIENTO_TPM_xlsx[[#This Row],[HORA INICIO INTERVENCIÓN]]</f>
        <v>0</v>
      </c>
      <c r="R1383" s="20">
        <f>(SEGUIMIENTO_TPM_xlsx[[#This Row],[HORA REPORTE]]+SEGUIMIENTO_TPM_xlsx[[#This Row],[FECHA DE REPORTE]])</f>
        <v>0</v>
      </c>
      <c r="S1383" s="20">
        <f>(SEGUIMIENTO_TPM_xlsx[[#This Row],[FECHA DE INTERVENCÓN]]+SEGUIMIENTO_TPM_xlsx[[#This Row],[HORA FIN  INTERVENCIÓN]])</f>
        <v>0</v>
      </c>
      <c r="T1383" s="11">
        <f>(SEGUIMIENTO_TPM_xlsx[[#This Row],[FECHA Y HORA FINAL]]-SEGUIMIENTO_TPM_xlsx[[#This Row],[FECHA Y HORA INICIO]])</f>
        <v>0</v>
      </c>
    </row>
    <row r="1384" spans="1:20" x14ac:dyDescent="0.25">
      <c r="A1384" t="s">
        <v>1872</v>
      </c>
      <c r="C1384" s="1"/>
      <c r="D1384" s="2"/>
      <c r="H1384" s="1"/>
      <c r="I1384" s="1"/>
      <c r="J1384" s="2"/>
      <c r="Q1384" s="1">
        <f>SEGUIMIENTO_TPM_xlsx[[#This Row],[HORA FIN  INTERVENCIÓN]]-SEGUIMIENTO_TPM_xlsx[[#This Row],[HORA INICIO INTERVENCIÓN]]</f>
        <v>0</v>
      </c>
      <c r="R1384" s="20">
        <f>(SEGUIMIENTO_TPM_xlsx[[#This Row],[HORA REPORTE]]+SEGUIMIENTO_TPM_xlsx[[#This Row],[FECHA DE REPORTE]])</f>
        <v>0</v>
      </c>
      <c r="S1384" s="20">
        <f>(SEGUIMIENTO_TPM_xlsx[[#This Row],[FECHA DE INTERVENCÓN]]+SEGUIMIENTO_TPM_xlsx[[#This Row],[HORA FIN  INTERVENCIÓN]])</f>
        <v>0</v>
      </c>
      <c r="T1384" s="11">
        <f>(SEGUIMIENTO_TPM_xlsx[[#This Row],[FECHA Y HORA FINAL]]-SEGUIMIENTO_TPM_xlsx[[#This Row],[FECHA Y HORA INICIO]])</f>
        <v>0</v>
      </c>
    </row>
    <row r="1385" spans="1:20" x14ac:dyDescent="0.25">
      <c r="A1385" t="s">
        <v>1873</v>
      </c>
      <c r="C1385" s="1"/>
      <c r="D1385" s="2"/>
      <c r="H1385" s="1"/>
      <c r="I1385" s="1"/>
      <c r="J1385" s="2"/>
      <c r="Q1385" s="1">
        <f>SEGUIMIENTO_TPM_xlsx[[#This Row],[HORA FIN  INTERVENCIÓN]]-SEGUIMIENTO_TPM_xlsx[[#This Row],[HORA INICIO INTERVENCIÓN]]</f>
        <v>0</v>
      </c>
      <c r="R1385" s="20">
        <f>(SEGUIMIENTO_TPM_xlsx[[#This Row],[HORA REPORTE]]+SEGUIMIENTO_TPM_xlsx[[#This Row],[FECHA DE REPORTE]])</f>
        <v>0</v>
      </c>
      <c r="S1385" s="20">
        <f>(SEGUIMIENTO_TPM_xlsx[[#This Row],[FECHA DE INTERVENCÓN]]+SEGUIMIENTO_TPM_xlsx[[#This Row],[HORA FIN  INTERVENCIÓN]])</f>
        <v>0</v>
      </c>
      <c r="T1385" s="11">
        <f>(SEGUIMIENTO_TPM_xlsx[[#This Row],[FECHA Y HORA FINAL]]-SEGUIMIENTO_TPM_xlsx[[#This Row],[FECHA Y HORA INICIO]])</f>
        <v>0</v>
      </c>
    </row>
    <row r="1386" spans="1:20" x14ac:dyDescent="0.25">
      <c r="A1386" t="s">
        <v>1874</v>
      </c>
      <c r="C1386" s="1"/>
      <c r="D1386" s="2"/>
      <c r="H1386" s="1"/>
      <c r="I1386" s="1"/>
      <c r="J1386" s="2"/>
      <c r="Q1386" s="1">
        <f>SEGUIMIENTO_TPM_xlsx[[#This Row],[HORA FIN  INTERVENCIÓN]]-SEGUIMIENTO_TPM_xlsx[[#This Row],[HORA INICIO INTERVENCIÓN]]</f>
        <v>0</v>
      </c>
      <c r="R1386" s="20">
        <f>(SEGUIMIENTO_TPM_xlsx[[#This Row],[HORA REPORTE]]+SEGUIMIENTO_TPM_xlsx[[#This Row],[FECHA DE REPORTE]])</f>
        <v>0</v>
      </c>
      <c r="S1386" s="20">
        <f>(SEGUIMIENTO_TPM_xlsx[[#This Row],[FECHA DE INTERVENCÓN]]+SEGUIMIENTO_TPM_xlsx[[#This Row],[HORA FIN  INTERVENCIÓN]])</f>
        <v>0</v>
      </c>
      <c r="T1386" s="11">
        <f>(SEGUIMIENTO_TPM_xlsx[[#This Row],[FECHA Y HORA FINAL]]-SEGUIMIENTO_TPM_xlsx[[#This Row],[FECHA Y HORA INICIO]])</f>
        <v>0</v>
      </c>
    </row>
    <row r="1387" spans="1:20" x14ac:dyDescent="0.25">
      <c r="A1387" t="s">
        <v>1875</v>
      </c>
      <c r="C1387" s="1"/>
      <c r="D1387" s="2"/>
      <c r="H1387" s="1"/>
      <c r="I1387" s="1"/>
      <c r="J1387" s="2"/>
      <c r="Q1387" s="1">
        <f>SEGUIMIENTO_TPM_xlsx[[#This Row],[HORA FIN  INTERVENCIÓN]]-SEGUIMIENTO_TPM_xlsx[[#This Row],[HORA INICIO INTERVENCIÓN]]</f>
        <v>0</v>
      </c>
      <c r="R1387" s="20">
        <f>(SEGUIMIENTO_TPM_xlsx[[#This Row],[HORA REPORTE]]+SEGUIMIENTO_TPM_xlsx[[#This Row],[FECHA DE REPORTE]])</f>
        <v>0</v>
      </c>
      <c r="S1387" s="20">
        <f>(SEGUIMIENTO_TPM_xlsx[[#This Row],[FECHA DE INTERVENCÓN]]+SEGUIMIENTO_TPM_xlsx[[#This Row],[HORA FIN  INTERVENCIÓN]])</f>
        <v>0</v>
      </c>
      <c r="T1387" s="11">
        <f>(SEGUIMIENTO_TPM_xlsx[[#This Row],[FECHA Y HORA FINAL]]-SEGUIMIENTO_TPM_xlsx[[#This Row],[FECHA Y HORA INICIO]])</f>
        <v>0</v>
      </c>
    </row>
    <row r="1388" spans="1:20" x14ac:dyDescent="0.25">
      <c r="A1388" t="s">
        <v>1876</v>
      </c>
      <c r="C1388" s="1"/>
      <c r="D1388" s="2"/>
      <c r="H1388" s="1"/>
      <c r="I1388" s="1"/>
      <c r="J1388" s="2"/>
      <c r="Q1388" s="1">
        <f>SEGUIMIENTO_TPM_xlsx[[#This Row],[HORA FIN  INTERVENCIÓN]]-SEGUIMIENTO_TPM_xlsx[[#This Row],[HORA INICIO INTERVENCIÓN]]</f>
        <v>0</v>
      </c>
      <c r="R1388" s="20">
        <f>(SEGUIMIENTO_TPM_xlsx[[#This Row],[HORA REPORTE]]+SEGUIMIENTO_TPM_xlsx[[#This Row],[FECHA DE REPORTE]])</f>
        <v>0</v>
      </c>
      <c r="S1388" s="20">
        <f>(SEGUIMIENTO_TPM_xlsx[[#This Row],[FECHA DE INTERVENCÓN]]+SEGUIMIENTO_TPM_xlsx[[#This Row],[HORA FIN  INTERVENCIÓN]])</f>
        <v>0</v>
      </c>
      <c r="T1388" s="11">
        <f>(SEGUIMIENTO_TPM_xlsx[[#This Row],[FECHA Y HORA FINAL]]-SEGUIMIENTO_TPM_xlsx[[#This Row],[FECHA Y HORA INICIO]])</f>
        <v>0</v>
      </c>
    </row>
    <row r="1389" spans="1:20" x14ac:dyDescent="0.25">
      <c r="A1389" t="s">
        <v>1877</v>
      </c>
      <c r="C1389" s="1"/>
      <c r="D1389" s="2"/>
      <c r="H1389" s="1"/>
      <c r="I1389" s="1"/>
      <c r="J1389" s="2"/>
      <c r="Q1389" s="1">
        <f>SEGUIMIENTO_TPM_xlsx[[#This Row],[HORA FIN  INTERVENCIÓN]]-SEGUIMIENTO_TPM_xlsx[[#This Row],[HORA INICIO INTERVENCIÓN]]</f>
        <v>0</v>
      </c>
      <c r="R1389" s="20">
        <f>(SEGUIMIENTO_TPM_xlsx[[#This Row],[HORA REPORTE]]+SEGUIMIENTO_TPM_xlsx[[#This Row],[FECHA DE REPORTE]])</f>
        <v>0</v>
      </c>
      <c r="S1389" s="20">
        <f>(SEGUIMIENTO_TPM_xlsx[[#This Row],[FECHA DE INTERVENCÓN]]+SEGUIMIENTO_TPM_xlsx[[#This Row],[HORA FIN  INTERVENCIÓN]])</f>
        <v>0</v>
      </c>
      <c r="T1389" s="11">
        <f>(SEGUIMIENTO_TPM_xlsx[[#This Row],[FECHA Y HORA FINAL]]-SEGUIMIENTO_TPM_xlsx[[#This Row],[FECHA Y HORA INICIO]])</f>
        <v>0</v>
      </c>
    </row>
    <row r="1390" spans="1:20" x14ac:dyDescent="0.25">
      <c r="A1390" t="s">
        <v>1878</v>
      </c>
      <c r="C1390" s="1"/>
      <c r="D1390" s="2"/>
      <c r="H1390" s="1"/>
      <c r="I1390" s="1"/>
      <c r="J1390" s="2"/>
      <c r="Q1390" s="1">
        <f>SEGUIMIENTO_TPM_xlsx[[#This Row],[HORA FIN  INTERVENCIÓN]]-SEGUIMIENTO_TPM_xlsx[[#This Row],[HORA INICIO INTERVENCIÓN]]</f>
        <v>0</v>
      </c>
      <c r="R1390" s="20">
        <f>(SEGUIMIENTO_TPM_xlsx[[#This Row],[HORA REPORTE]]+SEGUIMIENTO_TPM_xlsx[[#This Row],[FECHA DE REPORTE]])</f>
        <v>0</v>
      </c>
      <c r="S1390" s="20">
        <f>(SEGUIMIENTO_TPM_xlsx[[#This Row],[FECHA DE INTERVENCÓN]]+SEGUIMIENTO_TPM_xlsx[[#This Row],[HORA FIN  INTERVENCIÓN]])</f>
        <v>0</v>
      </c>
      <c r="T1390" s="11">
        <f>(SEGUIMIENTO_TPM_xlsx[[#This Row],[FECHA Y HORA FINAL]]-SEGUIMIENTO_TPM_xlsx[[#This Row],[FECHA Y HORA INICIO]])</f>
        <v>0</v>
      </c>
    </row>
    <row r="1391" spans="1:20" x14ac:dyDescent="0.25">
      <c r="A1391" t="s">
        <v>1879</v>
      </c>
      <c r="C1391" s="1"/>
      <c r="D1391" s="2"/>
      <c r="H1391" s="1"/>
      <c r="I1391" s="1"/>
      <c r="J1391" s="2"/>
      <c r="Q1391" s="1">
        <f>SEGUIMIENTO_TPM_xlsx[[#This Row],[HORA FIN  INTERVENCIÓN]]-SEGUIMIENTO_TPM_xlsx[[#This Row],[HORA INICIO INTERVENCIÓN]]</f>
        <v>0</v>
      </c>
      <c r="R1391" s="20">
        <f>(SEGUIMIENTO_TPM_xlsx[[#This Row],[HORA REPORTE]]+SEGUIMIENTO_TPM_xlsx[[#This Row],[FECHA DE REPORTE]])</f>
        <v>0</v>
      </c>
      <c r="S1391" s="20">
        <f>(SEGUIMIENTO_TPM_xlsx[[#This Row],[FECHA DE INTERVENCÓN]]+SEGUIMIENTO_TPM_xlsx[[#This Row],[HORA FIN  INTERVENCIÓN]])</f>
        <v>0</v>
      </c>
      <c r="T1391" s="11">
        <f>(SEGUIMIENTO_TPM_xlsx[[#This Row],[FECHA Y HORA FINAL]]-SEGUIMIENTO_TPM_xlsx[[#This Row],[FECHA Y HORA INICIO]])</f>
        <v>0</v>
      </c>
    </row>
    <row r="1392" spans="1:20" x14ac:dyDescent="0.25">
      <c r="A1392" t="s">
        <v>1880</v>
      </c>
      <c r="C1392" s="1"/>
      <c r="D1392" s="2"/>
      <c r="H1392" s="1"/>
      <c r="I1392" s="1"/>
      <c r="J1392" s="2"/>
      <c r="Q1392" s="1">
        <f>SEGUIMIENTO_TPM_xlsx[[#This Row],[HORA FIN  INTERVENCIÓN]]-SEGUIMIENTO_TPM_xlsx[[#This Row],[HORA INICIO INTERVENCIÓN]]</f>
        <v>0</v>
      </c>
      <c r="R1392" s="20">
        <f>(SEGUIMIENTO_TPM_xlsx[[#This Row],[HORA REPORTE]]+SEGUIMIENTO_TPM_xlsx[[#This Row],[FECHA DE REPORTE]])</f>
        <v>0</v>
      </c>
      <c r="S1392" s="20">
        <f>(SEGUIMIENTO_TPM_xlsx[[#This Row],[FECHA DE INTERVENCÓN]]+SEGUIMIENTO_TPM_xlsx[[#This Row],[HORA FIN  INTERVENCIÓN]])</f>
        <v>0</v>
      </c>
      <c r="T1392" s="11">
        <f>(SEGUIMIENTO_TPM_xlsx[[#This Row],[FECHA Y HORA FINAL]]-SEGUIMIENTO_TPM_xlsx[[#This Row],[FECHA Y HORA INICIO]])</f>
        <v>0</v>
      </c>
    </row>
    <row r="1393" spans="1:20" x14ac:dyDescent="0.25">
      <c r="A1393" t="s">
        <v>1881</v>
      </c>
      <c r="C1393" s="1"/>
      <c r="D1393" s="2"/>
      <c r="H1393" s="1"/>
      <c r="I1393" s="1"/>
      <c r="J1393" s="2"/>
      <c r="Q1393" s="1">
        <f>SEGUIMIENTO_TPM_xlsx[[#This Row],[HORA FIN  INTERVENCIÓN]]-SEGUIMIENTO_TPM_xlsx[[#This Row],[HORA INICIO INTERVENCIÓN]]</f>
        <v>0</v>
      </c>
      <c r="R1393" s="20">
        <f>(SEGUIMIENTO_TPM_xlsx[[#This Row],[HORA REPORTE]]+SEGUIMIENTO_TPM_xlsx[[#This Row],[FECHA DE REPORTE]])</f>
        <v>0</v>
      </c>
      <c r="S1393" s="20">
        <f>(SEGUIMIENTO_TPM_xlsx[[#This Row],[FECHA DE INTERVENCÓN]]+SEGUIMIENTO_TPM_xlsx[[#This Row],[HORA FIN  INTERVENCIÓN]])</f>
        <v>0</v>
      </c>
      <c r="T1393" s="11">
        <f>(SEGUIMIENTO_TPM_xlsx[[#This Row],[FECHA Y HORA FINAL]]-SEGUIMIENTO_TPM_xlsx[[#This Row],[FECHA Y HORA INICIO]])</f>
        <v>0</v>
      </c>
    </row>
    <row r="1394" spans="1:20" x14ac:dyDescent="0.25">
      <c r="A1394" t="s">
        <v>1882</v>
      </c>
      <c r="C1394" s="1"/>
      <c r="D1394" s="2"/>
      <c r="H1394" s="1"/>
      <c r="I1394" s="1"/>
      <c r="J1394" s="2"/>
      <c r="Q1394" s="1">
        <f>SEGUIMIENTO_TPM_xlsx[[#This Row],[HORA FIN  INTERVENCIÓN]]-SEGUIMIENTO_TPM_xlsx[[#This Row],[HORA INICIO INTERVENCIÓN]]</f>
        <v>0</v>
      </c>
      <c r="R1394" s="20">
        <f>(SEGUIMIENTO_TPM_xlsx[[#This Row],[HORA REPORTE]]+SEGUIMIENTO_TPM_xlsx[[#This Row],[FECHA DE REPORTE]])</f>
        <v>0</v>
      </c>
      <c r="S1394" s="20">
        <f>(SEGUIMIENTO_TPM_xlsx[[#This Row],[FECHA DE INTERVENCÓN]]+SEGUIMIENTO_TPM_xlsx[[#This Row],[HORA FIN  INTERVENCIÓN]])</f>
        <v>0</v>
      </c>
      <c r="T1394" s="11">
        <f>(SEGUIMIENTO_TPM_xlsx[[#This Row],[FECHA Y HORA FINAL]]-SEGUIMIENTO_TPM_xlsx[[#This Row],[FECHA Y HORA INICIO]])</f>
        <v>0</v>
      </c>
    </row>
    <row r="1395" spans="1:20" x14ac:dyDescent="0.25">
      <c r="A1395" t="s">
        <v>1883</v>
      </c>
      <c r="C1395" s="1"/>
      <c r="D1395" s="2"/>
      <c r="H1395" s="1"/>
      <c r="I1395" s="1"/>
      <c r="J1395" s="2"/>
      <c r="Q1395" s="1">
        <f>SEGUIMIENTO_TPM_xlsx[[#This Row],[HORA FIN  INTERVENCIÓN]]-SEGUIMIENTO_TPM_xlsx[[#This Row],[HORA INICIO INTERVENCIÓN]]</f>
        <v>0</v>
      </c>
      <c r="R1395" s="20">
        <f>(SEGUIMIENTO_TPM_xlsx[[#This Row],[HORA REPORTE]]+SEGUIMIENTO_TPM_xlsx[[#This Row],[FECHA DE REPORTE]])</f>
        <v>0</v>
      </c>
      <c r="S1395" s="20">
        <f>(SEGUIMIENTO_TPM_xlsx[[#This Row],[FECHA DE INTERVENCÓN]]+SEGUIMIENTO_TPM_xlsx[[#This Row],[HORA FIN  INTERVENCIÓN]])</f>
        <v>0</v>
      </c>
      <c r="T1395" s="11">
        <f>(SEGUIMIENTO_TPM_xlsx[[#This Row],[FECHA Y HORA FINAL]]-SEGUIMIENTO_TPM_xlsx[[#This Row],[FECHA Y HORA INICIO]])</f>
        <v>0</v>
      </c>
    </row>
    <row r="1396" spans="1:20" x14ac:dyDescent="0.25">
      <c r="A1396" t="s">
        <v>1884</v>
      </c>
      <c r="C1396" s="1"/>
      <c r="D1396" s="2"/>
      <c r="H1396" s="1"/>
      <c r="I1396" s="1"/>
      <c r="J1396" s="2"/>
      <c r="Q1396" s="1">
        <f>SEGUIMIENTO_TPM_xlsx[[#This Row],[HORA FIN  INTERVENCIÓN]]-SEGUIMIENTO_TPM_xlsx[[#This Row],[HORA INICIO INTERVENCIÓN]]</f>
        <v>0</v>
      </c>
      <c r="R1396" s="20">
        <f>(SEGUIMIENTO_TPM_xlsx[[#This Row],[HORA REPORTE]]+SEGUIMIENTO_TPM_xlsx[[#This Row],[FECHA DE REPORTE]])</f>
        <v>0</v>
      </c>
      <c r="S1396" s="20">
        <f>(SEGUIMIENTO_TPM_xlsx[[#This Row],[FECHA DE INTERVENCÓN]]+SEGUIMIENTO_TPM_xlsx[[#This Row],[HORA FIN  INTERVENCIÓN]])</f>
        <v>0</v>
      </c>
      <c r="T1396" s="11">
        <f>(SEGUIMIENTO_TPM_xlsx[[#This Row],[FECHA Y HORA FINAL]]-SEGUIMIENTO_TPM_xlsx[[#This Row],[FECHA Y HORA INICIO]])</f>
        <v>0</v>
      </c>
    </row>
    <row r="1397" spans="1:20" x14ac:dyDescent="0.25">
      <c r="A1397" t="s">
        <v>1885</v>
      </c>
      <c r="C1397" s="1"/>
      <c r="D1397" s="2"/>
      <c r="H1397" s="1"/>
      <c r="I1397" s="1"/>
      <c r="J1397" s="2"/>
      <c r="Q1397" s="1">
        <f>SEGUIMIENTO_TPM_xlsx[[#This Row],[HORA FIN  INTERVENCIÓN]]-SEGUIMIENTO_TPM_xlsx[[#This Row],[HORA INICIO INTERVENCIÓN]]</f>
        <v>0</v>
      </c>
      <c r="R1397" s="20">
        <f>(SEGUIMIENTO_TPM_xlsx[[#This Row],[HORA REPORTE]]+SEGUIMIENTO_TPM_xlsx[[#This Row],[FECHA DE REPORTE]])</f>
        <v>0</v>
      </c>
      <c r="S1397" s="20">
        <f>(SEGUIMIENTO_TPM_xlsx[[#This Row],[FECHA DE INTERVENCÓN]]+SEGUIMIENTO_TPM_xlsx[[#This Row],[HORA FIN  INTERVENCIÓN]])</f>
        <v>0</v>
      </c>
      <c r="T1397" s="11">
        <f>(SEGUIMIENTO_TPM_xlsx[[#This Row],[FECHA Y HORA FINAL]]-SEGUIMIENTO_TPM_xlsx[[#This Row],[FECHA Y HORA INICIO]])</f>
        <v>0</v>
      </c>
    </row>
    <row r="1398" spans="1:20" x14ac:dyDescent="0.25">
      <c r="A1398" t="s">
        <v>1886</v>
      </c>
      <c r="C1398" s="1"/>
      <c r="D1398" s="2"/>
      <c r="H1398" s="1"/>
      <c r="I1398" s="1"/>
      <c r="J1398" s="2"/>
      <c r="Q1398" s="1">
        <f>SEGUIMIENTO_TPM_xlsx[[#This Row],[HORA FIN  INTERVENCIÓN]]-SEGUIMIENTO_TPM_xlsx[[#This Row],[HORA INICIO INTERVENCIÓN]]</f>
        <v>0</v>
      </c>
      <c r="R1398" s="20">
        <f>(SEGUIMIENTO_TPM_xlsx[[#This Row],[HORA REPORTE]]+SEGUIMIENTO_TPM_xlsx[[#This Row],[FECHA DE REPORTE]])</f>
        <v>0</v>
      </c>
      <c r="S1398" s="20">
        <f>(SEGUIMIENTO_TPM_xlsx[[#This Row],[FECHA DE INTERVENCÓN]]+SEGUIMIENTO_TPM_xlsx[[#This Row],[HORA FIN  INTERVENCIÓN]])</f>
        <v>0</v>
      </c>
      <c r="T1398" s="11">
        <f>(SEGUIMIENTO_TPM_xlsx[[#This Row],[FECHA Y HORA FINAL]]-SEGUIMIENTO_TPM_xlsx[[#This Row],[FECHA Y HORA INICIO]])</f>
        <v>0</v>
      </c>
    </row>
    <row r="1399" spans="1:20" x14ac:dyDescent="0.25">
      <c r="A1399" t="s">
        <v>1887</v>
      </c>
      <c r="C1399" s="1"/>
      <c r="D1399" s="2"/>
      <c r="H1399" s="1"/>
      <c r="I1399" s="1"/>
      <c r="J1399" s="2"/>
      <c r="Q1399" s="1">
        <f>SEGUIMIENTO_TPM_xlsx[[#This Row],[HORA FIN  INTERVENCIÓN]]-SEGUIMIENTO_TPM_xlsx[[#This Row],[HORA INICIO INTERVENCIÓN]]</f>
        <v>0</v>
      </c>
      <c r="R1399" s="20">
        <f>(SEGUIMIENTO_TPM_xlsx[[#This Row],[HORA REPORTE]]+SEGUIMIENTO_TPM_xlsx[[#This Row],[FECHA DE REPORTE]])</f>
        <v>0</v>
      </c>
      <c r="S1399" s="20">
        <f>(SEGUIMIENTO_TPM_xlsx[[#This Row],[FECHA DE INTERVENCÓN]]+SEGUIMIENTO_TPM_xlsx[[#This Row],[HORA FIN  INTERVENCIÓN]])</f>
        <v>0</v>
      </c>
      <c r="T1399" s="11">
        <f>(SEGUIMIENTO_TPM_xlsx[[#This Row],[FECHA Y HORA FINAL]]-SEGUIMIENTO_TPM_xlsx[[#This Row],[FECHA Y HORA INICIO]])</f>
        <v>0</v>
      </c>
    </row>
    <row r="1400" spans="1:20" x14ac:dyDescent="0.25">
      <c r="A1400" t="s">
        <v>1888</v>
      </c>
      <c r="C1400" s="1"/>
      <c r="D1400" s="2"/>
      <c r="H1400" s="1"/>
      <c r="I1400" s="1"/>
      <c r="J1400" s="2"/>
      <c r="Q1400" s="1">
        <f>SEGUIMIENTO_TPM_xlsx[[#This Row],[HORA FIN  INTERVENCIÓN]]-SEGUIMIENTO_TPM_xlsx[[#This Row],[HORA INICIO INTERVENCIÓN]]</f>
        <v>0</v>
      </c>
      <c r="R1400" s="20">
        <f>(SEGUIMIENTO_TPM_xlsx[[#This Row],[HORA REPORTE]]+SEGUIMIENTO_TPM_xlsx[[#This Row],[FECHA DE REPORTE]])</f>
        <v>0</v>
      </c>
      <c r="S1400" s="20">
        <f>(SEGUIMIENTO_TPM_xlsx[[#This Row],[FECHA DE INTERVENCÓN]]+SEGUIMIENTO_TPM_xlsx[[#This Row],[HORA FIN  INTERVENCIÓN]])</f>
        <v>0</v>
      </c>
      <c r="T1400" s="11">
        <f>(SEGUIMIENTO_TPM_xlsx[[#This Row],[FECHA Y HORA FINAL]]-SEGUIMIENTO_TPM_xlsx[[#This Row],[FECHA Y HORA INICIO]])</f>
        <v>0</v>
      </c>
    </row>
    <row r="1401" spans="1:20" x14ac:dyDescent="0.25">
      <c r="A1401" t="s">
        <v>1889</v>
      </c>
      <c r="C1401" s="1"/>
      <c r="D1401" s="2"/>
      <c r="H1401" s="1"/>
      <c r="I1401" s="1"/>
      <c r="J1401" s="2"/>
      <c r="Q1401" s="1">
        <f>SEGUIMIENTO_TPM_xlsx[[#This Row],[HORA FIN  INTERVENCIÓN]]-SEGUIMIENTO_TPM_xlsx[[#This Row],[HORA INICIO INTERVENCIÓN]]</f>
        <v>0</v>
      </c>
      <c r="R1401" s="20">
        <f>(SEGUIMIENTO_TPM_xlsx[[#This Row],[HORA REPORTE]]+SEGUIMIENTO_TPM_xlsx[[#This Row],[FECHA DE REPORTE]])</f>
        <v>0</v>
      </c>
      <c r="S1401" s="20">
        <f>(SEGUIMIENTO_TPM_xlsx[[#This Row],[FECHA DE INTERVENCÓN]]+SEGUIMIENTO_TPM_xlsx[[#This Row],[HORA FIN  INTERVENCIÓN]])</f>
        <v>0</v>
      </c>
      <c r="T1401" s="11">
        <f>(SEGUIMIENTO_TPM_xlsx[[#This Row],[FECHA Y HORA FINAL]]-SEGUIMIENTO_TPM_xlsx[[#This Row],[FECHA Y HORA INICIO]])</f>
        <v>0</v>
      </c>
    </row>
    <row r="1402" spans="1:20" x14ac:dyDescent="0.25">
      <c r="A1402" t="s">
        <v>1890</v>
      </c>
      <c r="C1402" s="1"/>
      <c r="D1402" s="2"/>
      <c r="H1402" s="1"/>
      <c r="I1402" s="1"/>
      <c r="J1402" s="2"/>
      <c r="Q1402" s="1">
        <f>SEGUIMIENTO_TPM_xlsx[[#This Row],[HORA FIN  INTERVENCIÓN]]-SEGUIMIENTO_TPM_xlsx[[#This Row],[HORA INICIO INTERVENCIÓN]]</f>
        <v>0</v>
      </c>
      <c r="R1402" s="20">
        <f>(SEGUIMIENTO_TPM_xlsx[[#This Row],[HORA REPORTE]]+SEGUIMIENTO_TPM_xlsx[[#This Row],[FECHA DE REPORTE]])</f>
        <v>0</v>
      </c>
      <c r="S1402" s="20">
        <f>(SEGUIMIENTO_TPM_xlsx[[#This Row],[FECHA DE INTERVENCÓN]]+SEGUIMIENTO_TPM_xlsx[[#This Row],[HORA FIN  INTERVENCIÓN]])</f>
        <v>0</v>
      </c>
      <c r="T1402" s="11">
        <f>(SEGUIMIENTO_TPM_xlsx[[#This Row],[FECHA Y HORA FINAL]]-SEGUIMIENTO_TPM_xlsx[[#This Row],[FECHA Y HORA INICIO]])</f>
        <v>0</v>
      </c>
    </row>
    <row r="1403" spans="1:20" x14ac:dyDescent="0.25">
      <c r="A1403" t="s">
        <v>1891</v>
      </c>
      <c r="C1403" s="1"/>
      <c r="D1403" s="2"/>
      <c r="H1403" s="1"/>
      <c r="I1403" s="1"/>
      <c r="J1403" s="2"/>
      <c r="Q1403" s="1">
        <f>SEGUIMIENTO_TPM_xlsx[[#This Row],[HORA FIN  INTERVENCIÓN]]-SEGUIMIENTO_TPM_xlsx[[#This Row],[HORA INICIO INTERVENCIÓN]]</f>
        <v>0</v>
      </c>
      <c r="R1403" s="20">
        <f>(SEGUIMIENTO_TPM_xlsx[[#This Row],[HORA REPORTE]]+SEGUIMIENTO_TPM_xlsx[[#This Row],[FECHA DE REPORTE]])</f>
        <v>0</v>
      </c>
      <c r="S1403" s="20">
        <f>(SEGUIMIENTO_TPM_xlsx[[#This Row],[FECHA DE INTERVENCÓN]]+SEGUIMIENTO_TPM_xlsx[[#This Row],[HORA FIN  INTERVENCIÓN]])</f>
        <v>0</v>
      </c>
      <c r="T1403" s="11">
        <f>(SEGUIMIENTO_TPM_xlsx[[#This Row],[FECHA Y HORA FINAL]]-SEGUIMIENTO_TPM_xlsx[[#This Row],[FECHA Y HORA INICIO]])</f>
        <v>0</v>
      </c>
    </row>
    <row r="1404" spans="1:20" x14ac:dyDescent="0.25">
      <c r="A1404" t="s">
        <v>1892</v>
      </c>
      <c r="C1404" s="1"/>
      <c r="D1404" s="2"/>
      <c r="H1404" s="1"/>
      <c r="I1404" s="1"/>
      <c r="J1404" s="2"/>
      <c r="Q1404" s="1">
        <f>SEGUIMIENTO_TPM_xlsx[[#This Row],[HORA FIN  INTERVENCIÓN]]-SEGUIMIENTO_TPM_xlsx[[#This Row],[HORA INICIO INTERVENCIÓN]]</f>
        <v>0</v>
      </c>
      <c r="R1404" s="20">
        <f>(SEGUIMIENTO_TPM_xlsx[[#This Row],[HORA REPORTE]]+SEGUIMIENTO_TPM_xlsx[[#This Row],[FECHA DE REPORTE]])</f>
        <v>0</v>
      </c>
      <c r="S1404" s="20">
        <f>(SEGUIMIENTO_TPM_xlsx[[#This Row],[FECHA DE INTERVENCÓN]]+SEGUIMIENTO_TPM_xlsx[[#This Row],[HORA FIN  INTERVENCIÓN]])</f>
        <v>0</v>
      </c>
      <c r="T1404" s="11">
        <f>(SEGUIMIENTO_TPM_xlsx[[#This Row],[FECHA Y HORA FINAL]]-SEGUIMIENTO_TPM_xlsx[[#This Row],[FECHA Y HORA INICIO]])</f>
        <v>0</v>
      </c>
    </row>
    <row r="1405" spans="1:20" x14ac:dyDescent="0.25">
      <c r="A1405" t="s">
        <v>1893</v>
      </c>
      <c r="C1405" s="1"/>
      <c r="D1405" s="2"/>
      <c r="H1405" s="1"/>
      <c r="I1405" s="1"/>
      <c r="J1405" s="2"/>
      <c r="Q1405" s="1">
        <f>SEGUIMIENTO_TPM_xlsx[[#This Row],[HORA FIN  INTERVENCIÓN]]-SEGUIMIENTO_TPM_xlsx[[#This Row],[HORA INICIO INTERVENCIÓN]]</f>
        <v>0</v>
      </c>
      <c r="R1405" s="20">
        <f>(SEGUIMIENTO_TPM_xlsx[[#This Row],[HORA REPORTE]]+SEGUIMIENTO_TPM_xlsx[[#This Row],[FECHA DE REPORTE]])</f>
        <v>0</v>
      </c>
      <c r="S1405" s="20">
        <f>(SEGUIMIENTO_TPM_xlsx[[#This Row],[FECHA DE INTERVENCÓN]]+SEGUIMIENTO_TPM_xlsx[[#This Row],[HORA FIN  INTERVENCIÓN]])</f>
        <v>0</v>
      </c>
      <c r="T1405" s="11">
        <f>(SEGUIMIENTO_TPM_xlsx[[#This Row],[FECHA Y HORA FINAL]]-SEGUIMIENTO_TPM_xlsx[[#This Row],[FECHA Y HORA INICIO]])</f>
        <v>0</v>
      </c>
    </row>
    <row r="1406" spans="1:20" x14ac:dyDescent="0.25">
      <c r="A1406" t="s">
        <v>1894</v>
      </c>
      <c r="C1406" s="1"/>
      <c r="D1406" s="2"/>
      <c r="H1406" s="1"/>
      <c r="I1406" s="1"/>
      <c r="J1406" s="2"/>
      <c r="Q1406" s="1">
        <f>SEGUIMIENTO_TPM_xlsx[[#This Row],[HORA FIN  INTERVENCIÓN]]-SEGUIMIENTO_TPM_xlsx[[#This Row],[HORA INICIO INTERVENCIÓN]]</f>
        <v>0</v>
      </c>
      <c r="R1406" s="20">
        <f>(SEGUIMIENTO_TPM_xlsx[[#This Row],[HORA REPORTE]]+SEGUIMIENTO_TPM_xlsx[[#This Row],[FECHA DE REPORTE]])</f>
        <v>0</v>
      </c>
      <c r="S1406" s="20">
        <f>(SEGUIMIENTO_TPM_xlsx[[#This Row],[FECHA DE INTERVENCÓN]]+SEGUIMIENTO_TPM_xlsx[[#This Row],[HORA FIN  INTERVENCIÓN]])</f>
        <v>0</v>
      </c>
      <c r="T1406" s="11">
        <f>(SEGUIMIENTO_TPM_xlsx[[#This Row],[FECHA Y HORA FINAL]]-SEGUIMIENTO_TPM_xlsx[[#This Row],[FECHA Y HORA INICIO]])</f>
        <v>0</v>
      </c>
    </row>
    <row r="1407" spans="1:20" x14ac:dyDescent="0.25">
      <c r="A1407" t="s">
        <v>1895</v>
      </c>
      <c r="C1407" s="1"/>
      <c r="D1407" s="2"/>
      <c r="H1407" s="1"/>
      <c r="I1407" s="1"/>
      <c r="J1407" s="2"/>
      <c r="Q1407" s="1">
        <f>SEGUIMIENTO_TPM_xlsx[[#This Row],[HORA FIN  INTERVENCIÓN]]-SEGUIMIENTO_TPM_xlsx[[#This Row],[HORA INICIO INTERVENCIÓN]]</f>
        <v>0</v>
      </c>
      <c r="R1407" s="20">
        <f>(SEGUIMIENTO_TPM_xlsx[[#This Row],[HORA REPORTE]]+SEGUIMIENTO_TPM_xlsx[[#This Row],[FECHA DE REPORTE]])</f>
        <v>0</v>
      </c>
      <c r="S1407" s="20">
        <f>(SEGUIMIENTO_TPM_xlsx[[#This Row],[FECHA DE INTERVENCÓN]]+SEGUIMIENTO_TPM_xlsx[[#This Row],[HORA FIN  INTERVENCIÓN]])</f>
        <v>0</v>
      </c>
      <c r="T1407" s="11">
        <f>(SEGUIMIENTO_TPM_xlsx[[#This Row],[FECHA Y HORA FINAL]]-SEGUIMIENTO_TPM_xlsx[[#This Row],[FECHA Y HORA INICIO]])</f>
        <v>0</v>
      </c>
    </row>
    <row r="1408" spans="1:20" x14ac:dyDescent="0.25">
      <c r="A1408" t="s">
        <v>1896</v>
      </c>
      <c r="C1408" s="1"/>
      <c r="D1408" s="2"/>
      <c r="H1408" s="1"/>
      <c r="I1408" s="1"/>
      <c r="J1408" s="2"/>
      <c r="Q1408" s="1">
        <f>SEGUIMIENTO_TPM_xlsx[[#This Row],[HORA FIN  INTERVENCIÓN]]-SEGUIMIENTO_TPM_xlsx[[#This Row],[HORA INICIO INTERVENCIÓN]]</f>
        <v>0</v>
      </c>
      <c r="R1408" s="20">
        <f>(SEGUIMIENTO_TPM_xlsx[[#This Row],[HORA REPORTE]]+SEGUIMIENTO_TPM_xlsx[[#This Row],[FECHA DE REPORTE]])</f>
        <v>0</v>
      </c>
      <c r="S1408" s="20">
        <f>(SEGUIMIENTO_TPM_xlsx[[#This Row],[FECHA DE INTERVENCÓN]]+SEGUIMIENTO_TPM_xlsx[[#This Row],[HORA FIN  INTERVENCIÓN]])</f>
        <v>0</v>
      </c>
      <c r="T1408" s="11">
        <f>(SEGUIMIENTO_TPM_xlsx[[#This Row],[FECHA Y HORA FINAL]]-SEGUIMIENTO_TPM_xlsx[[#This Row],[FECHA Y HORA INICIO]])</f>
        <v>0</v>
      </c>
    </row>
    <row r="1409" spans="1:20" x14ac:dyDescent="0.25">
      <c r="A1409" t="s">
        <v>1897</v>
      </c>
      <c r="C1409" s="1"/>
      <c r="D1409" s="2"/>
      <c r="H1409" s="1"/>
      <c r="I1409" s="1"/>
      <c r="J1409" s="2"/>
      <c r="Q1409" s="1">
        <f>SEGUIMIENTO_TPM_xlsx[[#This Row],[HORA FIN  INTERVENCIÓN]]-SEGUIMIENTO_TPM_xlsx[[#This Row],[HORA INICIO INTERVENCIÓN]]</f>
        <v>0</v>
      </c>
      <c r="R1409" s="20">
        <f>(SEGUIMIENTO_TPM_xlsx[[#This Row],[HORA REPORTE]]+SEGUIMIENTO_TPM_xlsx[[#This Row],[FECHA DE REPORTE]])</f>
        <v>0</v>
      </c>
      <c r="S1409" s="20">
        <f>(SEGUIMIENTO_TPM_xlsx[[#This Row],[FECHA DE INTERVENCÓN]]+SEGUIMIENTO_TPM_xlsx[[#This Row],[HORA FIN  INTERVENCIÓN]])</f>
        <v>0</v>
      </c>
      <c r="T1409" s="11">
        <f>(SEGUIMIENTO_TPM_xlsx[[#This Row],[FECHA Y HORA FINAL]]-SEGUIMIENTO_TPM_xlsx[[#This Row],[FECHA Y HORA INICIO]])</f>
        <v>0</v>
      </c>
    </row>
    <row r="1410" spans="1:20" x14ac:dyDescent="0.25">
      <c r="A1410" t="s">
        <v>1898</v>
      </c>
      <c r="C1410" s="1"/>
      <c r="D1410" s="2"/>
      <c r="H1410" s="1"/>
      <c r="I1410" s="1"/>
      <c r="J1410" s="2"/>
      <c r="Q1410" s="1">
        <f>SEGUIMIENTO_TPM_xlsx[[#This Row],[HORA FIN  INTERVENCIÓN]]-SEGUIMIENTO_TPM_xlsx[[#This Row],[HORA INICIO INTERVENCIÓN]]</f>
        <v>0</v>
      </c>
      <c r="R1410" s="20">
        <f>(SEGUIMIENTO_TPM_xlsx[[#This Row],[HORA REPORTE]]+SEGUIMIENTO_TPM_xlsx[[#This Row],[FECHA DE REPORTE]])</f>
        <v>0</v>
      </c>
      <c r="S1410" s="20">
        <f>(SEGUIMIENTO_TPM_xlsx[[#This Row],[FECHA DE INTERVENCÓN]]+SEGUIMIENTO_TPM_xlsx[[#This Row],[HORA FIN  INTERVENCIÓN]])</f>
        <v>0</v>
      </c>
      <c r="T1410" s="11">
        <f>(SEGUIMIENTO_TPM_xlsx[[#This Row],[FECHA Y HORA FINAL]]-SEGUIMIENTO_TPM_xlsx[[#This Row],[FECHA Y HORA INICIO]])</f>
        <v>0</v>
      </c>
    </row>
    <row r="1411" spans="1:20" x14ac:dyDescent="0.25">
      <c r="A1411" t="s">
        <v>1899</v>
      </c>
      <c r="C1411" s="1"/>
      <c r="D1411" s="2"/>
      <c r="H1411" s="1"/>
      <c r="I1411" s="1"/>
      <c r="J1411" s="2"/>
      <c r="Q1411" s="1">
        <f>SEGUIMIENTO_TPM_xlsx[[#This Row],[HORA FIN  INTERVENCIÓN]]-SEGUIMIENTO_TPM_xlsx[[#This Row],[HORA INICIO INTERVENCIÓN]]</f>
        <v>0</v>
      </c>
      <c r="R1411" s="20">
        <f>(SEGUIMIENTO_TPM_xlsx[[#This Row],[HORA REPORTE]]+SEGUIMIENTO_TPM_xlsx[[#This Row],[FECHA DE REPORTE]])</f>
        <v>0</v>
      </c>
      <c r="S1411" s="20">
        <f>(SEGUIMIENTO_TPM_xlsx[[#This Row],[FECHA DE INTERVENCÓN]]+SEGUIMIENTO_TPM_xlsx[[#This Row],[HORA FIN  INTERVENCIÓN]])</f>
        <v>0</v>
      </c>
      <c r="T1411" s="11">
        <f>(SEGUIMIENTO_TPM_xlsx[[#This Row],[FECHA Y HORA FINAL]]-SEGUIMIENTO_TPM_xlsx[[#This Row],[FECHA Y HORA INICIO]])</f>
        <v>0</v>
      </c>
    </row>
    <row r="1412" spans="1:20" x14ac:dyDescent="0.25">
      <c r="A1412" t="s">
        <v>1900</v>
      </c>
      <c r="C1412" s="1"/>
      <c r="D1412" s="2"/>
      <c r="H1412" s="1"/>
      <c r="I1412" s="1"/>
      <c r="J1412" s="2"/>
      <c r="Q1412" s="1">
        <f>SEGUIMIENTO_TPM_xlsx[[#This Row],[HORA FIN  INTERVENCIÓN]]-SEGUIMIENTO_TPM_xlsx[[#This Row],[HORA INICIO INTERVENCIÓN]]</f>
        <v>0</v>
      </c>
      <c r="R1412" s="20">
        <f>(SEGUIMIENTO_TPM_xlsx[[#This Row],[HORA REPORTE]]+SEGUIMIENTO_TPM_xlsx[[#This Row],[FECHA DE REPORTE]])</f>
        <v>0</v>
      </c>
      <c r="S1412" s="20">
        <f>(SEGUIMIENTO_TPM_xlsx[[#This Row],[FECHA DE INTERVENCÓN]]+SEGUIMIENTO_TPM_xlsx[[#This Row],[HORA FIN  INTERVENCIÓN]])</f>
        <v>0</v>
      </c>
      <c r="T1412" s="11">
        <f>(SEGUIMIENTO_TPM_xlsx[[#This Row],[FECHA Y HORA FINAL]]-SEGUIMIENTO_TPM_xlsx[[#This Row],[FECHA Y HORA INICIO]])</f>
        <v>0</v>
      </c>
    </row>
    <row r="1413" spans="1:20" x14ac:dyDescent="0.25">
      <c r="A1413" t="s">
        <v>1901</v>
      </c>
      <c r="C1413" s="1"/>
      <c r="D1413" s="2"/>
      <c r="H1413" s="1"/>
      <c r="I1413" s="1"/>
      <c r="J1413" s="2"/>
      <c r="Q1413" s="1">
        <f>SEGUIMIENTO_TPM_xlsx[[#This Row],[HORA FIN  INTERVENCIÓN]]-SEGUIMIENTO_TPM_xlsx[[#This Row],[HORA INICIO INTERVENCIÓN]]</f>
        <v>0</v>
      </c>
      <c r="R1413" s="20">
        <f>(SEGUIMIENTO_TPM_xlsx[[#This Row],[HORA REPORTE]]+SEGUIMIENTO_TPM_xlsx[[#This Row],[FECHA DE REPORTE]])</f>
        <v>0</v>
      </c>
      <c r="S1413" s="20">
        <f>(SEGUIMIENTO_TPM_xlsx[[#This Row],[FECHA DE INTERVENCÓN]]+SEGUIMIENTO_TPM_xlsx[[#This Row],[HORA FIN  INTERVENCIÓN]])</f>
        <v>0</v>
      </c>
      <c r="T1413" s="11">
        <f>(SEGUIMIENTO_TPM_xlsx[[#This Row],[FECHA Y HORA FINAL]]-SEGUIMIENTO_TPM_xlsx[[#This Row],[FECHA Y HORA INICIO]])</f>
        <v>0</v>
      </c>
    </row>
    <row r="1414" spans="1:20" x14ac:dyDescent="0.25">
      <c r="A1414" t="s">
        <v>1902</v>
      </c>
      <c r="C1414" s="1"/>
      <c r="D1414" s="2"/>
      <c r="H1414" s="1"/>
      <c r="I1414" s="1"/>
      <c r="J1414" s="2"/>
      <c r="Q1414" s="1">
        <f>SEGUIMIENTO_TPM_xlsx[[#This Row],[HORA FIN  INTERVENCIÓN]]-SEGUIMIENTO_TPM_xlsx[[#This Row],[HORA INICIO INTERVENCIÓN]]</f>
        <v>0</v>
      </c>
      <c r="R1414" s="20">
        <f>(SEGUIMIENTO_TPM_xlsx[[#This Row],[HORA REPORTE]]+SEGUIMIENTO_TPM_xlsx[[#This Row],[FECHA DE REPORTE]])</f>
        <v>0</v>
      </c>
      <c r="S1414" s="20">
        <f>(SEGUIMIENTO_TPM_xlsx[[#This Row],[FECHA DE INTERVENCÓN]]+SEGUIMIENTO_TPM_xlsx[[#This Row],[HORA FIN  INTERVENCIÓN]])</f>
        <v>0</v>
      </c>
      <c r="T1414" s="11">
        <f>(SEGUIMIENTO_TPM_xlsx[[#This Row],[FECHA Y HORA FINAL]]-SEGUIMIENTO_TPM_xlsx[[#This Row],[FECHA Y HORA INICIO]])</f>
        <v>0</v>
      </c>
    </row>
    <row r="1415" spans="1:20" x14ac:dyDescent="0.25">
      <c r="A1415" t="s">
        <v>1903</v>
      </c>
      <c r="C1415" s="1"/>
      <c r="D1415" s="2"/>
      <c r="H1415" s="1"/>
      <c r="I1415" s="1"/>
      <c r="J1415" s="2"/>
      <c r="Q1415" s="1">
        <f>SEGUIMIENTO_TPM_xlsx[[#This Row],[HORA FIN  INTERVENCIÓN]]-SEGUIMIENTO_TPM_xlsx[[#This Row],[HORA INICIO INTERVENCIÓN]]</f>
        <v>0</v>
      </c>
      <c r="R1415" s="20">
        <f>(SEGUIMIENTO_TPM_xlsx[[#This Row],[HORA REPORTE]]+SEGUIMIENTO_TPM_xlsx[[#This Row],[FECHA DE REPORTE]])</f>
        <v>0</v>
      </c>
      <c r="S1415" s="20">
        <f>(SEGUIMIENTO_TPM_xlsx[[#This Row],[FECHA DE INTERVENCÓN]]+SEGUIMIENTO_TPM_xlsx[[#This Row],[HORA FIN  INTERVENCIÓN]])</f>
        <v>0</v>
      </c>
      <c r="T1415" s="11">
        <f>(SEGUIMIENTO_TPM_xlsx[[#This Row],[FECHA Y HORA FINAL]]-SEGUIMIENTO_TPM_xlsx[[#This Row],[FECHA Y HORA INICIO]])</f>
        <v>0</v>
      </c>
    </row>
    <row r="1416" spans="1:20" x14ac:dyDescent="0.25">
      <c r="A1416" t="s">
        <v>1904</v>
      </c>
      <c r="C1416" s="1"/>
      <c r="D1416" s="2"/>
      <c r="H1416" s="1"/>
      <c r="I1416" s="1"/>
      <c r="J1416" s="2"/>
      <c r="Q1416" s="1">
        <f>SEGUIMIENTO_TPM_xlsx[[#This Row],[HORA FIN  INTERVENCIÓN]]-SEGUIMIENTO_TPM_xlsx[[#This Row],[HORA INICIO INTERVENCIÓN]]</f>
        <v>0</v>
      </c>
      <c r="R1416" s="20">
        <f>(SEGUIMIENTO_TPM_xlsx[[#This Row],[HORA REPORTE]]+SEGUIMIENTO_TPM_xlsx[[#This Row],[FECHA DE REPORTE]])</f>
        <v>0</v>
      </c>
      <c r="S1416" s="20">
        <f>(SEGUIMIENTO_TPM_xlsx[[#This Row],[FECHA DE INTERVENCÓN]]+SEGUIMIENTO_TPM_xlsx[[#This Row],[HORA FIN  INTERVENCIÓN]])</f>
        <v>0</v>
      </c>
      <c r="T1416" s="11">
        <f>(SEGUIMIENTO_TPM_xlsx[[#This Row],[FECHA Y HORA FINAL]]-SEGUIMIENTO_TPM_xlsx[[#This Row],[FECHA Y HORA INICIO]])</f>
        <v>0</v>
      </c>
    </row>
    <row r="1417" spans="1:20" x14ac:dyDescent="0.25">
      <c r="A1417" t="s">
        <v>1905</v>
      </c>
      <c r="C1417" s="1"/>
      <c r="D1417" s="2"/>
      <c r="H1417" s="1"/>
      <c r="I1417" s="1"/>
      <c r="J1417" s="2"/>
      <c r="Q1417" s="1">
        <f>SEGUIMIENTO_TPM_xlsx[[#This Row],[HORA FIN  INTERVENCIÓN]]-SEGUIMIENTO_TPM_xlsx[[#This Row],[HORA INICIO INTERVENCIÓN]]</f>
        <v>0</v>
      </c>
      <c r="R1417" s="20">
        <f>(SEGUIMIENTO_TPM_xlsx[[#This Row],[HORA REPORTE]]+SEGUIMIENTO_TPM_xlsx[[#This Row],[FECHA DE REPORTE]])</f>
        <v>0</v>
      </c>
      <c r="S1417" s="20">
        <f>(SEGUIMIENTO_TPM_xlsx[[#This Row],[FECHA DE INTERVENCÓN]]+SEGUIMIENTO_TPM_xlsx[[#This Row],[HORA FIN  INTERVENCIÓN]])</f>
        <v>0</v>
      </c>
      <c r="T1417" s="11">
        <f>(SEGUIMIENTO_TPM_xlsx[[#This Row],[FECHA Y HORA FINAL]]-SEGUIMIENTO_TPM_xlsx[[#This Row],[FECHA Y HORA INICIO]])</f>
        <v>0</v>
      </c>
    </row>
    <row r="1418" spans="1:20" x14ac:dyDescent="0.25">
      <c r="A1418" t="s">
        <v>1906</v>
      </c>
      <c r="C1418" s="1"/>
      <c r="D1418" s="2"/>
      <c r="H1418" s="1"/>
      <c r="I1418" s="1"/>
      <c r="J1418" s="2"/>
      <c r="Q1418" s="1">
        <f>SEGUIMIENTO_TPM_xlsx[[#This Row],[HORA FIN  INTERVENCIÓN]]-SEGUIMIENTO_TPM_xlsx[[#This Row],[HORA INICIO INTERVENCIÓN]]</f>
        <v>0</v>
      </c>
      <c r="R1418" s="20">
        <f>(SEGUIMIENTO_TPM_xlsx[[#This Row],[HORA REPORTE]]+SEGUIMIENTO_TPM_xlsx[[#This Row],[FECHA DE REPORTE]])</f>
        <v>0</v>
      </c>
      <c r="S1418" s="20">
        <f>(SEGUIMIENTO_TPM_xlsx[[#This Row],[FECHA DE INTERVENCÓN]]+SEGUIMIENTO_TPM_xlsx[[#This Row],[HORA FIN  INTERVENCIÓN]])</f>
        <v>0</v>
      </c>
      <c r="T1418" s="11">
        <f>(SEGUIMIENTO_TPM_xlsx[[#This Row],[FECHA Y HORA FINAL]]-SEGUIMIENTO_TPM_xlsx[[#This Row],[FECHA Y HORA INICIO]])</f>
        <v>0</v>
      </c>
    </row>
    <row r="1419" spans="1:20" x14ac:dyDescent="0.25">
      <c r="A1419" t="s">
        <v>1317</v>
      </c>
      <c r="B1419" t="s">
        <v>113</v>
      </c>
      <c r="C1419" s="1">
        <v>0.94444444444444442</v>
      </c>
      <c r="D1419" s="2">
        <v>46074</v>
      </c>
      <c r="E1419" t="s">
        <v>91</v>
      </c>
      <c r="F1419" t="s">
        <v>18</v>
      </c>
      <c r="G1419" t="s">
        <v>1318</v>
      </c>
      <c r="H1419" s="1">
        <v>0.94444444444444442</v>
      </c>
      <c r="I1419" s="1">
        <v>0.95833333333333337</v>
      </c>
      <c r="J1419" s="2">
        <v>46074</v>
      </c>
      <c r="K1419" t="s">
        <v>25</v>
      </c>
      <c r="L1419" t="s">
        <v>1319</v>
      </c>
      <c r="M1419" t="s">
        <v>22</v>
      </c>
      <c r="N1419" t="s">
        <v>22</v>
      </c>
      <c r="O1419" t="s">
        <v>112</v>
      </c>
      <c r="P1419" t="s">
        <v>23</v>
      </c>
      <c r="Q1419" s="1">
        <f>SEGUIMIENTO_TPM_xlsx[[#This Row],[HORA FIN  INTERVENCIÓN]]-SEGUIMIENTO_TPM_xlsx[[#This Row],[HORA INICIO INTERVENCIÓN]]</f>
        <v>1.3888888888888951E-2</v>
      </c>
      <c r="R1419" s="20">
        <f>(SEGUIMIENTO_TPM_xlsx[[#This Row],[HORA REPORTE]]+SEGUIMIENTO_TPM_xlsx[[#This Row],[FECHA DE REPORTE]])</f>
        <v>46074.944444444445</v>
      </c>
      <c r="S1419" s="20">
        <f>(SEGUIMIENTO_TPM_xlsx[[#This Row],[FECHA DE INTERVENCÓN]]+SEGUIMIENTO_TPM_xlsx[[#This Row],[HORA FIN  INTERVENCIÓN]])</f>
        <v>46074.958333333336</v>
      </c>
      <c r="T1419" s="11">
        <f>(SEGUIMIENTO_TPM_xlsx[[#This Row],[FECHA Y HORA FINAL]]-SEGUIMIENTO_TPM_xlsx[[#This Row],[FECHA Y HORA INICIO]])</f>
        <v>1.3888888890505768E-2</v>
      </c>
    </row>
    <row r="1420" spans="1:20" x14ac:dyDescent="0.25">
      <c r="A1420" t="s">
        <v>1320</v>
      </c>
      <c r="B1420" t="s">
        <v>113</v>
      </c>
      <c r="C1420" s="1">
        <v>0.92361111111111116</v>
      </c>
      <c r="D1420" s="2">
        <v>46074</v>
      </c>
      <c r="E1420" t="s">
        <v>91</v>
      </c>
      <c r="F1420" t="s">
        <v>18</v>
      </c>
      <c r="G1420" t="s">
        <v>1321</v>
      </c>
      <c r="H1420" s="1">
        <v>0.92361111111111116</v>
      </c>
      <c r="I1420" s="1">
        <v>0.94444444444444442</v>
      </c>
      <c r="J1420" s="2">
        <v>46074</v>
      </c>
      <c r="K1420" t="s">
        <v>25</v>
      </c>
      <c r="L1420" t="s">
        <v>1322</v>
      </c>
      <c r="M1420" t="s">
        <v>22</v>
      </c>
      <c r="N1420" t="s">
        <v>22</v>
      </c>
      <c r="O1420" t="s">
        <v>112</v>
      </c>
      <c r="P1420" t="s">
        <v>23</v>
      </c>
      <c r="Q1420" s="1">
        <f>SEGUIMIENTO_TPM_xlsx[[#This Row],[HORA FIN  INTERVENCIÓN]]-SEGUIMIENTO_TPM_xlsx[[#This Row],[HORA INICIO INTERVENCIÓN]]</f>
        <v>2.0833333333333259E-2</v>
      </c>
      <c r="R1420" s="20">
        <f>(SEGUIMIENTO_TPM_xlsx[[#This Row],[HORA REPORTE]]+SEGUIMIENTO_TPM_xlsx[[#This Row],[FECHA DE REPORTE]])</f>
        <v>46074.923611111109</v>
      </c>
      <c r="S1420" s="20">
        <f>(SEGUIMIENTO_TPM_xlsx[[#This Row],[FECHA DE INTERVENCÓN]]+SEGUIMIENTO_TPM_xlsx[[#This Row],[HORA FIN  INTERVENCIÓN]])</f>
        <v>46074.944444444445</v>
      </c>
      <c r="T1420" s="11">
        <f>(SEGUIMIENTO_TPM_xlsx[[#This Row],[FECHA Y HORA FINAL]]-SEGUIMIENTO_TPM_xlsx[[#This Row],[FECHA Y HORA INICIO]])</f>
        <v>2.0833333335758653E-2</v>
      </c>
    </row>
    <row r="1421" spans="1:20" x14ac:dyDescent="0.25">
      <c r="A1421" t="s">
        <v>1323</v>
      </c>
      <c r="B1421" t="s">
        <v>93</v>
      </c>
      <c r="C1421" s="1">
        <v>0.96875</v>
      </c>
      <c r="D1421" s="2">
        <v>46074</v>
      </c>
      <c r="E1421" t="s">
        <v>116</v>
      </c>
      <c r="F1421" t="s">
        <v>18</v>
      </c>
      <c r="G1421" t="s">
        <v>1324</v>
      </c>
      <c r="H1421" s="1">
        <v>0.96875</v>
      </c>
      <c r="I1421" s="1">
        <v>0.11458333333333333</v>
      </c>
      <c r="J1421" s="2">
        <v>46075</v>
      </c>
      <c r="K1421" t="s">
        <v>25</v>
      </c>
      <c r="L1421" t="s">
        <v>1325</v>
      </c>
      <c r="M1421" t="s">
        <v>22</v>
      </c>
      <c r="N1421" t="s">
        <v>22</v>
      </c>
      <c r="O1421" t="s">
        <v>112</v>
      </c>
      <c r="P1421" t="s">
        <v>23</v>
      </c>
      <c r="Q1421" s="1">
        <f>SEGUIMIENTO_TPM_xlsx[[#This Row],[HORA FIN  INTERVENCIÓN]]-SEGUIMIENTO_TPM_xlsx[[#This Row],[HORA INICIO INTERVENCIÓN]]</f>
        <v>-0.85416666666666663</v>
      </c>
      <c r="R1421" s="20">
        <f>(SEGUIMIENTO_TPM_xlsx[[#This Row],[HORA REPORTE]]+SEGUIMIENTO_TPM_xlsx[[#This Row],[FECHA DE REPORTE]])</f>
        <v>46074.96875</v>
      </c>
      <c r="S1421" s="20">
        <f>(SEGUIMIENTO_TPM_xlsx[[#This Row],[FECHA DE INTERVENCÓN]]+SEGUIMIENTO_TPM_xlsx[[#This Row],[HORA FIN  INTERVENCIÓN]])</f>
        <v>46075.114583333336</v>
      </c>
      <c r="T1421" s="11">
        <f>(SEGUIMIENTO_TPM_xlsx[[#This Row],[FECHA Y HORA FINAL]]-SEGUIMIENTO_TPM_xlsx[[#This Row],[FECHA Y HORA INICIO]])</f>
        <v>0.14583333333575865</v>
      </c>
    </row>
    <row r="1422" spans="1:20" x14ac:dyDescent="0.25">
      <c r="A1422" t="s">
        <v>1326</v>
      </c>
      <c r="C1422" s="1"/>
      <c r="D1422" s="2"/>
      <c r="H1422" s="1"/>
      <c r="I1422" s="1"/>
      <c r="J1422" s="2"/>
      <c r="Q1422" s="1">
        <f>SEGUIMIENTO_TPM_xlsx[[#This Row],[HORA FIN  INTERVENCIÓN]]-SEGUIMIENTO_TPM_xlsx[[#This Row],[HORA INICIO INTERVENCIÓN]]</f>
        <v>0</v>
      </c>
      <c r="R1422" s="20">
        <f>(SEGUIMIENTO_TPM_xlsx[[#This Row],[HORA REPORTE]]+SEGUIMIENTO_TPM_xlsx[[#This Row],[FECHA DE REPORTE]])</f>
        <v>0</v>
      </c>
      <c r="S1422" s="20">
        <f>(SEGUIMIENTO_TPM_xlsx[[#This Row],[FECHA DE INTERVENCÓN]]+SEGUIMIENTO_TPM_xlsx[[#This Row],[HORA FIN  INTERVENCIÓN]])</f>
        <v>0</v>
      </c>
      <c r="T1422" s="11">
        <f>(SEGUIMIENTO_TPM_xlsx[[#This Row],[FECHA Y HORA FINAL]]-SEGUIMIENTO_TPM_xlsx[[#This Row],[FECHA Y HORA INICIO]])</f>
        <v>0</v>
      </c>
    </row>
    <row r="1423" spans="1:20" x14ac:dyDescent="0.25">
      <c r="A1423" t="s">
        <v>1327</v>
      </c>
      <c r="B1423" t="s">
        <v>526</v>
      </c>
      <c r="C1423" s="1">
        <v>0.9375</v>
      </c>
      <c r="D1423" s="2">
        <v>46075</v>
      </c>
      <c r="E1423" t="s">
        <v>104</v>
      </c>
      <c r="F1423" t="s">
        <v>18</v>
      </c>
      <c r="G1423" t="s">
        <v>1328</v>
      </c>
      <c r="H1423" s="1">
        <v>0.94097222222222221</v>
      </c>
      <c r="I1423" s="1">
        <v>0.94791666666666663</v>
      </c>
      <c r="J1423" s="2">
        <v>46075</v>
      </c>
      <c r="K1423" t="s">
        <v>20</v>
      </c>
      <c r="L1423" t="s">
        <v>1329</v>
      </c>
      <c r="M1423" t="s">
        <v>22</v>
      </c>
      <c r="N1423" t="s">
        <v>22</v>
      </c>
      <c r="O1423" t="s">
        <v>112</v>
      </c>
      <c r="P1423" t="s">
        <v>23</v>
      </c>
      <c r="Q1423" s="1">
        <f>SEGUIMIENTO_TPM_xlsx[[#This Row],[HORA FIN  INTERVENCIÓN]]-SEGUIMIENTO_TPM_xlsx[[#This Row],[HORA INICIO INTERVENCIÓN]]</f>
        <v>6.9444444444444198E-3</v>
      </c>
      <c r="R1423" s="20">
        <f>(SEGUIMIENTO_TPM_xlsx[[#This Row],[HORA REPORTE]]+SEGUIMIENTO_TPM_xlsx[[#This Row],[FECHA DE REPORTE]])</f>
        <v>46075.9375</v>
      </c>
      <c r="S1423" s="20">
        <f>(SEGUIMIENTO_TPM_xlsx[[#This Row],[FECHA DE INTERVENCÓN]]+SEGUIMIENTO_TPM_xlsx[[#This Row],[HORA FIN  INTERVENCIÓN]])</f>
        <v>46075.947916666664</v>
      </c>
      <c r="T1423" s="11">
        <f>(SEGUIMIENTO_TPM_xlsx[[#This Row],[FECHA Y HORA FINAL]]-SEGUIMIENTO_TPM_xlsx[[#This Row],[FECHA Y HORA INICIO]])</f>
        <v>1.0416666664241347E-2</v>
      </c>
    </row>
    <row r="1424" spans="1:20" x14ac:dyDescent="0.25">
      <c r="A1424" t="s">
        <v>1330</v>
      </c>
      <c r="B1424" t="s">
        <v>199</v>
      </c>
      <c r="C1424" s="1">
        <v>0.75</v>
      </c>
      <c r="D1424" s="2">
        <v>46075</v>
      </c>
      <c r="E1424" t="s">
        <v>91</v>
      </c>
      <c r="F1424" t="s">
        <v>18</v>
      </c>
      <c r="G1424" t="s">
        <v>1331</v>
      </c>
      <c r="H1424" s="1">
        <v>0.75</v>
      </c>
      <c r="I1424" s="1">
        <v>0.77777777777777779</v>
      </c>
      <c r="J1424" s="2">
        <v>46075</v>
      </c>
      <c r="K1424" t="s">
        <v>20</v>
      </c>
      <c r="L1424" t="s">
        <v>1332</v>
      </c>
      <c r="M1424" t="s">
        <v>22</v>
      </c>
      <c r="N1424" t="s">
        <v>22</v>
      </c>
      <c r="O1424" t="s">
        <v>112</v>
      </c>
      <c r="P1424" t="s">
        <v>23</v>
      </c>
      <c r="Q1424" s="1">
        <f>SEGUIMIENTO_TPM_xlsx[[#This Row],[HORA FIN  INTERVENCIÓN]]-SEGUIMIENTO_TPM_xlsx[[#This Row],[HORA INICIO INTERVENCIÓN]]</f>
        <v>2.777777777777779E-2</v>
      </c>
      <c r="R1424" s="20">
        <f>(SEGUIMIENTO_TPM_xlsx[[#This Row],[HORA REPORTE]]+SEGUIMIENTO_TPM_xlsx[[#This Row],[FECHA DE REPORTE]])</f>
        <v>46075.75</v>
      </c>
      <c r="S1424" s="20">
        <f>(SEGUIMIENTO_TPM_xlsx[[#This Row],[FECHA DE INTERVENCÓN]]+SEGUIMIENTO_TPM_xlsx[[#This Row],[HORA FIN  INTERVENCIÓN]])</f>
        <v>46075.777777777781</v>
      </c>
      <c r="T1424" s="11">
        <f>(SEGUIMIENTO_TPM_xlsx[[#This Row],[FECHA Y HORA FINAL]]-SEGUIMIENTO_TPM_xlsx[[#This Row],[FECHA Y HORA INICIO]])</f>
        <v>2.7777777781011537E-2</v>
      </c>
    </row>
    <row r="1425" spans="1:20" x14ac:dyDescent="0.25">
      <c r="A1425" t="s">
        <v>1333</v>
      </c>
      <c r="B1425" t="s">
        <v>16</v>
      </c>
      <c r="C1425" s="1">
        <v>0.63888888888888884</v>
      </c>
      <c r="D1425" s="2">
        <v>46003</v>
      </c>
      <c r="E1425" t="s">
        <v>116</v>
      </c>
      <c r="F1425" t="s">
        <v>18</v>
      </c>
      <c r="G1425" t="s">
        <v>1334</v>
      </c>
      <c r="H1425" s="1">
        <v>0.63888888888888884</v>
      </c>
      <c r="I1425" s="1">
        <v>0.64930555555555558</v>
      </c>
      <c r="J1425" s="2">
        <v>46003</v>
      </c>
      <c r="K1425" t="s">
        <v>25</v>
      </c>
      <c r="L1425" t="s">
        <v>1335</v>
      </c>
      <c r="M1425" t="s">
        <v>1336</v>
      </c>
      <c r="N1425" t="s">
        <v>22</v>
      </c>
      <c r="O1425" t="s">
        <v>112</v>
      </c>
      <c r="P1425" t="s">
        <v>23</v>
      </c>
      <c r="Q1425" s="1">
        <f>SEGUIMIENTO_TPM_xlsx[[#This Row],[HORA FIN  INTERVENCIÓN]]-SEGUIMIENTO_TPM_xlsx[[#This Row],[HORA INICIO INTERVENCIÓN]]</f>
        <v>1.0416666666666741E-2</v>
      </c>
      <c r="R1425" s="20">
        <f>(SEGUIMIENTO_TPM_xlsx[[#This Row],[HORA REPORTE]]+SEGUIMIENTO_TPM_xlsx[[#This Row],[FECHA DE REPORTE]])</f>
        <v>46003.638888888891</v>
      </c>
      <c r="S1425" s="20">
        <f>(SEGUIMIENTO_TPM_xlsx[[#This Row],[FECHA DE INTERVENCÓN]]+SEGUIMIENTO_TPM_xlsx[[#This Row],[HORA FIN  INTERVENCIÓN]])</f>
        <v>46003.649305555555</v>
      </c>
      <c r="T1425" s="11">
        <f>(SEGUIMIENTO_TPM_xlsx[[#This Row],[FECHA Y HORA FINAL]]-SEGUIMIENTO_TPM_xlsx[[#This Row],[FECHA Y HORA INICIO]])</f>
        <v>1.0416666664241347E-2</v>
      </c>
    </row>
    <row r="1426" spans="1:20" x14ac:dyDescent="0.25">
      <c r="A1426" t="s">
        <v>1337</v>
      </c>
      <c r="B1426" t="s">
        <v>279</v>
      </c>
      <c r="C1426" s="1">
        <v>0.28472222222222221</v>
      </c>
      <c r="D1426" s="2">
        <v>46006</v>
      </c>
      <c r="E1426" t="s">
        <v>17</v>
      </c>
      <c r="F1426" t="s">
        <v>18</v>
      </c>
      <c r="G1426" t="s">
        <v>1338</v>
      </c>
      <c r="H1426" s="1">
        <v>0.32291666666666669</v>
      </c>
      <c r="I1426" s="1">
        <v>0.36458333333333331</v>
      </c>
      <c r="J1426" s="2">
        <v>46006</v>
      </c>
      <c r="K1426" t="s">
        <v>25</v>
      </c>
      <c r="L1426" t="s">
        <v>1339</v>
      </c>
      <c r="M1426" t="s">
        <v>1340</v>
      </c>
      <c r="N1426" t="s">
        <v>22</v>
      </c>
      <c r="O1426" t="s">
        <v>112</v>
      </c>
      <c r="P1426" t="s">
        <v>23</v>
      </c>
      <c r="Q1426" s="1">
        <f>SEGUIMIENTO_TPM_xlsx[[#This Row],[HORA FIN  INTERVENCIÓN]]-SEGUIMIENTO_TPM_xlsx[[#This Row],[HORA INICIO INTERVENCIÓN]]</f>
        <v>4.166666666666663E-2</v>
      </c>
      <c r="R1426" s="20">
        <f>(SEGUIMIENTO_TPM_xlsx[[#This Row],[HORA REPORTE]]+SEGUIMIENTO_TPM_xlsx[[#This Row],[FECHA DE REPORTE]])</f>
        <v>46006.284722222219</v>
      </c>
      <c r="S1426" s="20">
        <f>(SEGUIMIENTO_TPM_xlsx[[#This Row],[FECHA DE INTERVENCÓN]]+SEGUIMIENTO_TPM_xlsx[[#This Row],[HORA FIN  INTERVENCIÓN]])</f>
        <v>46006.364583333336</v>
      </c>
      <c r="T1426" s="11">
        <f>(SEGUIMIENTO_TPM_xlsx[[#This Row],[FECHA Y HORA FINAL]]-SEGUIMIENTO_TPM_xlsx[[#This Row],[FECHA Y HORA INICIO]])</f>
        <v>7.9861111116770189E-2</v>
      </c>
    </row>
    <row r="1427" spans="1:20" x14ac:dyDescent="0.25">
      <c r="C1427" s="1"/>
      <c r="D1427" s="2"/>
      <c r="H1427" s="1"/>
      <c r="I1427" s="1"/>
      <c r="J1427" s="2"/>
      <c r="Q1427" s="1">
        <f>SEGUIMIENTO_TPM_xlsx[[#This Row],[HORA FIN  INTERVENCIÓN]]-SEGUIMIENTO_TPM_xlsx[[#This Row],[HORA INICIO INTERVENCIÓN]]</f>
        <v>0</v>
      </c>
      <c r="R1427" s="20">
        <f>(SEGUIMIENTO_TPM_xlsx[[#This Row],[HORA REPORTE]]+SEGUIMIENTO_TPM_xlsx[[#This Row],[FECHA DE REPORTE]])</f>
        <v>0</v>
      </c>
      <c r="S1427" s="20">
        <f>(SEGUIMIENTO_TPM_xlsx[[#This Row],[FECHA DE INTERVENCÓN]]+SEGUIMIENTO_TPM_xlsx[[#This Row],[HORA FIN  INTERVENCIÓN]])</f>
        <v>0</v>
      </c>
      <c r="T1427" s="11">
        <f>(SEGUIMIENTO_TPM_xlsx[[#This Row],[FECHA Y HORA FINAL]]-SEGUIMIENTO_TPM_xlsx[[#This Row],[FECHA Y HORA INICIO]])</f>
        <v>0</v>
      </c>
    </row>
    <row r="1428" spans="1:20" x14ac:dyDescent="0.25">
      <c r="C1428" s="1"/>
      <c r="D1428" s="2"/>
      <c r="H1428" s="1"/>
      <c r="I1428" s="1"/>
      <c r="J1428" s="2"/>
      <c r="Q1428" s="1">
        <f>SEGUIMIENTO_TPM_xlsx[[#This Row],[HORA FIN  INTERVENCIÓN]]-SEGUIMIENTO_TPM_xlsx[[#This Row],[HORA INICIO INTERVENCIÓN]]</f>
        <v>0</v>
      </c>
      <c r="R1428" s="20">
        <f>(SEGUIMIENTO_TPM_xlsx[[#This Row],[HORA REPORTE]]+SEGUIMIENTO_TPM_xlsx[[#This Row],[FECHA DE REPORTE]])</f>
        <v>0</v>
      </c>
      <c r="S1428" s="20">
        <f>(SEGUIMIENTO_TPM_xlsx[[#This Row],[FECHA DE INTERVENCÓN]]+SEGUIMIENTO_TPM_xlsx[[#This Row],[HORA FIN  INTERVENCIÓN]])</f>
        <v>0</v>
      </c>
      <c r="T1428" s="11">
        <f>(SEGUIMIENTO_TPM_xlsx[[#This Row],[FECHA Y HORA FINAL]]-SEGUIMIENTO_TPM_xlsx[[#This Row],[FECHA Y HORA INICIO]])</f>
        <v>0</v>
      </c>
    </row>
    <row r="1429" spans="1:20" x14ac:dyDescent="0.25">
      <c r="C1429" s="1"/>
      <c r="D1429" s="2"/>
      <c r="H1429" s="1"/>
      <c r="I1429" s="1"/>
      <c r="J1429" s="2"/>
      <c r="Q1429" s="1">
        <f>SEGUIMIENTO_TPM_xlsx[[#This Row],[HORA FIN  INTERVENCIÓN]]-SEGUIMIENTO_TPM_xlsx[[#This Row],[HORA INICIO INTERVENCIÓN]]</f>
        <v>0</v>
      </c>
      <c r="R1429" s="20">
        <f>(SEGUIMIENTO_TPM_xlsx[[#This Row],[HORA REPORTE]]+SEGUIMIENTO_TPM_xlsx[[#This Row],[FECHA DE REPORTE]])</f>
        <v>0</v>
      </c>
      <c r="S1429" s="20">
        <f>(SEGUIMIENTO_TPM_xlsx[[#This Row],[FECHA DE INTERVENCÓN]]+SEGUIMIENTO_TPM_xlsx[[#This Row],[HORA FIN  INTERVENCIÓN]])</f>
        <v>0</v>
      </c>
      <c r="T1429" s="11">
        <f>(SEGUIMIENTO_TPM_xlsx[[#This Row],[FECHA Y HORA FINAL]]-SEGUIMIENTO_TPM_xlsx[[#This Row],[FECHA Y HORA INICIO]])</f>
        <v>0</v>
      </c>
    </row>
    <row r="1430" spans="1:20" x14ac:dyDescent="0.25">
      <c r="C1430" s="1"/>
      <c r="D1430" s="2"/>
      <c r="H1430" s="1"/>
      <c r="I1430" s="1"/>
      <c r="J1430" s="2"/>
      <c r="Q1430" s="1">
        <f>SEGUIMIENTO_TPM_xlsx[[#This Row],[HORA FIN  INTERVENCIÓN]]-SEGUIMIENTO_TPM_xlsx[[#This Row],[HORA INICIO INTERVENCIÓN]]</f>
        <v>0</v>
      </c>
      <c r="R1430" s="20">
        <f>(SEGUIMIENTO_TPM_xlsx[[#This Row],[HORA REPORTE]]+SEGUIMIENTO_TPM_xlsx[[#This Row],[FECHA DE REPORTE]])</f>
        <v>0</v>
      </c>
      <c r="S1430" s="20">
        <f>(SEGUIMIENTO_TPM_xlsx[[#This Row],[FECHA DE INTERVENCÓN]]+SEGUIMIENTO_TPM_xlsx[[#This Row],[HORA FIN  INTERVENCIÓN]])</f>
        <v>0</v>
      </c>
      <c r="T1430" s="11">
        <f>(SEGUIMIENTO_TPM_xlsx[[#This Row],[FECHA Y HORA FINAL]]-SEGUIMIENTO_TPM_xlsx[[#This Row],[FECHA Y HORA INICIO]])</f>
        <v>0</v>
      </c>
    </row>
    <row r="1431" spans="1:20" x14ac:dyDescent="0.25">
      <c r="B1431" t="s">
        <v>338</v>
      </c>
      <c r="C1431" s="1"/>
      <c r="D1431" s="2"/>
      <c r="H1431" s="1"/>
      <c r="I1431" s="1"/>
      <c r="J1431" s="2"/>
      <c r="Q1431" s="1">
        <f>SEGUIMIENTO_TPM_xlsx[[#This Row],[HORA FIN  INTERVENCIÓN]]-SEGUIMIENTO_TPM_xlsx[[#This Row],[HORA INICIO INTERVENCIÓN]]</f>
        <v>0</v>
      </c>
      <c r="R1431" s="20">
        <f>(SEGUIMIENTO_TPM_xlsx[[#This Row],[HORA REPORTE]]+SEGUIMIENTO_TPM_xlsx[[#This Row],[FECHA DE REPORTE]])</f>
        <v>0</v>
      </c>
      <c r="S1431" s="20">
        <f>(SEGUIMIENTO_TPM_xlsx[[#This Row],[FECHA DE INTERVENCÓN]]+SEGUIMIENTO_TPM_xlsx[[#This Row],[HORA FIN  INTERVENCIÓN]])</f>
        <v>0</v>
      </c>
      <c r="T1431" s="11">
        <f>(SEGUIMIENTO_TPM_xlsx[[#This Row],[FECHA Y HORA FINAL]]-SEGUIMIENTO_TPM_xlsx[[#This Row],[FECHA Y HORA INICIO]])</f>
        <v>0</v>
      </c>
    </row>
    <row r="1432" spans="1:20" x14ac:dyDescent="0.25">
      <c r="B1432" t="s">
        <v>99</v>
      </c>
      <c r="C1432" s="1"/>
      <c r="D1432" s="2"/>
      <c r="H1432" s="1"/>
      <c r="I1432" s="1"/>
      <c r="J1432" s="2"/>
      <c r="Q1432" s="1">
        <f>SEGUIMIENTO_TPM_xlsx[[#This Row],[HORA FIN  INTERVENCIÓN]]-SEGUIMIENTO_TPM_xlsx[[#This Row],[HORA INICIO INTERVENCIÓN]]</f>
        <v>0</v>
      </c>
      <c r="R1432" s="20">
        <f>(SEGUIMIENTO_TPM_xlsx[[#This Row],[HORA REPORTE]]+SEGUIMIENTO_TPM_xlsx[[#This Row],[FECHA DE REPORTE]])</f>
        <v>0</v>
      </c>
      <c r="S1432" s="20">
        <f>(SEGUIMIENTO_TPM_xlsx[[#This Row],[FECHA DE INTERVENCÓN]]+SEGUIMIENTO_TPM_xlsx[[#This Row],[HORA FIN  INTERVENCIÓN]])</f>
        <v>0</v>
      </c>
      <c r="T1432" s="11">
        <f>(SEGUIMIENTO_TPM_xlsx[[#This Row],[FECHA Y HORA FINAL]]-SEGUIMIENTO_TPM_xlsx[[#This Row],[FECHA Y HORA INICIO]])</f>
        <v>0</v>
      </c>
    </row>
    <row r="1433" spans="1:20" x14ac:dyDescent="0.25">
      <c r="B1433" t="s">
        <v>112</v>
      </c>
      <c r="C1433" s="1"/>
      <c r="D1433" s="2"/>
      <c r="H1433" s="1"/>
      <c r="I1433" s="1"/>
      <c r="J1433" s="2"/>
      <c r="Q1433" s="1">
        <f>SEGUIMIENTO_TPM_xlsx[[#This Row],[HORA FIN  INTERVENCIÓN]]-SEGUIMIENTO_TPM_xlsx[[#This Row],[HORA INICIO INTERVENCIÓN]]</f>
        <v>0</v>
      </c>
      <c r="R1433" s="20">
        <f>(SEGUIMIENTO_TPM_xlsx[[#This Row],[HORA REPORTE]]+SEGUIMIENTO_TPM_xlsx[[#This Row],[FECHA DE REPORTE]])</f>
        <v>0</v>
      </c>
      <c r="S1433" s="20">
        <f>(SEGUIMIENTO_TPM_xlsx[[#This Row],[FECHA DE INTERVENCÓN]]+SEGUIMIENTO_TPM_xlsx[[#This Row],[HORA FIN  INTERVENCIÓN]])</f>
        <v>0</v>
      </c>
      <c r="T1433" s="11">
        <f>(SEGUIMIENTO_TPM_xlsx[[#This Row],[FECHA Y HORA FINAL]]-SEGUIMIENTO_TPM_xlsx[[#This Row],[FECHA Y HORA INICIO]])</f>
        <v>0</v>
      </c>
    </row>
    <row r="1434" spans="1:20" x14ac:dyDescent="0.25">
      <c r="B1434" t="s">
        <v>44</v>
      </c>
      <c r="C1434" s="1"/>
      <c r="D1434" s="2"/>
      <c r="H1434" s="1"/>
      <c r="I1434" s="1"/>
      <c r="J1434" s="2"/>
      <c r="Q1434" s="1">
        <f>SEGUIMIENTO_TPM_xlsx[[#This Row],[HORA FIN  INTERVENCIÓN]]-SEGUIMIENTO_TPM_xlsx[[#This Row],[HORA INICIO INTERVENCIÓN]]</f>
        <v>0</v>
      </c>
      <c r="R1434" s="20">
        <f>(SEGUIMIENTO_TPM_xlsx[[#This Row],[HORA REPORTE]]+SEGUIMIENTO_TPM_xlsx[[#This Row],[FECHA DE REPORTE]])</f>
        <v>0</v>
      </c>
      <c r="S1434" s="20">
        <f>(SEGUIMIENTO_TPM_xlsx[[#This Row],[FECHA DE INTERVENCÓN]]+SEGUIMIENTO_TPM_xlsx[[#This Row],[HORA FIN  INTERVENCIÓN]])</f>
        <v>0</v>
      </c>
      <c r="T1434" s="11">
        <f>(SEGUIMIENTO_TPM_xlsx[[#This Row],[FECHA Y HORA FINAL]]-SEGUIMIENTO_TPM_xlsx[[#This Row],[FECHA Y HORA INICIO]])</f>
        <v>0</v>
      </c>
    </row>
    <row r="1435" spans="1:20" x14ac:dyDescent="0.25">
      <c r="B1435" t="s">
        <v>268</v>
      </c>
      <c r="C1435" s="1"/>
      <c r="D1435" s="2"/>
      <c r="H1435" s="1"/>
      <c r="I1435" s="1"/>
      <c r="J1435" s="2"/>
      <c r="Q1435" s="1">
        <f>SEGUIMIENTO_TPM_xlsx[[#This Row],[HORA FIN  INTERVENCIÓN]]-SEGUIMIENTO_TPM_xlsx[[#This Row],[HORA INICIO INTERVENCIÓN]]</f>
        <v>0</v>
      </c>
      <c r="R1435" s="20">
        <f>(SEGUIMIENTO_TPM_xlsx[[#This Row],[HORA REPORTE]]+SEGUIMIENTO_TPM_xlsx[[#This Row],[FECHA DE REPORTE]])</f>
        <v>0</v>
      </c>
      <c r="S1435" s="20">
        <f>(SEGUIMIENTO_TPM_xlsx[[#This Row],[FECHA DE INTERVENCÓN]]+SEGUIMIENTO_TPM_xlsx[[#This Row],[HORA FIN  INTERVENCIÓN]])</f>
        <v>0</v>
      </c>
      <c r="T1435" s="11">
        <f>(SEGUIMIENTO_TPM_xlsx[[#This Row],[FECHA Y HORA FINAL]]-SEGUIMIENTO_TPM_xlsx[[#This Row],[FECHA Y HORA INICIO]])</f>
        <v>0</v>
      </c>
    </row>
    <row r="1436" spans="1:20" x14ac:dyDescent="0.25">
      <c r="B1436" t="s">
        <v>108</v>
      </c>
      <c r="C1436" s="1"/>
      <c r="D1436" s="2"/>
      <c r="H1436" s="1"/>
      <c r="I1436" s="1"/>
      <c r="J1436" s="2"/>
      <c r="Q1436" s="1">
        <f>SEGUIMIENTO_TPM_xlsx[[#This Row],[HORA FIN  INTERVENCIÓN]]-SEGUIMIENTO_TPM_xlsx[[#This Row],[HORA INICIO INTERVENCIÓN]]</f>
        <v>0</v>
      </c>
      <c r="R1436" s="20">
        <f>(SEGUIMIENTO_TPM_xlsx[[#This Row],[HORA REPORTE]]+SEGUIMIENTO_TPM_xlsx[[#This Row],[FECHA DE REPORTE]])</f>
        <v>0</v>
      </c>
      <c r="S1436" s="20">
        <f>(SEGUIMIENTO_TPM_xlsx[[#This Row],[FECHA DE INTERVENCÓN]]+SEGUIMIENTO_TPM_xlsx[[#This Row],[HORA FIN  INTERVENCIÓN]])</f>
        <v>0</v>
      </c>
      <c r="T1436" s="11">
        <f>(SEGUIMIENTO_TPM_xlsx[[#This Row],[FECHA Y HORA FINAL]]-SEGUIMIENTO_TPM_xlsx[[#This Row],[FECHA Y HORA INICIO]])</f>
        <v>0</v>
      </c>
    </row>
    <row r="1437" spans="1:20" x14ac:dyDescent="0.25">
      <c r="B1437" t="s">
        <v>339</v>
      </c>
      <c r="C1437" s="1"/>
      <c r="D1437" s="2"/>
      <c r="H1437" s="1"/>
      <c r="I1437" s="1"/>
      <c r="J1437" s="2"/>
      <c r="Q1437" s="1">
        <f>SEGUIMIENTO_TPM_xlsx[[#This Row],[HORA FIN  INTERVENCIÓN]]-SEGUIMIENTO_TPM_xlsx[[#This Row],[HORA INICIO INTERVENCIÓN]]</f>
        <v>0</v>
      </c>
      <c r="R1437" s="20">
        <f>(SEGUIMIENTO_TPM_xlsx[[#This Row],[HORA REPORTE]]+SEGUIMIENTO_TPM_xlsx[[#This Row],[FECHA DE REPORTE]])</f>
        <v>0</v>
      </c>
      <c r="S1437" s="20">
        <f>(SEGUIMIENTO_TPM_xlsx[[#This Row],[FECHA DE INTERVENCÓN]]+SEGUIMIENTO_TPM_xlsx[[#This Row],[HORA FIN  INTERVENCIÓN]])</f>
        <v>0</v>
      </c>
      <c r="T1437" s="11">
        <f>(SEGUIMIENTO_TPM_xlsx[[#This Row],[FECHA Y HORA FINAL]]-SEGUIMIENTO_TPM_xlsx[[#This Row],[FECHA Y HORA INICIO]])</f>
        <v>0</v>
      </c>
    </row>
    <row r="1438" spans="1:20" x14ac:dyDescent="0.25">
      <c r="B1438" t="s">
        <v>340</v>
      </c>
      <c r="C1438" s="1"/>
      <c r="D1438" s="2"/>
      <c r="H1438" s="1"/>
      <c r="I1438" s="1"/>
      <c r="J1438" s="2"/>
      <c r="Q1438" s="1">
        <f>SEGUIMIENTO_TPM_xlsx[[#This Row],[HORA FIN  INTERVENCIÓN]]-SEGUIMIENTO_TPM_xlsx[[#This Row],[HORA INICIO INTERVENCIÓN]]</f>
        <v>0</v>
      </c>
      <c r="R1438" s="20">
        <f>(SEGUIMIENTO_TPM_xlsx[[#This Row],[HORA REPORTE]]+SEGUIMIENTO_TPM_xlsx[[#This Row],[FECHA DE REPORTE]])</f>
        <v>0</v>
      </c>
      <c r="S1438" s="20">
        <f>(SEGUIMIENTO_TPM_xlsx[[#This Row],[FECHA DE INTERVENCÓN]]+SEGUIMIENTO_TPM_xlsx[[#This Row],[HORA FIN  INTERVENCIÓN]])</f>
        <v>0</v>
      </c>
      <c r="T1438" s="11">
        <f>(SEGUIMIENTO_TPM_xlsx[[#This Row],[FECHA Y HORA FINAL]]-SEGUIMIENTO_TPM_xlsx[[#This Row],[FECHA Y HORA INICIO]])</f>
        <v>0</v>
      </c>
    </row>
    <row r="1439" spans="1:20" x14ac:dyDescent="0.25">
      <c r="C1439" s="1"/>
      <c r="D1439" s="2"/>
      <c r="H1439" s="1"/>
      <c r="I1439" s="1"/>
      <c r="J1439" s="2"/>
      <c r="Q1439" s="1">
        <f>SEGUIMIENTO_TPM_xlsx[[#This Row],[HORA FIN  INTERVENCIÓN]]-SEGUIMIENTO_TPM_xlsx[[#This Row],[HORA INICIO INTERVENCIÓN]]</f>
        <v>0</v>
      </c>
      <c r="R1439" s="20">
        <f>(SEGUIMIENTO_TPM_xlsx[[#This Row],[HORA REPORTE]]+SEGUIMIENTO_TPM_xlsx[[#This Row],[FECHA DE REPORTE]])</f>
        <v>0</v>
      </c>
      <c r="S1439" s="20">
        <f>(SEGUIMIENTO_TPM_xlsx[[#This Row],[FECHA DE INTERVENCÓN]]+SEGUIMIENTO_TPM_xlsx[[#This Row],[HORA FIN  INTERVENCIÓN]])</f>
        <v>0</v>
      </c>
      <c r="T1439" s="11">
        <f>(SEGUIMIENTO_TPM_xlsx[[#This Row],[FECHA Y HORA FINAL]]-SEGUIMIENTO_TPM_xlsx[[#This Row],[FECHA Y HORA INICIO]])</f>
        <v>0</v>
      </c>
    </row>
    <row r="1440" spans="1:20" x14ac:dyDescent="0.25">
      <c r="C1440" s="1"/>
      <c r="D1440" s="2"/>
      <c r="H1440" s="1"/>
      <c r="I1440" s="1"/>
      <c r="J1440" s="2"/>
      <c r="Q1440" s="1">
        <f>SEGUIMIENTO_TPM_xlsx[[#This Row],[HORA FIN  INTERVENCIÓN]]-SEGUIMIENTO_TPM_xlsx[[#This Row],[HORA INICIO INTERVENCIÓN]]</f>
        <v>0</v>
      </c>
      <c r="R1440" s="20">
        <f>(SEGUIMIENTO_TPM_xlsx[[#This Row],[HORA REPORTE]]+SEGUIMIENTO_TPM_xlsx[[#This Row],[FECHA DE REPORTE]])</f>
        <v>0</v>
      </c>
      <c r="S1440" s="20">
        <f>(SEGUIMIENTO_TPM_xlsx[[#This Row],[FECHA DE INTERVENCÓN]]+SEGUIMIENTO_TPM_xlsx[[#This Row],[HORA FIN  INTERVENCIÓN]])</f>
        <v>0</v>
      </c>
      <c r="T1440" s="11">
        <f>(SEGUIMIENTO_TPM_xlsx[[#This Row],[FECHA Y HORA FINAL]]-SEGUIMIENTO_TPM_xlsx[[#This Row],[FECHA Y HORA INICIO]])</f>
        <v>0</v>
      </c>
    </row>
    <row r="1441" spans="2:20" x14ac:dyDescent="0.25">
      <c r="C1441" s="1"/>
      <c r="D1441" s="2"/>
      <c r="H1441" s="1"/>
      <c r="I1441" s="1"/>
      <c r="J1441" s="2"/>
      <c r="Q1441" s="1">
        <f>SEGUIMIENTO_TPM_xlsx[[#This Row],[HORA FIN  INTERVENCIÓN]]-SEGUIMIENTO_TPM_xlsx[[#This Row],[HORA INICIO INTERVENCIÓN]]</f>
        <v>0</v>
      </c>
      <c r="R1441" s="20">
        <f>(SEGUIMIENTO_TPM_xlsx[[#This Row],[HORA REPORTE]]+SEGUIMIENTO_TPM_xlsx[[#This Row],[FECHA DE REPORTE]])</f>
        <v>0</v>
      </c>
      <c r="S1441" s="20">
        <f>(SEGUIMIENTO_TPM_xlsx[[#This Row],[FECHA DE INTERVENCÓN]]+SEGUIMIENTO_TPM_xlsx[[#This Row],[HORA FIN  INTERVENCIÓN]])</f>
        <v>0</v>
      </c>
      <c r="T1441" s="11">
        <f>(SEGUIMIENTO_TPM_xlsx[[#This Row],[FECHA Y HORA FINAL]]-SEGUIMIENTO_TPM_xlsx[[#This Row],[FECHA Y HORA INICIO]])</f>
        <v>0</v>
      </c>
    </row>
    <row r="1442" spans="2:20" x14ac:dyDescent="0.25">
      <c r="B1442" t="s">
        <v>338</v>
      </c>
      <c r="C1442" s="1"/>
      <c r="D1442" s="2"/>
      <c r="H1442" s="1"/>
      <c r="I1442" s="1"/>
      <c r="J1442" s="2"/>
      <c r="Q1442" s="1">
        <f>SEGUIMIENTO_TPM_xlsx[[#This Row],[HORA FIN  INTERVENCIÓN]]-SEGUIMIENTO_TPM_xlsx[[#This Row],[HORA INICIO INTERVENCIÓN]]</f>
        <v>0</v>
      </c>
      <c r="R1442" s="20">
        <f>(SEGUIMIENTO_TPM_xlsx[[#This Row],[HORA REPORTE]]+SEGUIMIENTO_TPM_xlsx[[#This Row],[FECHA DE REPORTE]])</f>
        <v>0</v>
      </c>
      <c r="S1442" s="20">
        <f>(SEGUIMIENTO_TPM_xlsx[[#This Row],[FECHA DE INTERVENCÓN]]+SEGUIMIENTO_TPM_xlsx[[#This Row],[HORA FIN  INTERVENCIÓN]])</f>
        <v>0</v>
      </c>
      <c r="T1442" s="11">
        <f>(SEGUIMIENTO_TPM_xlsx[[#This Row],[FECHA Y HORA FINAL]]-SEGUIMIENTO_TPM_xlsx[[#This Row],[FECHA Y HORA INICIO]])</f>
        <v>0</v>
      </c>
    </row>
    <row r="1443" spans="2:20" x14ac:dyDescent="0.25">
      <c r="B1443" t="s">
        <v>99</v>
      </c>
      <c r="C1443" s="1"/>
      <c r="D1443" s="2"/>
      <c r="H1443" s="1"/>
      <c r="I1443" s="1"/>
      <c r="J1443" s="2"/>
      <c r="Q1443" s="1">
        <f>SEGUIMIENTO_TPM_xlsx[[#This Row],[HORA FIN  INTERVENCIÓN]]-SEGUIMIENTO_TPM_xlsx[[#This Row],[HORA INICIO INTERVENCIÓN]]</f>
        <v>0</v>
      </c>
      <c r="R1443" s="20">
        <f>(SEGUIMIENTO_TPM_xlsx[[#This Row],[HORA REPORTE]]+SEGUIMIENTO_TPM_xlsx[[#This Row],[FECHA DE REPORTE]])</f>
        <v>0</v>
      </c>
      <c r="S1443" s="20">
        <f>(SEGUIMIENTO_TPM_xlsx[[#This Row],[FECHA DE INTERVENCÓN]]+SEGUIMIENTO_TPM_xlsx[[#This Row],[HORA FIN  INTERVENCIÓN]])</f>
        <v>0</v>
      </c>
      <c r="T1443" s="11">
        <f>(SEGUIMIENTO_TPM_xlsx[[#This Row],[FECHA Y HORA FINAL]]-SEGUIMIENTO_TPM_xlsx[[#This Row],[FECHA Y HORA INICIO]])</f>
        <v>0</v>
      </c>
    </row>
    <row r="1444" spans="2:20" x14ac:dyDescent="0.25">
      <c r="B1444" t="s">
        <v>112</v>
      </c>
      <c r="C1444" s="1"/>
      <c r="D1444" s="2"/>
      <c r="H1444" s="1"/>
      <c r="I1444" s="1"/>
      <c r="J1444" s="2"/>
      <c r="Q1444" s="1">
        <f>SEGUIMIENTO_TPM_xlsx[[#This Row],[HORA FIN  INTERVENCIÓN]]-SEGUIMIENTO_TPM_xlsx[[#This Row],[HORA INICIO INTERVENCIÓN]]</f>
        <v>0</v>
      </c>
      <c r="R1444" s="20">
        <f>(SEGUIMIENTO_TPM_xlsx[[#This Row],[HORA REPORTE]]+SEGUIMIENTO_TPM_xlsx[[#This Row],[FECHA DE REPORTE]])</f>
        <v>0</v>
      </c>
      <c r="S1444" s="20">
        <f>(SEGUIMIENTO_TPM_xlsx[[#This Row],[FECHA DE INTERVENCÓN]]+SEGUIMIENTO_TPM_xlsx[[#This Row],[HORA FIN  INTERVENCIÓN]])</f>
        <v>0</v>
      </c>
      <c r="T1444" s="11">
        <f>(SEGUIMIENTO_TPM_xlsx[[#This Row],[FECHA Y HORA FINAL]]-SEGUIMIENTO_TPM_xlsx[[#This Row],[FECHA Y HORA INICIO]])</f>
        <v>0</v>
      </c>
    </row>
    <row r="1445" spans="2:20" x14ac:dyDescent="0.25">
      <c r="B1445" t="s">
        <v>44</v>
      </c>
      <c r="C1445" s="1"/>
      <c r="D1445" s="2"/>
      <c r="H1445" s="1"/>
      <c r="I1445" s="1"/>
      <c r="J1445" s="2"/>
      <c r="Q1445" s="1">
        <f>SEGUIMIENTO_TPM_xlsx[[#This Row],[HORA FIN  INTERVENCIÓN]]-SEGUIMIENTO_TPM_xlsx[[#This Row],[HORA INICIO INTERVENCIÓN]]</f>
        <v>0</v>
      </c>
      <c r="R1445" s="20">
        <f>(SEGUIMIENTO_TPM_xlsx[[#This Row],[HORA REPORTE]]+SEGUIMIENTO_TPM_xlsx[[#This Row],[FECHA DE REPORTE]])</f>
        <v>0</v>
      </c>
      <c r="S1445" s="20">
        <f>(SEGUIMIENTO_TPM_xlsx[[#This Row],[FECHA DE INTERVENCÓN]]+SEGUIMIENTO_TPM_xlsx[[#This Row],[HORA FIN  INTERVENCIÓN]])</f>
        <v>0</v>
      </c>
      <c r="T1445" s="11">
        <f>(SEGUIMIENTO_TPM_xlsx[[#This Row],[FECHA Y HORA FINAL]]-SEGUIMIENTO_TPM_xlsx[[#This Row],[FECHA Y HORA INICIO]])</f>
        <v>0</v>
      </c>
    </row>
    <row r="1446" spans="2:20" x14ac:dyDescent="0.25">
      <c r="B1446" t="s">
        <v>268</v>
      </c>
      <c r="C1446" s="1"/>
      <c r="D1446" s="2"/>
      <c r="H1446" s="1"/>
      <c r="I1446" s="1"/>
      <c r="J1446" s="2"/>
      <c r="Q1446" s="1">
        <f>SEGUIMIENTO_TPM_xlsx[[#This Row],[HORA FIN  INTERVENCIÓN]]-SEGUIMIENTO_TPM_xlsx[[#This Row],[HORA INICIO INTERVENCIÓN]]</f>
        <v>0</v>
      </c>
      <c r="R1446" s="20">
        <f>(SEGUIMIENTO_TPM_xlsx[[#This Row],[HORA REPORTE]]+SEGUIMIENTO_TPM_xlsx[[#This Row],[FECHA DE REPORTE]])</f>
        <v>0</v>
      </c>
      <c r="S1446" s="20">
        <f>(SEGUIMIENTO_TPM_xlsx[[#This Row],[FECHA DE INTERVENCÓN]]+SEGUIMIENTO_TPM_xlsx[[#This Row],[HORA FIN  INTERVENCIÓN]])</f>
        <v>0</v>
      </c>
      <c r="T1446" s="11">
        <f>(SEGUIMIENTO_TPM_xlsx[[#This Row],[FECHA Y HORA FINAL]]-SEGUIMIENTO_TPM_xlsx[[#This Row],[FECHA Y HORA INICIO]])</f>
        <v>0</v>
      </c>
    </row>
    <row r="1447" spans="2:20" x14ac:dyDescent="0.25">
      <c r="B1447" t="s">
        <v>22</v>
      </c>
      <c r="C1447" s="1"/>
      <c r="D1447" s="2"/>
      <c r="H1447" s="1"/>
      <c r="I1447" s="1"/>
      <c r="J1447" s="2"/>
      <c r="Q1447" s="1">
        <f>SEGUIMIENTO_TPM_xlsx[[#This Row],[HORA FIN  INTERVENCIÓN]]-SEGUIMIENTO_TPM_xlsx[[#This Row],[HORA INICIO INTERVENCIÓN]]</f>
        <v>0</v>
      </c>
      <c r="R1447" s="20">
        <f>(SEGUIMIENTO_TPM_xlsx[[#This Row],[HORA REPORTE]]+SEGUIMIENTO_TPM_xlsx[[#This Row],[FECHA DE REPORTE]])</f>
        <v>0</v>
      </c>
      <c r="S1447" s="20">
        <f>(SEGUIMIENTO_TPM_xlsx[[#This Row],[FECHA DE INTERVENCÓN]]+SEGUIMIENTO_TPM_xlsx[[#This Row],[HORA FIN  INTERVENCIÓN]])</f>
        <v>0</v>
      </c>
      <c r="T1447" s="11">
        <f>(SEGUIMIENTO_TPM_xlsx[[#This Row],[FECHA Y HORA FINAL]]-SEGUIMIENTO_TPM_xlsx[[#This Row],[FECHA Y HORA INICIO]])</f>
        <v>0</v>
      </c>
    </row>
    <row r="1448" spans="2:20" x14ac:dyDescent="0.25">
      <c r="B1448" t="s">
        <v>108</v>
      </c>
      <c r="C1448" s="1"/>
      <c r="D1448" s="2"/>
      <c r="H1448" s="1"/>
      <c r="I1448" s="1"/>
      <c r="J1448" s="2"/>
      <c r="Q1448" s="1">
        <f>SEGUIMIENTO_TPM_xlsx[[#This Row],[HORA FIN  INTERVENCIÓN]]-SEGUIMIENTO_TPM_xlsx[[#This Row],[HORA INICIO INTERVENCIÓN]]</f>
        <v>0</v>
      </c>
      <c r="R1448" s="20">
        <f>(SEGUIMIENTO_TPM_xlsx[[#This Row],[HORA REPORTE]]+SEGUIMIENTO_TPM_xlsx[[#This Row],[FECHA DE REPORTE]])</f>
        <v>0</v>
      </c>
      <c r="S1448" s="20">
        <f>(SEGUIMIENTO_TPM_xlsx[[#This Row],[FECHA DE INTERVENCÓN]]+SEGUIMIENTO_TPM_xlsx[[#This Row],[HORA FIN  INTERVENCIÓN]])</f>
        <v>0</v>
      </c>
      <c r="T1448" s="11">
        <f>(SEGUIMIENTO_TPM_xlsx[[#This Row],[FECHA Y HORA FINAL]]-SEGUIMIENTO_TPM_xlsx[[#This Row],[FECHA Y HORA INICIO]])</f>
        <v>0</v>
      </c>
    </row>
    <row r="1449" spans="2:20" x14ac:dyDescent="0.25">
      <c r="B1449" t="s">
        <v>339</v>
      </c>
      <c r="C1449" s="1"/>
      <c r="D1449" s="2"/>
      <c r="H1449" s="1"/>
      <c r="I1449" s="1"/>
      <c r="J1449" s="2"/>
      <c r="Q1449" s="1">
        <f>SEGUIMIENTO_TPM_xlsx[[#This Row],[HORA FIN  INTERVENCIÓN]]-SEGUIMIENTO_TPM_xlsx[[#This Row],[HORA INICIO INTERVENCIÓN]]</f>
        <v>0</v>
      </c>
      <c r="R1449" s="20">
        <f>(SEGUIMIENTO_TPM_xlsx[[#This Row],[HORA REPORTE]]+SEGUIMIENTO_TPM_xlsx[[#This Row],[FECHA DE REPORTE]])</f>
        <v>0</v>
      </c>
      <c r="S1449" s="20">
        <f>(SEGUIMIENTO_TPM_xlsx[[#This Row],[FECHA DE INTERVENCÓN]]+SEGUIMIENTO_TPM_xlsx[[#This Row],[HORA FIN  INTERVENCIÓN]])</f>
        <v>0</v>
      </c>
      <c r="T1449" s="11">
        <f>(SEGUIMIENTO_TPM_xlsx[[#This Row],[FECHA Y HORA FINAL]]-SEGUIMIENTO_TPM_xlsx[[#This Row],[FECHA Y HORA INICIO]])</f>
        <v>0</v>
      </c>
    </row>
    <row r="1450" spans="2:20" x14ac:dyDescent="0.25">
      <c r="B1450" t="s">
        <v>340</v>
      </c>
      <c r="C1450" s="1"/>
      <c r="D1450" s="2"/>
      <c r="H1450" s="1"/>
      <c r="I1450" s="1"/>
      <c r="J1450" s="2"/>
      <c r="Q1450" s="1">
        <f>SEGUIMIENTO_TPM_xlsx[[#This Row],[HORA FIN  INTERVENCIÓN]]-SEGUIMIENTO_TPM_xlsx[[#This Row],[HORA INICIO INTERVENCIÓN]]</f>
        <v>0</v>
      </c>
      <c r="R1450" s="20">
        <f>(SEGUIMIENTO_TPM_xlsx[[#This Row],[HORA REPORTE]]+SEGUIMIENTO_TPM_xlsx[[#This Row],[FECHA DE REPORTE]])</f>
        <v>0</v>
      </c>
      <c r="S1450" s="20">
        <f>(SEGUIMIENTO_TPM_xlsx[[#This Row],[FECHA DE INTERVENCÓN]]+SEGUIMIENTO_TPM_xlsx[[#This Row],[HORA FIN  INTERVENCIÓN]])</f>
        <v>0</v>
      </c>
      <c r="T1450" s="11">
        <f>(SEGUIMIENTO_TPM_xlsx[[#This Row],[FECHA Y HORA FINAL]]-SEGUIMIENTO_TPM_xlsx[[#This Row],[FECHA Y HORA INICIO]])</f>
        <v>0</v>
      </c>
    </row>
    <row r="1451" spans="2:20" x14ac:dyDescent="0.25">
      <c r="C1451" s="1"/>
      <c r="D1451" s="2"/>
      <c r="H1451" s="1"/>
      <c r="I1451" s="1"/>
      <c r="J1451" s="2"/>
      <c r="Q1451" s="1">
        <f>SEGUIMIENTO_TPM_xlsx[[#This Row],[HORA FIN  INTERVENCIÓN]]-SEGUIMIENTO_TPM_xlsx[[#This Row],[HORA INICIO INTERVENCIÓN]]</f>
        <v>0</v>
      </c>
      <c r="R1451" s="20">
        <f>(SEGUIMIENTO_TPM_xlsx[[#This Row],[HORA REPORTE]]+SEGUIMIENTO_TPM_xlsx[[#This Row],[FECHA DE REPORTE]])</f>
        <v>0</v>
      </c>
      <c r="S1451" s="20">
        <f>(SEGUIMIENTO_TPM_xlsx[[#This Row],[FECHA DE INTERVENCÓN]]+SEGUIMIENTO_TPM_xlsx[[#This Row],[HORA FIN  INTERVENCIÓN]])</f>
        <v>0</v>
      </c>
      <c r="T1451" s="11">
        <f>(SEGUIMIENTO_TPM_xlsx[[#This Row],[FECHA Y HORA FINAL]]-SEGUIMIENTO_TPM_xlsx[[#This Row],[FECHA Y HORA INICIO]])</f>
        <v>0</v>
      </c>
    </row>
    <row r="1452" spans="2:20" x14ac:dyDescent="0.25">
      <c r="C1452" s="1"/>
      <c r="D1452" s="2"/>
      <c r="H1452" s="1"/>
      <c r="I1452" s="1"/>
      <c r="J1452" s="2"/>
      <c r="Q1452" s="1">
        <f>SEGUIMIENTO_TPM_xlsx[[#This Row],[HORA FIN  INTERVENCIÓN]]-SEGUIMIENTO_TPM_xlsx[[#This Row],[HORA INICIO INTERVENCIÓN]]</f>
        <v>0</v>
      </c>
      <c r="R1452" s="20">
        <f>(SEGUIMIENTO_TPM_xlsx[[#This Row],[HORA REPORTE]]+SEGUIMIENTO_TPM_xlsx[[#This Row],[FECHA DE REPORTE]])</f>
        <v>0</v>
      </c>
      <c r="S1452" s="20">
        <f>(SEGUIMIENTO_TPM_xlsx[[#This Row],[FECHA DE INTERVENCÓN]]+SEGUIMIENTO_TPM_xlsx[[#This Row],[HORA FIN  INTERVENCIÓN]])</f>
        <v>0</v>
      </c>
      <c r="T1452" s="11">
        <f>(SEGUIMIENTO_TPM_xlsx[[#This Row],[FECHA Y HORA FINAL]]-SEGUIMIENTO_TPM_xlsx[[#This Row],[FECHA Y HORA INICIO]])</f>
        <v>0</v>
      </c>
    </row>
    <row r="1453" spans="2:20" x14ac:dyDescent="0.25">
      <c r="C1453" s="1"/>
      <c r="D1453" s="2"/>
      <c r="H1453" s="1"/>
      <c r="I1453" s="1"/>
      <c r="J1453" s="2"/>
      <c r="Q1453" s="1">
        <f>SEGUIMIENTO_TPM_xlsx[[#This Row],[HORA FIN  INTERVENCIÓN]]-SEGUIMIENTO_TPM_xlsx[[#This Row],[HORA INICIO INTERVENCIÓN]]</f>
        <v>0</v>
      </c>
      <c r="R1453" s="20">
        <f>(SEGUIMIENTO_TPM_xlsx[[#This Row],[HORA REPORTE]]+SEGUIMIENTO_TPM_xlsx[[#This Row],[FECHA DE REPORTE]])</f>
        <v>0</v>
      </c>
      <c r="S1453" s="20">
        <f>(SEGUIMIENTO_TPM_xlsx[[#This Row],[FECHA DE INTERVENCÓN]]+SEGUIMIENTO_TPM_xlsx[[#This Row],[HORA FIN  INTERVENCIÓN]])</f>
        <v>0</v>
      </c>
      <c r="T1453" s="11">
        <f>(SEGUIMIENTO_TPM_xlsx[[#This Row],[FECHA Y HORA FINAL]]-SEGUIMIENTO_TPM_xlsx[[#This Row],[FECHA Y HORA INICIO]])</f>
        <v>0</v>
      </c>
    </row>
    <row r="1454" spans="2:20" x14ac:dyDescent="0.25">
      <c r="C1454" s="1"/>
      <c r="D1454" s="2"/>
      <c r="H1454" s="1"/>
      <c r="I1454" s="1"/>
      <c r="J1454" s="2"/>
      <c r="Q1454" s="1">
        <f>SEGUIMIENTO_TPM_xlsx[[#This Row],[HORA FIN  INTERVENCIÓN]]-SEGUIMIENTO_TPM_xlsx[[#This Row],[HORA INICIO INTERVENCIÓN]]</f>
        <v>0</v>
      </c>
      <c r="R1454" s="20">
        <f>(SEGUIMIENTO_TPM_xlsx[[#This Row],[HORA REPORTE]]+SEGUIMIENTO_TPM_xlsx[[#This Row],[FECHA DE REPORTE]])</f>
        <v>0</v>
      </c>
      <c r="S1454" s="20">
        <f>(SEGUIMIENTO_TPM_xlsx[[#This Row],[FECHA DE INTERVENCÓN]]+SEGUIMIENTO_TPM_xlsx[[#This Row],[HORA FIN  INTERVENCIÓN]])</f>
        <v>0</v>
      </c>
      <c r="T1454" s="11">
        <f>(SEGUIMIENTO_TPM_xlsx[[#This Row],[FECHA Y HORA FINAL]]-SEGUIMIENTO_TPM_xlsx[[#This Row],[FECHA Y HORA INICIO]])</f>
        <v>0</v>
      </c>
    </row>
    <row r="1455" spans="2:20" x14ac:dyDescent="0.25">
      <c r="C1455" s="1"/>
      <c r="D1455" s="2"/>
      <c r="H1455" s="1"/>
      <c r="I1455" s="1"/>
      <c r="J1455" s="2"/>
      <c r="Q1455" s="1">
        <f>SEGUIMIENTO_TPM_xlsx[[#This Row],[HORA FIN  INTERVENCIÓN]]-SEGUIMIENTO_TPM_xlsx[[#This Row],[HORA INICIO INTERVENCIÓN]]</f>
        <v>0</v>
      </c>
      <c r="R1455" s="20">
        <f>(SEGUIMIENTO_TPM_xlsx[[#This Row],[HORA REPORTE]]+SEGUIMIENTO_TPM_xlsx[[#This Row],[FECHA DE REPORTE]])</f>
        <v>0</v>
      </c>
      <c r="S1455" s="20">
        <f>(SEGUIMIENTO_TPM_xlsx[[#This Row],[FECHA DE INTERVENCÓN]]+SEGUIMIENTO_TPM_xlsx[[#This Row],[HORA FIN  INTERVENCIÓN]])</f>
        <v>0</v>
      </c>
      <c r="T1455" s="11">
        <f>(SEGUIMIENTO_TPM_xlsx[[#This Row],[FECHA Y HORA FINAL]]-SEGUIMIENTO_TPM_xlsx[[#This Row],[FECHA Y HORA INICIO]])</f>
        <v>0</v>
      </c>
    </row>
    <row r="1456" spans="2:20" x14ac:dyDescent="0.25">
      <c r="C1456" s="1"/>
      <c r="D1456" s="2"/>
      <c r="H1456" s="1"/>
      <c r="I1456" s="1"/>
      <c r="J1456" s="2"/>
      <c r="Q1456" s="1">
        <f>SEGUIMIENTO_TPM_xlsx[[#This Row],[HORA FIN  INTERVENCIÓN]]-SEGUIMIENTO_TPM_xlsx[[#This Row],[HORA INICIO INTERVENCIÓN]]</f>
        <v>0</v>
      </c>
      <c r="R1456" s="20">
        <f>(SEGUIMIENTO_TPM_xlsx[[#This Row],[HORA REPORTE]]+SEGUIMIENTO_TPM_xlsx[[#This Row],[FECHA DE REPORTE]])</f>
        <v>0</v>
      </c>
      <c r="S1456" s="20">
        <f>(SEGUIMIENTO_TPM_xlsx[[#This Row],[FECHA DE INTERVENCÓN]]+SEGUIMIENTO_TPM_xlsx[[#This Row],[HORA FIN  INTERVENCIÓN]])</f>
        <v>0</v>
      </c>
      <c r="T1456" s="11">
        <f>(SEGUIMIENTO_TPM_xlsx[[#This Row],[FECHA Y HORA FINAL]]-SEGUIMIENTO_TPM_xlsx[[#This Row],[FECHA Y HORA INICIO]])</f>
        <v>0</v>
      </c>
    </row>
    <row r="1457" spans="3:20" x14ac:dyDescent="0.25">
      <c r="C1457" s="1"/>
      <c r="D1457" s="2"/>
      <c r="H1457" s="1"/>
      <c r="I1457" s="1"/>
      <c r="J1457" s="2"/>
      <c r="Q1457" s="1">
        <f>SEGUIMIENTO_TPM_xlsx[[#This Row],[HORA FIN  INTERVENCIÓN]]-SEGUIMIENTO_TPM_xlsx[[#This Row],[HORA INICIO INTERVENCIÓN]]</f>
        <v>0</v>
      </c>
      <c r="R1457" s="20">
        <f>(SEGUIMIENTO_TPM_xlsx[[#This Row],[HORA REPORTE]]+SEGUIMIENTO_TPM_xlsx[[#This Row],[FECHA DE REPORTE]])</f>
        <v>0</v>
      </c>
      <c r="S1457" s="20">
        <f>(SEGUIMIENTO_TPM_xlsx[[#This Row],[FECHA DE INTERVENCÓN]]+SEGUIMIENTO_TPM_xlsx[[#This Row],[HORA FIN  INTERVENCIÓN]])</f>
        <v>0</v>
      </c>
      <c r="T1457" s="11">
        <f>(SEGUIMIENTO_TPM_xlsx[[#This Row],[FECHA Y HORA FINAL]]-SEGUIMIENTO_TPM_xlsx[[#This Row],[FECHA Y HORA INICIO]])</f>
        <v>0</v>
      </c>
    </row>
    <row r="1458" spans="3:20" x14ac:dyDescent="0.25">
      <c r="C1458" s="1"/>
      <c r="D1458" s="2"/>
      <c r="H1458" s="1"/>
      <c r="I1458" s="1"/>
      <c r="J1458" s="2"/>
      <c r="Q1458" s="1">
        <f>SEGUIMIENTO_TPM_xlsx[[#This Row],[HORA FIN  INTERVENCIÓN]]-SEGUIMIENTO_TPM_xlsx[[#This Row],[HORA INICIO INTERVENCIÓN]]</f>
        <v>0</v>
      </c>
      <c r="R1458" s="20">
        <f>(SEGUIMIENTO_TPM_xlsx[[#This Row],[HORA REPORTE]]+SEGUIMIENTO_TPM_xlsx[[#This Row],[FECHA DE REPORTE]])</f>
        <v>0</v>
      </c>
      <c r="S1458" s="20">
        <f>(SEGUIMIENTO_TPM_xlsx[[#This Row],[FECHA DE INTERVENCÓN]]+SEGUIMIENTO_TPM_xlsx[[#This Row],[HORA FIN  INTERVENCIÓN]])</f>
        <v>0</v>
      </c>
      <c r="T1458" s="11">
        <f>(SEGUIMIENTO_TPM_xlsx[[#This Row],[FECHA Y HORA FINAL]]-SEGUIMIENTO_TPM_xlsx[[#This Row],[FECHA Y HORA INICIO]])</f>
        <v>0</v>
      </c>
    </row>
    <row r="1459" spans="3:20" x14ac:dyDescent="0.25">
      <c r="C1459" s="1"/>
      <c r="D1459" s="2"/>
      <c r="H1459" s="1"/>
      <c r="I1459" s="1"/>
      <c r="J1459" s="2"/>
      <c r="Q1459" s="1">
        <f>SEGUIMIENTO_TPM_xlsx[[#This Row],[HORA FIN  INTERVENCIÓN]]-SEGUIMIENTO_TPM_xlsx[[#This Row],[HORA INICIO INTERVENCIÓN]]</f>
        <v>0</v>
      </c>
      <c r="R1459" s="20">
        <f>(SEGUIMIENTO_TPM_xlsx[[#This Row],[HORA REPORTE]]+SEGUIMIENTO_TPM_xlsx[[#This Row],[FECHA DE REPORTE]])</f>
        <v>0</v>
      </c>
      <c r="S1459" s="20">
        <f>(SEGUIMIENTO_TPM_xlsx[[#This Row],[FECHA DE INTERVENCÓN]]+SEGUIMIENTO_TPM_xlsx[[#This Row],[HORA FIN  INTERVENCIÓN]])</f>
        <v>0</v>
      </c>
      <c r="T1459" s="11">
        <f>(SEGUIMIENTO_TPM_xlsx[[#This Row],[FECHA Y HORA FINAL]]-SEGUIMIENTO_TPM_xlsx[[#This Row],[FECHA Y HORA INICIO]])</f>
        <v>0</v>
      </c>
    </row>
    <row r="1460" spans="3:20" x14ac:dyDescent="0.25">
      <c r="C1460" s="1"/>
      <c r="D1460" s="2"/>
      <c r="H1460" s="1"/>
      <c r="I1460" s="1"/>
      <c r="J1460" s="2"/>
      <c r="Q1460" s="1">
        <f>SEGUIMIENTO_TPM_xlsx[[#This Row],[HORA FIN  INTERVENCIÓN]]-SEGUIMIENTO_TPM_xlsx[[#This Row],[HORA INICIO INTERVENCIÓN]]</f>
        <v>0</v>
      </c>
      <c r="R1460" s="20">
        <f>(SEGUIMIENTO_TPM_xlsx[[#This Row],[HORA REPORTE]]+SEGUIMIENTO_TPM_xlsx[[#This Row],[FECHA DE REPORTE]])</f>
        <v>0</v>
      </c>
      <c r="S1460" s="20">
        <f>(SEGUIMIENTO_TPM_xlsx[[#This Row],[FECHA DE INTERVENCÓN]]+SEGUIMIENTO_TPM_xlsx[[#This Row],[HORA FIN  INTERVENCIÓN]])</f>
        <v>0</v>
      </c>
      <c r="T1460" s="11">
        <f>(SEGUIMIENTO_TPM_xlsx[[#This Row],[FECHA Y HORA FINAL]]-SEGUIMIENTO_TPM_xlsx[[#This Row],[FECHA Y HORA INICIO]])</f>
        <v>0</v>
      </c>
    </row>
    <row r="1461" spans="3:20" x14ac:dyDescent="0.25">
      <c r="C1461" s="1"/>
      <c r="D1461" s="2"/>
      <c r="H1461" s="1"/>
      <c r="I1461" s="1"/>
      <c r="J1461" s="2"/>
      <c r="Q1461" s="1">
        <f>SEGUIMIENTO_TPM_xlsx[[#This Row],[HORA FIN  INTERVENCIÓN]]-SEGUIMIENTO_TPM_xlsx[[#This Row],[HORA INICIO INTERVENCIÓN]]</f>
        <v>0</v>
      </c>
      <c r="R1461" s="20">
        <f>(SEGUIMIENTO_TPM_xlsx[[#This Row],[HORA REPORTE]]+SEGUIMIENTO_TPM_xlsx[[#This Row],[FECHA DE REPORTE]])</f>
        <v>0</v>
      </c>
      <c r="S1461" s="20">
        <f>(SEGUIMIENTO_TPM_xlsx[[#This Row],[FECHA DE INTERVENCÓN]]+SEGUIMIENTO_TPM_xlsx[[#This Row],[HORA FIN  INTERVENCIÓN]])</f>
        <v>0</v>
      </c>
      <c r="T1461" s="11">
        <f>(SEGUIMIENTO_TPM_xlsx[[#This Row],[FECHA Y HORA FINAL]]-SEGUIMIENTO_TPM_xlsx[[#This Row],[FECHA Y HORA INICIO]])</f>
        <v>0</v>
      </c>
    </row>
    <row r="1462" spans="3:20" x14ac:dyDescent="0.25">
      <c r="C1462" s="1"/>
      <c r="D1462" s="2"/>
      <c r="H1462" s="1"/>
      <c r="I1462" s="1"/>
      <c r="J1462" s="2"/>
      <c r="Q1462" s="1">
        <f>SEGUIMIENTO_TPM_xlsx[[#This Row],[HORA FIN  INTERVENCIÓN]]-SEGUIMIENTO_TPM_xlsx[[#This Row],[HORA INICIO INTERVENCIÓN]]</f>
        <v>0</v>
      </c>
      <c r="R1462" s="20">
        <f>(SEGUIMIENTO_TPM_xlsx[[#This Row],[HORA REPORTE]]+SEGUIMIENTO_TPM_xlsx[[#This Row],[FECHA DE REPORTE]])</f>
        <v>0</v>
      </c>
      <c r="S1462" s="20">
        <f>(SEGUIMIENTO_TPM_xlsx[[#This Row],[FECHA DE INTERVENCÓN]]+SEGUIMIENTO_TPM_xlsx[[#This Row],[HORA FIN  INTERVENCIÓN]])</f>
        <v>0</v>
      </c>
      <c r="T1462" s="11">
        <f>(SEGUIMIENTO_TPM_xlsx[[#This Row],[FECHA Y HORA FINAL]]-SEGUIMIENTO_TPM_xlsx[[#This Row],[FECHA Y HORA INICIO]])</f>
        <v>0</v>
      </c>
    </row>
    <row r="1463" spans="3:20" x14ac:dyDescent="0.25">
      <c r="C1463" s="1"/>
      <c r="D1463" s="2"/>
      <c r="H1463" s="1"/>
      <c r="I1463" s="1"/>
      <c r="J1463" s="2"/>
      <c r="Q1463" s="1">
        <f>SEGUIMIENTO_TPM_xlsx[[#This Row],[HORA FIN  INTERVENCIÓN]]-SEGUIMIENTO_TPM_xlsx[[#This Row],[HORA INICIO INTERVENCIÓN]]</f>
        <v>0</v>
      </c>
      <c r="R1463" s="20">
        <f>(SEGUIMIENTO_TPM_xlsx[[#This Row],[HORA REPORTE]]+SEGUIMIENTO_TPM_xlsx[[#This Row],[FECHA DE REPORTE]])</f>
        <v>0</v>
      </c>
      <c r="S1463" s="20">
        <f>(SEGUIMIENTO_TPM_xlsx[[#This Row],[FECHA DE INTERVENCÓN]]+SEGUIMIENTO_TPM_xlsx[[#This Row],[HORA FIN  INTERVENCIÓN]])</f>
        <v>0</v>
      </c>
      <c r="T1463" s="11">
        <f>(SEGUIMIENTO_TPM_xlsx[[#This Row],[FECHA Y HORA FINAL]]-SEGUIMIENTO_TPM_xlsx[[#This Row],[FECHA Y HORA INICIO]])</f>
        <v>0</v>
      </c>
    </row>
    <row r="1464" spans="3:20" x14ac:dyDescent="0.25">
      <c r="C1464" s="1"/>
      <c r="D1464" s="2"/>
      <c r="H1464" s="1"/>
      <c r="I1464" s="1"/>
      <c r="J1464" s="2"/>
      <c r="Q1464" s="1">
        <f>SEGUIMIENTO_TPM_xlsx[[#This Row],[HORA FIN  INTERVENCIÓN]]-SEGUIMIENTO_TPM_xlsx[[#This Row],[HORA INICIO INTERVENCIÓN]]</f>
        <v>0</v>
      </c>
      <c r="R1464" s="20">
        <f>(SEGUIMIENTO_TPM_xlsx[[#This Row],[HORA REPORTE]]+SEGUIMIENTO_TPM_xlsx[[#This Row],[FECHA DE REPORTE]])</f>
        <v>0</v>
      </c>
      <c r="S1464" s="20">
        <f>(SEGUIMIENTO_TPM_xlsx[[#This Row],[FECHA DE INTERVENCÓN]]+SEGUIMIENTO_TPM_xlsx[[#This Row],[HORA FIN  INTERVENCIÓN]])</f>
        <v>0</v>
      </c>
      <c r="T1464" s="11">
        <f>(SEGUIMIENTO_TPM_xlsx[[#This Row],[FECHA Y HORA FINAL]]-SEGUIMIENTO_TPM_xlsx[[#This Row],[FECHA Y HORA INICIO]])</f>
        <v>0</v>
      </c>
    </row>
    <row r="1465" spans="3:20" x14ac:dyDescent="0.25">
      <c r="C1465" s="1"/>
      <c r="D1465" s="2"/>
      <c r="H1465" s="1"/>
      <c r="I1465" s="1"/>
      <c r="J1465" s="2"/>
      <c r="Q1465" s="1">
        <f>SEGUIMIENTO_TPM_xlsx[[#This Row],[HORA FIN  INTERVENCIÓN]]-SEGUIMIENTO_TPM_xlsx[[#This Row],[HORA INICIO INTERVENCIÓN]]</f>
        <v>0</v>
      </c>
      <c r="R1465" s="20">
        <f>(SEGUIMIENTO_TPM_xlsx[[#This Row],[HORA REPORTE]]+SEGUIMIENTO_TPM_xlsx[[#This Row],[FECHA DE REPORTE]])</f>
        <v>0</v>
      </c>
      <c r="S1465" s="20">
        <f>(SEGUIMIENTO_TPM_xlsx[[#This Row],[FECHA DE INTERVENCÓN]]+SEGUIMIENTO_TPM_xlsx[[#This Row],[HORA FIN  INTERVENCIÓN]])</f>
        <v>0</v>
      </c>
      <c r="T1465" s="11">
        <f>(SEGUIMIENTO_TPM_xlsx[[#This Row],[FECHA Y HORA FINAL]]-SEGUIMIENTO_TPM_xlsx[[#This Row],[FECHA Y HORA INICIO]])</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67A5B-F705-47C7-A296-8F5C5C86EFE2}">
  <dimension ref="A1:S99"/>
  <sheetViews>
    <sheetView showGridLines="0" tabSelected="1" topLeftCell="A59" zoomScaleNormal="100" workbookViewId="0">
      <selection activeCell="H64" sqref="H64"/>
    </sheetView>
  </sheetViews>
  <sheetFormatPr baseColWidth="10" defaultRowHeight="15" x14ac:dyDescent="0.25"/>
  <cols>
    <col min="1" max="1" width="22.7109375" bestFit="1" customWidth="1"/>
    <col min="2" max="2" width="32.7109375" bestFit="1" customWidth="1"/>
    <col min="3" max="3" width="15.42578125" bestFit="1" customWidth="1"/>
    <col min="4" max="4" width="18" bestFit="1" customWidth="1"/>
    <col min="5" max="5" width="37.140625" bestFit="1" customWidth="1"/>
    <col min="6" max="7" width="12.5703125" bestFit="1" customWidth="1"/>
  </cols>
  <sheetData>
    <row r="1" spans="1:2" hidden="1" x14ac:dyDescent="0.25">
      <c r="A1" s="22" t="s">
        <v>1535</v>
      </c>
      <c r="B1" s="22"/>
    </row>
    <row r="2" spans="1:2" hidden="1" x14ac:dyDescent="0.25">
      <c r="A2" s="5"/>
      <c r="B2" s="5"/>
    </row>
    <row r="3" spans="1:2" hidden="1" x14ac:dyDescent="0.25">
      <c r="A3" s="3" t="s">
        <v>15</v>
      </c>
      <c r="B3" t="s">
        <v>23</v>
      </c>
    </row>
    <row r="4" spans="1:2" hidden="1" x14ac:dyDescent="0.25"/>
    <row r="5" spans="1:2" hidden="1" x14ac:dyDescent="0.25">
      <c r="A5" s="3" t="s">
        <v>338</v>
      </c>
      <c r="B5" t="s">
        <v>1534</v>
      </c>
    </row>
    <row r="6" spans="1:2" hidden="1" x14ac:dyDescent="0.25">
      <c r="A6" s="4" t="s">
        <v>99</v>
      </c>
      <c r="B6">
        <v>19</v>
      </c>
    </row>
    <row r="7" spans="1:2" hidden="1" x14ac:dyDescent="0.25">
      <c r="A7" s="4" t="s">
        <v>112</v>
      </c>
      <c r="B7">
        <v>215</v>
      </c>
    </row>
    <row r="8" spans="1:2" hidden="1" x14ac:dyDescent="0.25">
      <c r="A8" s="4" t="s">
        <v>723</v>
      </c>
      <c r="B8">
        <v>2</v>
      </c>
    </row>
    <row r="9" spans="1:2" hidden="1" x14ac:dyDescent="0.25">
      <c r="A9" s="4" t="s">
        <v>59</v>
      </c>
      <c r="B9">
        <v>3</v>
      </c>
    </row>
    <row r="10" spans="1:2" hidden="1" x14ac:dyDescent="0.25">
      <c r="A10" s="4" t="s">
        <v>661</v>
      </c>
      <c r="B10">
        <v>104</v>
      </c>
    </row>
    <row r="11" spans="1:2" hidden="1" x14ac:dyDescent="0.25">
      <c r="A11" s="4" t="s">
        <v>679</v>
      </c>
      <c r="B11">
        <v>2</v>
      </c>
    </row>
    <row r="12" spans="1:2" hidden="1" x14ac:dyDescent="0.25">
      <c r="A12" s="4" t="s">
        <v>1093</v>
      </c>
      <c r="B12">
        <v>1</v>
      </c>
    </row>
    <row r="13" spans="1:2" hidden="1" x14ac:dyDescent="0.25">
      <c r="A13" s="4" t="s">
        <v>44</v>
      </c>
      <c r="B13">
        <v>140</v>
      </c>
    </row>
    <row r="14" spans="1:2" hidden="1" x14ac:dyDescent="0.25">
      <c r="A14" s="4" t="s">
        <v>857</v>
      </c>
      <c r="B14">
        <v>1</v>
      </c>
    </row>
    <row r="15" spans="1:2" hidden="1" x14ac:dyDescent="0.25">
      <c r="A15" s="4" t="s">
        <v>268</v>
      </c>
      <c r="B15">
        <v>15</v>
      </c>
    </row>
    <row r="16" spans="1:2" hidden="1" x14ac:dyDescent="0.25">
      <c r="A16" s="4" t="s">
        <v>1443</v>
      </c>
      <c r="B16">
        <v>1</v>
      </c>
    </row>
    <row r="17" spans="1:2" hidden="1" x14ac:dyDescent="0.25">
      <c r="A17" s="4" t="s">
        <v>915</v>
      </c>
      <c r="B17">
        <v>2</v>
      </c>
    </row>
    <row r="18" spans="1:2" hidden="1" x14ac:dyDescent="0.25">
      <c r="A18" s="4" t="s">
        <v>66</v>
      </c>
      <c r="B18">
        <v>5</v>
      </c>
    </row>
    <row r="19" spans="1:2" hidden="1" x14ac:dyDescent="0.25">
      <c r="A19" s="4" t="s">
        <v>22</v>
      </c>
      <c r="B19">
        <v>1</v>
      </c>
    </row>
    <row r="20" spans="1:2" hidden="1" x14ac:dyDescent="0.25">
      <c r="A20" s="4" t="s">
        <v>108</v>
      </c>
      <c r="B20">
        <v>116</v>
      </c>
    </row>
    <row r="21" spans="1:2" hidden="1" x14ac:dyDescent="0.25">
      <c r="A21" s="4" t="s">
        <v>339</v>
      </c>
      <c r="B21">
        <v>5</v>
      </c>
    </row>
    <row r="22" spans="1:2" hidden="1" x14ac:dyDescent="0.25">
      <c r="A22" s="4" t="s">
        <v>340</v>
      </c>
      <c r="B22">
        <v>632</v>
      </c>
    </row>
    <row r="23" spans="1:2" hidden="1" x14ac:dyDescent="0.25"/>
    <row r="24" spans="1:2" hidden="1" x14ac:dyDescent="0.25"/>
    <row r="25" spans="1:2" hidden="1" x14ac:dyDescent="0.25"/>
    <row r="26" spans="1:2" hidden="1" x14ac:dyDescent="0.25"/>
    <row r="27" spans="1:2" hidden="1" x14ac:dyDescent="0.25"/>
    <row r="28" spans="1:2" hidden="1" x14ac:dyDescent="0.25"/>
    <row r="29" spans="1:2" hidden="1" x14ac:dyDescent="0.25"/>
    <row r="30" spans="1:2" hidden="1" x14ac:dyDescent="0.25"/>
    <row r="31" spans="1:2" hidden="1" x14ac:dyDescent="0.25"/>
    <row r="32" spans="1:2" hidden="1" x14ac:dyDescent="0.25"/>
    <row r="33" spans="1:19" hidden="1" x14ac:dyDescent="0.25"/>
    <row r="34" spans="1:19" hidden="1" x14ac:dyDescent="0.25"/>
    <row r="35" spans="1:19" hidden="1" x14ac:dyDescent="0.25"/>
    <row r="36" spans="1:19" hidden="1" x14ac:dyDescent="0.25"/>
    <row r="37" spans="1:19" hidden="1" x14ac:dyDescent="0.25"/>
    <row r="38" spans="1:19" hidden="1" x14ac:dyDescent="0.25"/>
    <row r="39" spans="1:19" hidden="1" x14ac:dyDescent="0.25"/>
    <row r="40" spans="1:19" hidden="1" x14ac:dyDescent="0.25"/>
    <row r="41" spans="1:19" hidden="1" x14ac:dyDescent="0.25"/>
    <row r="42" spans="1:19" ht="24" x14ac:dyDescent="0.4">
      <c r="A42" s="24" t="s">
        <v>1570</v>
      </c>
      <c r="B42" s="24"/>
      <c r="C42" s="24"/>
      <c r="D42" s="24"/>
      <c r="E42" s="24"/>
      <c r="F42" s="24"/>
      <c r="G42" s="24"/>
      <c r="H42" s="24"/>
      <c r="I42" s="24"/>
      <c r="J42" s="24"/>
      <c r="K42" s="24"/>
      <c r="L42" s="24"/>
      <c r="M42" s="24"/>
      <c r="N42" s="24"/>
      <c r="O42" s="24"/>
      <c r="P42" s="24"/>
      <c r="Q42" s="24"/>
      <c r="R42" s="24"/>
      <c r="S42" s="24"/>
    </row>
    <row r="44" spans="1:19" x14ac:dyDescent="0.25">
      <c r="A44" s="14" t="s">
        <v>1536</v>
      </c>
      <c r="B44" s="7">
        <f ca="1">B45-F44</f>
        <v>46146</v>
      </c>
      <c r="E44" s="6" t="s">
        <v>1566</v>
      </c>
      <c r="F44" s="6">
        <v>7</v>
      </c>
    </row>
    <row r="45" spans="1:19" x14ac:dyDescent="0.25">
      <c r="A45" s="14" t="s">
        <v>1537</v>
      </c>
      <c r="B45" s="7">
        <f ca="1">TODAY()</f>
        <v>46153</v>
      </c>
      <c r="E45" s="6" t="s">
        <v>1567</v>
      </c>
      <c r="F45" s="10">
        <f ca="1">B45-B44</f>
        <v>7</v>
      </c>
    </row>
    <row r="46" spans="1:19" x14ac:dyDescent="0.25">
      <c r="A46" s="4"/>
      <c r="B46" s="2"/>
      <c r="F46" s="11"/>
    </row>
    <row r="47" spans="1:19" x14ac:dyDescent="0.25">
      <c r="A47" s="4"/>
      <c r="B47" s="2"/>
      <c r="F47" s="11"/>
    </row>
    <row r="48" spans="1:19" x14ac:dyDescent="0.25">
      <c r="A48" s="4"/>
      <c r="B48" s="2"/>
      <c r="D48" s="2"/>
      <c r="E48" s="2"/>
      <c r="F48" s="11"/>
    </row>
    <row r="49" spans="1:6" x14ac:dyDescent="0.25">
      <c r="F49" s="11"/>
    </row>
    <row r="50" spans="1:6" x14ac:dyDescent="0.25">
      <c r="A50" s="3" t="s">
        <v>15</v>
      </c>
      <c r="B50" t="s">
        <v>23</v>
      </c>
    </row>
    <row r="51" spans="1:6" x14ac:dyDescent="0.25">
      <c r="A51" s="3" t="s">
        <v>9</v>
      </c>
      <c r="B51" t="s">
        <v>1538</v>
      </c>
    </row>
    <row r="53" spans="1:6" x14ac:dyDescent="0.25">
      <c r="A53" s="3" t="s">
        <v>338</v>
      </c>
      <c r="B53" t="s">
        <v>1564</v>
      </c>
      <c r="C53" t="s">
        <v>1534</v>
      </c>
      <c r="D53" s="12" t="s">
        <v>1568</v>
      </c>
      <c r="E53" s="12" t="s">
        <v>1565</v>
      </c>
    </row>
    <row r="54" spans="1:6" x14ac:dyDescent="0.25">
      <c r="A54" s="4" t="s">
        <v>188</v>
      </c>
      <c r="B54" s="11">
        <v>0.25</v>
      </c>
      <c r="C54" s="13">
        <v>2</v>
      </c>
      <c r="D54" s="11">
        <f ca="1">($F$45-GETPIVOTDATA("Suma de TIEMPO TOTAL SOLUCIÓN",$A$53,"MÁQUINA ","EXTRUSORA 2"))/GETPIVOTDATA("Cuenta de #TPM",$A$53,"MÁQUINA ","EXTRUSORA 2")</f>
        <v>3.375</v>
      </c>
      <c r="E54" s="11">
        <f>GETPIVOTDATA("Suma de TIEMPO TOTAL SOLUCIÓN",$A$53,"MÁQUINA ","EXTRUSORA 2")/GETPIVOTDATA("Cuenta de #TPM",$A$53,"MÁQUINA ","EXTRUSORA 2")</f>
        <v>0.125</v>
      </c>
    </row>
    <row r="55" spans="1:6" x14ac:dyDescent="0.25">
      <c r="A55" s="4" t="s">
        <v>147</v>
      </c>
      <c r="B55" s="11">
        <v>0.10416666666666667</v>
      </c>
      <c r="C55" s="13">
        <v>1</v>
      </c>
      <c r="D55" s="11">
        <f ca="1">($F$45-GETPIVOTDATA("Suma de TIEMPO TOTAL SOLUCIÓN",$A$53,"MÁQUINA ","EXTRUSORA 3"))/GETPIVOTDATA("Cuenta de #TPM",$A$53,"MÁQUINA ","EXTRUSORA 3")</f>
        <v>6.895833333333333</v>
      </c>
      <c r="E55" s="11">
        <f>GETPIVOTDATA("Suma de TIEMPO TOTAL SOLUCIÓN",$A$53,"MÁQUINA ","EXTRUSORA 3")/GETPIVOTDATA("Cuenta de #TPM",$A$53,"MÁQUINA ","EXTRUSORA 3")</f>
        <v>0.10416666666666667</v>
      </c>
    </row>
    <row r="56" spans="1:6" x14ac:dyDescent="0.25">
      <c r="A56" s="4" t="s">
        <v>91</v>
      </c>
      <c r="B56" s="11">
        <v>0.10416666666666667</v>
      </c>
      <c r="C56" s="13">
        <v>1</v>
      </c>
      <c r="D56" s="11">
        <f ca="1">($F$45-GETPIVOTDATA("Suma de TIEMPO TOTAL SOLUCIÓN",$A$53,"MÁQUINA ","EXTRUSORA 5"))/GETPIVOTDATA("Cuenta de #TPM",$A$53,"MÁQUINA ","EXTRUSORA 5")</f>
        <v>6.895833333333333</v>
      </c>
      <c r="E56" s="11">
        <f>GETPIVOTDATA("Suma de TIEMPO TOTAL SOLUCIÓN",$A$53,"MÁQUINA ","EXTRUSORA 5")/GETPIVOTDATA("Cuenta de #TPM",$A$53,"MÁQUINA ","EXTRUSORA 5")</f>
        <v>0.10416666666666667</v>
      </c>
    </row>
    <row r="57" spans="1:6" x14ac:dyDescent="0.25">
      <c r="A57" s="4" t="s">
        <v>143</v>
      </c>
      <c r="B57" s="11">
        <v>0.63888888888888884</v>
      </c>
      <c r="C57" s="13">
        <v>2</v>
      </c>
      <c r="D57" s="11">
        <f ca="1">($F$45-GETPIVOTDATA("Suma de TIEMPO TOTAL SOLUCIÓN",$A$53,"MÁQUINA ","IMPRESORA 1"))/GETPIVOTDATA("Cuenta de #TPM",$A$53,"MÁQUINA ","IMPRESORA 1")</f>
        <v>3.1805555555555554</v>
      </c>
      <c r="E57" s="11">
        <f>GETPIVOTDATA("Suma de TIEMPO TOTAL SOLUCIÓN",$A$53,"MÁQUINA ","IMPRESORA 1")/GETPIVOTDATA("Cuenta de #TPM",$A$53,"MÁQUINA ","IMPRESORA 1")</f>
        <v>0.31944444444444442</v>
      </c>
    </row>
    <row r="58" spans="1:6" x14ac:dyDescent="0.25">
      <c r="A58" s="4" t="s">
        <v>17</v>
      </c>
      <c r="B58" s="11">
        <v>0.125</v>
      </c>
      <c r="C58" s="13">
        <v>1</v>
      </c>
      <c r="D58" s="11">
        <f ca="1">($F$45-GETPIVOTDATA("Suma de TIEMPO TOTAL SOLUCIÓN",$A$53,"MÁQUINA ","Otro"))/GETPIVOTDATA("Cuenta de #TPM",$A$53,"MÁQUINA ","Otro")</f>
        <v>6.875</v>
      </c>
      <c r="E58" s="11">
        <f>GETPIVOTDATA("Suma de TIEMPO TOTAL SOLUCIÓN",$A$53,"MÁQUINA ","Otro")/GETPIVOTDATA("Cuenta de #TPM",$A$53,"MÁQUINA ","Otro")</f>
        <v>0.125</v>
      </c>
    </row>
    <row r="59" spans="1:6" x14ac:dyDescent="0.25">
      <c r="A59" s="4" t="s">
        <v>87</v>
      </c>
      <c r="B59" s="11">
        <v>8.3333333333333329E-2</v>
      </c>
      <c r="C59" s="13">
        <v>1</v>
      </c>
      <c r="D59" s="11">
        <f ca="1">($F$45-GETPIVOTDATA("Suma de TIEMPO TOTAL SOLUCIÓN",$A$53,"MÁQUINA ","PELETIZADORA"))/GETPIVOTDATA("Cuenta de #TPM",$A$53,"MÁQUINA ","PELETIZADORA")</f>
        <v>6.916666666666667</v>
      </c>
      <c r="E59" s="11">
        <f>GETPIVOTDATA("Suma de TIEMPO TOTAL SOLUCIÓN",$A$53,"MÁQUINA ","PELETIZADORA")/GETPIVOTDATA("Cuenta de #TPM",$A$53,"MÁQUINA ","PELETIZADORA")</f>
        <v>8.3333333333333329E-2</v>
      </c>
    </row>
    <row r="60" spans="1:6" x14ac:dyDescent="0.25">
      <c r="A60" s="4" t="s">
        <v>207</v>
      </c>
      <c r="B60" s="11">
        <v>6.805555555555555E-2</v>
      </c>
      <c r="C60" s="13">
        <v>2</v>
      </c>
      <c r="D60" s="11">
        <f ca="1">($F$45-GETPIVOTDATA("Suma de TIEMPO TOTAL SOLUCIÓN",$A$53,"MÁQUINA ","SELLADORA "))/GETPIVOTDATA("Cuenta de #TPM",$A$53,"MÁQUINA ","SELLADORA ")</f>
        <v>3.4659722222222222</v>
      </c>
      <c r="E60" s="11">
        <f>GETPIVOTDATA("Suma de TIEMPO TOTAL SOLUCIÓN",$A$53,"MÁQUINA ","SELLADORA ")/GETPIVOTDATA("Cuenta de #TPM",$A$53,"MÁQUINA ","SELLADORA ")</f>
        <v>3.4027777777777775E-2</v>
      </c>
    </row>
    <row r="61" spans="1:6" x14ac:dyDescent="0.25">
      <c r="A61" s="4" t="s">
        <v>185</v>
      </c>
      <c r="B61" s="11">
        <v>0.125</v>
      </c>
      <c r="C61" s="13">
        <v>4</v>
      </c>
      <c r="D61" s="11">
        <f ca="1">($F$45-GETPIVOTDATA("Suma de TIEMPO TOTAL SOLUCIÓN",$A$53,"MÁQUINA ","SELLADORA 1"))/GETPIVOTDATA("Cuenta de #TPM",$A$53,"MÁQUINA ","SELLADORA 1")</f>
        <v>1.71875</v>
      </c>
      <c r="E61" s="11">
        <f>GETPIVOTDATA("Suma de TIEMPO TOTAL SOLUCIÓN",$A$53,"MÁQUINA ","SELLADORA 1")/GETPIVOTDATA("Cuenta de #TPM",$A$53,"MÁQUINA ","SELLADORA 1")</f>
        <v>3.125E-2</v>
      </c>
    </row>
    <row r="62" spans="1:6" x14ac:dyDescent="0.25">
      <c r="A62" s="4" t="s">
        <v>116</v>
      </c>
      <c r="B62" s="11">
        <v>6.3194444444444442E-2</v>
      </c>
      <c r="C62" s="13">
        <v>2</v>
      </c>
      <c r="D62" s="11">
        <f ca="1">($F$45-GETPIVOTDATA("Suma de TIEMPO TOTAL SOLUCIÓN",$A$53,"MÁQUINA ","SELLADORA 2"))/GETPIVOTDATA("Cuenta de #TPM",$A$53,"MÁQUINA ","SELLADORA 2")</f>
        <v>3.4684027777777779</v>
      </c>
      <c r="E62" s="11">
        <f>GETPIVOTDATA("Suma de TIEMPO TOTAL SOLUCIÓN",$A$53,"MÁQUINA ","SELLADORA 2")/GETPIVOTDATA("Cuenta de #TPM",$A$53,"MÁQUINA ","SELLADORA 2")</f>
        <v>3.1597222222222221E-2</v>
      </c>
    </row>
    <row r="63" spans="1:6" x14ac:dyDescent="0.25">
      <c r="A63" s="4" t="s">
        <v>94</v>
      </c>
      <c r="B63" s="11">
        <v>3.3333333333333333E-2</v>
      </c>
      <c r="C63" s="13">
        <v>1</v>
      </c>
      <c r="D63" s="11">
        <f ca="1">($F$45-GETPIVOTDATA("Suma de TIEMPO TOTAL SOLUCIÓN",$A$53,"MÁQUINA ","SELLADORA 3"))/GETPIVOTDATA("Cuenta de #TPM",$A$53,"MÁQUINA ","SELLADORA 3")</f>
        <v>6.9666666666666668</v>
      </c>
      <c r="E63" s="11">
        <f>GETPIVOTDATA("Suma de TIEMPO TOTAL SOLUCIÓN",$A$53,"MÁQUINA ","SELLADORA 3")/GETPIVOTDATA("Cuenta de #TPM",$A$53,"MÁQUINA ","SELLADORA 3")</f>
        <v>3.3333333333333333E-2</v>
      </c>
    </row>
    <row r="64" spans="1:6" x14ac:dyDescent="0.25">
      <c r="A64" s="4" t="s">
        <v>340</v>
      </c>
      <c r="B64" s="11">
        <v>1.5951388888888889</v>
      </c>
      <c r="C64" s="13">
        <v>17</v>
      </c>
      <c r="D64" s="11"/>
      <c r="E64" s="11"/>
    </row>
    <row r="65" spans="1:6" x14ac:dyDescent="0.25">
      <c r="D65" s="11" t="s">
        <v>1726</v>
      </c>
      <c r="E65" s="11" t="s">
        <v>1727</v>
      </c>
    </row>
    <row r="66" spans="1:6" x14ac:dyDescent="0.25">
      <c r="D66" s="11"/>
      <c r="E66" s="11"/>
    </row>
    <row r="68" spans="1:6" x14ac:dyDescent="0.25">
      <c r="A68" s="22" t="s">
        <v>1569</v>
      </c>
      <c r="B68" s="23"/>
      <c r="D68" s="4"/>
      <c r="E68" s="4"/>
    </row>
    <row r="70" spans="1:6" x14ac:dyDescent="0.25">
      <c r="A70" s="3" t="s">
        <v>3</v>
      </c>
      <c r="B70" t="s">
        <v>2004</v>
      </c>
    </row>
    <row r="72" spans="1:6" x14ac:dyDescent="0.25">
      <c r="A72" s="3" t="s">
        <v>1534</v>
      </c>
      <c r="B72" s="3" t="s">
        <v>2034</v>
      </c>
    </row>
    <row r="73" spans="1:6" x14ac:dyDescent="0.25">
      <c r="A73" s="3" t="s">
        <v>338</v>
      </c>
      <c r="B73" t="s">
        <v>33</v>
      </c>
      <c r="C73" t="s">
        <v>1989</v>
      </c>
      <c r="D73" t="s">
        <v>23</v>
      </c>
      <c r="E73" t="s">
        <v>339</v>
      </c>
      <c r="F73" t="s">
        <v>340</v>
      </c>
    </row>
    <row r="74" spans="1:6" x14ac:dyDescent="0.25">
      <c r="A74" s="4" t="s">
        <v>353</v>
      </c>
      <c r="B74" s="25">
        <v>3</v>
      </c>
      <c r="C74" s="25"/>
      <c r="D74" s="25">
        <v>2</v>
      </c>
      <c r="E74" s="25"/>
      <c r="F74" s="25">
        <v>5</v>
      </c>
    </row>
    <row r="75" spans="1:6" x14ac:dyDescent="0.25">
      <c r="A75" s="4" t="s">
        <v>85</v>
      </c>
      <c r="B75" s="25">
        <v>3</v>
      </c>
      <c r="C75" s="25"/>
      <c r="D75" s="25">
        <v>9</v>
      </c>
      <c r="E75" s="25"/>
      <c r="F75" s="25">
        <v>12</v>
      </c>
    </row>
    <row r="76" spans="1:6" x14ac:dyDescent="0.25">
      <c r="A76" s="4" t="s">
        <v>307</v>
      </c>
      <c r="B76" s="25">
        <v>4</v>
      </c>
      <c r="C76" s="25"/>
      <c r="D76" s="25">
        <v>13</v>
      </c>
      <c r="E76" s="25"/>
      <c r="F76" s="25">
        <v>17</v>
      </c>
    </row>
    <row r="77" spans="1:6" x14ac:dyDescent="0.25">
      <c r="A77" s="4" t="s">
        <v>188</v>
      </c>
      <c r="B77" s="25">
        <v>20</v>
      </c>
      <c r="C77" s="25"/>
      <c r="D77" s="25">
        <v>51</v>
      </c>
      <c r="E77" s="25"/>
      <c r="F77" s="25">
        <v>71</v>
      </c>
    </row>
    <row r="78" spans="1:6" x14ac:dyDescent="0.25">
      <c r="A78" s="4" t="s">
        <v>147</v>
      </c>
      <c r="B78" s="25">
        <v>10</v>
      </c>
      <c r="C78" s="25"/>
      <c r="D78" s="25">
        <v>45</v>
      </c>
      <c r="E78" s="25">
        <v>1</v>
      </c>
      <c r="F78" s="25">
        <v>56</v>
      </c>
    </row>
    <row r="79" spans="1:6" x14ac:dyDescent="0.25">
      <c r="A79" s="4" t="s">
        <v>1087</v>
      </c>
      <c r="B79" s="25">
        <v>1</v>
      </c>
      <c r="C79" s="25"/>
      <c r="D79" s="25"/>
      <c r="E79" s="25"/>
      <c r="F79" s="25">
        <v>1</v>
      </c>
    </row>
    <row r="80" spans="1:6" x14ac:dyDescent="0.25">
      <c r="A80" s="4" t="s">
        <v>104</v>
      </c>
      <c r="B80" s="25">
        <v>13</v>
      </c>
      <c r="C80" s="25">
        <v>1</v>
      </c>
      <c r="D80" s="25">
        <v>29</v>
      </c>
      <c r="E80" s="25"/>
      <c r="F80" s="25">
        <v>43</v>
      </c>
    </row>
    <row r="81" spans="1:6" x14ac:dyDescent="0.25">
      <c r="A81" s="4" t="s">
        <v>91</v>
      </c>
      <c r="B81" s="25">
        <v>35</v>
      </c>
      <c r="C81" s="25"/>
      <c r="D81" s="25">
        <v>82</v>
      </c>
      <c r="E81" s="25">
        <v>3</v>
      </c>
      <c r="F81" s="25">
        <v>120</v>
      </c>
    </row>
    <row r="82" spans="1:6" x14ac:dyDescent="0.25">
      <c r="A82" s="4" t="s">
        <v>143</v>
      </c>
      <c r="B82" s="25">
        <v>12</v>
      </c>
      <c r="C82" s="25"/>
      <c r="D82" s="25">
        <v>104</v>
      </c>
      <c r="E82" s="25">
        <v>1</v>
      </c>
      <c r="F82" s="25">
        <v>117</v>
      </c>
    </row>
    <row r="83" spans="1:6" x14ac:dyDescent="0.25">
      <c r="A83" s="4" t="s">
        <v>34</v>
      </c>
      <c r="B83" s="25">
        <v>4</v>
      </c>
      <c r="C83" s="25"/>
      <c r="D83" s="25">
        <v>2</v>
      </c>
      <c r="E83" s="25"/>
      <c r="F83" s="25">
        <v>6</v>
      </c>
    </row>
    <row r="84" spans="1:6" x14ac:dyDescent="0.25">
      <c r="A84" s="4" t="s">
        <v>227</v>
      </c>
      <c r="B84" s="25">
        <v>2</v>
      </c>
      <c r="C84" s="25"/>
      <c r="D84" s="25">
        <v>5</v>
      </c>
      <c r="E84" s="25"/>
      <c r="F84" s="25">
        <v>7</v>
      </c>
    </row>
    <row r="85" spans="1:6" x14ac:dyDescent="0.25">
      <c r="A85" s="4" t="s">
        <v>17</v>
      </c>
      <c r="B85" s="25">
        <v>30</v>
      </c>
      <c r="C85" s="25"/>
      <c r="D85" s="25">
        <v>43</v>
      </c>
      <c r="E85" s="25">
        <v>1</v>
      </c>
      <c r="F85" s="25">
        <v>74</v>
      </c>
    </row>
    <row r="86" spans="1:6" x14ac:dyDescent="0.25">
      <c r="A86" s="4" t="s">
        <v>87</v>
      </c>
      <c r="B86" s="25">
        <v>1</v>
      </c>
      <c r="C86" s="25"/>
      <c r="D86" s="25">
        <v>2</v>
      </c>
      <c r="E86" s="25"/>
      <c r="F86" s="25">
        <v>3</v>
      </c>
    </row>
    <row r="87" spans="1:6" x14ac:dyDescent="0.25">
      <c r="A87" s="4" t="s">
        <v>280</v>
      </c>
      <c r="B87" s="25"/>
      <c r="C87" s="25"/>
      <c r="D87" s="25">
        <v>1</v>
      </c>
      <c r="E87" s="25"/>
      <c r="F87" s="25">
        <v>1</v>
      </c>
    </row>
    <row r="88" spans="1:6" x14ac:dyDescent="0.25">
      <c r="A88" s="4" t="s">
        <v>215</v>
      </c>
      <c r="B88" s="25"/>
      <c r="C88" s="25"/>
      <c r="D88" s="25">
        <v>4</v>
      </c>
      <c r="E88" s="25"/>
      <c r="F88" s="25">
        <v>4</v>
      </c>
    </row>
    <row r="89" spans="1:6" x14ac:dyDescent="0.25">
      <c r="A89" s="4" t="s">
        <v>154</v>
      </c>
      <c r="B89" s="25">
        <v>1</v>
      </c>
      <c r="C89" s="25"/>
      <c r="D89" s="25">
        <v>13</v>
      </c>
      <c r="E89" s="25"/>
      <c r="F89" s="25">
        <v>14</v>
      </c>
    </row>
    <row r="90" spans="1:6" x14ac:dyDescent="0.25">
      <c r="A90" s="4" t="s">
        <v>782</v>
      </c>
      <c r="B90" s="25">
        <v>3</v>
      </c>
      <c r="C90" s="25"/>
      <c r="D90" s="25">
        <v>7</v>
      </c>
      <c r="E90" s="25"/>
      <c r="F90" s="25">
        <v>10</v>
      </c>
    </row>
    <row r="91" spans="1:6" x14ac:dyDescent="0.25">
      <c r="A91" s="4" t="s">
        <v>162</v>
      </c>
      <c r="B91" s="25">
        <v>4</v>
      </c>
      <c r="C91" s="25"/>
      <c r="D91" s="25">
        <v>33</v>
      </c>
      <c r="E91" s="25"/>
      <c r="F91" s="25">
        <v>37</v>
      </c>
    </row>
    <row r="92" spans="1:6" x14ac:dyDescent="0.25">
      <c r="A92" s="4" t="s">
        <v>109</v>
      </c>
      <c r="B92" s="25">
        <v>2</v>
      </c>
      <c r="C92" s="25"/>
      <c r="D92" s="25">
        <v>13</v>
      </c>
      <c r="E92" s="25"/>
      <c r="F92" s="25">
        <v>15</v>
      </c>
    </row>
    <row r="93" spans="1:6" x14ac:dyDescent="0.25">
      <c r="A93" s="4" t="s">
        <v>185</v>
      </c>
      <c r="B93" s="25">
        <v>3</v>
      </c>
      <c r="C93" s="25"/>
      <c r="D93" s="25">
        <v>37</v>
      </c>
      <c r="E93" s="25">
        <v>1</v>
      </c>
      <c r="F93" s="25">
        <v>41</v>
      </c>
    </row>
    <row r="94" spans="1:6" x14ac:dyDescent="0.25">
      <c r="A94" s="4" t="s">
        <v>116</v>
      </c>
      <c r="B94" s="25">
        <v>6</v>
      </c>
      <c r="C94" s="25"/>
      <c r="D94" s="25">
        <v>101</v>
      </c>
      <c r="E94" s="25">
        <v>1</v>
      </c>
      <c r="F94" s="25">
        <v>108</v>
      </c>
    </row>
    <row r="95" spans="1:6" x14ac:dyDescent="0.25">
      <c r="A95" s="4" t="s">
        <v>94</v>
      </c>
      <c r="B95" s="25">
        <v>4</v>
      </c>
      <c r="C95" s="25"/>
      <c r="D95" s="25">
        <v>65</v>
      </c>
      <c r="E95" s="25">
        <v>1</v>
      </c>
      <c r="F95" s="25">
        <v>70</v>
      </c>
    </row>
    <row r="96" spans="1:6" x14ac:dyDescent="0.25">
      <c r="A96" s="4" t="s">
        <v>177</v>
      </c>
      <c r="B96" s="25">
        <v>1</v>
      </c>
      <c r="C96" s="25"/>
      <c r="D96" s="25">
        <v>2</v>
      </c>
      <c r="E96" s="25"/>
      <c r="F96" s="25">
        <v>3</v>
      </c>
    </row>
    <row r="97" spans="1:6" x14ac:dyDescent="0.25">
      <c r="A97" s="4" t="s">
        <v>1451</v>
      </c>
      <c r="B97" s="25"/>
      <c r="C97" s="25"/>
      <c r="D97" s="25">
        <v>1</v>
      </c>
      <c r="E97" s="25"/>
      <c r="F97" s="25">
        <v>1</v>
      </c>
    </row>
    <row r="98" spans="1:6" x14ac:dyDescent="0.25">
      <c r="A98" s="4" t="s">
        <v>1943</v>
      </c>
      <c r="B98" s="25"/>
      <c r="C98" s="25"/>
      <c r="D98" s="25">
        <v>1</v>
      </c>
      <c r="E98" s="25"/>
      <c r="F98" s="25">
        <v>1</v>
      </c>
    </row>
    <row r="99" spans="1:6" x14ac:dyDescent="0.25">
      <c r="A99" s="4" t="s">
        <v>340</v>
      </c>
      <c r="B99" s="25">
        <v>162</v>
      </c>
      <c r="C99" s="25">
        <v>1</v>
      </c>
      <c r="D99" s="25">
        <v>665</v>
      </c>
      <c r="E99" s="25">
        <v>9</v>
      </c>
      <c r="F99" s="25">
        <v>837</v>
      </c>
    </row>
  </sheetData>
  <mergeCells count="3">
    <mergeCell ref="A1:B1"/>
    <mergeCell ref="A68:B68"/>
    <mergeCell ref="A42:S42"/>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4659C-9005-4C3F-9710-086E0BB0AB48}">
  <dimension ref="A1:F189"/>
  <sheetViews>
    <sheetView zoomScale="125" workbookViewId="0">
      <selection activeCell="A3" sqref="A3"/>
    </sheetView>
  </sheetViews>
  <sheetFormatPr baseColWidth="10" defaultRowHeight="15" x14ac:dyDescent="0.25"/>
  <cols>
    <col min="1" max="1" width="51.85546875" bestFit="1" customWidth="1"/>
    <col min="2" max="2" width="10.140625" bestFit="1" customWidth="1"/>
    <col min="5" max="5" width="34.85546875" bestFit="1" customWidth="1"/>
  </cols>
  <sheetData>
    <row r="1" spans="1:6" x14ac:dyDescent="0.25">
      <c r="A1" s="3" t="s">
        <v>9</v>
      </c>
      <c r="B1" t="s">
        <v>2004</v>
      </c>
    </row>
    <row r="3" spans="1:6" x14ac:dyDescent="0.25">
      <c r="A3" s="3" t="s">
        <v>338</v>
      </c>
      <c r="E3" t="s">
        <v>1761</v>
      </c>
      <c r="F3">
        <v>12</v>
      </c>
    </row>
    <row r="4" spans="1:6" x14ac:dyDescent="0.25">
      <c r="A4" s="4" t="s">
        <v>571</v>
      </c>
      <c r="E4" t="s">
        <v>1760</v>
      </c>
      <c r="F4">
        <v>12</v>
      </c>
    </row>
    <row r="5" spans="1:6" x14ac:dyDescent="0.25">
      <c r="A5" s="4" t="s">
        <v>512</v>
      </c>
      <c r="E5" t="s">
        <v>1747</v>
      </c>
      <c r="F5">
        <v>12</v>
      </c>
    </row>
    <row r="6" spans="1:6" x14ac:dyDescent="0.25">
      <c r="A6" s="4" t="s">
        <v>430</v>
      </c>
      <c r="E6" t="s">
        <v>1732</v>
      </c>
      <c r="F6">
        <v>12</v>
      </c>
    </row>
    <row r="7" spans="1:6" x14ac:dyDescent="0.25">
      <c r="A7" s="4" t="s">
        <v>502</v>
      </c>
      <c r="E7" t="s">
        <v>1733</v>
      </c>
      <c r="F7">
        <v>12</v>
      </c>
    </row>
    <row r="8" spans="1:6" x14ac:dyDescent="0.25">
      <c r="A8" s="4" t="s">
        <v>412</v>
      </c>
      <c r="E8" t="s">
        <v>1769</v>
      </c>
      <c r="F8">
        <v>12</v>
      </c>
    </row>
    <row r="9" spans="1:6" x14ac:dyDescent="0.25">
      <c r="A9" s="4" t="s">
        <v>576</v>
      </c>
      <c r="E9" t="s">
        <v>1774</v>
      </c>
      <c r="F9">
        <v>12</v>
      </c>
    </row>
    <row r="10" spans="1:6" x14ac:dyDescent="0.25">
      <c r="A10" s="4" t="s">
        <v>516</v>
      </c>
      <c r="E10" t="s">
        <v>1762</v>
      </c>
      <c r="F10">
        <v>12</v>
      </c>
    </row>
    <row r="11" spans="1:6" x14ac:dyDescent="0.25">
      <c r="A11" s="4" t="s">
        <v>316</v>
      </c>
      <c r="E11" t="s">
        <v>1763</v>
      </c>
      <c r="F11">
        <v>12</v>
      </c>
    </row>
    <row r="12" spans="1:6" x14ac:dyDescent="0.25">
      <c r="A12" s="4" t="s">
        <v>313</v>
      </c>
      <c r="E12" t="s">
        <v>1748</v>
      </c>
      <c r="F12">
        <v>12</v>
      </c>
    </row>
    <row r="13" spans="1:6" x14ac:dyDescent="0.25">
      <c r="A13" s="4" t="s">
        <v>506</v>
      </c>
      <c r="E13" t="s">
        <v>1734</v>
      </c>
      <c r="F13">
        <v>12</v>
      </c>
    </row>
    <row r="14" spans="1:6" x14ac:dyDescent="0.25">
      <c r="A14" s="4" t="s">
        <v>568</v>
      </c>
      <c r="E14" t="s">
        <v>1735</v>
      </c>
      <c r="F14">
        <v>12</v>
      </c>
    </row>
    <row r="15" spans="1:6" x14ac:dyDescent="0.25">
      <c r="A15" s="4" t="s">
        <v>831</v>
      </c>
      <c r="E15" t="s">
        <v>1770</v>
      </c>
      <c r="F15">
        <v>12</v>
      </c>
    </row>
    <row r="16" spans="1:6" x14ac:dyDescent="0.25">
      <c r="A16" s="4" t="s">
        <v>444</v>
      </c>
      <c r="E16" t="s">
        <v>1773</v>
      </c>
      <c r="F16">
        <v>12</v>
      </c>
    </row>
    <row r="17" spans="1:6" x14ac:dyDescent="0.25">
      <c r="A17" s="4" t="s">
        <v>552</v>
      </c>
      <c r="E17" t="s">
        <v>1771</v>
      </c>
      <c r="F17">
        <v>12</v>
      </c>
    </row>
    <row r="18" spans="1:6" x14ac:dyDescent="0.25">
      <c r="A18" s="4" t="s">
        <v>390</v>
      </c>
      <c r="E18" t="s">
        <v>1764</v>
      </c>
      <c r="F18">
        <v>12</v>
      </c>
    </row>
    <row r="19" spans="1:6" x14ac:dyDescent="0.25">
      <c r="A19" s="4" t="s">
        <v>123</v>
      </c>
      <c r="E19" t="s">
        <v>1765</v>
      </c>
      <c r="F19">
        <v>12</v>
      </c>
    </row>
    <row r="20" spans="1:6" x14ac:dyDescent="0.25">
      <c r="A20" s="4" t="s">
        <v>463</v>
      </c>
      <c r="E20" t="s">
        <v>1750</v>
      </c>
      <c r="F20">
        <v>12</v>
      </c>
    </row>
    <row r="21" spans="1:6" x14ac:dyDescent="0.25">
      <c r="A21" s="4" t="s">
        <v>398</v>
      </c>
      <c r="E21" t="s">
        <v>1752</v>
      </c>
      <c r="F21">
        <v>12</v>
      </c>
    </row>
    <row r="22" spans="1:6" x14ac:dyDescent="0.25">
      <c r="A22" s="4" t="s">
        <v>477</v>
      </c>
      <c r="E22" t="s">
        <v>1751</v>
      </c>
      <c r="F22">
        <v>12</v>
      </c>
    </row>
    <row r="23" spans="1:6" x14ac:dyDescent="0.25">
      <c r="A23" s="4" t="s">
        <v>489</v>
      </c>
      <c r="E23" t="s">
        <v>1772</v>
      </c>
      <c r="F23">
        <v>12</v>
      </c>
    </row>
    <row r="24" spans="1:6" x14ac:dyDescent="0.25">
      <c r="A24" s="4" t="s">
        <v>427</v>
      </c>
      <c r="E24" t="s">
        <v>1736</v>
      </c>
      <c r="F24">
        <v>24</v>
      </c>
    </row>
    <row r="25" spans="1:6" x14ac:dyDescent="0.25">
      <c r="A25" s="4" t="s">
        <v>310</v>
      </c>
      <c r="E25" t="s">
        <v>1741</v>
      </c>
      <c r="F25">
        <v>12</v>
      </c>
    </row>
    <row r="26" spans="1:6" x14ac:dyDescent="0.25">
      <c r="A26" s="4" t="s">
        <v>43</v>
      </c>
      <c r="E26" t="s">
        <v>1742</v>
      </c>
      <c r="F26">
        <v>12</v>
      </c>
    </row>
    <row r="27" spans="1:6" x14ac:dyDescent="0.25">
      <c r="A27" s="4" t="s">
        <v>519</v>
      </c>
      <c r="E27" t="s">
        <v>1743</v>
      </c>
      <c r="F27">
        <v>12</v>
      </c>
    </row>
    <row r="28" spans="1:6" x14ac:dyDescent="0.25">
      <c r="A28" s="4" t="s">
        <v>494</v>
      </c>
      <c r="E28" t="s">
        <v>1755</v>
      </c>
      <c r="F28">
        <v>12</v>
      </c>
    </row>
    <row r="29" spans="1:6" x14ac:dyDescent="0.25">
      <c r="A29" s="4" t="s">
        <v>562</v>
      </c>
      <c r="E29" t="s">
        <v>1756</v>
      </c>
      <c r="F29">
        <v>12</v>
      </c>
    </row>
    <row r="30" spans="1:6" x14ac:dyDescent="0.25">
      <c r="A30" s="4" t="s">
        <v>942</v>
      </c>
      <c r="E30" t="s">
        <v>1767</v>
      </c>
      <c r="F30">
        <v>12</v>
      </c>
    </row>
    <row r="31" spans="1:6" x14ac:dyDescent="0.25">
      <c r="A31" s="4" t="s">
        <v>1432</v>
      </c>
      <c r="E31" t="s">
        <v>1768</v>
      </c>
      <c r="F31">
        <v>12</v>
      </c>
    </row>
    <row r="32" spans="1:6" x14ac:dyDescent="0.25">
      <c r="A32" s="4" t="s">
        <v>1485</v>
      </c>
      <c r="E32" t="s">
        <v>1744</v>
      </c>
      <c r="F32">
        <v>24</v>
      </c>
    </row>
    <row r="33" spans="1:6" x14ac:dyDescent="0.25">
      <c r="A33" s="4" t="s">
        <v>1501</v>
      </c>
      <c r="E33" t="s">
        <v>1757</v>
      </c>
      <c r="F33">
        <v>10</v>
      </c>
    </row>
    <row r="34" spans="1:6" x14ac:dyDescent="0.25">
      <c r="A34" s="4" t="s">
        <v>1599</v>
      </c>
    </row>
    <row r="35" spans="1:6" x14ac:dyDescent="0.25">
      <c r="A35" s="4" t="s">
        <v>1050</v>
      </c>
      <c r="E35" t="s">
        <v>1738</v>
      </c>
      <c r="F35">
        <v>12</v>
      </c>
    </row>
    <row r="36" spans="1:6" x14ac:dyDescent="0.25">
      <c r="A36" s="4" t="s">
        <v>850</v>
      </c>
      <c r="E36" t="s">
        <v>1739</v>
      </c>
      <c r="F36">
        <v>12</v>
      </c>
    </row>
    <row r="37" spans="1:6" x14ac:dyDescent="0.25">
      <c r="A37" s="4" t="s">
        <v>1578</v>
      </c>
      <c r="E37" t="s">
        <v>1740</v>
      </c>
      <c r="F37">
        <v>12</v>
      </c>
    </row>
    <row r="38" spans="1:6" x14ac:dyDescent="0.25">
      <c r="A38" s="4" t="s">
        <v>1361</v>
      </c>
      <c r="E38" t="s">
        <v>1753</v>
      </c>
      <c r="F38">
        <v>12</v>
      </c>
    </row>
    <row r="39" spans="1:6" x14ac:dyDescent="0.25">
      <c r="A39" s="4" t="s">
        <v>1556</v>
      </c>
      <c r="E39" t="s">
        <v>1754</v>
      </c>
      <c r="F39">
        <v>12</v>
      </c>
    </row>
    <row r="40" spans="1:6" x14ac:dyDescent="0.25">
      <c r="A40" s="4" t="s">
        <v>1071</v>
      </c>
      <c r="E40" t="s">
        <v>1758</v>
      </c>
      <c r="F40">
        <v>12</v>
      </c>
    </row>
    <row r="41" spans="1:6" x14ac:dyDescent="0.25">
      <c r="A41" s="4" t="s">
        <v>826</v>
      </c>
      <c r="E41" t="s">
        <v>1745</v>
      </c>
      <c r="F41">
        <v>12</v>
      </c>
    </row>
    <row r="42" spans="1:6" x14ac:dyDescent="0.25">
      <c r="A42" s="4" t="s">
        <v>1653</v>
      </c>
    </row>
    <row r="43" spans="1:6" x14ac:dyDescent="0.25">
      <c r="A43" s="4" t="s">
        <v>843</v>
      </c>
      <c r="E43" t="s">
        <v>1746</v>
      </c>
      <c r="F43">
        <v>3</v>
      </c>
    </row>
    <row r="44" spans="1:6" x14ac:dyDescent="0.25">
      <c r="A44" s="4" t="s">
        <v>1641</v>
      </c>
      <c r="E44" t="s">
        <v>1749</v>
      </c>
      <c r="F44">
        <v>3</v>
      </c>
    </row>
    <row r="45" spans="1:6" x14ac:dyDescent="0.25">
      <c r="A45" s="4" t="s">
        <v>1376</v>
      </c>
    </row>
    <row r="46" spans="1:6" x14ac:dyDescent="0.25">
      <c r="A46" s="4" t="s">
        <v>1379</v>
      </c>
    </row>
    <row r="47" spans="1:6" x14ac:dyDescent="0.25">
      <c r="A47" s="4" t="s">
        <v>1581</v>
      </c>
      <c r="E47" t="s">
        <v>1759</v>
      </c>
    </row>
    <row r="48" spans="1:6" x14ac:dyDescent="0.25">
      <c r="A48" s="4" t="s">
        <v>593</v>
      </c>
      <c r="E48" t="s">
        <v>1737</v>
      </c>
    </row>
    <row r="49" spans="1:6" x14ac:dyDescent="0.25">
      <c r="A49" s="4" t="s">
        <v>1188</v>
      </c>
      <c r="E49" t="s">
        <v>660</v>
      </c>
      <c r="F49">
        <v>24</v>
      </c>
    </row>
    <row r="50" spans="1:6" x14ac:dyDescent="0.25">
      <c r="A50" s="4" t="s">
        <v>1647</v>
      </c>
      <c r="E50" t="s">
        <v>1766</v>
      </c>
      <c r="F50">
        <v>12</v>
      </c>
    </row>
    <row r="51" spans="1:6" x14ac:dyDescent="0.25">
      <c r="A51" s="4" t="s">
        <v>1266</v>
      </c>
      <c r="E51" t="s">
        <v>1775</v>
      </c>
      <c r="F51">
        <v>3</v>
      </c>
    </row>
    <row r="52" spans="1:6" x14ac:dyDescent="0.25">
      <c r="A52" s="4" t="s">
        <v>1290</v>
      </c>
      <c r="E52" t="s">
        <v>1776</v>
      </c>
      <c r="F52">
        <v>3</v>
      </c>
    </row>
    <row r="53" spans="1:6" x14ac:dyDescent="0.25">
      <c r="A53" s="4" t="s">
        <v>1168</v>
      </c>
      <c r="E53" t="s">
        <v>1621</v>
      </c>
      <c r="F53">
        <v>12</v>
      </c>
    </row>
    <row r="54" spans="1:6" x14ac:dyDescent="0.25">
      <c r="A54" s="4" t="s">
        <v>1042</v>
      </c>
    </row>
    <row r="55" spans="1:6" x14ac:dyDescent="0.25">
      <c r="A55" s="4" t="s">
        <v>1400</v>
      </c>
    </row>
    <row r="56" spans="1:6" x14ac:dyDescent="0.25">
      <c r="A56" s="4" t="s">
        <v>1545</v>
      </c>
    </row>
    <row r="57" spans="1:6" x14ac:dyDescent="0.25">
      <c r="A57" s="4" t="s">
        <v>1389</v>
      </c>
    </row>
    <row r="58" spans="1:6" x14ac:dyDescent="0.25">
      <c r="A58" s="4" t="s">
        <v>987</v>
      </c>
    </row>
    <row r="59" spans="1:6" x14ac:dyDescent="0.25">
      <c r="A59" s="4" t="s">
        <v>1045</v>
      </c>
    </row>
    <row r="60" spans="1:6" x14ac:dyDescent="0.25">
      <c r="A60" s="4" t="s">
        <v>1092</v>
      </c>
    </row>
    <row r="61" spans="1:6" x14ac:dyDescent="0.25">
      <c r="A61" s="4" t="s">
        <v>1373</v>
      </c>
    </row>
    <row r="62" spans="1:6" x14ac:dyDescent="0.25">
      <c r="A62" s="4" t="s">
        <v>1006</v>
      </c>
    </row>
    <row r="63" spans="1:6" x14ac:dyDescent="0.25">
      <c r="A63" s="4" t="s">
        <v>984</v>
      </c>
    </row>
    <row r="64" spans="1:6" x14ac:dyDescent="0.25">
      <c r="A64" s="4" t="s">
        <v>1303</v>
      </c>
    </row>
    <row r="65" spans="1:1" x14ac:dyDescent="0.25">
      <c r="A65" s="4" t="s">
        <v>1563</v>
      </c>
    </row>
    <row r="66" spans="1:1" x14ac:dyDescent="0.25">
      <c r="A66" s="4" t="s">
        <v>1506</v>
      </c>
    </row>
    <row r="67" spans="1:1" x14ac:dyDescent="0.25">
      <c r="A67" s="4" t="s">
        <v>602</v>
      </c>
    </row>
    <row r="68" spans="1:1" x14ac:dyDescent="0.25">
      <c r="A68" s="4" t="s">
        <v>1263</v>
      </c>
    </row>
    <row r="69" spans="1:1" x14ac:dyDescent="0.25">
      <c r="A69" s="4" t="s">
        <v>1628</v>
      </c>
    </row>
    <row r="70" spans="1:1" x14ac:dyDescent="0.25">
      <c r="A70" s="4" t="s">
        <v>1336</v>
      </c>
    </row>
    <row r="71" spans="1:1" x14ac:dyDescent="0.25">
      <c r="A71" s="4" t="s">
        <v>1036</v>
      </c>
    </row>
    <row r="72" spans="1:1" x14ac:dyDescent="0.25">
      <c r="A72" s="4" t="s">
        <v>1106</v>
      </c>
    </row>
    <row r="73" spans="1:1" x14ac:dyDescent="0.25">
      <c r="A73" s="4" t="s">
        <v>1077</v>
      </c>
    </row>
    <row r="74" spans="1:1" x14ac:dyDescent="0.25">
      <c r="A74" s="4" t="s">
        <v>255</v>
      </c>
    </row>
    <row r="75" spans="1:1" x14ac:dyDescent="0.25">
      <c r="A75" s="4" t="s">
        <v>737</v>
      </c>
    </row>
    <row r="76" spans="1:1" x14ac:dyDescent="0.25">
      <c r="A76" s="4" t="s">
        <v>267</v>
      </c>
    </row>
    <row r="77" spans="1:1" x14ac:dyDescent="0.25">
      <c r="A77" s="4" t="s">
        <v>376</v>
      </c>
    </row>
    <row r="78" spans="1:1" x14ac:dyDescent="0.25">
      <c r="A78" s="4" t="s">
        <v>509</v>
      </c>
    </row>
    <row r="79" spans="1:1" x14ac:dyDescent="0.25">
      <c r="A79" s="4" t="s">
        <v>452</v>
      </c>
    </row>
    <row r="80" spans="1:1" x14ac:dyDescent="0.25">
      <c r="A80" s="4" t="s">
        <v>365</v>
      </c>
    </row>
    <row r="81" spans="1:1" x14ac:dyDescent="0.25">
      <c r="A81" s="4" t="s">
        <v>223</v>
      </c>
    </row>
    <row r="82" spans="1:1" x14ac:dyDescent="0.25">
      <c r="A82" s="4" t="s">
        <v>422</v>
      </c>
    </row>
    <row r="83" spans="1:1" x14ac:dyDescent="0.25">
      <c r="A83" s="4" t="s">
        <v>98</v>
      </c>
    </row>
    <row r="84" spans="1:1" x14ac:dyDescent="0.25">
      <c r="A84" s="4" t="s">
        <v>1514</v>
      </c>
    </row>
    <row r="85" spans="1:1" x14ac:dyDescent="0.25">
      <c r="A85" s="4" t="s">
        <v>1480</v>
      </c>
    </row>
    <row r="86" spans="1:1" x14ac:dyDescent="0.25">
      <c r="A86" s="4" t="s">
        <v>1109</v>
      </c>
    </row>
    <row r="87" spans="1:1" x14ac:dyDescent="0.25">
      <c r="A87" s="4" t="s">
        <v>955</v>
      </c>
    </row>
    <row r="88" spans="1:1" x14ac:dyDescent="0.25">
      <c r="A88" s="4" t="s">
        <v>1197</v>
      </c>
    </row>
    <row r="89" spans="1:1" x14ac:dyDescent="0.25">
      <c r="A89" s="4" t="s">
        <v>1340</v>
      </c>
    </row>
    <row r="90" spans="1:1" x14ac:dyDescent="0.25">
      <c r="A90" s="4" t="s">
        <v>779</v>
      </c>
    </row>
    <row r="91" spans="1:1" x14ac:dyDescent="0.25">
      <c r="A91" s="4" t="s">
        <v>933</v>
      </c>
    </row>
    <row r="92" spans="1:1" x14ac:dyDescent="0.25">
      <c r="A92" s="4" t="s">
        <v>350</v>
      </c>
    </row>
    <row r="93" spans="1:1" x14ac:dyDescent="0.25">
      <c r="A93" s="4" t="s">
        <v>715</v>
      </c>
    </row>
    <row r="94" spans="1:1" x14ac:dyDescent="0.25">
      <c r="A94" s="4" t="s">
        <v>58</v>
      </c>
    </row>
    <row r="95" spans="1:1" x14ac:dyDescent="0.25">
      <c r="A95" s="4" t="s">
        <v>840</v>
      </c>
    </row>
    <row r="96" spans="1:1" x14ac:dyDescent="0.25">
      <c r="A96" s="4" t="s">
        <v>198</v>
      </c>
    </row>
    <row r="97" spans="1:1" x14ac:dyDescent="0.25">
      <c r="A97" s="4" t="s">
        <v>245</v>
      </c>
    </row>
    <row r="98" spans="1:1" x14ac:dyDescent="0.25">
      <c r="A98" s="4" t="s">
        <v>371</v>
      </c>
    </row>
    <row r="99" spans="1:1" x14ac:dyDescent="0.25">
      <c r="A99" s="4" t="s">
        <v>183</v>
      </c>
    </row>
    <row r="100" spans="1:1" x14ac:dyDescent="0.25">
      <c r="A100" s="4" t="s">
        <v>278</v>
      </c>
    </row>
    <row r="101" spans="1:1" x14ac:dyDescent="0.25">
      <c r="A101" s="4" t="s">
        <v>230</v>
      </c>
    </row>
    <row r="102" spans="1:1" x14ac:dyDescent="0.25">
      <c r="A102" s="4" t="s">
        <v>694</v>
      </c>
    </row>
    <row r="103" spans="1:1" x14ac:dyDescent="0.25">
      <c r="A103" s="4" t="s">
        <v>146</v>
      </c>
    </row>
    <row r="104" spans="1:1" x14ac:dyDescent="0.25">
      <c r="A104" s="4" t="s">
        <v>298</v>
      </c>
    </row>
    <row r="105" spans="1:1" x14ac:dyDescent="0.25">
      <c r="A105" s="4" t="s">
        <v>1621</v>
      </c>
    </row>
    <row r="106" spans="1:1" x14ac:dyDescent="0.25">
      <c r="A106" s="4" t="s">
        <v>306</v>
      </c>
    </row>
    <row r="107" spans="1:1" x14ac:dyDescent="0.25">
      <c r="A107" s="4" t="s">
        <v>50</v>
      </c>
    </row>
    <row r="108" spans="1:1" x14ac:dyDescent="0.25">
      <c r="A108" s="4" t="s">
        <v>259</v>
      </c>
    </row>
    <row r="109" spans="1:1" x14ac:dyDescent="0.25">
      <c r="A109" s="4" t="s">
        <v>545</v>
      </c>
    </row>
    <row r="110" spans="1:1" x14ac:dyDescent="0.25">
      <c r="A110" s="4" t="s">
        <v>939</v>
      </c>
    </row>
    <row r="111" spans="1:1" x14ac:dyDescent="0.25">
      <c r="A111" s="4" t="s">
        <v>384</v>
      </c>
    </row>
    <row r="112" spans="1:1" x14ac:dyDescent="0.25">
      <c r="A112" s="4" t="s">
        <v>808</v>
      </c>
    </row>
    <row r="113" spans="1:1" x14ac:dyDescent="0.25">
      <c r="A113" s="4" t="s">
        <v>1026</v>
      </c>
    </row>
    <row r="114" spans="1:1" x14ac:dyDescent="0.25">
      <c r="A114" s="4" t="s">
        <v>949</v>
      </c>
    </row>
    <row r="115" spans="1:1" x14ac:dyDescent="0.25">
      <c r="A115" s="4" t="s">
        <v>473</v>
      </c>
    </row>
    <row r="116" spans="1:1" x14ac:dyDescent="0.25">
      <c r="A116" s="4" t="s">
        <v>22</v>
      </c>
    </row>
    <row r="117" spans="1:1" x14ac:dyDescent="0.25">
      <c r="A117" s="4" t="s">
        <v>970</v>
      </c>
    </row>
    <row r="118" spans="1:1" x14ac:dyDescent="0.25">
      <c r="A118" s="4" t="s">
        <v>1134</v>
      </c>
    </row>
    <row r="119" spans="1:1" x14ac:dyDescent="0.25">
      <c r="A119" s="4" t="s">
        <v>860</v>
      </c>
    </row>
    <row r="120" spans="1:1" x14ac:dyDescent="0.25">
      <c r="A120" s="4" t="s">
        <v>868</v>
      </c>
    </row>
    <row r="121" spans="1:1" x14ac:dyDescent="0.25">
      <c r="A121" s="4" t="s">
        <v>150</v>
      </c>
    </row>
    <row r="122" spans="1:1" x14ac:dyDescent="0.25">
      <c r="A122" s="4" t="s">
        <v>712</v>
      </c>
    </row>
    <row r="123" spans="1:1" x14ac:dyDescent="0.25">
      <c r="A123" s="4" t="s">
        <v>814</v>
      </c>
    </row>
    <row r="124" spans="1:1" x14ac:dyDescent="0.25">
      <c r="A124" s="4" t="s">
        <v>670</v>
      </c>
    </row>
    <row r="125" spans="1:1" x14ac:dyDescent="0.25">
      <c r="A125" s="4" t="s">
        <v>1127</v>
      </c>
    </row>
    <row r="126" spans="1:1" x14ac:dyDescent="0.25">
      <c r="A126" s="4" t="s">
        <v>301</v>
      </c>
    </row>
    <row r="127" spans="1:1" x14ac:dyDescent="0.25">
      <c r="A127" s="4" t="s">
        <v>12</v>
      </c>
    </row>
    <row r="128" spans="1:1" x14ac:dyDescent="0.25">
      <c r="A128" s="4" t="s">
        <v>1608</v>
      </c>
    </row>
    <row r="129" spans="1:1" x14ac:dyDescent="0.25">
      <c r="A129" s="4" t="s">
        <v>1498</v>
      </c>
    </row>
    <row r="130" spans="1:1" x14ac:dyDescent="0.25">
      <c r="A130" s="4" t="s">
        <v>676</v>
      </c>
    </row>
    <row r="131" spans="1:1" x14ac:dyDescent="0.25">
      <c r="A131" s="4" t="s">
        <v>287</v>
      </c>
    </row>
    <row r="132" spans="1:1" x14ac:dyDescent="0.25">
      <c r="A132" s="4" t="s">
        <v>295</v>
      </c>
    </row>
    <row r="133" spans="1:1" x14ac:dyDescent="0.25">
      <c r="A133" s="4" t="s">
        <v>788</v>
      </c>
    </row>
    <row r="134" spans="1:1" x14ac:dyDescent="0.25">
      <c r="A134" s="4" t="s">
        <v>1175</v>
      </c>
    </row>
    <row r="135" spans="1:1" x14ac:dyDescent="0.25">
      <c r="A135" s="4" t="s">
        <v>821</v>
      </c>
    </row>
    <row r="136" spans="1:1" x14ac:dyDescent="0.25">
      <c r="A136" s="4" t="s">
        <v>1601</v>
      </c>
    </row>
    <row r="137" spans="1:1" x14ac:dyDescent="0.25">
      <c r="A137" s="4" t="s">
        <v>1316</v>
      </c>
    </row>
    <row r="138" spans="1:1" x14ac:dyDescent="0.25">
      <c r="A138" s="4" t="s">
        <v>722</v>
      </c>
    </row>
    <row r="139" spans="1:1" x14ac:dyDescent="0.25">
      <c r="A139" s="4" t="s">
        <v>1011</v>
      </c>
    </row>
    <row r="140" spans="1:1" x14ac:dyDescent="0.25">
      <c r="A140" s="4" t="s">
        <v>119</v>
      </c>
    </row>
    <row r="141" spans="1:1" x14ac:dyDescent="0.25">
      <c r="A141" s="4" t="s">
        <v>204</v>
      </c>
    </row>
    <row r="142" spans="1:1" x14ac:dyDescent="0.25">
      <c r="A142" s="4" t="s">
        <v>728</v>
      </c>
    </row>
    <row r="143" spans="1:1" x14ac:dyDescent="0.25">
      <c r="A143" s="4" t="s">
        <v>757</v>
      </c>
    </row>
    <row r="144" spans="1:1" x14ac:dyDescent="0.25">
      <c r="A144" s="4" t="s">
        <v>732</v>
      </c>
    </row>
    <row r="145" spans="1:1" x14ac:dyDescent="0.25">
      <c r="A145" s="4" t="s">
        <v>785</v>
      </c>
    </row>
    <row r="146" spans="1:1" x14ac:dyDescent="0.25">
      <c r="A146" s="4" t="s">
        <v>791</v>
      </c>
    </row>
    <row r="147" spans="1:1" x14ac:dyDescent="0.25">
      <c r="A147" s="4" t="s">
        <v>800</v>
      </c>
    </row>
    <row r="148" spans="1:1" x14ac:dyDescent="0.25">
      <c r="A148" s="4" t="s">
        <v>497</v>
      </c>
    </row>
    <row r="149" spans="1:1" x14ac:dyDescent="0.25">
      <c r="A149" s="4" t="s">
        <v>805</v>
      </c>
    </row>
    <row r="150" spans="1:1" x14ac:dyDescent="0.25">
      <c r="A150" s="4" t="s">
        <v>749</v>
      </c>
    </row>
    <row r="151" spans="1:1" x14ac:dyDescent="0.25">
      <c r="A151" s="4" t="s">
        <v>773</v>
      </c>
    </row>
    <row r="152" spans="1:1" x14ac:dyDescent="0.25">
      <c r="A152" s="4" t="s">
        <v>1144</v>
      </c>
    </row>
    <row r="153" spans="1:1" x14ac:dyDescent="0.25">
      <c r="A153" s="4" t="s">
        <v>438</v>
      </c>
    </row>
    <row r="154" spans="1:1" x14ac:dyDescent="0.25">
      <c r="A154" s="4" t="s">
        <v>175</v>
      </c>
    </row>
    <row r="155" spans="1:1" x14ac:dyDescent="0.25">
      <c r="A155" s="4" t="s">
        <v>1345</v>
      </c>
    </row>
    <row r="156" spans="1:1" x14ac:dyDescent="0.25">
      <c r="A156" s="4" t="s">
        <v>1057</v>
      </c>
    </row>
    <row r="157" spans="1:1" x14ac:dyDescent="0.25">
      <c r="A157" s="4" t="s">
        <v>1164</v>
      </c>
    </row>
    <row r="158" spans="1:1" x14ac:dyDescent="0.25">
      <c r="A158" s="4" t="s">
        <v>1124</v>
      </c>
    </row>
    <row r="159" spans="1:1" x14ac:dyDescent="0.25">
      <c r="A159" s="4" t="s">
        <v>1238</v>
      </c>
    </row>
    <row r="160" spans="1:1" x14ac:dyDescent="0.25">
      <c r="A160" s="4" t="s">
        <v>1222</v>
      </c>
    </row>
    <row r="161" spans="1:1" x14ac:dyDescent="0.25">
      <c r="A161" s="4" t="s">
        <v>1241</v>
      </c>
    </row>
    <row r="162" spans="1:1" x14ac:dyDescent="0.25">
      <c r="A162" s="4" t="s">
        <v>1219</v>
      </c>
    </row>
    <row r="163" spans="1:1" x14ac:dyDescent="0.25">
      <c r="A163" s="4" t="s">
        <v>1229</v>
      </c>
    </row>
    <row r="164" spans="1:1" x14ac:dyDescent="0.25">
      <c r="A164" s="4" t="s">
        <v>339</v>
      </c>
    </row>
    <row r="165" spans="1:1" x14ac:dyDescent="0.25">
      <c r="A165" s="4" t="s">
        <v>1664</v>
      </c>
    </row>
    <row r="166" spans="1:1" x14ac:dyDescent="0.25">
      <c r="A166" s="4" t="s">
        <v>1665</v>
      </c>
    </row>
    <row r="167" spans="1:1" x14ac:dyDescent="0.25">
      <c r="A167" s="4" t="s">
        <v>1672</v>
      </c>
    </row>
    <row r="168" spans="1:1" x14ac:dyDescent="0.25">
      <c r="A168" s="4" t="s">
        <v>1675</v>
      </c>
    </row>
    <row r="169" spans="1:1" x14ac:dyDescent="0.25">
      <c r="A169" s="4" t="s">
        <v>1679</v>
      </c>
    </row>
    <row r="170" spans="1:1" x14ac:dyDescent="0.25">
      <c r="A170" s="4" t="s">
        <v>1684</v>
      </c>
    </row>
    <row r="171" spans="1:1" x14ac:dyDescent="0.25">
      <c r="A171" s="4" t="s">
        <v>1689</v>
      </c>
    </row>
    <row r="172" spans="1:1" x14ac:dyDescent="0.25">
      <c r="A172" s="4" t="s">
        <v>1701</v>
      </c>
    </row>
    <row r="173" spans="1:1" x14ac:dyDescent="0.25">
      <c r="A173" s="4" t="s">
        <v>1704</v>
      </c>
    </row>
    <row r="174" spans="1:1" x14ac:dyDescent="0.25">
      <c r="A174" s="4" t="s">
        <v>1719</v>
      </c>
    </row>
    <row r="175" spans="1:1" x14ac:dyDescent="0.25">
      <c r="A175" s="4" t="s">
        <v>1723</v>
      </c>
    </row>
    <row r="176" spans="1:1" x14ac:dyDescent="0.25">
      <c r="A176" s="4" t="s">
        <v>1954</v>
      </c>
    </row>
    <row r="177" spans="1:1" x14ac:dyDescent="0.25">
      <c r="A177" s="4" t="s">
        <v>1965</v>
      </c>
    </row>
    <row r="178" spans="1:1" x14ac:dyDescent="0.25">
      <c r="A178" s="4" t="s">
        <v>1968</v>
      </c>
    </row>
    <row r="179" spans="1:1" x14ac:dyDescent="0.25">
      <c r="A179" s="4" t="s">
        <v>1979</v>
      </c>
    </row>
    <row r="180" spans="1:1" x14ac:dyDescent="0.25">
      <c r="A180" s="4" t="s">
        <v>1982</v>
      </c>
    </row>
    <row r="181" spans="1:1" x14ac:dyDescent="0.25">
      <c r="A181" s="4" t="s">
        <v>1910</v>
      </c>
    </row>
    <row r="182" spans="1:1" x14ac:dyDescent="0.25">
      <c r="A182" s="4" t="s">
        <v>1805</v>
      </c>
    </row>
    <row r="183" spans="1:1" x14ac:dyDescent="0.25">
      <c r="A183" s="4" t="s">
        <v>1917</v>
      </c>
    </row>
    <row r="184" spans="1:1" x14ac:dyDescent="0.25">
      <c r="A184" s="4" t="s">
        <v>1922</v>
      </c>
    </row>
    <row r="185" spans="1:1" x14ac:dyDescent="0.25">
      <c r="A185" s="4" t="s">
        <v>1928</v>
      </c>
    </row>
    <row r="186" spans="1:1" x14ac:dyDescent="0.25">
      <c r="A186" s="4" t="s">
        <v>1931</v>
      </c>
    </row>
    <row r="187" spans="1:1" x14ac:dyDescent="0.25">
      <c r="A187" s="4" t="s">
        <v>1946</v>
      </c>
    </row>
    <row r="188" spans="1:1" x14ac:dyDescent="0.25">
      <c r="A188" s="4" t="s">
        <v>1985</v>
      </c>
    </row>
    <row r="189" spans="1:1" x14ac:dyDescent="0.25">
      <c r="A189" s="4" t="s">
        <v>340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05AFCA-69F2-443F-99FC-EEDC795A5E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SEGUIMIENTO TPM xlsx (4)</vt:lpstr>
      <vt:lpstr>SEGUIMIENTO TPM xlsx</vt:lpstr>
      <vt:lpstr>DATOS</vt:lpstr>
      <vt:lpstr>REPUESTOS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Murcia</dc:creator>
  <cp:lastModifiedBy>Jorge Fontecha</cp:lastModifiedBy>
  <dcterms:created xsi:type="dcterms:W3CDTF">2026-03-13T12:08:01Z</dcterms:created>
  <dcterms:modified xsi:type="dcterms:W3CDTF">2026-05-11T13:15:46Z</dcterms:modified>
</cp:coreProperties>
</file>